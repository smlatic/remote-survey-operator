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2023\ENNOI104287\7_Logs\2_Online_Log\"/>
    </mc:Choice>
  </mc:AlternateContent>
  <xr:revisionPtr revIDLastSave="0" documentId="13_ncr:1_{97DC29AB-3BF4-4BD5-B756-3A423B6BE159}" xr6:coauthVersionLast="36" xr6:coauthVersionMax="36" xr10:uidLastSave="{00000000-0000-0000-0000-000000000000}"/>
  <bookViews>
    <workbookView xWindow="0" yWindow="0" windowWidth="21570" windowHeight="6810" tabRatio="870" activeTab="1" xr2:uid="{D0F67AB7-29CD-4416-A860-2EFA621149A5}"/>
  </bookViews>
  <sheets>
    <sheet name="Qinsy DB Revisions" sheetId="4" r:id="rId1"/>
    <sheet name="Survey" sheetId="1" r:id="rId2"/>
    <sheet name="BM01" sheetId="10" r:id="rId3"/>
    <sheet name="BM02" sheetId="11" r:id="rId4"/>
    <sheet name="BM03" sheetId="12" r:id="rId5"/>
    <sheet name="BM04" sheetId="13" r:id="rId6"/>
    <sheet name="BM05" sheetId="14" r:id="rId7"/>
    <sheet name="BM06" sheetId="15" r:id="rId8"/>
    <sheet name="BM07" sheetId="16" r:id="rId9"/>
    <sheet name="BM08" sheetId="17" r:id="rId10"/>
    <sheet name="BM09" sheetId="18" r:id="rId11"/>
    <sheet name="BM10" sheetId="19" r:id="rId12"/>
    <sheet name="BM11" sheetId="20" r:id="rId13"/>
    <sheet name="BM12" sheetId="21" r:id="rId14"/>
    <sheet name="BM13" sheetId="22" r:id="rId15"/>
    <sheet name="BM14" sheetId="23" r:id="rId16"/>
    <sheet name="BM15" sheetId="24" r:id="rId17"/>
    <sheet name="BM16" sheetId="25" r:id="rId18"/>
    <sheet name="BM17" sheetId="26" r:id="rId19"/>
    <sheet name="BM18" sheetId="27" r:id="rId20"/>
    <sheet name="Settings" sheetId="2" r:id="rId21"/>
    <sheet name="SVP_Profiles" sheetId="9" r:id="rId22"/>
  </sheets>
  <definedNames>
    <definedName name="_xlnm._FilterDatabase" localSheetId="1" hidden="1">Survey!$E$1:$E$1222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7" l="1"/>
  <c r="R25" i="26" l="1"/>
  <c r="R25" i="27"/>
  <c r="AA1" i="27"/>
  <c r="Y1" i="27"/>
  <c r="AC1" i="27" s="1"/>
  <c r="W1" i="27"/>
  <c r="G1" i="27"/>
  <c r="E1" i="27"/>
  <c r="I1" i="27" s="1"/>
  <c r="C1" i="27"/>
  <c r="D3" i="26"/>
  <c r="C1" i="26" s="1"/>
  <c r="I1" i="26" s="1"/>
  <c r="AC1" i="26"/>
  <c r="AA1" i="26"/>
  <c r="Y1" i="26"/>
  <c r="W1" i="26"/>
  <c r="E1" i="26"/>
  <c r="AC1" i="25"/>
  <c r="AA1" i="25"/>
  <c r="Y1" i="25"/>
  <c r="W1" i="25"/>
  <c r="I1" i="25"/>
  <c r="G1" i="25"/>
  <c r="E1" i="25"/>
  <c r="C1" i="25"/>
  <c r="AC1" i="24"/>
  <c r="AA1" i="24"/>
  <c r="Y1" i="24"/>
  <c r="W1" i="24"/>
  <c r="I1" i="24"/>
  <c r="G1" i="24"/>
  <c r="E1" i="24"/>
  <c r="C1" i="24"/>
  <c r="AA1" i="23"/>
  <c r="Y1" i="23"/>
  <c r="AC1" i="23" s="1"/>
  <c r="W1" i="23"/>
  <c r="G1" i="23"/>
  <c r="E1" i="23"/>
  <c r="I1" i="23" s="1"/>
  <c r="C1" i="23"/>
  <c r="C1" i="22"/>
  <c r="AA1" i="22"/>
  <c r="Y1" i="22"/>
  <c r="AC1" i="22" s="1"/>
  <c r="W1" i="22"/>
  <c r="G1" i="22"/>
  <c r="E1" i="22"/>
  <c r="I1" i="22" s="1"/>
  <c r="AA1" i="21"/>
  <c r="Y1" i="21"/>
  <c r="W1" i="21"/>
  <c r="AC1" i="21" s="1"/>
  <c r="I1" i="21"/>
  <c r="G1" i="21"/>
  <c r="E1" i="21"/>
  <c r="C1" i="21"/>
  <c r="AC1" i="20"/>
  <c r="AA1" i="20"/>
  <c r="Y1" i="20"/>
  <c r="W1" i="20"/>
  <c r="G1" i="20"/>
  <c r="E1" i="20"/>
  <c r="I1" i="20" s="1"/>
  <c r="C1" i="20"/>
  <c r="AC1" i="19"/>
  <c r="AA1" i="19"/>
  <c r="Y1" i="19"/>
  <c r="W1" i="19"/>
  <c r="G1" i="19"/>
  <c r="E1" i="19"/>
  <c r="I1" i="19" s="1"/>
  <c r="C1" i="19"/>
  <c r="AC1" i="18"/>
  <c r="AA1" i="18"/>
  <c r="Y1" i="18"/>
  <c r="W1" i="18"/>
  <c r="I1" i="18"/>
  <c r="G1" i="18"/>
  <c r="E1" i="18"/>
  <c r="C1" i="18"/>
  <c r="C1" i="17"/>
  <c r="AA1" i="17"/>
  <c r="Y1" i="17"/>
  <c r="AC1" i="17" s="1"/>
  <c r="W1" i="17"/>
  <c r="E1" i="17"/>
  <c r="AC1" i="16"/>
  <c r="AA1" i="16"/>
  <c r="Y1" i="16"/>
  <c r="W1" i="16"/>
  <c r="C1" i="16"/>
  <c r="D3" i="15"/>
  <c r="W1" i="15"/>
  <c r="AA1" i="15"/>
  <c r="Y1" i="15"/>
  <c r="C1" i="14"/>
  <c r="C1" i="13"/>
  <c r="C1" i="10"/>
  <c r="G1" i="11"/>
  <c r="C1" i="12"/>
  <c r="I1" i="17" l="1"/>
  <c r="AC1" i="15"/>
  <c r="S38" i="27" l="1"/>
  <c r="R38" i="27"/>
  <c r="Q38" i="27"/>
  <c r="P38" i="27"/>
  <c r="O38" i="27"/>
  <c r="N38" i="27"/>
  <c r="M38" i="27"/>
  <c r="L38" i="27"/>
  <c r="K38" i="27"/>
  <c r="J38" i="27"/>
  <c r="I38" i="27"/>
  <c r="H38" i="27"/>
  <c r="G38" i="27"/>
  <c r="F24" i="27" s="1"/>
  <c r="F38" i="27"/>
  <c r="E38" i="27"/>
  <c r="D38" i="27"/>
  <c r="C38" i="27"/>
  <c r="B38" i="27"/>
  <c r="P25" i="27"/>
  <c r="N25" i="27"/>
  <c r="L25" i="27"/>
  <c r="J25" i="27"/>
  <c r="H25" i="27"/>
  <c r="F25" i="27"/>
  <c r="D25" i="27"/>
  <c r="B25" i="27"/>
  <c r="G22" i="27"/>
  <c r="F22" i="27"/>
  <c r="E22" i="27"/>
  <c r="D22" i="27"/>
  <c r="C22" i="27"/>
  <c r="F3" i="27" s="1"/>
  <c r="B22" i="27"/>
  <c r="F4" i="27"/>
  <c r="D4" i="27"/>
  <c r="B4" i="27"/>
  <c r="R38" i="25"/>
  <c r="R38" i="26"/>
  <c r="Y38" i="26"/>
  <c r="X38" i="26"/>
  <c r="W38" i="26"/>
  <c r="V38" i="26"/>
  <c r="U38" i="26"/>
  <c r="T38" i="26"/>
  <c r="S38" i="26"/>
  <c r="Q38" i="26"/>
  <c r="P38" i="26"/>
  <c r="O38" i="26"/>
  <c r="N38" i="26"/>
  <c r="M38" i="26"/>
  <c r="L38" i="26"/>
  <c r="K38" i="26"/>
  <c r="J38" i="26"/>
  <c r="I38" i="26"/>
  <c r="H38" i="26"/>
  <c r="G38" i="26"/>
  <c r="F38" i="26"/>
  <c r="E38" i="26"/>
  <c r="D38" i="26"/>
  <c r="C38" i="26"/>
  <c r="B38" i="26"/>
  <c r="X25" i="26"/>
  <c r="V25" i="26"/>
  <c r="T25" i="26"/>
  <c r="P25" i="26"/>
  <c r="N25" i="26"/>
  <c r="L25" i="26"/>
  <c r="J25" i="26"/>
  <c r="H25" i="26"/>
  <c r="F25" i="26"/>
  <c r="D25" i="26"/>
  <c r="B25" i="26"/>
  <c r="F24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L4" i="26"/>
  <c r="J4" i="26"/>
  <c r="H4" i="26"/>
  <c r="F4" i="26"/>
  <c r="D4" i="26"/>
  <c r="B4" i="26"/>
  <c r="AP25" i="25"/>
  <c r="AN25" i="25"/>
  <c r="AL25" i="25"/>
  <c r="AJ25" i="25"/>
  <c r="AQ38" i="25"/>
  <c r="AP38" i="25"/>
  <c r="AO38" i="25"/>
  <c r="AN38" i="25"/>
  <c r="AM38" i="25"/>
  <c r="AL38" i="25"/>
  <c r="AK38" i="25"/>
  <c r="AJ38" i="25"/>
  <c r="R4" i="25"/>
  <c r="P4" i="25"/>
  <c r="N4" i="25"/>
  <c r="S22" i="25"/>
  <c r="R22" i="25"/>
  <c r="Q22" i="25"/>
  <c r="P22" i="25"/>
  <c r="O22" i="25"/>
  <c r="N22" i="25"/>
  <c r="AI38" i="25"/>
  <c r="AH38" i="25"/>
  <c r="AG38" i="25"/>
  <c r="AF38" i="25"/>
  <c r="AE38" i="25"/>
  <c r="AD38" i="25"/>
  <c r="AC38" i="25"/>
  <c r="AB38" i="25"/>
  <c r="AA38" i="25"/>
  <c r="Z38" i="25"/>
  <c r="Y38" i="25"/>
  <c r="X38" i="25"/>
  <c r="W38" i="25"/>
  <c r="V38" i="25"/>
  <c r="U38" i="25"/>
  <c r="T38" i="25"/>
  <c r="S38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B38" i="25"/>
  <c r="AH25" i="25"/>
  <c r="AF25" i="25"/>
  <c r="AD25" i="25"/>
  <c r="AB25" i="25"/>
  <c r="Z25" i="25"/>
  <c r="X25" i="25"/>
  <c r="V25" i="25"/>
  <c r="T25" i="25"/>
  <c r="R25" i="25"/>
  <c r="P25" i="25"/>
  <c r="N25" i="25"/>
  <c r="L25" i="25"/>
  <c r="J25" i="25"/>
  <c r="H25" i="25"/>
  <c r="F25" i="25"/>
  <c r="D25" i="25"/>
  <c r="B25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L4" i="25"/>
  <c r="J4" i="25"/>
  <c r="H4" i="25"/>
  <c r="F4" i="25"/>
  <c r="D4" i="25"/>
  <c r="B4" i="25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G38" i="24"/>
  <c r="F38" i="24"/>
  <c r="E38" i="24"/>
  <c r="D38" i="24"/>
  <c r="C38" i="24"/>
  <c r="B38" i="24"/>
  <c r="AH25" i="24"/>
  <c r="AF25" i="24"/>
  <c r="AD25" i="24"/>
  <c r="AB25" i="24"/>
  <c r="Z25" i="24"/>
  <c r="X25" i="24"/>
  <c r="V25" i="24"/>
  <c r="T25" i="24"/>
  <c r="R25" i="24"/>
  <c r="P25" i="24"/>
  <c r="N25" i="24"/>
  <c r="L25" i="24"/>
  <c r="J25" i="24"/>
  <c r="H25" i="24"/>
  <c r="F25" i="24"/>
  <c r="D25" i="24"/>
  <c r="B25" i="24"/>
  <c r="M22" i="24"/>
  <c r="L22" i="24"/>
  <c r="K22" i="24"/>
  <c r="J22" i="24"/>
  <c r="I22" i="24"/>
  <c r="H22" i="24"/>
  <c r="G22" i="24"/>
  <c r="F22" i="24"/>
  <c r="E22" i="24"/>
  <c r="F3" i="24" s="1"/>
  <c r="D22" i="24"/>
  <c r="C22" i="24"/>
  <c r="B22" i="24"/>
  <c r="L4" i="24"/>
  <c r="J4" i="24"/>
  <c r="H4" i="24"/>
  <c r="F4" i="24"/>
  <c r="D4" i="24"/>
  <c r="B4" i="24"/>
  <c r="F24" i="23"/>
  <c r="D24" i="23"/>
  <c r="AT25" i="23"/>
  <c r="AR25" i="23"/>
  <c r="AP25" i="23"/>
  <c r="AN25" i="23"/>
  <c r="AL25" i="23"/>
  <c r="AU38" i="23"/>
  <c r="AT38" i="23"/>
  <c r="AS38" i="23"/>
  <c r="AR38" i="23"/>
  <c r="AQ38" i="23"/>
  <c r="AP38" i="23"/>
  <c r="AO38" i="23"/>
  <c r="AN38" i="23"/>
  <c r="AM38" i="23"/>
  <c r="AL38" i="23"/>
  <c r="W22" i="23"/>
  <c r="V22" i="23"/>
  <c r="U22" i="23"/>
  <c r="T22" i="23"/>
  <c r="S22" i="23"/>
  <c r="R22" i="23"/>
  <c r="Q22" i="23"/>
  <c r="P22" i="23"/>
  <c r="O22" i="23"/>
  <c r="N22" i="23"/>
  <c r="V4" i="23"/>
  <c r="T4" i="23"/>
  <c r="R4" i="23"/>
  <c r="P4" i="23"/>
  <c r="N4" i="23"/>
  <c r="AK38" i="23"/>
  <c r="AJ38" i="23"/>
  <c r="AI38" i="23"/>
  <c r="AH38" i="23"/>
  <c r="AG38" i="23"/>
  <c r="AF38" i="23"/>
  <c r="AE38" i="23"/>
  <c r="AD38" i="23"/>
  <c r="AC38" i="23"/>
  <c r="AB38" i="23"/>
  <c r="AA38" i="23"/>
  <c r="Z38" i="23"/>
  <c r="Y38" i="23"/>
  <c r="X38" i="23"/>
  <c r="W38" i="23"/>
  <c r="V38" i="23"/>
  <c r="U38" i="23"/>
  <c r="T38" i="23"/>
  <c r="S38" i="23"/>
  <c r="R38" i="23"/>
  <c r="Q38" i="23"/>
  <c r="P38" i="23"/>
  <c r="O38" i="23"/>
  <c r="N38" i="23"/>
  <c r="M38" i="23"/>
  <c r="L38" i="23"/>
  <c r="K38" i="23"/>
  <c r="J38" i="23"/>
  <c r="I38" i="23"/>
  <c r="H38" i="23"/>
  <c r="G38" i="23"/>
  <c r="F38" i="23"/>
  <c r="E38" i="23"/>
  <c r="D38" i="23"/>
  <c r="C38" i="23"/>
  <c r="B38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J25" i="23"/>
  <c r="H25" i="23"/>
  <c r="F25" i="23"/>
  <c r="D25" i="23"/>
  <c r="B25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L4" i="23"/>
  <c r="J4" i="23"/>
  <c r="H4" i="23"/>
  <c r="F4" i="23"/>
  <c r="D4" i="23"/>
  <c r="B4" i="23"/>
  <c r="AK38" i="22"/>
  <c r="AJ38" i="22"/>
  <c r="AI38" i="22"/>
  <c r="AH38" i="22"/>
  <c r="AG38" i="22"/>
  <c r="AF38" i="22"/>
  <c r="AE38" i="22"/>
  <c r="AD38" i="22"/>
  <c r="AC38" i="22"/>
  <c r="AB38" i="22"/>
  <c r="AA38" i="22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E38" i="22"/>
  <c r="D38" i="22"/>
  <c r="C38" i="22"/>
  <c r="B38" i="22"/>
  <c r="AJ25" i="22"/>
  <c r="AH25" i="22"/>
  <c r="AF25" i="22"/>
  <c r="AD25" i="22"/>
  <c r="AB25" i="22"/>
  <c r="Z25" i="22"/>
  <c r="X25" i="22"/>
  <c r="V25" i="22"/>
  <c r="T25" i="22"/>
  <c r="R25" i="22"/>
  <c r="P25" i="22"/>
  <c r="N25" i="22"/>
  <c r="L25" i="22"/>
  <c r="J25" i="22"/>
  <c r="H25" i="22"/>
  <c r="F25" i="22"/>
  <c r="D25" i="22"/>
  <c r="B25" i="22"/>
  <c r="F24" i="22"/>
  <c r="M22" i="22"/>
  <c r="L22" i="22"/>
  <c r="K22" i="22"/>
  <c r="J22" i="22"/>
  <c r="I22" i="22"/>
  <c r="H22" i="22"/>
  <c r="G22" i="22"/>
  <c r="F22" i="22"/>
  <c r="E22" i="22"/>
  <c r="D22" i="22"/>
  <c r="C22" i="22"/>
  <c r="B22" i="22"/>
  <c r="L4" i="22"/>
  <c r="J4" i="22"/>
  <c r="H4" i="22"/>
  <c r="F4" i="22"/>
  <c r="D4" i="22"/>
  <c r="B4" i="22"/>
  <c r="AN25" i="21"/>
  <c r="AL25" i="21"/>
  <c r="AJ25" i="21"/>
  <c r="AO38" i="21"/>
  <c r="AN38" i="21"/>
  <c r="AM38" i="21"/>
  <c r="AL38" i="21"/>
  <c r="AK38" i="21"/>
  <c r="AJ38" i="21"/>
  <c r="AI38" i="21"/>
  <c r="AH38" i="21"/>
  <c r="AG38" i="21"/>
  <c r="AF38" i="21"/>
  <c r="AE38" i="21"/>
  <c r="AD38" i="21"/>
  <c r="AC38" i="21"/>
  <c r="AB38" i="21"/>
  <c r="AA38" i="21"/>
  <c r="Z38" i="21"/>
  <c r="Y38" i="21"/>
  <c r="X38" i="21"/>
  <c r="W38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C38" i="21"/>
  <c r="B38" i="21"/>
  <c r="AH25" i="21"/>
  <c r="AF25" i="21"/>
  <c r="AD25" i="21"/>
  <c r="AB25" i="21"/>
  <c r="Z25" i="21"/>
  <c r="X25" i="21"/>
  <c r="V25" i="21"/>
  <c r="T25" i="21"/>
  <c r="R25" i="21"/>
  <c r="P25" i="21"/>
  <c r="N25" i="21"/>
  <c r="L25" i="21"/>
  <c r="J25" i="21"/>
  <c r="H25" i="21"/>
  <c r="F25" i="21"/>
  <c r="D25" i="21"/>
  <c r="B25" i="21"/>
  <c r="O22" i="21"/>
  <c r="N22" i="21"/>
  <c r="M22" i="21"/>
  <c r="L22" i="21"/>
  <c r="K22" i="21"/>
  <c r="J22" i="21"/>
  <c r="I22" i="21"/>
  <c r="H22" i="21"/>
  <c r="G22" i="21"/>
  <c r="F3" i="21" s="1"/>
  <c r="F22" i="21"/>
  <c r="E22" i="21"/>
  <c r="D22" i="21"/>
  <c r="C22" i="21"/>
  <c r="B22" i="21"/>
  <c r="N4" i="21"/>
  <c r="L4" i="21"/>
  <c r="J4" i="21"/>
  <c r="H4" i="21"/>
  <c r="F4" i="21"/>
  <c r="D4" i="21"/>
  <c r="B4" i="21"/>
  <c r="F24" i="20"/>
  <c r="D24" i="20"/>
  <c r="AI38" i="20"/>
  <c r="AH38" i="20"/>
  <c r="AG38" i="20"/>
  <c r="AF38" i="20"/>
  <c r="AE38" i="20"/>
  <c r="AD38" i="20"/>
  <c r="AC38" i="20"/>
  <c r="AB38" i="20"/>
  <c r="AA38" i="20"/>
  <c r="Z38" i="20"/>
  <c r="Y38" i="20"/>
  <c r="X38" i="20"/>
  <c r="W38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E38" i="20"/>
  <c r="D38" i="20"/>
  <c r="C38" i="20"/>
  <c r="B38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B25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D22" i="20"/>
  <c r="C22" i="20"/>
  <c r="B22" i="20"/>
  <c r="P4" i="20"/>
  <c r="N4" i="20"/>
  <c r="L4" i="20"/>
  <c r="J4" i="20"/>
  <c r="H4" i="20"/>
  <c r="F4" i="20"/>
  <c r="D4" i="20"/>
  <c r="B4" i="20"/>
  <c r="R22" i="19"/>
  <c r="Q22" i="19"/>
  <c r="P22" i="19"/>
  <c r="O22" i="19"/>
  <c r="R4" i="19"/>
  <c r="P4" i="19"/>
  <c r="AI38" i="19"/>
  <c r="AH38" i="19"/>
  <c r="AG38" i="19"/>
  <c r="AF38" i="19"/>
  <c r="AE38" i="19"/>
  <c r="AD38" i="19"/>
  <c r="AC38" i="19"/>
  <c r="AB38" i="19"/>
  <c r="AA38" i="19"/>
  <c r="Z38" i="19"/>
  <c r="Y38" i="19"/>
  <c r="X38" i="19"/>
  <c r="W38" i="19"/>
  <c r="V38" i="19"/>
  <c r="U38" i="19"/>
  <c r="T38" i="19"/>
  <c r="S38" i="19"/>
  <c r="R38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AH25" i="19"/>
  <c r="AF25" i="19"/>
  <c r="AD25" i="19"/>
  <c r="AB25" i="19"/>
  <c r="Z25" i="19"/>
  <c r="X25" i="19"/>
  <c r="V25" i="19"/>
  <c r="T25" i="19"/>
  <c r="R25" i="19"/>
  <c r="P25" i="19"/>
  <c r="N25" i="19"/>
  <c r="L25" i="19"/>
  <c r="J25" i="19"/>
  <c r="H25" i="19"/>
  <c r="F25" i="19"/>
  <c r="D25" i="19"/>
  <c r="B25" i="19"/>
  <c r="F24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N4" i="19"/>
  <c r="L4" i="19"/>
  <c r="J4" i="19"/>
  <c r="H4" i="19"/>
  <c r="F4" i="19"/>
  <c r="D4" i="19"/>
  <c r="B4" i="19"/>
  <c r="AQ38" i="18"/>
  <c r="F24" i="18" s="1"/>
  <c r="AP38" i="18"/>
  <c r="AO38" i="18"/>
  <c r="AN38" i="18"/>
  <c r="AP25" i="18"/>
  <c r="AN25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F38" i="18"/>
  <c r="E38" i="18"/>
  <c r="D38" i="18"/>
  <c r="C38" i="18"/>
  <c r="B38" i="18"/>
  <c r="AL25" i="18"/>
  <c r="AJ25" i="18"/>
  <c r="AH25" i="18"/>
  <c r="AF25" i="18"/>
  <c r="AD25" i="18"/>
  <c r="AB25" i="18"/>
  <c r="Z25" i="18"/>
  <c r="X25" i="18"/>
  <c r="V25" i="18"/>
  <c r="T25" i="18"/>
  <c r="R25" i="18"/>
  <c r="P25" i="18"/>
  <c r="N25" i="18"/>
  <c r="L25" i="18"/>
  <c r="J25" i="18"/>
  <c r="H25" i="18"/>
  <c r="F25" i="18"/>
  <c r="D25" i="18"/>
  <c r="B25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N4" i="18"/>
  <c r="L4" i="18"/>
  <c r="J4" i="18"/>
  <c r="H4" i="18"/>
  <c r="F4" i="18"/>
  <c r="D4" i="18"/>
  <c r="B4" i="18"/>
  <c r="S22" i="17"/>
  <c r="R22" i="17"/>
  <c r="Q22" i="17"/>
  <c r="P22" i="17"/>
  <c r="AM38" i="17"/>
  <c r="AL38" i="17"/>
  <c r="AL25" i="17"/>
  <c r="R4" i="17"/>
  <c r="P4" i="17"/>
  <c r="AK38" i="17"/>
  <c r="AJ38" i="17"/>
  <c r="AI38" i="17"/>
  <c r="AH38" i="17"/>
  <c r="AG38" i="17"/>
  <c r="AF38" i="17"/>
  <c r="AE38" i="17"/>
  <c r="AD38" i="17"/>
  <c r="AC38" i="17"/>
  <c r="AB38" i="17"/>
  <c r="AA38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AJ25" i="17"/>
  <c r="AH25" i="17"/>
  <c r="AF25" i="17"/>
  <c r="AD25" i="17"/>
  <c r="AB25" i="17"/>
  <c r="Z25" i="17"/>
  <c r="X25" i="17"/>
  <c r="V25" i="17"/>
  <c r="T25" i="17"/>
  <c r="R25" i="17"/>
  <c r="P25" i="17"/>
  <c r="N25" i="17"/>
  <c r="L25" i="17"/>
  <c r="J25" i="17"/>
  <c r="H25" i="17"/>
  <c r="F25" i="17"/>
  <c r="D25" i="17"/>
  <c r="B25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N4" i="17"/>
  <c r="L4" i="17"/>
  <c r="J4" i="17"/>
  <c r="H4" i="17"/>
  <c r="F4" i="17"/>
  <c r="D4" i="17"/>
  <c r="B4" i="17"/>
  <c r="AK38" i="16"/>
  <c r="AJ38" i="16"/>
  <c r="AI38" i="16"/>
  <c r="AH38" i="16"/>
  <c r="AG38" i="16"/>
  <c r="AF38" i="16"/>
  <c r="AE38" i="16"/>
  <c r="AD38" i="16"/>
  <c r="AC38" i="16"/>
  <c r="AB38" i="16"/>
  <c r="AA38" i="16"/>
  <c r="Z38" i="16"/>
  <c r="Y38" i="16"/>
  <c r="X38" i="16"/>
  <c r="W38" i="16"/>
  <c r="V38" i="16"/>
  <c r="U38" i="16"/>
  <c r="T38" i="16"/>
  <c r="S38" i="16"/>
  <c r="R38" i="16"/>
  <c r="Q38" i="16"/>
  <c r="P38" i="16"/>
  <c r="O38" i="16"/>
  <c r="N38" i="16"/>
  <c r="M38" i="16"/>
  <c r="L38" i="16"/>
  <c r="K38" i="16"/>
  <c r="J38" i="16"/>
  <c r="I38" i="16"/>
  <c r="H38" i="16"/>
  <c r="G38" i="16"/>
  <c r="F38" i="16"/>
  <c r="E38" i="16"/>
  <c r="D38" i="16"/>
  <c r="C38" i="16"/>
  <c r="B38" i="16"/>
  <c r="AJ25" i="16"/>
  <c r="AH25" i="16"/>
  <c r="AF25" i="16"/>
  <c r="AD25" i="16"/>
  <c r="AB25" i="16"/>
  <c r="Z25" i="16"/>
  <c r="X25" i="16"/>
  <c r="V25" i="16"/>
  <c r="T25" i="16"/>
  <c r="R25" i="16"/>
  <c r="P25" i="16"/>
  <c r="N25" i="16"/>
  <c r="L25" i="16"/>
  <c r="J25" i="16"/>
  <c r="H25" i="16"/>
  <c r="F25" i="16"/>
  <c r="D25" i="16"/>
  <c r="B25" i="16"/>
  <c r="O22" i="16"/>
  <c r="N22" i="16"/>
  <c r="M22" i="16"/>
  <c r="L22" i="16"/>
  <c r="K22" i="16"/>
  <c r="J22" i="16"/>
  <c r="N4" i="16"/>
  <c r="L4" i="16"/>
  <c r="J4" i="16"/>
  <c r="I22" i="16"/>
  <c r="H22" i="16"/>
  <c r="G22" i="16"/>
  <c r="F22" i="16"/>
  <c r="E22" i="16"/>
  <c r="D22" i="16"/>
  <c r="C22" i="16"/>
  <c r="B22" i="16"/>
  <c r="H4" i="16"/>
  <c r="F4" i="16"/>
  <c r="D4" i="16"/>
  <c r="B4" i="16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C38" i="15"/>
  <c r="B38" i="15"/>
  <c r="F25" i="15"/>
  <c r="H25" i="15"/>
  <c r="J25" i="15"/>
  <c r="L25" i="15"/>
  <c r="N25" i="15"/>
  <c r="P25" i="15"/>
  <c r="R25" i="15"/>
  <c r="T25" i="15"/>
  <c r="V25" i="15"/>
  <c r="X25" i="15"/>
  <c r="Z25" i="15"/>
  <c r="AB25" i="15"/>
  <c r="AD25" i="15"/>
  <c r="AF25" i="15"/>
  <c r="AH25" i="15"/>
  <c r="AJ25" i="15"/>
  <c r="AL25" i="15"/>
  <c r="AN25" i="15"/>
  <c r="AP25" i="15"/>
  <c r="D25" i="15"/>
  <c r="B25" i="15"/>
  <c r="W22" i="15"/>
  <c r="V22" i="15"/>
  <c r="U22" i="15"/>
  <c r="T22" i="15"/>
  <c r="S22" i="15"/>
  <c r="R22" i="15"/>
  <c r="Q22" i="15"/>
  <c r="P22" i="15"/>
  <c r="V4" i="15"/>
  <c r="T4" i="15"/>
  <c r="R4" i="15"/>
  <c r="P4" i="15"/>
  <c r="O22" i="15"/>
  <c r="F3" i="15" s="1"/>
  <c r="H3" i="15" s="1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N4" i="15"/>
  <c r="L4" i="15"/>
  <c r="J4" i="15"/>
  <c r="H4" i="15"/>
  <c r="F4" i="15"/>
  <c r="D4" i="15"/>
  <c r="B4" i="15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D24" i="14" s="1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AL25" i="14"/>
  <c r="AJ25" i="14"/>
  <c r="AH25" i="14"/>
  <c r="AF25" i="14"/>
  <c r="AD25" i="14"/>
  <c r="AB25" i="14"/>
  <c r="Z25" i="14"/>
  <c r="X25" i="14"/>
  <c r="V25" i="14"/>
  <c r="T25" i="14"/>
  <c r="R25" i="14"/>
  <c r="P25" i="14"/>
  <c r="N25" i="14"/>
  <c r="L25" i="14"/>
  <c r="J25" i="14"/>
  <c r="H25" i="14"/>
  <c r="F25" i="14"/>
  <c r="C38" i="14"/>
  <c r="B38" i="14"/>
  <c r="B25" i="14"/>
  <c r="D25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N4" i="14"/>
  <c r="L4" i="14"/>
  <c r="J4" i="14"/>
  <c r="H4" i="14"/>
  <c r="F4" i="14"/>
  <c r="D4" i="14"/>
  <c r="B22" i="14"/>
  <c r="B4" i="14"/>
  <c r="C22" i="14"/>
  <c r="AO38" i="13"/>
  <c r="AN38" i="13"/>
  <c r="AM38" i="13"/>
  <c r="AL38" i="13"/>
  <c r="AK38" i="13"/>
  <c r="AJ38" i="13"/>
  <c r="AI38" i="13"/>
  <c r="AH38" i="13"/>
  <c r="AN25" i="13"/>
  <c r="AL25" i="13"/>
  <c r="AJ25" i="13"/>
  <c r="AH25" i="13"/>
  <c r="D4" i="13"/>
  <c r="AG38" i="13"/>
  <c r="AF38" i="13"/>
  <c r="AE38" i="13"/>
  <c r="AD38" i="13"/>
  <c r="AC38" i="13"/>
  <c r="AB38" i="13"/>
  <c r="AA38" i="13"/>
  <c r="Z38" i="13"/>
  <c r="Y38" i="13"/>
  <c r="X38" i="13"/>
  <c r="W38" i="13"/>
  <c r="V38" i="13"/>
  <c r="U38" i="13"/>
  <c r="T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D38" i="13"/>
  <c r="C38" i="13"/>
  <c r="B38" i="13"/>
  <c r="D24" i="13" s="1"/>
  <c r="AF25" i="13"/>
  <c r="AD25" i="13"/>
  <c r="AB25" i="13"/>
  <c r="Z25" i="13"/>
  <c r="X25" i="13"/>
  <c r="V25" i="13"/>
  <c r="T25" i="13"/>
  <c r="R25" i="13"/>
  <c r="P25" i="13"/>
  <c r="N25" i="13"/>
  <c r="L25" i="13"/>
  <c r="J25" i="13"/>
  <c r="H25" i="13"/>
  <c r="F25" i="13"/>
  <c r="D25" i="13"/>
  <c r="B25" i="13"/>
  <c r="Q22" i="13"/>
  <c r="P22" i="13"/>
  <c r="O22" i="13"/>
  <c r="N22" i="13"/>
  <c r="M22" i="13"/>
  <c r="L22" i="13"/>
  <c r="J22" i="13"/>
  <c r="I22" i="13"/>
  <c r="H22" i="13"/>
  <c r="G22" i="13"/>
  <c r="F22" i="13"/>
  <c r="E22" i="13"/>
  <c r="D22" i="13"/>
  <c r="C22" i="13"/>
  <c r="B22" i="13"/>
  <c r="P4" i="13"/>
  <c r="N4" i="13"/>
  <c r="L4" i="13"/>
  <c r="J4" i="13"/>
  <c r="H4" i="13"/>
  <c r="F4" i="13"/>
  <c r="B4" i="13"/>
  <c r="D24" i="12"/>
  <c r="D38" i="12"/>
  <c r="E38" i="12"/>
  <c r="F38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D22" i="12"/>
  <c r="E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C22" i="12"/>
  <c r="C38" i="12"/>
  <c r="B38" i="12"/>
  <c r="D25" i="12"/>
  <c r="F25" i="12"/>
  <c r="H25" i="12"/>
  <c r="J25" i="12"/>
  <c r="L25" i="12"/>
  <c r="N25" i="12"/>
  <c r="P25" i="12"/>
  <c r="R25" i="12"/>
  <c r="T25" i="12"/>
  <c r="V25" i="12"/>
  <c r="X25" i="12"/>
  <c r="Z25" i="12"/>
  <c r="AB25" i="12"/>
  <c r="AD25" i="12"/>
  <c r="AF25" i="12"/>
  <c r="B25" i="12"/>
  <c r="D38" i="11"/>
  <c r="E38" i="11"/>
  <c r="C38" i="11"/>
  <c r="B38" i="11"/>
  <c r="D25" i="11"/>
  <c r="B25" i="11"/>
  <c r="D24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B38" i="10"/>
  <c r="C38" i="10"/>
  <c r="D25" i="10"/>
  <c r="F25" i="10"/>
  <c r="H25" i="10"/>
  <c r="J25" i="10"/>
  <c r="L25" i="10"/>
  <c r="N25" i="10"/>
  <c r="P25" i="10"/>
  <c r="R25" i="10"/>
  <c r="T25" i="10"/>
  <c r="V25" i="10"/>
  <c r="X25" i="10"/>
  <c r="Z25" i="10"/>
  <c r="AB25" i="10"/>
  <c r="AD25" i="10"/>
  <c r="B25" i="10"/>
  <c r="B22" i="12"/>
  <c r="P4" i="12"/>
  <c r="N4" i="12"/>
  <c r="L4" i="12"/>
  <c r="J4" i="12"/>
  <c r="H4" i="12"/>
  <c r="F4" i="12"/>
  <c r="D4" i="12"/>
  <c r="B4" i="12"/>
  <c r="C22" i="11"/>
  <c r="B22" i="11"/>
  <c r="B4" i="11"/>
  <c r="O22" i="10"/>
  <c r="D4" i="10"/>
  <c r="F4" i="10"/>
  <c r="H4" i="10"/>
  <c r="J4" i="10"/>
  <c r="L4" i="10"/>
  <c r="N4" i="10"/>
  <c r="B4" i="10"/>
  <c r="D22" i="10"/>
  <c r="E22" i="10"/>
  <c r="F22" i="10"/>
  <c r="G22" i="10"/>
  <c r="H22" i="10"/>
  <c r="I22" i="10"/>
  <c r="J22" i="10"/>
  <c r="K22" i="10"/>
  <c r="L22" i="10"/>
  <c r="M22" i="10"/>
  <c r="N22" i="10"/>
  <c r="C22" i="10"/>
  <c r="B22" i="10"/>
  <c r="D3" i="10" s="1"/>
  <c r="F24" i="10" l="1"/>
  <c r="H24" i="10" s="1"/>
  <c r="F24" i="15"/>
  <c r="E1" i="15" s="1"/>
  <c r="F24" i="24"/>
  <c r="D24" i="15"/>
  <c r="C1" i="15" s="1"/>
  <c r="D3" i="11"/>
  <c r="D24" i="11"/>
  <c r="F3" i="11"/>
  <c r="F3" i="18"/>
  <c r="F24" i="16"/>
  <c r="F24" i="12"/>
  <c r="F3" i="13"/>
  <c r="F24" i="14"/>
  <c r="F24" i="13"/>
  <c r="F24" i="11"/>
  <c r="D24" i="27"/>
  <c r="H24" i="27" s="1"/>
  <c r="D3" i="27"/>
  <c r="H3" i="27" s="1"/>
  <c r="D24" i="26"/>
  <c r="H24" i="26" s="1"/>
  <c r="F3" i="26"/>
  <c r="F24" i="25"/>
  <c r="D24" i="25"/>
  <c r="H24" i="25" s="1"/>
  <c r="F3" i="25"/>
  <c r="D3" i="25"/>
  <c r="H3" i="25" s="1"/>
  <c r="D3" i="24"/>
  <c r="H3" i="24" s="1"/>
  <c r="D24" i="24"/>
  <c r="H24" i="24" s="1"/>
  <c r="H24" i="23"/>
  <c r="D3" i="23"/>
  <c r="F3" i="23"/>
  <c r="D24" i="22"/>
  <c r="H24" i="22" s="1"/>
  <c r="F3" i="22"/>
  <c r="D3" i="22"/>
  <c r="H3" i="22" s="1"/>
  <c r="D24" i="21"/>
  <c r="D3" i="21"/>
  <c r="H3" i="21" s="1"/>
  <c r="F24" i="21"/>
  <c r="H24" i="20"/>
  <c r="D3" i="20"/>
  <c r="F3" i="20"/>
  <c r="F3" i="19"/>
  <c r="D3" i="19"/>
  <c r="D24" i="19"/>
  <c r="H24" i="19" s="1"/>
  <c r="D24" i="18"/>
  <c r="D3" i="18"/>
  <c r="F3" i="17"/>
  <c r="D3" i="17"/>
  <c r="F24" i="17"/>
  <c r="D24" i="16"/>
  <c r="F3" i="16"/>
  <c r="D3" i="16"/>
  <c r="D3" i="14"/>
  <c r="F3" i="14"/>
  <c r="D3" i="13"/>
  <c r="F3" i="12"/>
  <c r="D3" i="12"/>
  <c r="F3" i="10"/>
  <c r="H3" i="10" s="1"/>
  <c r="E1" i="14" l="1"/>
  <c r="I1" i="14" s="1"/>
  <c r="G1" i="10"/>
  <c r="E1" i="10"/>
  <c r="I1" i="10" s="1"/>
  <c r="E1" i="16"/>
  <c r="I1" i="16" s="1"/>
  <c r="H3" i="16"/>
  <c r="I1" i="15"/>
  <c r="E1" i="13"/>
  <c r="I1" i="13" s="1"/>
  <c r="H24" i="12"/>
  <c r="E1" i="12"/>
  <c r="I1" i="12" s="1"/>
  <c r="C1" i="11"/>
  <c r="E1" i="11"/>
  <c r="I1" i="11" s="1"/>
  <c r="H2" i="11"/>
  <c r="H22" i="11"/>
  <c r="H24" i="17"/>
  <c r="G1" i="17" s="1"/>
  <c r="H3" i="18"/>
  <c r="H24" i="18"/>
  <c r="H3" i="17"/>
  <c r="H24" i="16"/>
  <c r="H3" i="13"/>
  <c r="H3" i="12"/>
  <c r="H3" i="26"/>
  <c r="G1" i="26" s="1"/>
  <c r="H3" i="23"/>
  <c r="H24" i="21"/>
  <c r="H3" i="20"/>
  <c r="H3" i="19"/>
  <c r="H24" i="15"/>
  <c r="G1" i="15" s="1"/>
  <c r="H24" i="14"/>
  <c r="H3" i="14"/>
  <c r="H24" i="13"/>
  <c r="G1" i="14" l="1"/>
  <c r="G1" i="12"/>
  <c r="G1" i="16"/>
  <c r="G1" i="13"/>
</calcChain>
</file>

<file path=xl/sharedStrings.xml><?xml version="1.0" encoding="utf-8"?>
<sst xmlns="http://schemas.openxmlformats.org/spreadsheetml/2006/main" count="37804" uniqueCount="21175">
  <si>
    <t>Event</t>
  </si>
  <si>
    <t>Date</t>
  </si>
  <si>
    <t>Time</t>
  </si>
  <si>
    <t>Op.</t>
  </si>
  <si>
    <t>Area</t>
  </si>
  <si>
    <t>Run Line/Target</t>
  </si>
  <si>
    <t>Qinsy DB</t>
  </si>
  <si>
    <t>NaviScan</t>
  </si>
  <si>
    <t>Sprint</t>
  </si>
  <si>
    <t>SVP</t>
  </si>
  <si>
    <t>SE Lat</t>
  </si>
  <si>
    <t>SE Long</t>
  </si>
  <si>
    <t>SE Easting</t>
  </si>
  <si>
    <t>SE Northing</t>
  </si>
  <si>
    <t>GNSS</t>
  </si>
  <si>
    <t>Corrections</t>
  </si>
  <si>
    <t>C3-SF3</t>
  </si>
  <si>
    <t>Subscription Expiry</t>
  </si>
  <si>
    <t>QINSY</t>
  </si>
  <si>
    <t>Version</t>
  </si>
  <si>
    <t>License Expiry</t>
  </si>
  <si>
    <t>License ID</t>
  </si>
  <si>
    <t>5144446 / 16923370271</t>
  </si>
  <si>
    <t>8.18.6 (Build 2020.05.08.1)</t>
  </si>
  <si>
    <t>GEODETICS</t>
  </si>
  <si>
    <t>Datum</t>
  </si>
  <si>
    <t>Projection</t>
  </si>
  <si>
    <t>Template DB Name</t>
  </si>
  <si>
    <t>Comment / Description</t>
  </si>
  <si>
    <t>Visual DVR</t>
  </si>
  <si>
    <t>Number</t>
  </si>
  <si>
    <t>Time (UTC)</t>
  </si>
  <si>
    <t>KP</t>
  </si>
  <si>
    <t>Lat</t>
  </si>
  <si>
    <t>Lon</t>
  </si>
  <si>
    <t>Easting</t>
  </si>
  <si>
    <t>Northing</t>
  </si>
  <si>
    <t>Water Depth</t>
  </si>
  <si>
    <t>Average SV (m/s)</t>
  </si>
  <si>
    <t>SV at seabed (m/s)</t>
  </si>
  <si>
    <t>SV at 10m (m/s)</t>
  </si>
  <si>
    <t>Conductivity at 10m (S/m)</t>
  </si>
  <si>
    <t>Comments</t>
  </si>
  <si>
    <r>
      <t>Temp at seabed (</t>
    </r>
    <r>
      <rPr>
        <b/>
        <sz val="12"/>
        <color indexed="8"/>
        <rFont val="Calibri"/>
        <family val="2"/>
        <scheme val="minor"/>
      </rPr>
      <t>ºC)</t>
    </r>
  </si>
  <si>
    <r>
      <t>Average density (Kg/m</t>
    </r>
    <r>
      <rPr>
        <b/>
        <vertAlign val="superscript"/>
        <sz val="12"/>
        <color indexed="8"/>
        <rFont val="Calibri"/>
        <family val="2"/>
        <scheme val="minor"/>
      </rPr>
      <t>3</t>
    </r>
    <r>
      <rPr>
        <b/>
        <sz val="12"/>
        <color indexed="8"/>
        <rFont val="Calibri"/>
        <family val="2"/>
        <scheme val="minor"/>
      </rPr>
      <t>)</t>
    </r>
  </si>
  <si>
    <r>
      <t>Density at seabed (Kg/m</t>
    </r>
    <r>
      <rPr>
        <b/>
        <vertAlign val="superscript"/>
        <sz val="12"/>
        <color indexed="8"/>
        <rFont val="Calibri"/>
        <family val="2"/>
        <scheme val="minor"/>
      </rPr>
      <t>3</t>
    </r>
    <r>
      <rPr>
        <b/>
        <sz val="12"/>
        <color indexed="8"/>
        <rFont val="Calibri"/>
        <family val="2"/>
        <scheme val="minor"/>
      </rPr>
      <t>)</t>
    </r>
  </si>
  <si>
    <r>
      <t>Average Conductivity (S/m</t>
    </r>
    <r>
      <rPr>
        <b/>
        <sz val="12"/>
        <color indexed="8"/>
        <rFont val="Calibri"/>
        <family val="2"/>
        <scheme val="minor"/>
      </rPr>
      <t>)</t>
    </r>
  </si>
  <si>
    <r>
      <t>Conductivity at seabed (S/m</t>
    </r>
    <r>
      <rPr>
        <b/>
        <sz val="12"/>
        <color indexed="8"/>
        <rFont val="Calibri"/>
        <family val="2"/>
        <scheme val="minor"/>
      </rPr>
      <t>)</t>
    </r>
  </si>
  <si>
    <r>
      <t>Gravity (m/s</t>
    </r>
    <r>
      <rPr>
        <b/>
        <sz val="12"/>
        <color rgb="FF000000"/>
        <rFont val="Calibri"/>
        <family val="2"/>
      </rPr>
      <t>²</t>
    </r>
    <r>
      <rPr>
        <b/>
        <sz val="12"/>
        <color indexed="8"/>
        <rFont val="Calibri"/>
        <family val="2"/>
        <scheme val="minor"/>
      </rPr>
      <t>)</t>
    </r>
  </si>
  <si>
    <t>ROV Lat</t>
  </si>
  <si>
    <t>ROV Lon</t>
  </si>
  <si>
    <t>ROV Easting</t>
  </si>
  <si>
    <t>ROV Northing</t>
  </si>
  <si>
    <t>ROV heading</t>
  </si>
  <si>
    <t>Product Location</t>
  </si>
  <si>
    <t>JD</t>
  </si>
  <si>
    <t>WGS84</t>
  </si>
  <si>
    <t>Operator</t>
  </si>
  <si>
    <t>31-03-2024</t>
  </si>
  <si>
    <t>104287-Static_Validation</t>
  </si>
  <si>
    <t>Aberdeen</t>
  </si>
  <si>
    <t>AF/NE</t>
  </si>
  <si>
    <t>M/V Stril Explorer - 104287_ENN_Gradiometer_Survey</t>
  </si>
  <si>
    <t>AF</t>
  </si>
  <si>
    <t>SVP_033</t>
  </si>
  <si>
    <t>Log on</t>
  </si>
  <si>
    <t>57;08;46.27753N</t>
  </si>
  <si>
    <t>2;05;18.22524W</t>
  </si>
  <si>
    <t>0001_OI104265_SE_104287-Static_Validation_20230614221835 - 0001.db</t>
  </si>
  <si>
    <t>NE/AF</t>
  </si>
  <si>
    <t>Log off</t>
  </si>
  <si>
    <t>57;08;46.27739N</t>
  </si>
  <si>
    <t>2;05;18.23613W</t>
  </si>
  <si>
    <t>0001_OI104265_SE_104287-Static_Validation_20230614231835 - 0003.db</t>
  </si>
  <si>
    <t>Log on alongside static GNSS verificication</t>
  </si>
  <si>
    <t>57;08;46.28015N</t>
  </si>
  <si>
    <t>2;05;18.22746W</t>
  </si>
  <si>
    <t>New Day</t>
  </si>
  <si>
    <t>57;08;46.28066N</t>
  </si>
  <si>
    <t>2;05;18.20568W</t>
  </si>
  <si>
    <t>Alongside Aberdeen</t>
  </si>
  <si>
    <t>57;08;46.28061N</t>
  </si>
  <si>
    <t>2;05;18.21690W</t>
  </si>
  <si>
    <t>57;08;46.64031N</t>
  </si>
  <si>
    <t>2;05;18.20243W</t>
  </si>
  <si>
    <t>57;08;46.28707N</t>
  </si>
  <si>
    <t>2;05;18.20717W</t>
  </si>
  <si>
    <t>57;08;46.65163N</t>
  </si>
  <si>
    <t>2;05;18.15958W</t>
  </si>
  <si>
    <t>57;08;46.28170N</t>
  </si>
  <si>
    <t>2;05;18.20053W</t>
  </si>
  <si>
    <t>57;08;46.65329N</t>
  </si>
  <si>
    <t>2;05;18.14902W</t>
  </si>
  <si>
    <t>0002_OI104265_SE_104287-Static_Validation_20230616035842 - 0001.db</t>
  </si>
  <si>
    <t>Log on POSMV</t>
  </si>
  <si>
    <t>Rev2</t>
  </si>
  <si>
    <t>Updated SSS centre point node</t>
  </si>
  <si>
    <t>RA/AK</t>
  </si>
  <si>
    <t>grad_logtest</t>
  </si>
  <si>
    <t>grad</t>
  </si>
  <si>
    <t>57;08;29.72745N</t>
  </si>
  <si>
    <t>2;04;42.59788W</t>
  </si>
  <si>
    <t>Waterline measurement taken</t>
  </si>
  <si>
    <t>57;08;30.00193N</t>
  </si>
  <si>
    <t>2;04;42.32219W</t>
  </si>
  <si>
    <t>57;07;58.20899N</t>
  </si>
  <si>
    <t>1;55;28.14961W</t>
  </si>
  <si>
    <t>57;06;10.03555N</t>
  </si>
  <si>
    <t>1;39;08.20586W</t>
  </si>
  <si>
    <t>0010_OI104287_SE_grad_logtest_20230617005934 - 0001.db</t>
  </si>
  <si>
    <t>57;06;06.29066N</t>
  </si>
  <si>
    <t>1;38;38.39338W</t>
  </si>
  <si>
    <t>57;03;45.67073N</t>
  </si>
  <si>
    <t>1;17;36.43962W</t>
  </si>
  <si>
    <t>57;03;45.93434N</t>
  </si>
  <si>
    <t>1;17;35.90414W</t>
  </si>
  <si>
    <t>Vessel in position at wet test location</t>
  </si>
  <si>
    <t>Departing aberdeen</t>
  </si>
  <si>
    <t>57;03;45.59258N</t>
  </si>
  <si>
    <t>1;17;36.45752W</t>
  </si>
  <si>
    <t>57;03;45.94973N</t>
  </si>
  <si>
    <t>1;17;36.45694W</t>
  </si>
  <si>
    <t>WROV off deck SOD #001</t>
  </si>
  <si>
    <t>OI104287_SE_SVX2_SVP_570375N_0011760W_20230617_0244_001</t>
  </si>
  <si>
    <t>57;03;45.60516N</t>
  </si>
  <si>
    <t>1;17;36.41550W</t>
  </si>
  <si>
    <t>57;03;46.23458N</t>
  </si>
  <si>
    <t>1;17;36.51155W</t>
  </si>
  <si>
    <t>SVP_001</t>
  </si>
  <si>
    <t>57;03;45.59351N</t>
  </si>
  <si>
    <t>1;17;35.01688W</t>
  </si>
  <si>
    <t>57;03;46.31469N</t>
  </si>
  <si>
    <t>1;17;34.75327W</t>
  </si>
  <si>
    <t>0011_OI104287_SE_grad_logtest_20230617030740 - 0001.db</t>
  </si>
  <si>
    <t>230617030737.SBD</t>
  </si>
  <si>
    <t>002963_20230617_03.01_OI103996SEROV1SPRINTNAV500.bin</t>
  </si>
  <si>
    <t>57;03;45.59304N</t>
  </si>
  <si>
    <t>1;17;34.86407W</t>
  </si>
  <si>
    <t>57;03;46.32963N</t>
  </si>
  <si>
    <t>1;17;34.54747W</t>
  </si>
  <si>
    <t>57;03;45.61079N</t>
  </si>
  <si>
    <t>1;17;31.84972W</t>
  </si>
  <si>
    <t>57;03;46.61433N</t>
  </si>
  <si>
    <t>1;17;31.17061W</t>
  </si>
  <si>
    <t>0012_OI104287_SE_grad_logtest_20230617030927 - 0001.db</t>
  </si>
  <si>
    <t>57;03;45.62877N</t>
  </si>
  <si>
    <t>1;17;24.03012W</t>
  </si>
  <si>
    <t>57;03;47.16743N</t>
  </si>
  <si>
    <t>1;17;23.34295W</t>
  </si>
  <si>
    <t>57;03;45.63570N</t>
  </si>
  <si>
    <t>1;17;23.51339W</t>
  </si>
  <si>
    <t>57;03;47.20364N</t>
  </si>
  <si>
    <t>1;17;22.82515W</t>
  </si>
  <si>
    <t>0013_OI104287_SE_grad_logtest_20230617031400 - 0001.db</t>
  </si>
  <si>
    <t>57;03;45.62746N</t>
  </si>
  <si>
    <t>1;17;04.19182W</t>
  </si>
  <si>
    <t>57;03;46.99091N</t>
  </si>
  <si>
    <t>1;17;04.10799W</t>
  </si>
  <si>
    <t>002964_20230617_03.16_OI103996SEROV1SPRINTNAV500.bin</t>
  </si>
  <si>
    <t>Log on DNP</t>
  </si>
  <si>
    <t xml:space="preserve">Log on DNP </t>
  </si>
  <si>
    <t>57;03;45.66259N</t>
  </si>
  <si>
    <t>1;17;04.03176W</t>
  </si>
  <si>
    <t>57;03;46.04930N</t>
  </si>
  <si>
    <t>1;17;04.10407W</t>
  </si>
  <si>
    <t>WROV back in TMS, recover to deck</t>
  </si>
  <si>
    <t>57;03;45.64492N</t>
  </si>
  <si>
    <t>1;17;04.03081W</t>
  </si>
  <si>
    <t>57;03;46.00434N</t>
  </si>
  <si>
    <t>1;17;04.13726W</t>
  </si>
  <si>
    <t>57;03;45.65236N</t>
  </si>
  <si>
    <t>1;17;04.03357W</t>
  </si>
  <si>
    <t>57;03;45.97296N</t>
  </si>
  <si>
    <t>1;17;04.11403W</t>
  </si>
  <si>
    <t>Transit to MAC location</t>
  </si>
  <si>
    <t>NE/AF/ES</t>
  </si>
  <si>
    <t>WROV on deck EOD #001</t>
  </si>
  <si>
    <t>NE/AK</t>
  </si>
  <si>
    <t>UTM32</t>
  </si>
  <si>
    <t>14-07-2023 @C-Nav1 and 19-08-2023 @C-Nav2</t>
  </si>
  <si>
    <t>Downcast SVX2</t>
  </si>
  <si>
    <t>BH_087_S63</t>
  </si>
  <si>
    <t>BM01</t>
  </si>
  <si>
    <t>BH_087_S72</t>
  </si>
  <si>
    <t>BH_119_C00</t>
  </si>
  <si>
    <t>BH_119_P09</t>
  </si>
  <si>
    <t>BH_119_P18</t>
  </si>
  <si>
    <t>BH_119_P27</t>
  </si>
  <si>
    <t>BH_119_P36</t>
  </si>
  <si>
    <t>BH_119_P45</t>
  </si>
  <si>
    <t>BH_119_P54</t>
  </si>
  <si>
    <t>BH_119_P63</t>
  </si>
  <si>
    <t>BH_119_P72</t>
  </si>
  <si>
    <t>BH_119_S09</t>
  </si>
  <si>
    <t>BH_119_S18</t>
  </si>
  <si>
    <t>BH_119_S27</t>
  </si>
  <si>
    <t>BH_119_S36</t>
  </si>
  <si>
    <t>BH_119_S45</t>
  </si>
  <si>
    <t>BH_119_S54</t>
  </si>
  <si>
    <t>BH_119_S63</t>
  </si>
  <si>
    <t>BH_119_S72</t>
  </si>
  <si>
    <t>BH_142_C00</t>
  </si>
  <si>
    <t>BH_142_P09</t>
  </si>
  <si>
    <t>BH_142_P18</t>
  </si>
  <si>
    <t>BH_142_P27</t>
  </si>
  <si>
    <t>BH_142_P36</t>
  </si>
  <si>
    <t>BH_142_P45</t>
  </si>
  <si>
    <t>BH_142_P54</t>
  </si>
  <si>
    <t>BH_142_P63</t>
  </si>
  <si>
    <t>BH_142_P72</t>
  </si>
  <si>
    <t>BH_142_S09</t>
  </si>
  <si>
    <t>BH_142_S18</t>
  </si>
  <si>
    <t>BH_142_S27</t>
  </si>
  <si>
    <t>BH_142_S36</t>
  </si>
  <si>
    <t>BH_142_S45</t>
  </si>
  <si>
    <t>BH_142_S54</t>
  </si>
  <si>
    <t>BH_142_S63</t>
  </si>
  <si>
    <t>BH_142_S72</t>
  </si>
  <si>
    <t>BH_078_C00</t>
  </si>
  <si>
    <t>BH_078_P09</t>
  </si>
  <si>
    <t>BH_078_P18</t>
  </si>
  <si>
    <t>BH_078_P27</t>
  </si>
  <si>
    <t>BH_078_P36</t>
  </si>
  <si>
    <t>BH_078_P45</t>
  </si>
  <si>
    <t>BH_078_P54</t>
  </si>
  <si>
    <t>BH_078_P63</t>
  </si>
  <si>
    <t>BH_078_P72</t>
  </si>
  <si>
    <t>BH_078_S09</t>
  </si>
  <si>
    <t>BH_078_S18</t>
  </si>
  <si>
    <t>BH_078_S27</t>
  </si>
  <si>
    <t>BH_078_S36</t>
  </si>
  <si>
    <t>BH_078_S45</t>
  </si>
  <si>
    <t>BH_078_S54</t>
  </si>
  <si>
    <t>BH_078_S63</t>
  </si>
  <si>
    <t>BH_078_S72</t>
  </si>
  <si>
    <t>BH_016_C00</t>
  </si>
  <si>
    <t>BH_016_P09</t>
  </si>
  <si>
    <t>BH_016_P18</t>
  </si>
  <si>
    <t>BH_016_P27</t>
  </si>
  <si>
    <t>BH_016_P36</t>
  </si>
  <si>
    <t>BH_016_P45</t>
  </si>
  <si>
    <t>BH_016_P54</t>
  </si>
  <si>
    <t>BH_016_P63</t>
  </si>
  <si>
    <t>BH_016_P72</t>
  </si>
  <si>
    <t>BH_016_S09</t>
  </si>
  <si>
    <t>BH_016_S18</t>
  </si>
  <si>
    <t>BH_016_S27</t>
  </si>
  <si>
    <t>BH_016_S36</t>
  </si>
  <si>
    <t>BH_016_S45</t>
  </si>
  <si>
    <t>BH_016_S54</t>
  </si>
  <si>
    <t>BH_016_S63</t>
  </si>
  <si>
    <t>BH_016_S72</t>
  </si>
  <si>
    <t>BH_027_C00</t>
  </si>
  <si>
    <t>BH_027_P09</t>
  </si>
  <si>
    <t>BH_027_P18</t>
  </si>
  <si>
    <t>BH_027_P27</t>
  </si>
  <si>
    <t>BH_027_P36</t>
  </si>
  <si>
    <t>BH_027_P45</t>
  </si>
  <si>
    <t>BH_027_P54</t>
  </si>
  <si>
    <t>BH_027_P63</t>
  </si>
  <si>
    <t>BH_027_P72</t>
  </si>
  <si>
    <t>BH_027_S09</t>
  </si>
  <si>
    <t>BH_027_S18</t>
  </si>
  <si>
    <t>BH_027_S27</t>
  </si>
  <si>
    <t>BH_027_S36</t>
  </si>
  <si>
    <t>BH_027_S45</t>
  </si>
  <si>
    <t>BH_027_S54</t>
  </si>
  <si>
    <t>BH_027_S63</t>
  </si>
  <si>
    <t>BH_027_S72</t>
  </si>
  <si>
    <t>BH_082_C00</t>
  </si>
  <si>
    <t>BH_082_P09</t>
  </si>
  <si>
    <t>BH_082_P18</t>
  </si>
  <si>
    <t>BH_082_P27</t>
  </si>
  <si>
    <t>BH_082_P36</t>
  </si>
  <si>
    <t>BH_082_P45</t>
  </si>
  <si>
    <t>BH_082_P54</t>
  </si>
  <si>
    <t>BH_082_P63</t>
  </si>
  <si>
    <t>BH_082_P72</t>
  </si>
  <si>
    <t>BH_082_S09</t>
  </si>
  <si>
    <t>BH_082_S18</t>
  </si>
  <si>
    <t>BH_082_S27</t>
  </si>
  <si>
    <t>BH_082_S36</t>
  </si>
  <si>
    <t>BH_082_S45</t>
  </si>
  <si>
    <t>BH_082_S54</t>
  </si>
  <si>
    <t>BH_082_S63</t>
  </si>
  <si>
    <t>BH_082_S72</t>
  </si>
  <si>
    <t>BH_087_C00</t>
  </si>
  <si>
    <t>BH_087_P09</t>
  </si>
  <si>
    <t>BH_087_P18</t>
  </si>
  <si>
    <t>BH_087_P27</t>
  </si>
  <si>
    <t>BH_087_P36</t>
  </si>
  <si>
    <t>BH_087_P45</t>
  </si>
  <si>
    <t>BH_087_P54</t>
  </si>
  <si>
    <t>BH_087_P63</t>
  </si>
  <si>
    <t>BH_087_P72</t>
  </si>
  <si>
    <t>BH_087_S09</t>
  </si>
  <si>
    <t>BH_087_S18</t>
  </si>
  <si>
    <t>BH_087_S27</t>
  </si>
  <si>
    <t>BH_087_S36</t>
  </si>
  <si>
    <t>BH_087_S45</t>
  </si>
  <si>
    <t>BH_087_S54</t>
  </si>
  <si>
    <t>Completed</t>
  </si>
  <si>
    <t>total lines</t>
  </si>
  <si>
    <t>Num lines</t>
  </si>
  <si>
    <t>y</t>
  </si>
  <si>
    <t>Remaining</t>
  </si>
  <si>
    <t>BH_114_C00</t>
  </si>
  <si>
    <t>BH_114_P09</t>
  </si>
  <si>
    <t>BH_114_P18</t>
  </si>
  <si>
    <t>BH_114_P27</t>
  </si>
  <si>
    <t>BH_114_P36</t>
  </si>
  <si>
    <t>BH_114_P45</t>
  </si>
  <si>
    <t>BH_114_P54</t>
  </si>
  <si>
    <t>BH_114_P63</t>
  </si>
  <si>
    <t>BH_114_P72</t>
  </si>
  <si>
    <t>BH_114_S09</t>
  </si>
  <si>
    <t>BH_114_S18</t>
  </si>
  <si>
    <t>BH_114_S27</t>
  </si>
  <si>
    <t>BH_114_S36</t>
  </si>
  <si>
    <t>BH_114_S45</t>
  </si>
  <si>
    <t>BH_114_S54</t>
  </si>
  <si>
    <t>BH_114_S63</t>
  </si>
  <si>
    <t>BH_114_S72</t>
  </si>
  <si>
    <t>BM02</t>
  </si>
  <si>
    <t>BH_018_C00</t>
  </si>
  <si>
    <t>BH_018_P09</t>
  </si>
  <si>
    <t>BH_018_P18</t>
  </si>
  <si>
    <t>BH_018_P27</t>
  </si>
  <si>
    <t>BH_018_P36</t>
  </si>
  <si>
    <t>BH_018_P45</t>
  </si>
  <si>
    <t>BH_018_P54</t>
  </si>
  <si>
    <t>BH_018_P63</t>
  </si>
  <si>
    <t>BH_018_P72</t>
  </si>
  <si>
    <t>BH_018_S09</t>
  </si>
  <si>
    <t>BH_018_S18</t>
  </si>
  <si>
    <t>BH_018_S27</t>
  </si>
  <si>
    <t>BH_018_S36</t>
  </si>
  <si>
    <t>BH_018_S45</t>
  </si>
  <si>
    <t>BH_018_S54</t>
  </si>
  <si>
    <t>BH_018_S63</t>
  </si>
  <si>
    <t>BH_018_S72</t>
  </si>
  <si>
    <t>BH_053_C00</t>
  </si>
  <si>
    <t>BH_053_P09</t>
  </si>
  <si>
    <t>BH_053_P18</t>
  </si>
  <si>
    <t>BH_053_P27</t>
  </si>
  <si>
    <t>BH_053_P36</t>
  </si>
  <si>
    <t>BH_053_P45</t>
  </si>
  <si>
    <t>BH_053_P54</t>
  </si>
  <si>
    <t>BH_053_P63</t>
  </si>
  <si>
    <t>BH_053_P72</t>
  </si>
  <si>
    <t>BH_053_S09</t>
  </si>
  <si>
    <t>BH_053_S18</t>
  </si>
  <si>
    <t>BH_053_S27</t>
  </si>
  <si>
    <t>BH_053_S36</t>
  </si>
  <si>
    <t>BH_053_S45</t>
  </si>
  <si>
    <t>BH_053_S54</t>
  </si>
  <si>
    <t>BH_053_S63</t>
  </si>
  <si>
    <t>BH_053_S72</t>
  </si>
  <si>
    <t>BH_057_C00</t>
  </si>
  <si>
    <t>BH_057_P09</t>
  </si>
  <si>
    <t>BH_057_P18</t>
  </si>
  <si>
    <t>BH_057_P27</t>
  </si>
  <si>
    <t>BH_057_P36</t>
  </si>
  <si>
    <t>BH_057_P45</t>
  </si>
  <si>
    <t>BH_057_P54</t>
  </si>
  <si>
    <t>BH_057_P63</t>
  </si>
  <si>
    <t>BH_057_P72</t>
  </si>
  <si>
    <t>BH_057_S09</t>
  </si>
  <si>
    <t>BH_057_S18</t>
  </si>
  <si>
    <t>BH_057_S27</t>
  </si>
  <si>
    <t>BH_057_S36</t>
  </si>
  <si>
    <t>BH_057_S45</t>
  </si>
  <si>
    <t>BH_057_S54</t>
  </si>
  <si>
    <t>BH_057_S63</t>
  </si>
  <si>
    <t>BH_057_S72</t>
  </si>
  <si>
    <t>BH_086_C00</t>
  </si>
  <si>
    <t>BH_086_P09</t>
  </si>
  <si>
    <t>BH_086_P18</t>
  </si>
  <si>
    <t>BH_086_P27</t>
  </si>
  <si>
    <t>BH_086_P36</t>
  </si>
  <si>
    <t>BH_086_P45</t>
  </si>
  <si>
    <t>BH_086_P54</t>
  </si>
  <si>
    <t>BH_086_P63</t>
  </si>
  <si>
    <t>BH_086_P72</t>
  </si>
  <si>
    <t>BH_086_S09</t>
  </si>
  <si>
    <t>BH_086_S18</t>
  </si>
  <si>
    <t>BH_086_S27</t>
  </si>
  <si>
    <t>BH_086_S36</t>
  </si>
  <si>
    <t>BH_086_S45</t>
  </si>
  <si>
    <t>BH_086_S54</t>
  </si>
  <si>
    <t>BH_086_S63</t>
  </si>
  <si>
    <t>BH_086_S72</t>
  </si>
  <si>
    <t>BH_098_C00</t>
  </si>
  <si>
    <t>BH_098_P09</t>
  </si>
  <si>
    <t>BH_098_P18</t>
  </si>
  <si>
    <t>BH_098_P27</t>
  </si>
  <si>
    <t>BH_098_P36</t>
  </si>
  <si>
    <t>BH_098_P45</t>
  </si>
  <si>
    <t>BH_098_P54</t>
  </si>
  <si>
    <t>BH_098_P63</t>
  </si>
  <si>
    <t>BH_098_P72</t>
  </si>
  <si>
    <t>BH_098_S09</t>
  </si>
  <si>
    <t>BH_098_S18</t>
  </si>
  <si>
    <t>BH_098_S27</t>
  </si>
  <si>
    <t>BH_098_S36</t>
  </si>
  <si>
    <t>BH_098_S45</t>
  </si>
  <si>
    <t>BH_098_S54</t>
  </si>
  <si>
    <t>BH_098_S63</t>
  </si>
  <si>
    <t>BH_098_S72</t>
  </si>
  <si>
    <t>BH_108_C00</t>
  </si>
  <si>
    <t>BH_108_P09</t>
  </si>
  <si>
    <t>BH_108_P18</t>
  </si>
  <si>
    <t>BH_108_P27</t>
  </si>
  <si>
    <t>BH_108_P36</t>
  </si>
  <si>
    <t>BH_108_P45</t>
  </si>
  <si>
    <t>BH_108_P54</t>
  </si>
  <si>
    <t>BH_108_P63</t>
  </si>
  <si>
    <t>BH_108_P72</t>
  </si>
  <si>
    <t>BH_108_S09</t>
  </si>
  <si>
    <t>BH_108_S18</t>
  </si>
  <si>
    <t>BH_108_S27</t>
  </si>
  <si>
    <t>BH_108_S36</t>
  </si>
  <si>
    <t>BH_108_S45</t>
  </si>
  <si>
    <t>BH_108_S54</t>
  </si>
  <si>
    <t>BH_108_S63</t>
  </si>
  <si>
    <t>BH_108_S72</t>
  </si>
  <si>
    <t>BH_131_C00</t>
  </si>
  <si>
    <t>BH_131_P09</t>
  </si>
  <si>
    <t>BH_131_P18</t>
  </si>
  <si>
    <t>BH_131_P27</t>
  </si>
  <si>
    <t>BH_131_P36</t>
  </si>
  <si>
    <t>BH_131_P45</t>
  </si>
  <si>
    <t>BH_131_P54</t>
  </si>
  <si>
    <t>BH_131_P63</t>
  </si>
  <si>
    <t>BH_131_P72</t>
  </si>
  <si>
    <t>BH_131_S09</t>
  </si>
  <si>
    <t>BH_131_S18</t>
  </si>
  <si>
    <t>BH_131_S27</t>
  </si>
  <si>
    <t>BH_131_S36</t>
  </si>
  <si>
    <t>BH_131_S45</t>
  </si>
  <si>
    <t>BH_131_S54</t>
  </si>
  <si>
    <t>BH_131_S63</t>
  </si>
  <si>
    <t>BH_131_S72</t>
  </si>
  <si>
    <t>BH_143_C00</t>
  </si>
  <si>
    <t>BH_143_P09</t>
  </si>
  <si>
    <t>BH_143_P18</t>
  </si>
  <si>
    <t>BH_143_P27</t>
  </si>
  <si>
    <t>BH_143_P36</t>
  </si>
  <si>
    <t>BH_143_P45</t>
  </si>
  <si>
    <t>BH_143_P54</t>
  </si>
  <si>
    <t>BH_143_P63</t>
  </si>
  <si>
    <t>BH_143_P72</t>
  </si>
  <si>
    <t>BH_143_S09</t>
  </si>
  <si>
    <t>BH_143_S18</t>
  </si>
  <si>
    <t>BH_143_S27</t>
  </si>
  <si>
    <t>BH_143_S36</t>
  </si>
  <si>
    <t>BH_143_S45</t>
  </si>
  <si>
    <t>BH_143_S54</t>
  </si>
  <si>
    <t>BH_143_S63</t>
  </si>
  <si>
    <t>BH_143_S72</t>
  </si>
  <si>
    <t>BM03</t>
  </si>
  <si>
    <t>CPT_309_S50</t>
  </si>
  <si>
    <t>CPT_309_S41</t>
  </si>
  <si>
    <t>CPT_309_S32</t>
  </si>
  <si>
    <t>CPT_309_S23</t>
  </si>
  <si>
    <t>CPT_309_S14</t>
  </si>
  <si>
    <t>CPT_309_S05</t>
  </si>
  <si>
    <t>CPT_309_P50</t>
  </si>
  <si>
    <t>CPT_309_P41</t>
  </si>
  <si>
    <t>CPT_309_P32</t>
  </si>
  <si>
    <t>CPT_309_P23</t>
  </si>
  <si>
    <t>CPT_309_P14</t>
  </si>
  <si>
    <t>CPT_309_P05</t>
  </si>
  <si>
    <t>CPT_308_S50</t>
  </si>
  <si>
    <t>CPT_308_S41</t>
  </si>
  <si>
    <t>CPT_308_S32</t>
  </si>
  <si>
    <t>CPT_308_S23</t>
  </si>
  <si>
    <t>CPT_308_S14</t>
  </si>
  <si>
    <t>CPT_308_S05</t>
  </si>
  <si>
    <t>CPT_308_P50</t>
  </si>
  <si>
    <t>CPT_308_P41</t>
  </si>
  <si>
    <t>CPT_308_P32</t>
  </si>
  <si>
    <t>CPT_308_P23</t>
  </si>
  <si>
    <t>CPT_308_P14</t>
  </si>
  <si>
    <t>CPT_308_P05</t>
  </si>
  <si>
    <t>CPT_298_S50</t>
  </si>
  <si>
    <t>CPT_298_S41</t>
  </si>
  <si>
    <t>CPT_298_S32</t>
  </si>
  <si>
    <t>CPT_298_S23</t>
  </si>
  <si>
    <t>CPT_298_S14</t>
  </si>
  <si>
    <t>CPT_298_S05</t>
  </si>
  <si>
    <t>CPT_298_P50</t>
  </si>
  <si>
    <t>CPT_298_P41</t>
  </si>
  <si>
    <t>CPT_298_P32</t>
  </si>
  <si>
    <t>CPT_298_P23</t>
  </si>
  <si>
    <t>CPT_298_P14</t>
  </si>
  <si>
    <t>CPT_298_P05</t>
  </si>
  <si>
    <t>CPT_261_S50</t>
  </si>
  <si>
    <t>CPT_261_S41</t>
  </si>
  <si>
    <t>CPT_261_S32</t>
  </si>
  <si>
    <t>CPT_261_S23</t>
  </si>
  <si>
    <t>CPT_261_S14</t>
  </si>
  <si>
    <t>CPT_261_S05</t>
  </si>
  <si>
    <t>CPT_261_P50</t>
  </si>
  <si>
    <t>CPT_261_P41</t>
  </si>
  <si>
    <t>CPT_261_P32</t>
  </si>
  <si>
    <t>CPT_261_P23</t>
  </si>
  <si>
    <t>CPT_261_P14</t>
  </si>
  <si>
    <t>CPT_261_P05</t>
  </si>
  <si>
    <t>CPT_257_S50</t>
  </si>
  <si>
    <t>CPT_257_S41</t>
  </si>
  <si>
    <t>CPT_257_S32</t>
  </si>
  <si>
    <t>CPT_257_S23</t>
  </si>
  <si>
    <t>CPT_257_S14</t>
  </si>
  <si>
    <t>CPT_257_S05</t>
  </si>
  <si>
    <t>CPT_257_P50</t>
  </si>
  <si>
    <t>CPT_257_P41</t>
  </si>
  <si>
    <t>CPT_257_P32</t>
  </si>
  <si>
    <t>CPT_257_P23</t>
  </si>
  <si>
    <t>CPT_257_P14</t>
  </si>
  <si>
    <t>CPT_257_P05</t>
  </si>
  <si>
    <t>CPT_250_S50</t>
  </si>
  <si>
    <t>CPT_250_S41</t>
  </si>
  <si>
    <t>CPT_250_S32</t>
  </si>
  <si>
    <t>CPT_250_S23</t>
  </si>
  <si>
    <t>CPT_250_S14</t>
  </si>
  <si>
    <t>CPT_250_S05</t>
  </si>
  <si>
    <t>CPT_250_P50</t>
  </si>
  <si>
    <t>CPT_250_P41</t>
  </si>
  <si>
    <t>CPT_250_P32</t>
  </si>
  <si>
    <t>CPT_250_P23</t>
  </si>
  <si>
    <t>CPT_250_P14</t>
  </si>
  <si>
    <t>CPT_250_P05</t>
  </si>
  <si>
    <t>CPT_222_S50</t>
  </si>
  <si>
    <t>CPT_222_S41</t>
  </si>
  <si>
    <t>CPT_222_S32</t>
  </si>
  <si>
    <t>CPT_222_S23</t>
  </si>
  <si>
    <t>CPT_222_S14</t>
  </si>
  <si>
    <t>CPT_222_S05</t>
  </si>
  <si>
    <t>CPT_222_P50</t>
  </si>
  <si>
    <t>CPT_222_P41</t>
  </si>
  <si>
    <t>CPT_222_P32</t>
  </si>
  <si>
    <t>CPT_222_P23</t>
  </si>
  <si>
    <t>CPT_222_P14</t>
  </si>
  <si>
    <t>CPT_222_P05</t>
  </si>
  <si>
    <t>CPT_219_S50</t>
  </si>
  <si>
    <t>CPT_219_S41</t>
  </si>
  <si>
    <t>CPT_219_S32</t>
  </si>
  <si>
    <t>CPT_219_S23</t>
  </si>
  <si>
    <t>CPT_219_S14</t>
  </si>
  <si>
    <t>CPT_219_S05</t>
  </si>
  <si>
    <t>CPT_219_P50</t>
  </si>
  <si>
    <t>CPT_219_P41</t>
  </si>
  <si>
    <t>CPT_219_P32</t>
  </si>
  <si>
    <t>CPT_219_P23</t>
  </si>
  <si>
    <t>CPT_219_P14</t>
  </si>
  <si>
    <t>CPT_219_P05</t>
  </si>
  <si>
    <t>CPT_217_S50</t>
  </si>
  <si>
    <t>CPT_217_S41</t>
  </si>
  <si>
    <t>CPT_217_S32</t>
  </si>
  <si>
    <t>CPT_217_S23</t>
  </si>
  <si>
    <t>CPT_217_S14</t>
  </si>
  <si>
    <t>CPT_217_S05</t>
  </si>
  <si>
    <t>CPT_217_P50</t>
  </si>
  <si>
    <t>CPT_217_P41</t>
  </si>
  <si>
    <t>CPT_217_P32</t>
  </si>
  <si>
    <t>CPT_217_P23</t>
  </si>
  <si>
    <t>CPT_217_P14</t>
  </si>
  <si>
    <t>CPT_217_P05</t>
  </si>
  <si>
    <t>CPT_198_S50</t>
  </si>
  <si>
    <t>CPT_198_S41</t>
  </si>
  <si>
    <t>CPT_198_S32</t>
  </si>
  <si>
    <t>CPT_198_S23</t>
  </si>
  <si>
    <t>CPT_198_S14</t>
  </si>
  <si>
    <t>CPT_198_S05</t>
  </si>
  <si>
    <t>CPT_198_P50</t>
  </si>
  <si>
    <t>CPT_198_P41</t>
  </si>
  <si>
    <t>CPT_198_P32</t>
  </si>
  <si>
    <t>CPT_198_P23</t>
  </si>
  <si>
    <t>CPT_198_P14</t>
  </si>
  <si>
    <t>CPT_198_P05</t>
  </si>
  <si>
    <t>CPT_181_S50</t>
  </si>
  <si>
    <t>CPT_181_S41</t>
  </si>
  <si>
    <t>CPT_181_S32</t>
  </si>
  <si>
    <t>CPT_181_S23</t>
  </si>
  <si>
    <t>CPT_181_S14</t>
  </si>
  <si>
    <t>CPT_181_S05</t>
  </si>
  <si>
    <t>CPT_181_P50</t>
  </si>
  <si>
    <t>CPT_181_P41</t>
  </si>
  <si>
    <t>CPT_181_P32</t>
  </si>
  <si>
    <t>CPT_181_P23</t>
  </si>
  <si>
    <t>CPT_181_P14</t>
  </si>
  <si>
    <t>CPT_181_P05</t>
  </si>
  <si>
    <t>CPT_113_S50</t>
  </si>
  <si>
    <t>CPT_113_S41</t>
  </si>
  <si>
    <t>CPT_113_S32</t>
  </si>
  <si>
    <t>CPT_113_S23</t>
  </si>
  <si>
    <t>CPT_113_S14</t>
  </si>
  <si>
    <t>CPT_113_S05</t>
  </si>
  <si>
    <t>CPT_113_P50</t>
  </si>
  <si>
    <t>CPT_113_P41</t>
  </si>
  <si>
    <t>CPT_113_P32</t>
  </si>
  <si>
    <t>CPT_113_P23</t>
  </si>
  <si>
    <t>CPT_113_P14</t>
  </si>
  <si>
    <t>CPT_113_P05</t>
  </si>
  <si>
    <t>CPT_105_S50</t>
  </si>
  <si>
    <t>CPT_105_S41</t>
  </si>
  <si>
    <t>CPT_105_S32</t>
  </si>
  <si>
    <t>CPT_105_S23</t>
  </si>
  <si>
    <t>CPT_105_S14</t>
  </si>
  <si>
    <t>CPT_105_S05</t>
  </si>
  <si>
    <t>CPT_105_P50</t>
  </si>
  <si>
    <t>CPT_105_P41</t>
  </si>
  <si>
    <t>CPT_105_P32</t>
  </si>
  <si>
    <t>CPT_105_P23</t>
  </si>
  <si>
    <t>CPT_105_P14</t>
  </si>
  <si>
    <t>CPT_105_P05</t>
  </si>
  <si>
    <t>CPT_104_S50</t>
  </si>
  <si>
    <t>CPT_104_S41</t>
  </si>
  <si>
    <t>CPT_104_S32</t>
  </si>
  <si>
    <t>CPT_104_S23</t>
  </si>
  <si>
    <t>CPT_104_S14</t>
  </si>
  <si>
    <t>CPT_104_S05</t>
  </si>
  <si>
    <t>CPT_104_P50</t>
  </si>
  <si>
    <t>CPT_104_P41</t>
  </si>
  <si>
    <t>CPT_104_P32</t>
  </si>
  <si>
    <t>CPT_104_P23</t>
  </si>
  <si>
    <t>CPT_104_P14</t>
  </si>
  <si>
    <t>CPT_104_P05</t>
  </si>
  <si>
    <t>CPT_063_S50</t>
  </si>
  <si>
    <t>CPT_063_S41</t>
  </si>
  <si>
    <t>CPT_063_S32</t>
  </si>
  <si>
    <t>CPT_063_S23</t>
  </si>
  <si>
    <t>CPT_063_S14</t>
  </si>
  <si>
    <t>CPT_063_S05</t>
  </si>
  <si>
    <t>CPT_063_P50</t>
  </si>
  <si>
    <t>CPT_063_P41</t>
  </si>
  <si>
    <t>CPT_063_P32</t>
  </si>
  <si>
    <t>CPT_063_P23</t>
  </si>
  <si>
    <t>CPT_063_P14</t>
  </si>
  <si>
    <t>CPT_063_P05</t>
  </si>
  <si>
    <t>BM01 Borehole</t>
  </si>
  <si>
    <t>BM10 CPT</t>
  </si>
  <si>
    <t>BM01 CPT</t>
  </si>
  <si>
    <t>CPT_043_P05</t>
  </si>
  <si>
    <t>CPT_043_P14</t>
  </si>
  <si>
    <t>CPT_043_P23</t>
  </si>
  <si>
    <t>CPT_043_P32</t>
  </si>
  <si>
    <t>CPT_043_P41</t>
  </si>
  <si>
    <t>CPT_043_P50</t>
  </si>
  <si>
    <t>CPT_043_S05</t>
  </si>
  <si>
    <t>CPT_043_S14</t>
  </si>
  <si>
    <t>CPT_043_S23</t>
  </si>
  <si>
    <t>CPT_043_S32</t>
  </si>
  <si>
    <t>CPT_043_S41</t>
  </si>
  <si>
    <t>CPT_043_S50</t>
  </si>
  <si>
    <t>CPT_251_P05</t>
  </si>
  <si>
    <t>CPT_251_P14</t>
  </si>
  <si>
    <t>CPT_251_P23</t>
  </si>
  <si>
    <t>CPT_251_P32</t>
  </si>
  <si>
    <t>CPT_251_P41</t>
  </si>
  <si>
    <t>CPT_251_P50</t>
  </si>
  <si>
    <t>CPT_251_S05</t>
  </si>
  <si>
    <t>CPT_251_S14</t>
  </si>
  <si>
    <t>CPT_251_S23</t>
  </si>
  <si>
    <t>CPT_251_S32</t>
  </si>
  <si>
    <t>CPT_251_S41</t>
  </si>
  <si>
    <t>CPT_251_S50</t>
  </si>
  <si>
    <t>BM02 Borehole</t>
  </si>
  <si>
    <t>BM02 CPT</t>
  </si>
  <si>
    <t>CPT_312_S50</t>
  </si>
  <si>
    <t>CPT_312_S41</t>
  </si>
  <si>
    <t>CPT_312_S32</t>
  </si>
  <si>
    <t>CPT_312_S23</t>
  </si>
  <si>
    <t>CPT_312_S14</t>
  </si>
  <si>
    <t>CPT_312_S05</t>
  </si>
  <si>
    <t>CPT_312_P50</t>
  </si>
  <si>
    <t>CPT_312_P41</t>
  </si>
  <si>
    <t>CPT_312_P32</t>
  </si>
  <si>
    <t>CPT_312_P23</t>
  </si>
  <si>
    <t>CPT_312_P14</t>
  </si>
  <si>
    <t>CPT_312_P05</t>
  </si>
  <si>
    <t>CPT_278_S50</t>
  </si>
  <si>
    <t>CPT_278_S41</t>
  </si>
  <si>
    <t>CPT_278_S32</t>
  </si>
  <si>
    <t>CPT_278_S23</t>
  </si>
  <si>
    <t>CPT_278_S14</t>
  </si>
  <si>
    <t>CPT_278_S05</t>
  </si>
  <si>
    <t>CPT_278_P50</t>
  </si>
  <si>
    <t>CPT_278_P41</t>
  </si>
  <si>
    <t>CPT_278_P32</t>
  </si>
  <si>
    <t>CPT_278_P23</t>
  </si>
  <si>
    <t>CPT_278_P14</t>
  </si>
  <si>
    <t>CPT_278_P05</t>
  </si>
  <si>
    <t>CPT_266_S50</t>
  </si>
  <si>
    <t>CPT_266_S41</t>
  </si>
  <si>
    <t>CPT_266_S32</t>
  </si>
  <si>
    <t>CPT_266_S23</t>
  </si>
  <si>
    <t>CPT_266_S14</t>
  </si>
  <si>
    <t>CPT_266_S05</t>
  </si>
  <si>
    <t>CPT_266_P50</t>
  </si>
  <si>
    <t>CPT_266_P41</t>
  </si>
  <si>
    <t>CPT_266_P32</t>
  </si>
  <si>
    <t>CPT_266_P23</t>
  </si>
  <si>
    <t>CPT_266_P14</t>
  </si>
  <si>
    <t>CPT_266_P05</t>
  </si>
  <si>
    <t>CPT_265_S50</t>
  </si>
  <si>
    <t>CPT_265_S41</t>
  </si>
  <si>
    <t>CPT_265_S32</t>
  </si>
  <si>
    <t>CPT_265_S23</t>
  </si>
  <si>
    <t>CPT_265_S14</t>
  </si>
  <si>
    <t>CPT_265_S05</t>
  </si>
  <si>
    <t>CPT_265_P50</t>
  </si>
  <si>
    <t>CPT_265_P41</t>
  </si>
  <si>
    <t>CPT_265_P32</t>
  </si>
  <si>
    <t>CPT_265_P23</t>
  </si>
  <si>
    <t>CPT_265_P14</t>
  </si>
  <si>
    <t>CPT_265_P05</t>
  </si>
  <si>
    <t>CPT_263_S50</t>
  </si>
  <si>
    <t>CPT_263_S41</t>
  </si>
  <si>
    <t>CPT_263_S32</t>
  </si>
  <si>
    <t>CPT_263_S23</t>
  </si>
  <si>
    <t>CPT_263_S14</t>
  </si>
  <si>
    <t>CPT_263_S05</t>
  </si>
  <si>
    <t>CPT_263_P50</t>
  </si>
  <si>
    <t>CPT_263_P41</t>
  </si>
  <si>
    <t>CPT_263_P32</t>
  </si>
  <si>
    <t>CPT_263_P23</t>
  </si>
  <si>
    <t>CPT_263_P14</t>
  </si>
  <si>
    <t>CPT_263_P05</t>
  </si>
  <si>
    <t>CPT_225_S50</t>
  </si>
  <si>
    <t>CPT_225_S41</t>
  </si>
  <si>
    <t>CPT_225_S32</t>
  </si>
  <si>
    <t>CPT_225_S23</t>
  </si>
  <si>
    <t>CPT_225_S14</t>
  </si>
  <si>
    <t>CPT_225_S05</t>
  </si>
  <si>
    <t>CPT_225_P50</t>
  </si>
  <si>
    <t>CPT_225_P41</t>
  </si>
  <si>
    <t>CPT_225_P32</t>
  </si>
  <si>
    <t>CPT_225_P23</t>
  </si>
  <si>
    <t>CPT_225_P14</t>
  </si>
  <si>
    <t>CPT_225_P05</t>
  </si>
  <si>
    <t>CPT_211_S50</t>
  </si>
  <si>
    <t>CPT_211_S41</t>
  </si>
  <si>
    <t>CPT_211_S32</t>
  </si>
  <si>
    <t>CPT_211_S23</t>
  </si>
  <si>
    <t>CPT_211_S14</t>
  </si>
  <si>
    <t>CPT_211_S05</t>
  </si>
  <si>
    <t>CPT_211_P50</t>
  </si>
  <si>
    <t>CPT_211_P41</t>
  </si>
  <si>
    <t>CPT_211_P32</t>
  </si>
  <si>
    <t>CPT_211_P23</t>
  </si>
  <si>
    <t>CPT_211_P14</t>
  </si>
  <si>
    <t>CPT_211_P05</t>
  </si>
  <si>
    <t>CPT_210_S50</t>
  </si>
  <si>
    <t>CPT_210_S41</t>
  </si>
  <si>
    <t>CPT_210_S32</t>
  </si>
  <si>
    <t>CPT_210_S23</t>
  </si>
  <si>
    <t>CPT_210_S14</t>
  </si>
  <si>
    <t>CPT_210_S05</t>
  </si>
  <si>
    <t>CPT_210_P50</t>
  </si>
  <si>
    <t>CPT_210_P41</t>
  </si>
  <si>
    <t>CPT_210_P32</t>
  </si>
  <si>
    <t>CPT_210_P23</t>
  </si>
  <si>
    <t>CPT_210_P14</t>
  </si>
  <si>
    <t>CPT_210_P05</t>
  </si>
  <si>
    <t>CPT_199_S50</t>
  </si>
  <si>
    <t>CPT_199_S41</t>
  </si>
  <si>
    <t>CPT_199_S32</t>
  </si>
  <si>
    <t>CPT_199_S23</t>
  </si>
  <si>
    <t>CPT_199_S14</t>
  </si>
  <si>
    <t>CPT_199_S05</t>
  </si>
  <si>
    <t>CPT_199_P50</t>
  </si>
  <si>
    <t>CPT_199_P41</t>
  </si>
  <si>
    <t>CPT_199_P32</t>
  </si>
  <si>
    <t>CPT_199_P23</t>
  </si>
  <si>
    <t>CPT_199_P14</t>
  </si>
  <si>
    <t>CPT_199_P05</t>
  </si>
  <si>
    <t>CPT_179_S50</t>
  </si>
  <si>
    <t>CPT_179_S41</t>
  </si>
  <si>
    <t>CPT_179_S32</t>
  </si>
  <si>
    <t>CPT_179_S23</t>
  </si>
  <si>
    <t>CPT_179_S14</t>
  </si>
  <si>
    <t>CPT_179_S05</t>
  </si>
  <si>
    <t>CPT_179_P50</t>
  </si>
  <si>
    <t>CPT_179_P41</t>
  </si>
  <si>
    <t>CPT_179_P32</t>
  </si>
  <si>
    <t>CPT_179_P23</t>
  </si>
  <si>
    <t>CPT_179_P14</t>
  </si>
  <si>
    <t>CPT_179_P05</t>
  </si>
  <si>
    <t>CPT_167_S50</t>
  </si>
  <si>
    <t>CPT_167_S41</t>
  </si>
  <si>
    <t>CPT_167_S32</t>
  </si>
  <si>
    <t>CPT_167_S23</t>
  </si>
  <si>
    <t>CPT_167_S14</t>
  </si>
  <si>
    <t>CPT_167_S05</t>
  </si>
  <si>
    <t>CPT_167_P50</t>
  </si>
  <si>
    <t>CPT_167_P41</t>
  </si>
  <si>
    <t>CPT_167_P32</t>
  </si>
  <si>
    <t>CPT_167_P23</t>
  </si>
  <si>
    <t>CPT_167_P14</t>
  </si>
  <si>
    <t>CPT_167_P05</t>
  </si>
  <si>
    <t>CPT_134_S50</t>
  </si>
  <si>
    <t>CPT_134_S41</t>
  </si>
  <si>
    <t>CPT_134_S32</t>
  </si>
  <si>
    <t>CPT_134_S23</t>
  </si>
  <si>
    <t>CPT_134_S14</t>
  </si>
  <si>
    <t>CPT_134_S05</t>
  </si>
  <si>
    <t>CPT_134_P50</t>
  </si>
  <si>
    <t>CPT_134_P41</t>
  </si>
  <si>
    <t>CPT_134_P32</t>
  </si>
  <si>
    <t>CPT_134_P23</t>
  </si>
  <si>
    <t>CPT_134_P14</t>
  </si>
  <si>
    <t>CPT_134_P05</t>
  </si>
  <si>
    <t>CPT_116_S50</t>
  </si>
  <si>
    <t>CPT_116_S41</t>
  </si>
  <si>
    <t>CPT_116_S32</t>
  </si>
  <si>
    <t>CPT_116_S23</t>
  </si>
  <si>
    <t>CPT_116_S14</t>
  </si>
  <si>
    <t>CPT_116_S05</t>
  </si>
  <si>
    <t>CPT_116_P50</t>
  </si>
  <si>
    <t>CPT_116_P41</t>
  </si>
  <si>
    <t>CPT_116_P32</t>
  </si>
  <si>
    <t>CPT_116_P23</t>
  </si>
  <si>
    <t>CPT_116_P14</t>
  </si>
  <si>
    <t>CPT_116_P05</t>
  </si>
  <si>
    <t>CPT_092_S50</t>
  </si>
  <si>
    <t>CPT_092_S41</t>
  </si>
  <si>
    <t>CPT_092_S32</t>
  </si>
  <si>
    <t>CPT_092_S23</t>
  </si>
  <si>
    <t>CPT_092_S14</t>
  </si>
  <si>
    <t>CPT_092_S05</t>
  </si>
  <si>
    <t>CPT_092_P50</t>
  </si>
  <si>
    <t>CPT_092_P41</t>
  </si>
  <si>
    <t>CPT_092_P32</t>
  </si>
  <si>
    <t>CPT_092_P23</t>
  </si>
  <si>
    <t>CPT_092_P14</t>
  </si>
  <si>
    <t>CPT_092_P05</t>
  </si>
  <si>
    <t>CPT_064_S50</t>
  </si>
  <si>
    <t>CPT_064_S41</t>
  </si>
  <si>
    <t>CPT_064_S32</t>
  </si>
  <si>
    <t>CPT_064_S23</t>
  </si>
  <si>
    <t>CPT_064_S14</t>
  </si>
  <si>
    <t>CPT_064_S05</t>
  </si>
  <si>
    <t>CPT_064_P50</t>
  </si>
  <si>
    <t>CPT_064_P41</t>
  </si>
  <si>
    <t>CPT_064_P32</t>
  </si>
  <si>
    <t>CPT_064_P23</t>
  </si>
  <si>
    <t>CPT_064_P14</t>
  </si>
  <si>
    <t>CPT_064_P05</t>
  </si>
  <si>
    <t>CPT_061_S50</t>
  </si>
  <si>
    <t>CPT_061_S41</t>
  </si>
  <si>
    <t>CPT_061_S32</t>
  </si>
  <si>
    <t>CPT_061_S23</t>
  </si>
  <si>
    <t>CPT_061_S14</t>
  </si>
  <si>
    <t>CPT_061_S05</t>
  </si>
  <si>
    <t>CPT_061_P50</t>
  </si>
  <si>
    <t>CPT_061_P41</t>
  </si>
  <si>
    <t>CPT_061_P32</t>
  </si>
  <si>
    <t>CPT_061_P23</t>
  </si>
  <si>
    <t>CPT_061_P14</t>
  </si>
  <si>
    <t>CPT_061_P05</t>
  </si>
  <si>
    <t>BM03 Borehole</t>
  </si>
  <si>
    <t>BM04 Borehole</t>
  </si>
  <si>
    <t>BH_028_S72</t>
  </si>
  <si>
    <t>BH_028_S63</t>
  </si>
  <si>
    <t>BH_028_S54</t>
  </si>
  <si>
    <t>BH_028_S45</t>
  </si>
  <si>
    <t>BH_028_S36</t>
  </si>
  <si>
    <t>BH_028_S27</t>
  </si>
  <si>
    <t>BH_028_S18</t>
  </si>
  <si>
    <t>BH_028_S09</t>
  </si>
  <si>
    <t>BH_028_P72</t>
  </si>
  <si>
    <t>BH_028_P63</t>
  </si>
  <si>
    <t>BH_028_P54</t>
  </si>
  <si>
    <t>BH_028_P45</t>
  </si>
  <si>
    <t>BH_028_P36</t>
  </si>
  <si>
    <t>BH_028_P27</t>
  </si>
  <si>
    <t>BH_028_P18</t>
  </si>
  <si>
    <t>BH_028_P09</t>
  </si>
  <si>
    <t>BH_028_C00</t>
  </si>
  <si>
    <t>BH_045_P09</t>
  </si>
  <si>
    <t>BH_045_P18</t>
  </si>
  <si>
    <t>BH_045_P27</t>
  </si>
  <si>
    <t>BH_045_P36</t>
  </si>
  <si>
    <t>BH_045_P45</t>
  </si>
  <si>
    <t>BH_045_P54</t>
  </si>
  <si>
    <t>BH_045_P63</t>
  </si>
  <si>
    <t>BH_045_P72</t>
  </si>
  <si>
    <t>BH_045_S09</t>
  </si>
  <si>
    <t>BH_045_S18</t>
  </si>
  <si>
    <t>BH_045_S27</t>
  </si>
  <si>
    <t>BH_045_S36</t>
  </si>
  <si>
    <t>BH_045_S45</t>
  </si>
  <si>
    <t>BH_045_S54</t>
  </si>
  <si>
    <t>BH_045_S63</t>
  </si>
  <si>
    <t>BH_045_S72</t>
  </si>
  <si>
    <t>BH_045_C00</t>
  </si>
  <si>
    <t>BH_054_C00</t>
  </si>
  <si>
    <t>BH_054_P09</t>
  </si>
  <si>
    <t>BH_054_P18</t>
  </si>
  <si>
    <t>BH_054_P27</t>
  </si>
  <si>
    <t>BH_054_P36</t>
  </si>
  <si>
    <t>BH_054_P45</t>
  </si>
  <si>
    <t>BH_054_P54</t>
  </si>
  <si>
    <t>BH_054_P63</t>
  </si>
  <si>
    <t>BH_054_P72</t>
  </si>
  <si>
    <t>BH_054_S09</t>
  </si>
  <si>
    <t>BH_054_S18</t>
  </si>
  <si>
    <t>BH_054_S27</t>
  </si>
  <si>
    <t>BH_054_S36</t>
  </si>
  <si>
    <t>BH_054_S45</t>
  </si>
  <si>
    <t>BH_054_S54</t>
  </si>
  <si>
    <t>BH_054_S63</t>
  </si>
  <si>
    <t>BH_054_S72</t>
  </si>
  <si>
    <t>BH_060_C00</t>
  </si>
  <si>
    <t>BH_060_P09</t>
  </si>
  <si>
    <t>BH_060_P18</t>
  </si>
  <si>
    <t>BH_060_P27</t>
  </si>
  <si>
    <t>BH_060_P36</t>
  </si>
  <si>
    <t>BH_060_P45</t>
  </si>
  <si>
    <t>BH_060_P54</t>
  </si>
  <si>
    <t>BH_060_P63</t>
  </si>
  <si>
    <t>BH_060_P72</t>
  </si>
  <si>
    <t>BH_060_S09</t>
  </si>
  <si>
    <t>BH_060_S18</t>
  </si>
  <si>
    <t>BH_060_S27</t>
  </si>
  <si>
    <t>BH_060_S36</t>
  </si>
  <si>
    <t>BH_060_S45</t>
  </si>
  <si>
    <t>BH_060_S54</t>
  </si>
  <si>
    <t>BH_060_S63</t>
  </si>
  <si>
    <t>BH_060_S72</t>
  </si>
  <si>
    <t>BH_113_C00</t>
  </si>
  <si>
    <t>BH_113_P09</t>
  </si>
  <si>
    <t>BH_113_P18</t>
  </si>
  <si>
    <t>BH_113_P27</t>
  </si>
  <si>
    <t>BH_113_P36</t>
  </si>
  <si>
    <t>BH_113_P45</t>
  </si>
  <si>
    <t>BH_113_P54</t>
  </si>
  <si>
    <t>BH_113_P63</t>
  </si>
  <si>
    <t>BH_113_P72</t>
  </si>
  <si>
    <t>BH_113_S09</t>
  </si>
  <si>
    <t>BH_113_S18</t>
  </si>
  <si>
    <t>BH_113_S27</t>
  </si>
  <si>
    <t>BH_113_S36</t>
  </si>
  <si>
    <t>BH_113_S45</t>
  </si>
  <si>
    <t>BH_113_S54</t>
  </si>
  <si>
    <t>BH_113_S63</t>
  </si>
  <si>
    <t>BH_113_S72</t>
  </si>
  <si>
    <t>BH_120_C00</t>
  </si>
  <si>
    <t>BH_120_P09</t>
  </si>
  <si>
    <t>BH_120_P18</t>
  </si>
  <si>
    <t>BH_120_P27</t>
  </si>
  <si>
    <t>BH_120_P36</t>
  </si>
  <si>
    <t>BH_120_P45</t>
  </si>
  <si>
    <t>BH_120_P54</t>
  </si>
  <si>
    <t>BH_120_P63</t>
  </si>
  <si>
    <t>BH_120_P72</t>
  </si>
  <si>
    <t>BH_120_S09</t>
  </si>
  <si>
    <t>BH_120_S18</t>
  </si>
  <si>
    <t>BH_120_S27</t>
  </si>
  <si>
    <t>BH_120_S36</t>
  </si>
  <si>
    <t>BH_120_S45</t>
  </si>
  <si>
    <t>BH_120_S54</t>
  </si>
  <si>
    <t>BH_120_S63</t>
  </si>
  <si>
    <t>BH_120_S72</t>
  </si>
  <si>
    <t>BH_126_C00</t>
  </si>
  <si>
    <t>BH_126_P09</t>
  </si>
  <si>
    <t>BH_126_P18</t>
  </si>
  <si>
    <t>BH_126_P27</t>
  </si>
  <si>
    <t>BH_126_P36</t>
  </si>
  <si>
    <t>BH_126_P45</t>
  </si>
  <si>
    <t>BH_126_P54</t>
  </si>
  <si>
    <t>BH_126_P63</t>
  </si>
  <si>
    <t>BH_126_P72</t>
  </si>
  <si>
    <t>BH_126_S09</t>
  </si>
  <si>
    <t>BH_126_S18</t>
  </si>
  <si>
    <t>BH_126_S27</t>
  </si>
  <si>
    <t>BH_126_S36</t>
  </si>
  <si>
    <t>BH_126_S45</t>
  </si>
  <si>
    <t>BH_126_S54</t>
  </si>
  <si>
    <t>BH_126_S63</t>
  </si>
  <si>
    <t>BH_126_S72</t>
  </si>
  <si>
    <t>BH_141_C00</t>
  </si>
  <si>
    <t>BH_141_P09</t>
  </si>
  <si>
    <t>BH_141_P18</t>
  </si>
  <si>
    <t>BH_141_P27</t>
  </si>
  <si>
    <t>BH_141_P36</t>
  </si>
  <si>
    <t>BH_141_P45</t>
  </si>
  <si>
    <t>BH_141_P54</t>
  </si>
  <si>
    <t>BH_141_P63</t>
  </si>
  <si>
    <t>BH_141_P72</t>
  </si>
  <si>
    <t>BH_141_S09</t>
  </si>
  <si>
    <t>BH_141_S18</t>
  </si>
  <si>
    <t>BH_141_S27</t>
  </si>
  <si>
    <t>BH_141_S36</t>
  </si>
  <si>
    <t>BH_141_S45</t>
  </si>
  <si>
    <t>BH_141_S54</t>
  </si>
  <si>
    <t>BH_141_S63</t>
  </si>
  <si>
    <t>BH_141_S72</t>
  </si>
  <si>
    <t>BM04 CPT</t>
  </si>
  <si>
    <t>CPT_034_P05</t>
  </si>
  <si>
    <t>CPT_034_P14</t>
  </si>
  <si>
    <t>CPT_034_P23</t>
  </si>
  <si>
    <t>CPT_034_P32</t>
  </si>
  <si>
    <t>CPT_034_P41</t>
  </si>
  <si>
    <t>CPT_034_P50</t>
  </si>
  <si>
    <t>CPT_034_S05</t>
  </si>
  <si>
    <t>CPT_034_S14</t>
  </si>
  <si>
    <t>CPT_034_S23</t>
  </si>
  <si>
    <t>CPT_034_S32</t>
  </si>
  <si>
    <t>CPT_034_S41</t>
  </si>
  <si>
    <t>CPT_034_S50</t>
  </si>
  <si>
    <t>CPT_054_P05</t>
  </si>
  <si>
    <t>CPT_054_P14</t>
  </si>
  <si>
    <t>CPT_054_P23</t>
  </si>
  <si>
    <t>CPT_054_P32</t>
  </si>
  <si>
    <t>CPT_054_P41</t>
  </si>
  <si>
    <t>CPT_054_P50</t>
  </si>
  <si>
    <t>CPT_054_S05</t>
  </si>
  <si>
    <t>CPT_054_S14</t>
  </si>
  <si>
    <t>CPT_054_S23</t>
  </si>
  <si>
    <t>CPT_054_S32</t>
  </si>
  <si>
    <t>CPT_054_S41</t>
  </si>
  <si>
    <t>CPT_054_S50</t>
  </si>
  <si>
    <t>CPT_062_P05</t>
  </si>
  <si>
    <t>CPT_062_P14</t>
  </si>
  <si>
    <t>CPT_062_P23</t>
  </si>
  <si>
    <t>CPT_062_P32</t>
  </si>
  <si>
    <t>CPT_062_P41</t>
  </si>
  <si>
    <t>CPT_062_P50</t>
  </si>
  <si>
    <t>CPT_062_S05</t>
  </si>
  <si>
    <t>CPT_062_S14</t>
  </si>
  <si>
    <t>CPT_062_S23</t>
  </si>
  <si>
    <t>CPT_062_S32</t>
  </si>
  <si>
    <t>CPT_062_S41</t>
  </si>
  <si>
    <t>CPT_062_S50</t>
  </si>
  <si>
    <t>CPT_065_P05</t>
  </si>
  <si>
    <t>CPT_065_P14</t>
  </si>
  <si>
    <t>CPT_065_P23</t>
  </si>
  <si>
    <t>CPT_065_P32</t>
  </si>
  <si>
    <t>CPT_065_P41</t>
  </si>
  <si>
    <t>CPT_065_P50</t>
  </si>
  <si>
    <t>CPT_065_S05</t>
  </si>
  <si>
    <t>CPT_065_S14</t>
  </si>
  <si>
    <t>CPT_065_S23</t>
  </si>
  <si>
    <t>CPT_065_S32</t>
  </si>
  <si>
    <t>CPT_065_S41</t>
  </si>
  <si>
    <t>CPT_065_S50</t>
  </si>
  <si>
    <t>CPT_108_P05</t>
  </si>
  <si>
    <t>CPT_108_P14</t>
  </si>
  <si>
    <t>CPT_108_P23</t>
  </si>
  <si>
    <t>CPT_108_P32</t>
  </si>
  <si>
    <t>CPT_108_P41</t>
  </si>
  <si>
    <t>CPT_108_P50</t>
  </si>
  <si>
    <t>CPT_108_S05</t>
  </si>
  <si>
    <t>CPT_108_S14</t>
  </si>
  <si>
    <t>CPT_108_S23</t>
  </si>
  <si>
    <t>CPT_108_S32</t>
  </si>
  <si>
    <t>CPT_108_S41</t>
  </si>
  <si>
    <t>CPT_108_S50</t>
  </si>
  <si>
    <t>CPT_136_P05</t>
  </si>
  <si>
    <t>CPT_136_P14</t>
  </si>
  <si>
    <t>CPT_136_P23</t>
  </si>
  <si>
    <t>CPT_136_P32</t>
  </si>
  <si>
    <t>CPT_136_P41</t>
  </si>
  <si>
    <t>CPT_136_P50</t>
  </si>
  <si>
    <t>CPT_136_S05</t>
  </si>
  <si>
    <t>CPT_136_S14</t>
  </si>
  <si>
    <t>CPT_136_S23</t>
  </si>
  <si>
    <t>CPT_136_S32</t>
  </si>
  <si>
    <t>CPT_136_S41</t>
  </si>
  <si>
    <t>CPT_136_S50</t>
  </si>
  <si>
    <t>CPT_148_P05</t>
  </si>
  <si>
    <t>CPT_148_P14</t>
  </si>
  <si>
    <t>CPT_148_P23</t>
  </si>
  <si>
    <t>CPT_148_P32</t>
  </si>
  <si>
    <t>CPT_148_P41</t>
  </si>
  <si>
    <t>CPT_148_P50</t>
  </si>
  <si>
    <t>CPT_148_S05</t>
  </si>
  <si>
    <t>CPT_148_S14</t>
  </si>
  <si>
    <t>CPT_148_S23</t>
  </si>
  <si>
    <t>CPT_148_S32</t>
  </si>
  <si>
    <t>CPT_148_S41</t>
  </si>
  <si>
    <t>CPT_148_S50</t>
  </si>
  <si>
    <t>CPT_184_P05</t>
  </si>
  <si>
    <t>CPT_184_P14</t>
  </si>
  <si>
    <t>CPT_184_P23</t>
  </si>
  <si>
    <t>CPT_184_P32</t>
  </si>
  <si>
    <t>CPT_184_P41</t>
  </si>
  <si>
    <t>CPT_184_P50</t>
  </si>
  <si>
    <t>CPT_184_S05</t>
  </si>
  <si>
    <t>CPT_184_S14</t>
  </si>
  <si>
    <t>CPT_184_S23</t>
  </si>
  <si>
    <t>CPT_184_S32</t>
  </si>
  <si>
    <t>CPT_184_S41</t>
  </si>
  <si>
    <t>CPT_184_S50</t>
  </si>
  <si>
    <t>CPT_196_S50</t>
  </si>
  <si>
    <t>BM05</t>
  </si>
  <si>
    <t>CPT_215_P05</t>
  </si>
  <si>
    <t>CPT_215_P14</t>
  </si>
  <si>
    <t>CPT_215_P23</t>
  </si>
  <si>
    <t>CPT_215_P32</t>
  </si>
  <si>
    <t>CPT_215_P41</t>
  </si>
  <si>
    <t>CPT_215_P50</t>
  </si>
  <si>
    <t>CPT_215_S05</t>
  </si>
  <si>
    <t>CPT_215_S14</t>
  </si>
  <si>
    <t>CPT_215_S23</t>
  </si>
  <si>
    <t>CPT_215_S32</t>
  </si>
  <si>
    <t>CPT_215_S41</t>
  </si>
  <si>
    <t>CPT_215_S50</t>
  </si>
  <si>
    <t>CPT_232_P05</t>
  </si>
  <si>
    <t>CPT_232_P14</t>
  </si>
  <si>
    <t>CPT_232_P23</t>
  </si>
  <si>
    <t>CPT_232_P32</t>
  </si>
  <si>
    <t>CPT_232_P41</t>
  </si>
  <si>
    <t>CPT_232_P50</t>
  </si>
  <si>
    <t>CPT_232_S05</t>
  </si>
  <si>
    <t>CPT_232_S14</t>
  </si>
  <si>
    <t>CPT_232_S23</t>
  </si>
  <si>
    <t>CPT_232_S32</t>
  </si>
  <si>
    <t>CPT_232_S41</t>
  </si>
  <si>
    <t>CPT_232_S50</t>
  </si>
  <si>
    <t>CPT_233_P05</t>
  </si>
  <si>
    <t>CPT_233_P14</t>
  </si>
  <si>
    <t>CPT_233_P23</t>
  </si>
  <si>
    <t>CPT_233_P32</t>
  </si>
  <si>
    <t>CPT_233_P41</t>
  </si>
  <si>
    <t>CPT_233_P50</t>
  </si>
  <si>
    <t>CPT_233_S05</t>
  </si>
  <si>
    <t>CPT_233_S14</t>
  </si>
  <si>
    <t>CPT_233_S23</t>
  </si>
  <si>
    <t>CPT_233_S32</t>
  </si>
  <si>
    <t>CPT_233_S41</t>
  </si>
  <si>
    <t>CPT_233_S50</t>
  </si>
  <si>
    <t>CPT_241_P05</t>
  </si>
  <si>
    <t>CPT_241_P14</t>
  </si>
  <si>
    <t>CPT_241_P23</t>
  </si>
  <si>
    <t>CPT_241_P32</t>
  </si>
  <si>
    <t>CPT_241_P41</t>
  </si>
  <si>
    <t>CPT_241_P50</t>
  </si>
  <si>
    <t>CPT_241_S05</t>
  </si>
  <si>
    <t>CPT_241_S14</t>
  </si>
  <si>
    <t>CPT_241_S23</t>
  </si>
  <si>
    <t>CPT_241_S32</t>
  </si>
  <si>
    <t>CPT_241_S41</t>
  </si>
  <si>
    <t>CPT_241_S50</t>
  </si>
  <si>
    <t>CPT_244_P05</t>
  </si>
  <si>
    <t>CPT_244_P14</t>
  </si>
  <si>
    <t>CPT_244_P23</t>
  </si>
  <si>
    <t>CPT_244_P32</t>
  </si>
  <si>
    <t>CPT_244_P41</t>
  </si>
  <si>
    <t>CPT_244_P50</t>
  </si>
  <si>
    <t>CPT_244_S05</t>
  </si>
  <si>
    <t>CPT_244_S14</t>
  </si>
  <si>
    <t>CPT_244_S23</t>
  </si>
  <si>
    <t>CPT_244_S32</t>
  </si>
  <si>
    <t>CPT_244_S41</t>
  </si>
  <si>
    <t>CPT_244_S50</t>
  </si>
  <si>
    <t>CPT_271_P05</t>
  </si>
  <si>
    <t>CPT_271_P14</t>
  </si>
  <si>
    <t>CPT_271_P23</t>
  </si>
  <si>
    <t>CPT_271_P32</t>
  </si>
  <si>
    <t>CPT_271_P41</t>
  </si>
  <si>
    <t>CPT_271_P50</t>
  </si>
  <si>
    <t>CPT_271_S05</t>
  </si>
  <si>
    <t>CPT_271_S14</t>
  </si>
  <si>
    <t>CPT_271_S23</t>
  </si>
  <si>
    <t>CPT_271_S32</t>
  </si>
  <si>
    <t>CPT_271_S41</t>
  </si>
  <si>
    <t>CPT_271_S50</t>
  </si>
  <si>
    <t>CPT_282_P05</t>
  </si>
  <si>
    <t>CPT_282_P14</t>
  </si>
  <si>
    <t>CPT_282_P23</t>
  </si>
  <si>
    <t>CPT_282_P32</t>
  </si>
  <si>
    <t>CPT_282_P41</t>
  </si>
  <si>
    <t>CPT_282_P50</t>
  </si>
  <si>
    <t>CPT_282_S05</t>
  </si>
  <si>
    <t>CPT_282_S14</t>
  </si>
  <si>
    <t>CPT_282_S23</t>
  </si>
  <si>
    <t>CPT_282_S32</t>
  </si>
  <si>
    <t>CPT_282_S41</t>
  </si>
  <si>
    <t>CPT_282_S50</t>
  </si>
  <si>
    <t>CPT_295_P05</t>
  </si>
  <si>
    <t>CPT_295_P14</t>
  </si>
  <si>
    <t>CPT_295_P23</t>
  </si>
  <si>
    <t>CPT_295_P32</t>
  </si>
  <si>
    <t>CPT_295_P41</t>
  </si>
  <si>
    <t>CPT_295_P50</t>
  </si>
  <si>
    <t>CPT_295_S05</t>
  </si>
  <si>
    <t>CPT_295_S14</t>
  </si>
  <si>
    <t>CPT_295_S23</t>
  </si>
  <si>
    <t>CPT_295_S32</t>
  </si>
  <si>
    <t>CPT_295_S41</t>
  </si>
  <si>
    <t>CPT_295_S50</t>
  </si>
  <si>
    <t>CPT_300_P05</t>
  </si>
  <si>
    <t>CPT_300_P14</t>
  </si>
  <si>
    <t>CPT_300_P23</t>
  </si>
  <si>
    <t>CPT_300_P32</t>
  </si>
  <si>
    <t>CPT_300_P41</t>
  </si>
  <si>
    <t>CPT_300_P50</t>
  </si>
  <si>
    <t>CPT_300_S05</t>
  </si>
  <si>
    <t>CPT_300_S14</t>
  </si>
  <si>
    <t>CPT_300_S23</t>
  </si>
  <si>
    <t>CPT_300_S32</t>
  </si>
  <si>
    <t>CPT_300_S41</t>
  </si>
  <si>
    <t>CPT_300_S50</t>
  </si>
  <si>
    <t>CPT_310_P05</t>
  </si>
  <si>
    <t>CPT_310_P14</t>
  </si>
  <si>
    <t>CPT_310_P23</t>
  </si>
  <si>
    <t>CPT_310_P32</t>
  </si>
  <si>
    <t>CPT_310_P41</t>
  </si>
  <si>
    <t>CPT_310_P50</t>
  </si>
  <si>
    <t>CPT_310_S05</t>
  </si>
  <si>
    <t>CPT_310_S14</t>
  </si>
  <si>
    <t>CPT_310_S23</t>
  </si>
  <si>
    <t>CPT_310_S32</t>
  </si>
  <si>
    <t>CPT_310_S41</t>
  </si>
  <si>
    <t>CPT_310_S50</t>
  </si>
  <si>
    <t>CPT_315_P05</t>
  </si>
  <si>
    <t>CPT_315_P14</t>
  </si>
  <si>
    <t>CPT_315_P23</t>
  </si>
  <si>
    <t>CPT_315_P32</t>
  </si>
  <si>
    <t>CPT_315_P41</t>
  </si>
  <si>
    <t>CPT_315_P50</t>
  </si>
  <si>
    <t>CPT_315_S05</t>
  </si>
  <si>
    <t>CPT_315_S14</t>
  </si>
  <si>
    <t>CPT_315_S23</t>
  </si>
  <si>
    <t>CPT_315_S32</t>
  </si>
  <si>
    <t>CPT_315_S41</t>
  </si>
  <si>
    <t>CPT_315_S50</t>
  </si>
  <si>
    <t>CPT_328_P05</t>
  </si>
  <si>
    <t>CPT_328_P14</t>
  </si>
  <si>
    <t>CPT_328_P23</t>
  </si>
  <si>
    <t>CPT_328_P32</t>
  </si>
  <si>
    <t>CPT_328_P41</t>
  </si>
  <si>
    <t>CPT_328_P50</t>
  </si>
  <si>
    <t>CPT_328_S05</t>
  </si>
  <si>
    <t>CPT_328_S14</t>
  </si>
  <si>
    <t>CPT_328_S23</t>
  </si>
  <si>
    <t>CPT_328_S32</t>
  </si>
  <si>
    <t>CPT_328_S41</t>
  </si>
  <si>
    <t>CPT_328_S50</t>
  </si>
  <si>
    <t>BM05 Borehole</t>
  </si>
  <si>
    <t>BM05 CPT</t>
  </si>
  <si>
    <t>BH_032_S72</t>
  </si>
  <si>
    <t>BH_032_S63</t>
  </si>
  <si>
    <t>BH_032_S54</t>
  </si>
  <si>
    <t>BH_032_S45</t>
  </si>
  <si>
    <t>BH_032_S36</t>
  </si>
  <si>
    <t>BH_032_S27</t>
  </si>
  <si>
    <t>BH_032_S18</t>
  </si>
  <si>
    <t>BH_032_S09</t>
  </si>
  <si>
    <t>BH_032_P72</t>
  </si>
  <si>
    <t>BH_032_P63</t>
  </si>
  <si>
    <t>BH_032_P54</t>
  </si>
  <si>
    <t>BH_032_P45</t>
  </si>
  <si>
    <t>BH_032_P36</t>
  </si>
  <si>
    <t>BH_032_P27</t>
  </si>
  <si>
    <t>BH_032_P18</t>
  </si>
  <si>
    <t>BH_032_P09</t>
  </si>
  <si>
    <t>BH_032_C00</t>
  </si>
  <si>
    <t>BH_037_C00</t>
  </si>
  <si>
    <t>BH_037_P09</t>
  </si>
  <si>
    <t>BH_037_P18</t>
  </si>
  <si>
    <t>BH_037_P27</t>
  </si>
  <si>
    <t>BH_037_P36</t>
  </si>
  <si>
    <t>BH_037_P45</t>
  </si>
  <si>
    <t>BH_037_P54</t>
  </si>
  <si>
    <t>BH_037_P63</t>
  </si>
  <si>
    <t>BH_037_P72</t>
  </si>
  <si>
    <t>BH_037_S09</t>
  </si>
  <si>
    <t>BH_037_S18</t>
  </si>
  <si>
    <t>BH_037_S27</t>
  </si>
  <si>
    <t>BH_037_S36</t>
  </si>
  <si>
    <t>BH_037_S45</t>
  </si>
  <si>
    <t>BH_037_S54</t>
  </si>
  <si>
    <t>BH_037_S63</t>
  </si>
  <si>
    <t>BH_037_S72</t>
  </si>
  <si>
    <t>BH_046_C00</t>
  </si>
  <si>
    <t>BH_046_P09</t>
  </si>
  <si>
    <t>BH_046_P18</t>
  </si>
  <si>
    <t>BH_046_P27</t>
  </si>
  <si>
    <t>BH_046_P36</t>
  </si>
  <si>
    <t>BH_046_P45</t>
  </si>
  <si>
    <t>BH_046_P54</t>
  </si>
  <si>
    <t>BH_046_P63</t>
  </si>
  <si>
    <t>BH_046_P72</t>
  </si>
  <si>
    <t>BH_046_S09</t>
  </si>
  <si>
    <t>BH_046_S18</t>
  </si>
  <si>
    <t>BH_046_S27</t>
  </si>
  <si>
    <t>BH_046_S36</t>
  </si>
  <si>
    <t>BH_046_S45</t>
  </si>
  <si>
    <t>BH_046_S54</t>
  </si>
  <si>
    <t>BH_046_S63</t>
  </si>
  <si>
    <t>BH_046_S72</t>
  </si>
  <si>
    <t>BH_055_C00</t>
  </si>
  <si>
    <t>BH_055_P09</t>
  </si>
  <si>
    <t>BH_055_P18</t>
  </si>
  <si>
    <t>BH_055_P27</t>
  </si>
  <si>
    <t>BH_055_P36</t>
  </si>
  <si>
    <t>BH_055_P45</t>
  </si>
  <si>
    <t>BH_055_P54</t>
  </si>
  <si>
    <t>BH_055_P63</t>
  </si>
  <si>
    <t>BH_055_P72</t>
  </si>
  <si>
    <t>BH_055_S09</t>
  </si>
  <si>
    <t>BH_055_S18</t>
  </si>
  <si>
    <t>BH_055_S27</t>
  </si>
  <si>
    <t>BH_055_S36</t>
  </si>
  <si>
    <t>BH_055_S45</t>
  </si>
  <si>
    <t>BH_055_S54</t>
  </si>
  <si>
    <t>BH_055_S63</t>
  </si>
  <si>
    <t>BH_055_S72</t>
  </si>
  <si>
    <t>BH_067_C00</t>
  </si>
  <si>
    <t>BH_067_P09</t>
  </si>
  <si>
    <t>BH_067_P18</t>
  </si>
  <si>
    <t>BH_067_P27</t>
  </si>
  <si>
    <t>BH_067_P36</t>
  </si>
  <si>
    <t>BH_067_P45</t>
  </si>
  <si>
    <t>BH_067_P54</t>
  </si>
  <si>
    <t>BH_067_P63</t>
  </si>
  <si>
    <t>BH_067_P72</t>
  </si>
  <si>
    <t>BH_067_S09</t>
  </si>
  <si>
    <t>BH_067_S18</t>
  </si>
  <si>
    <t>BH_067_S27</t>
  </si>
  <si>
    <t>BH_067_S36</t>
  </si>
  <si>
    <t>BH_067_S45</t>
  </si>
  <si>
    <t>BH_067_S54</t>
  </si>
  <si>
    <t>BH_067_S63</t>
  </si>
  <si>
    <t>BH_067_S72</t>
  </si>
  <si>
    <t>BH_099_C00</t>
  </si>
  <si>
    <t>BH_099_P09</t>
  </si>
  <si>
    <t>BH_099_P18</t>
  </si>
  <si>
    <t>BH_099_P27</t>
  </si>
  <si>
    <t>BH_099_P36</t>
  </si>
  <si>
    <t>BH_099_P45</t>
  </si>
  <si>
    <t>BH_099_P54</t>
  </si>
  <si>
    <t>BH_099_P63</t>
  </si>
  <si>
    <t>BH_099_P72</t>
  </si>
  <si>
    <t>BH_099_S09</t>
  </si>
  <si>
    <t>BH_099_S18</t>
  </si>
  <si>
    <t>BH_099_S27</t>
  </si>
  <si>
    <t>BH_099_S36</t>
  </si>
  <si>
    <t>BH_099_S45</t>
  </si>
  <si>
    <t>BH_099_S54</t>
  </si>
  <si>
    <t>BH_099_S63</t>
  </si>
  <si>
    <t>BH_099_S72</t>
  </si>
  <si>
    <t>BH_122_C00</t>
  </si>
  <si>
    <t>BH_122_P09</t>
  </si>
  <si>
    <t>BH_122_P18</t>
  </si>
  <si>
    <t>BH_122_P27</t>
  </si>
  <si>
    <t>BH_122_P36</t>
  </si>
  <si>
    <t>BH_122_P45</t>
  </si>
  <si>
    <t>BH_122_P54</t>
  </si>
  <si>
    <t>BH_122_P63</t>
  </si>
  <si>
    <t>BH_122_P72</t>
  </si>
  <si>
    <t>BH_122_S09</t>
  </si>
  <si>
    <t>BH_122_S18</t>
  </si>
  <si>
    <t>BH_122_S27</t>
  </si>
  <si>
    <t>BH_122_S36</t>
  </si>
  <si>
    <t>BH_122_S45</t>
  </si>
  <si>
    <t>BH_122_S54</t>
  </si>
  <si>
    <t>BH_122_S63</t>
  </si>
  <si>
    <t>BH_122_S72</t>
  </si>
  <si>
    <t>CPT_060_S50</t>
  </si>
  <si>
    <t>CPT_060_S41</t>
  </si>
  <si>
    <t>CPT_060_S32</t>
  </si>
  <si>
    <t>CPT_060_S23</t>
  </si>
  <si>
    <t>CPT_060_S14</t>
  </si>
  <si>
    <t>CPT_060_S05</t>
  </si>
  <si>
    <t>CPT_060_P50</t>
  </si>
  <si>
    <t>CPT_060_P41</t>
  </si>
  <si>
    <t>CPT_060_P32</t>
  </si>
  <si>
    <t>CPT_060_P23</t>
  </si>
  <si>
    <t>CPT_060_P14</t>
  </si>
  <si>
    <t>CPT_060_P05</t>
  </si>
  <si>
    <t>CPT_055_S50</t>
  </si>
  <si>
    <t>CPT_055_S41</t>
  </si>
  <si>
    <t>CPT_055_S32</t>
  </si>
  <si>
    <t>CPT_055_S23</t>
  </si>
  <si>
    <t>CPT_055_S14</t>
  </si>
  <si>
    <t>CPT_055_S05</t>
  </si>
  <si>
    <t>CPT_055_P50</t>
  </si>
  <si>
    <t>CPT_055_P41</t>
  </si>
  <si>
    <t>CPT_055_P32</t>
  </si>
  <si>
    <t>CPT_055_P23</t>
  </si>
  <si>
    <t>CPT_055_P14</t>
  </si>
  <si>
    <t>CPT_055_P05</t>
  </si>
  <si>
    <t>CPT_056_P05</t>
  </si>
  <si>
    <t>CPT_056_P14</t>
  </si>
  <si>
    <t>CPT_056_P23</t>
  </si>
  <si>
    <t>CPT_056_P32</t>
  </si>
  <si>
    <t>CPT_056_P41</t>
  </si>
  <si>
    <t>CPT_056_P50</t>
  </si>
  <si>
    <t>CPT_056_S05</t>
  </si>
  <si>
    <t>CPT_056_S14</t>
  </si>
  <si>
    <t>CPT_056_S23</t>
  </si>
  <si>
    <t>CPT_056_S32</t>
  </si>
  <si>
    <t>CPT_056_S41</t>
  </si>
  <si>
    <t>CPT_056_S50</t>
  </si>
  <si>
    <t>CPT_059_P05</t>
  </si>
  <si>
    <t>CPT_059_P14</t>
  </si>
  <si>
    <t>CPT_059_P23</t>
  </si>
  <si>
    <t>CPT_059_P32</t>
  </si>
  <si>
    <t>CPT_059_P41</t>
  </si>
  <si>
    <t>CPT_059_P50</t>
  </si>
  <si>
    <t>CPT_059_S05</t>
  </si>
  <si>
    <t>CPT_059_S14</t>
  </si>
  <si>
    <t>CPT_059_S23</t>
  </si>
  <si>
    <t>CPT_059_S32</t>
  </si>
  <si>
    <t>CPT_059_S41</t>
  </si>
  <si>
    <t>CPT_059_S50</t>
  </si>
  <si>
    <t>CPT_096_P05</t>
  </si>
  <si>
    <t>CPT_096_P14</t>
  </si>
  <si>
    <t>CPT_096_P23</t>
  </si>
  <si>
    <t>CPT_096_P32</t>
  </si>
  <si>
    <t>CPT_096_P41</t>
  </si>
  <si>
    <t>CPT_096_P50</t>
  </si>
  <si>
    <t>CPT_096_S05</t>
  </si>
  <si>
    <t>CPT_096_S14</t>
  </si>
  <si>
    <t>CPT_096_S23</t>
  </si>
  <si>
    <t>CPT_096_S32</t>
  </si>
  <si>
    <t>CPT_096_S41</t>
  </si>
  <si>
    <t>CPT_096_S50</t>
  </si>
  <si>
    <t>CPT_119_P05</t>
  </si>
  <si>
    <t>CPT_119_P14</t>
  </si>
  <si>
    <t>CPT_119_P23</t>
  </si>
  <si>
    <t>CPT_119_P32</t>
  </si>
  <si>
    <t>CPT_119_P41</t>
  </si>
  <si>
    <t>CPT_119_P50</t>
  </si>
  <si>
    <t>CPT_119_S05</t>
  </si>
  <si>
    <t>CPT_119_S14</t>
  </si>
  <si>
    <t>CPT_119_S23</t>
  </si>
  <si>
    <t>CPT_119_S32</t>
  </si>
  <si>
    <t>CPT_119_S41</t>
  </si>
  <si>
    <t>CPT_119_S50</t>
  </si>
  <si>
    <t>CPT_127_P05</t>
  </si>
  <si>
    <t>CPT_127_P14</t>
  </si>
  <si>
    <t>CPT_127_P23</t>
  </si>
  <si>
    <t>CPT_127_P32</t>
  </si>
  <si>
    <t>CPT_127_P41</t>
  </si>
  <si>
    <t>CPT_127_P50</t>
  </si>
  <si>
    <t>CPT_127_S05</t>
  </si>
  <si>
    <t>CPT_127_S14</t>
  </si>
  <si>
    <t>CPT_127_S23</t>
  </si>
  <si>
    <t>CPT_127_S32</t>
  </si>
  <si>
    <t>CPT_127_S41</t>
  </si>
  <si>
    <t>CPT_127_S50</t>
  </si>
  <si>
    <t>CPT_143_P05</t>
  </si>
  <si>
    <t>CPT_143_P14</t>
  </si>
  <si>
    <t>CPT_143_P23</t>
  </si>
  <si>
    <t>CPT_143_P32</t>
  </si>
  <si>
    <t>CPT_143_P41</t>
  </si>
  <si>
    <t>CPT_143_P50</t>
  </si>
  <si>
    <t>CPT_143_S05</t>
  </si>
  <si>
    <t>CPT_143_S14</t>
  </si>
  <si>
    <t>CPT_143_S23</t>
  </si>
  <si>
    <t>CPT_143_S32</t>
  </si>
  <si>
    <t>CPT_143_S41</t>
  </si>
  <si>
    <t>CPT_143_S50</t>
  </si>
  <si>
    <t>CPT_163_P05</t>
  </si>
  <si>
    <t>CPT_163_P14</t>
  </si>
  <si>
    <t>CPT_163_P23</t>
  </si>
  <si>
    <t>CPT_163_P32</t>
  </si>
  <si>
    <t>CPT_163_P41</t>
  </si>
  <si>
    <t>CPT_163_P50</t>
  </si>
  <si>
    <t>CPT_163_S05</t>
  </si>
  <si>
    <t>CPT_163_S14</t>
  </si>
  <si>
    <t>CPT_163_S23</t>
  </si>
  <si>
    <t>CPT_163_S32</t>
  </si>
  <si>
    <t>CPT_163_S41</t>
  </si>
  <si>
    <t>CPT_163_S50</t>
  </si>
  <si>
    <t>CPT_168_P05</t>
  </si>
  <si>
    <t>CPT_168_P14</t>
  </si>
  <si>
    <t>CPT_168_P23</t>
  </si>
  <si>
    <t>CPT_168_P32</t>
  </si>
  <si>
    <t>CPT_168_P41</t>
  </si>
  <si>
    <t>CPT_168_P50</t>
  </si>
  <si>
    <t>CPT_168_S05</t>
  </si>
  <si>
    <t>CPT_168_S14</t>
  </si>
  <si>
    <t>CPT_168_S23</t>
  </si>
  <si>
    <t>CPT_168_S32</t>
  </si>
  <si>
    <t>CPT_168_S41</t>
  </si>
  <si>
    <t>CPT_168_S50</t>
  </si>
  <si>
    <t>CPT_172_P05</t>
  </si>
  <si>
    <t>CPT_172_P14</t>
  </si>
  <si>
    <t>CPT_172_P23</t>
  </si>
  <si>
    <t>CPT_172_P32</t>
  </si>
  <si>
    <t>CPT_172_P41</t>
  </si>
  <si>
    <t>CPT_172_P50</t>
  </si>
  <si>
    <t>CPT_172_S05</t>
  </si>
  <si>
    <t>CPT_172_S14</t>
  </si>
  <si>
    <t>CPT_172_S23</t>
  </si>
  <si>
    <t>CPT_172_S32</t>
  </si>
  <si>
    <t>CPT_172_S41</t>
  </si>
  <si>
    <t>CPT_172_S50</t>
  </si>
  <si>
    <t>CPT_177_P05</t>
  </si>
  <si>
    <t>CPT_177_P14</t>
  </si>
  <si>
    <t>CPT_177_P23</t>
  </si>
  <si>
    <t>CPT_177_P32</t>
  </si>
  <si>
    <t>CPT_177_P41</t>
  </si>
  <si>
    <t>CPT_177_P50</t>
  </si>
  <si>
    <t>CPT_177_S05</t>
  </si>
  <si>
    <t>CPT_177_S14</t>
  </si>
  <si>
    <t>CPT_177_S23</t>
  </si>
  <si>
    <t>CPT_177_S32</t>
  </si>
  <si>
    <t>CPT_177_S41</t>
  </si>
  <si>
    <t>CPT_177_S50</t>
  </si>
  <si>
    <t>CPT_180_P05</t>
  </si>
  <si>
    <t>CPT_180_P14</t>
  </si>
  <si>
    <t>CPT_180_P23</t>
  </si>
  <si>
    <t>CPT_180_P32</t>
  </si>
  <si>
    <t>CPT_180_P41</t>
  </si>
  <si>
    <t>CPT_180_P50</t>
  </si>
  <si>
    <t>CPT_180_S05</t>
  </si>
  <si>
    <t>CPT_180_S14</t>
  </si>
  <si>
    <t>CPT_180_S23</t>
  </si>
  <si>
    <t>CPT_180_S32</t>
  </si>
  <si>
    <t>CPT_180_S41</t>
  </si>
  <si>
    <t>CPT_180_S50</t>
  </si>
  <si>
    <t>CPT_196_P05</t>
  </si>
  <si>
    <t>CPT_196_P14</t>
  </si>
  <si>
    <t>CPT_196_P23</t>
  </si>
  <si>
    <t>CPT_196_P32</t>
  </si>
  <si>
    <t>CPT_196_P41</t>
  </si>
  <si>
    <t>CPT_196_P50</t>
  </si>
  <si>
    <t>CPT_196_S05</t>
  </si>
  <si>
    <t>CPT_196_S14</t>
  </si>
  <si>
    <t>CPT_196_S23</t>
  </si>
  <si>
    <t>CPT_196_S32</t>
  </si>
  <si>
    <t>CPT_196_S41</t>
  </si>
  <si>
    <t>CPT_200_P05</t>
  </si>
  <si>
    <t>CPT_200_P14</t>
  </si>
  <si>
    <t>CPT_200_P23</t>
  </si>
  <si>
    <t>CPT_200_P32</t>
  </si>
  <si>
    <t>CPT_200_P41</t>
  </si>
  <si>
    <t>CPT_200_P50</t>
  </si>
  <si>
    <t>CPT_200_S05</t>
  </si>
  <si>
    <t>CPT_200_S14</t>
  </si>
  <si>
    <t>CPT_200_S23</t>
  </si>
  <si>
    <t>CPT_200_S32</t>
  </si>
  <si>
    <t>CPT_200_S41</t>
  </si>
  <si>
    <t>CPT_200_S50</t>
  </si>
  <si>
    <t>CPT_247_P05</t>
  </si>
  <si>
    <t>CPT_247_P14</t>
  </si>
  <si>
    <t>CPT_247_P23</t>
  </si>
  <si>
    <t>CPT_247_P32</t>
  </si>
  <si>
    <t>CPT_247_P41</t>
  </si>
  <si>
    <t>CPT_247_P50</t>
  </si>
  <si>
    <t>CPT_247_S05</t>
  </si>
  <si>
    <t>CPT_247_S14</t>
  </si>
  <si>
    <t>CPT_247_S23</t>
  </si>
  <si>
    <t>CPT_247_S32</t>
  </si>
  <si>
    <t>CPT_247_S41</t>
  </si>
  <si>
    <t>CPT_247_S50</t>
  </si>
  <si>
    <t>CPT_249_P05</t>
  </si>
  <si>
    <t>CPT_249_P14</t>
  </si>
  <si>
    <t>CPT_249_P23</t>
  </si>
  <si>
    <t>CPT_249_P32</t>
  </si>
  <si>
    <t>CPT_249_P41</t>
  </si>
  <si>
    <t>CPT_249_P50</t>
  </si>
  <si>
    <t>CPT_249_S05</t>
  </si>
  <si>
    <t>CPT_249_S14</t>
  </si>
  <si>
    <t>CPT_249_S23</t>
  </si>
  <si>
    <t>CPT_249_S32</t>
  </si>
  <si>
    <t>CPT_249_S41</t>
  </si>
  <si>
    <t>CPT_249_S50</t>
  </si>
  <si>
    <t>CPT_270_P05</t>
  </si>
  <si>
    <t>CPT_270_P14</t>
  </si>
  <si>
    <t>CPT_270_P23</t>
  </si>
  <si>
    <t>CPT_270_P32</t>
  </si>
  <si>
    <t>CPT_270_P41</t>
  </si>
  <si>
    <t>CPT_270_P50</t>
  </si>
  <si>
    <t>CPT_270_S05</t>
  </si>
  <si>
    <t>CPT_270_S14</t>
  </si>
  <si>
    <t>CPT_270_S23</t>
  </si>
  <si>
    <t>CPT_270_S32</t>
  </si>
  <si>
    <t>CPT_270_S41</t>
  </si>
  <si>
    <t>CPT_270_S50</t>
  </si>
  <si>
    <t>CPT_333_P05</t>
  </si>
  <si>
    <t>CPT_333_P14</t>
  </si>
  <si>
    <t>CPT_333_P23</t>
  </si>
  <si>
    <t>CPT_333_P32</t>
  </si>
  <si>
    <t>CPT_333_P41</t>
  </si>
  <si>
    <t>CPT_333_P50</t>
  </si>
  <si>
    <t>CPT_333_S05</t>
  </si>
  <si>
    <t>CPT_333_S14</t>
  </si>
  <si>
    <t>CPT_333_S23</t>
  </si>
  <si>
    <t>CPT_333_S32</t>
  </si>
  <si>
    <t>CPT_333_S41</t>
  </si>
  <si>
    <t>CPT_333_S50</t>
  </si>
  <si>
    <t>BM06 CPT</t>
  </si>
  <si>
    <t>BH_033_C00</t>
  </si>
  <si>
    <t>BH_033_P09</t>
  </si>
  <si>
    <t>BH_033_P18</t>
  </si>
  <si>
    <t>BH_033_P27</t>
  </si>
  <si>
    <t>BH_033_P36</t>
  </si>
  <si>
    <t>BH_033_P45</t>
  </si>
  <si>
    <t>BH_033_P54</t>
  </si>
  <si>
    <t>BH_033_P63</t>
  </si>
  <si>
    <t>BH_033_P72</t>
  </si>
  <si>
    <t>BH_033_S09</t>
  </si>
  <si>
    <t>BH_033_S18</t>
  </si>
  <si>
    <t>BH_033_S27</t>
  </si>
  <si>
    <t>BH_033_S36</t>
  </si>
  <si>
    <t>BH_033_S45</t>
  </si>
  <si>
    <t>BH_033_S54</t>
  </si>
  <si>
    <t>BH_033_S63</t>
  </si>
  <si>
    <t>BH_033_S72</t>
  </si>
  <si>
    <t>BH_051_P54</t>
  </si>
  <si>
    <t>BH_051_P63</t>
  </si>
  <si>
    <t>BH_051_P72</t>
  </si>
  <si>
    <t>BH_051_S09</t>
  </si>
  <si>
    <t>BH_051_S18</t>
  </si>
  <si>
    <t>BH_051_S27</t>
  </si>
  <si>
    <t>BH_051_S36</t>
  </si>
  <si>
    <t>BH_051_S45</t>
  </si>
  <si>
    <t>BH_051_S54</t>
  </si>
  <si>
    <t>BH_051_S63</t>
  </si>
  <si>
    <t>BH_051_S72</t>
  </si>
  <si>
    <t>BH_064_C00</t>
  </si>
  <si>
    <t>BH_064_P09</t>
  </si>
  <si>
    <t>BH_064_P18</t>
  </si>
  <si>
    <t>BH_064_P27</t>
  </si>
  <si>
    <t>BH_064_P36</t>
  </si>
  <si>
    <t>BH_064_P45</t>
  </si>
  <si>
    <t>BH_040_C00</t>
  </si>
  <si>
    <t>BH_040_P09</t>
  </si>
  <si>
    <t>BH_040_P18</t>
  </si>
  <si>
    <t>BH_040_P27</t>
  </si>
  <si>
    <t>BH_040_P36</t>
  </si>
  <si>
    <t>BH_040_P45</t>
  </si>
  <si>
    <t>BH_040_P54</t>
  </si>
  <si>
    <t>BH_040_P63</t>
  </si>
  <si>
    <t>BH_040_P72</t>
  </si>
  <si>
    <t>BH_040_S09</t>
  </si>
  <si>
    <t>BH_040_S18</t>
  </si>
  <si>
    <t>BH_040_S27</t>
  </si>
  <si>
    <t>BH_040_S36</t>
  </si>
  <si>
    <t>BH_040_S45</t>
  </si>
  <si>
    <t>BH_040_S54</t>
  </si>
  <si>
    <t>BH_040_S63</t>
  </si>
  <si>
    <t>BH_040_S72</t>
  </si>
  <si>
    <t>BH_051_C00</t>
  </si>
  <si>
    <t>BH_051_P09</t>
  </si>
  <si>
    <t>BH_051_P18</t>
  </si>
  <si>
    <t>BH_051_P27</t>
  </si>
  <si>
    <t>BH_051_P36</t>
  </si>
  <si>
    <t>BH_051_P45</t>
  </si>
  <si>
    <t>BH_064_P54</t>
  </si>
  <si>
    <t>BH_064_P63</t>
  </si>
  <si>
    <t>BH_064_P72</t>
  </si>
  <si>
    <t>BH_064_S09</t>
  </si>
  <si>
    <t>BH_064_S18</t>
  </si>
  <si>
    <t>BH_064_S27</t>
  </si>
  <si>
    <t>BH_064_S36</t>
  </si>
  <si>
    <t>BH_064_S45</t>
  </si>
  <si>
    <t>BH_064_S54</t>
  </si>
  <si>
    <t>BH_064_S63</t>
  </si>
  <si>
    <t>BH_064_S72</t>
  </si>
  <si>
    <t>BH_065_C00</t>
  </si>
  <si>
    <t>BH_065_P09</t>
  </si>
  <si>
    <t>BH_065_P18</t>
  </si>
  <si>
    <t>BH_065_P27</t>
  </si>
  <si>
    <t>BH_065_P36</t>
  </si>
  <si>
    <t>BH_065_P45</t>
  </si>
  <si>
    <t>BH_065_P54</t>
  </si>
  <si>
    <t>BH_065_P63</t>
  </si>
  <si>
    <t>BH_065_P72</t>
  </si>
  <si>
    <t>BH_065_S09</t>
  </si>
  <si>
    <t>BH_065_S18</t>
  </si>
  <si>
    <t>BH_065_S27</t>
  </si>
  <si>
    <t>BH_065_S36</t>
  </si>
  <si>
    <t>BH_065_S45</t>
  </si>
  <si>
    <t>BH_065_S54</t>
  </si>
  <si>
    <t>BH_065_S63</t>
  </si>
  <si>
    <t>BH_065_S72</t>
  </si>
  <si>
    <t>BH_068_C00</t>
  </si>
  <si>
    <t>BH_068_P09</t>
  </si>
  <si>
    <t>BH_068_P18</t>
  </si>
  <si>
    <t>BH_068_P27</t>
  </si>
  <si>
    <t>BH_068_P36</t>
  </si>
  <si>
    <t>BH_068_P45</t>
  </si>
  <si>
    <t>BH_068_P54</t>
  </si>
  <si>
    <t>BH_068_P63</t>
  </si>
  <si>
    <t>BH_068_P72</t>
  </si>
  <si>
    <t>BH_068_S09</t>
  </si>
  <si>
    <t>BH_068_S18</t>
  </si>
  <si>
    <t>BH_068_S27</t>
  </si>
  <si>
    <t>BH_068_S36</t>
  </si>
  <si>
    <t>BH_068_S45</t>
  </si>
  <si>
    <t>BH_068_S54</t>
  </si>
  <si>
    <t>BH_068_S63</t>
  </si>
  <si>
    <t>BH_068_S72</t>
  </si>
  <si>
    <t>BH_073_C00</t>
  </si>
  <si>
    <t>BH_073_P09</t>
  </si>
  <si>
    <t>BH_073_P18</t>
  </si>
  <si>
    <t>BH_073_P27</t>
  </si>
  <si>
    <t>BH_073_P36</t>
  </si>
  <si>
    <t>BH_073_P45</t>
  </si>
  <si>
    <t>BH_073_P54</t>
  </si>
  <si>
    <t>BH_073_P63</t>
  </si>
  <si>
    <t>BH_073_P72</t>
  </si>
  <si>
    <t>BH_073_S09</t>
  </si>
  <si>
    <t>BH_073_S18</t>
  </si>
  <si>
    <t>BH_073_S27</t>
  </si>
  <si>
    <t>BH_073_S36</t>
  </si>
  <si>
    <t>BH_073_S45</t>
  </si>
  <si>
    <t>BH_073_S54</t>
  </si>
  <si>
    <t>BH_073_S63</t>
  </si>
  <si>
    <t>BH_073_S72</t>
  </si>
  <si>
    <t>BH_096_C00</t>
  </si>
  <si>
    <t>BH_096_P09</t>
  </si>
  <si>
    <t>BH_096_P18</t>
  </si>
  <si>
    <t>BH_096_P27</t>
  </si>
  <si>
    <t>BH_096_P36</t>
  </si>
  <si>
    <t>BH_096_P45</t>
  </si>
  <si>
    <t>BH_096_P54</t>
  </si>
  <si>
    <t>BH_096_P63</t>
  </si>
  <si>
    <t>BH_096_P72</t>
  </si>
  <si>
    <t>BH_096_S09</t>
  </si>
  <si>
    <t>BH_096_S18</t>
  </si>
  <si>
    <t>BH_096_S27</t>
  </si>
  <si>
    <t>BH_096_S36</t>
  </si>
  <si>
    <t>BH_096_S45</t>
  </si>
  <si>
    <t>BH_096_S54</t>
  </si>
  <si>
    <t>BH_100_C00</t>
  </si>
  <si>
    <t>BH_100_P09</t>
  </si>
  <si>
    <t>BH_096_S63</t>
  </si>
  <si>
    <t>BH_096_S72</t>
  </si>
  <si>
    <t>BH_100_P18</t>
  </si>
  <si>
    <t>BH_100_P27</t>
  </si>
  <si>
    <t>BH_100_P36</t>
  </si>
  <si>
    <t>BH_100_P45</t>
  </si>
  <si>
    <t>BH_100_P54</t>
  </si>
  <si>
    <t>BH_100_P63</t>
  </si>
  <si>
    <t>BH_100_P72</t>
  </si>
  <si>
    <t>BH_100_S09</t>
  </si>
  <si>
    <t>BH_100_S18</t>
  </si>
  <si>
    <t>BH_100_S27</t>
  </si>
  <si>
    <t>BH_100_S36</t>
  </si>
  <si>
    <t>BH_100_S45</t>
  </si>
  <si>
    <t>BH_100_S54</t>
  </si>
  <si>
    <t>BH_100_S63</t>
  </si>
  <si>
    <t>BH_100_S72</t>
  </si>
  <si>
    <t>BH_127_C00</t>
  </si>
  <si>
    <t>BH_127_P09</t>
  </si>
  <si>
    <t>BH_127_P18</t>
  </si>
  <si>
    <t>BH_127_P27</t>
  </si>
  <si>
    <t>BH_127_P36</t>
  </si>
  <si>
    <t>BH_127_P45</t>
  </si>
  <si>
    <t>BH_127_P54</t>
  </si>
  <si>
    <t>BH_127_P63</t>
  </si>
  <si>
    <t>BH_127_P72</t>
  </si>
  <si>
    <t>BH_127_S09</t>
  </si>
  <si>
    <t>BH_127_S18</t>
  </si>
  <si>
    <t>BH_127_S27</t>
  </si>
  <si>
    <t>BH_127_S36</t>
  </si>
  <si>
    <t>BH_127_S45</t>
  </si>
  <si>
    <t>BH_127_S54</t>
  </si>
  <si>
    <t>BH_127_S63</t>
  </si>
  <si>
    <t>BH_127_S72</t>
  </si>
  <si>
    <t>BH_138_C00</t>
  </si>
  <si>
    <t>BH_138_P09</t>
  </si>
  <si>
    <t>BH_138_P18</t>
  </si>
  <si>
    <t>BH_138_P27</t>
  </si>
  <si>
    <t>BH_138_P36</t>
  </si>
  <si>
    <t>BH_138_P45</t>
  </si>
  <si>
    <t>BH_138_P54</t>
  </si>
  <si>
    <t>BH_138_P63</t>
  </si>
  <si>
    <t>BH_138_P72</t>
  </si>
  <si>
    <t>BH_138_S09</t>
  </si>
  <si>
    <t>BH_138_S18</t>
  </si>
  <si>
    <t>BH_138_S27</t>
  </si>
  <si>
    <t>BH_138_S36</t>
  </si>
  <si>
    <t>BH_138_S45</t>
  </si>
  <si>
    <t>BH_138_S54</t>
  </si>
  <si>
    <t>BH_138_S63</t>
  </si>
  <si>
    <t>BH_138_S72</t>
  </si>
  <si>
    <t>CPT_035_P05</t>
  </si>
  <si>
    <t>CPT_035_P14</t>
  </si>
  <si>
    <t>CPT_035_P23</t>
  </si>
  <si>
    <t>CPT_035_P32</t>
  </si>
  <si>
    <t>CPT_035_P41</t>
  </si>
  <si>
    <t>CPT_035_P50</t>
  </si>
  <si>
    <t>CPT_035_S05</t>
  </si>
  <si>
    <t>CPT_035_S14</t>
  </si>
  <si>
    <t>CPT_035_S23</t>
  </si>
  <si>
    <t>CPT_035_S32</t>
  </si>
  <si>
    <t>CPT_035_S41</t>
  </si>
  <si>
    <t>CPT_035_S50</t>
  </si>
  <si>
    <t>CPT_037_P05</t>
  </si>
  <si>
    <t>CPT_037_P14</t>
  </si>
  <si>
    <t>CPT_037_P23</t>
  </si>
  <si>
    <t>CPT_037_P32</t>
  </si>
  <si>
    <t>CPT_037_P41</t>
  </si>
  <si>
    <t>CPT_037_P50</t>
  </si>
  <si>
    <t>CPT_037_S05</t>
  </si>
  <si>
    <t>CPT_037_S14</t>
  </si>
  <si>
    <t>CPT_037_S23</t>
  </si>
  <si>
    <t>CPT_037_S32</t>
  </si>
  <si>
    <t>CPT_037_S41</t>
  </si>
  <si>
    <t>CPT_037_S50</t>
  </si>
  <si>
    <t>CPT_058_P05</t>
  </si>
  <si>
    <t>CPT_058_P14</t>
  </si>
  <si>
    <t>CPT_058_P23</t>
  </si>
  <si>
    <t>CPT_058_P32</t>
  </si>
  <si>
    <t>CPT_058_P41</t>
  </si>
  <si>
    <t>CPT_058_P50</t>
  </si>
  <si>
    <t>CPT_058_S05</t>
  </si>
  <si>
    <t>CPT_058_S14</t>
  </si>
  <si>
    <t>CPT_058_S23</t>
  </si>
  <si>
    <t>CPT_058_S32</t>
  </si>
  <si>
    <t>CPT_058_S41</t>
  </si>
  <si>
    <t>CPT_058_S50</t>
  </si>
  <si>
    <t>CPT_114_P05</t>
  </si>
  <si>
    <t>CPT_114_P14</t>
  </si>
  <si>
    <t>CPT_114_P23</t>
  </si>
  <si>
    <t>CPT_114_P32</t>
  </si>
  <si>
    <t>CPT_114_P41</t>
  </si>
  <si>
    <t>CPT_114_P50</t>
  </si>
  <si>
    <t>CPT_114_S05</t>
  </si>
  <si>
    <t>CPT_114_S14</t>
  </si>
  <si>
    <t>CPT_114_S23</t>
  </si>
  <si>
    <t>CPT_114_S32</t>
  </si>
  <si>
    <t>CPT_114_S41</t>
  </si>
  <si>
    <t>CPT_114_S50</t>
  </si>
  <si>
    <t>CPT_124_P05</t>
  </si>
  <si>
    <t>CPT_124_P14</t>
  </si>
  <si>
    <t>CPT_124_P23</t>
  </si>
  <si>
    <t>CPT_124_P32</t>
  </si>
  <si>
    <t>CPT_124_P41</t>
  </si>
  <si>
    <t>CPT_124_P50</t>
  </si>
  <si>
    <t>CPT_124_S05</t>
  </si>
  <si>
    <t>CPT_124_S14</t>
  </si>
  <si>
    <t>CPT_124_S23</t>
  </si>
  <si>
    <t>CPT_124_S32</t>
  </si>
  <si>
    <t>CPT_124_S41</t>
  </si>
  <si>
    <t>CPT_124_S50</t>
  </si>
  <si>
    <t>CPT_125_P05</t>
  </si>
  <si>
    <t>CPT_125_P14</t>
  </si>
  <si>
    <t>CPT_125_P23</t>
  </si>
  <si>
    <t>CPT_125_P32</t>
  </si>
  <si>
    <t>CPT_125_P41</t>
  </si>
  <si>
    <t>CPT_125_P50</t>
  </si>
  <si>
    <t>CPT_125_S05</t>
  </si>
  <si>
    <t>CPT_125_S14</t>
  </si>
  <si>
    <t>CPT_125_S23</t>
  </si>
  <si>
    <t>CPT_125_S32</t>
  </si>
  <si>
    <t>CPT_125_S41</t>
  </si>
  <si>
    <t>CPT_125_S50</t>
  </si>
  <si>
    <t>CPT_149_P05</t>
  </si>
  <si>
    <t>CPT_149_P14</t>
  </si>
  <si>
    <t>CPT_149_P23</t>
  </si>
  <si>
    <t>CPT_149_P32</t>
  </si>
  <si>
    <t>CPT_149_P41</t>
  </si>
  <si>
    <t>CPT_149_P50</t>
  </si>
  <si>
    <t>CPT_149_S05</t>
  </si>
  <si>
    <t>CPT_149_S14</t>
  </si>
  <si>
    <t>CPT_149_S23</t>
  </si>
  <si>
    <t>CPT_149_S32</t>
  </si>
  <si>
    <t>CPT_149_S41</t>
  </si>
  <si>
    <t>CPT_149_S50</t>
  </si>
  <si>
    <t>CPT_169_P05</t>
  </si>
  <si>
    <t>CPT_169_P14</t>
  </si>
  <si>
    <t>CPT_169_P23</t>
  </si>
  <si>
    <t>CPT_169_P32</t>
  </si>
  <si>
    <t>CPT_169_P41</t>
  </si>
  <si>
    <t>CPT_169_P50</t>
  </si>
  <si>
    <t>CPT_169_S05</t>
  </si>
  <si>
    <t>CPT_169_S14</t>
  </si>
  <si>
    <t>CPT_169_S23</t>
  </si>
  <si>
    <t>CPT_169_S32</t>
  </si>
  <si>
    <t>CPT_169_S41</t>
  </si>
  <si>
    <t>CPT_169_S50</t>
  </si>
  <si>
    <t>CPT_193_P05</t>
  </si>
  <si>
    <t>CPT_193_P14</t>
  </si>
  <si>
    <t>CPT_193_S05</t>
  </si>
  <si>
    <t>CPT_193_S14</t>
  </si>
  <si>
    <t>CPT_193_S23</t>
  </si>
  <si>
    <t>CPT_193_S32</t>
  </si>
  <si>
    <t>CPT_193_S41</t>
  </si>
  <si>
    <t>CPT_193_S50</t>
  </si>
  <si>
    <t>CPT_202_P05</t>
  </si>
  <si>
    <t>CPT_202_P14</t>
  </si>
  <si>
    <t>CPT_202_P23</t>
  </si>
  <si>
    <t>CPT_202_P32</t>
  </si>
  <si>
    <t>CPT_202_P41</t>
  </si>
  <si>
    <t>CPT_202_P50</t>
  </si>
  <si>
    <t>CPT_202_S05</t>
  </si>
  <si>
    <t>CPT_202_S14</t>
  </si>
  <si>
    <t>CPT_202_S23</t>
  </si>
  <si>
    <t>CPT_202_S32</t>
  </si>
  <si>
    <t>CPT_202_S41</t>
  </si>
  <si>
    <t>CPT_202_S50</t>
  </si>
  <si>
    <t>CPT_206_P05</t>
  </si>
  <si>
    <t>CPT_206_P14</t>
  </si>
  <si>
    <t>CPT_206_P23</t>
  </si>
  <si>
    <t>CPT_206_P32</t>
  </si>
  <si>
    <t>CPT_206_P41</t>
  </si>
  <si>
    <t>CPT_206_P50</t>
  </si>
  <si>
    <t>CPT_206_S05</t>
  </si>
  <si>
    <t>CPT_206_S14</t>
  </si>
  <si>
    <t>CPT_206_S23</t>
  </si>
  <si>
    <t>CPT_206_S32</t>
  </si>
  <si>
    <t>CPT_206_S41</t>
  </si>
  <si>
    <t>CPT_206_S50</t>
  </si>
  <si>
    <t>CPT_214_P05</t>
  </si>
  <si>
    <t>CPT_214_P14</t>
  </si>
  <si>
    <t>CPT_214_P23</t>
  </si>
  <si>
    <t>CPT_214_P32</t>
  </si>
  <si>
    <t>CPT_214_P41</t>
  </si>
  <si>
    <t>CPT_214_P50</t>
  </si>
  <si>
    <t>CPT_214_S05</t>
  </si>
  <si>
    <t>CPT_214_S14</t>
  </si>
  <si>
    <t>CPT_214_S23</t>
  </si>
  <si>
    <t>CPT_214_S32</t>
  </si>
  <si>
    <t>CPT_214_S41</t>
  </si>
  <si>
    <t>CPT_214_S50</t>
  </si>
  <si>
    <t>CPT_221_P05</t>
  </si>
  <si>
    <t>CPT_221_P14</t>
  </si>
  <si>
    <t>CPT_221_P23</t>
  </si>
  <si>
    <t>CPT_221_P32</t>
  </si>
  <si>
    <t>CPT_221_P41</t>
  </si>
  <si>
    <t>CPT_221_P50</t>
  </si>
  <si>
    <t>CPT_221_S05</t>
  </si>
  <si>
    <t>CPT_221_S14</t>
  </si>
  <si>
    <t>CPT_221_S23</t>
  </si>
  <si>
    <t>CPT_221_S32</t>
  </si>
  <si>
    <t>CPT_221_S41</t>
  </si>
  <si>
    <t>CPT_221_S50</t>
  </si>
  <si>
    <t>CPT_224_P05</t>
  </si>
  <si>
    <t>CPT_224_P14</t>
  </si>
  <si>
    <t>CPT_224_P23</t>
  </si>
  <si>
    <t>CPT_224_P32</t>
  </si>
  <si>
    <t>CPT_224_P41</t>
  </si>
  <si>
    <t>CPT_224_P50</t>
  </si>
  <si>
    <t>CPT_224_S05</t>
  </si>
  <si>
    <t>CPT_224_S14</t>
  </si>
  <si>
    <t>CPT_224_S23</t>
  </si>
  <si>
    <t>CPT_224_S32</t>
  </si>
  <si>
    <t>CPT_224_S41</t>
  </si>
  <si>
    <t>CPT_224_S50</t>
  </si>
  <si>
    <t>CPT_229_P05</t>
  </si>
  <si>
    <t>CPT_229_P14</t>
  </si>
  <si>
    <t>CPT_229_P23</t>
  </si>
  <si>
    <t>CPT_229_P32</t>
  </si>
  <si>
    <t>CPT_229_P41</t>
  </si>
  <si>
    <t>CPT_229_P50</t>
  </si>
  <si>
    <t>CPT_229_S05</t>
  </si>
  <si>
    <t>CPT_229_S14</t>
  </si>
  <si>
    <t>CPT_229_S23</t>
  </si>
  <si>
    <t>CPT_229_S32</t>
  </si>
  <si>
    <t>CPT_229_S41</t>
  </si>
  <si>
    <t>CPT_229_S50</t>
  </si>
  <si>
    <t>CPT_254_P05</t>
  </si>
  <si>
    <t>CPT_254_P14</t>
  </si>
  <si>
    <t>CPT_254_P23</t>
  </si>
  <si>
    <t>CPT_254_P32</t>
  </si>
  <si>
    <t>CPT_254_P41</t>
  </si>
  <si>
    <t>CPT_254_P50</t>
  </si>
  <si>
    <t>CPT_254_S05</t>
  </si>
  <si>
    <t>CPT_254_S14</t>
  </si>
  <si>
    <t>CPT_254_S23</t>
  </si>
  <si>
    <t>CPT_254_S32</t>
  </si>
  <si>
    <t>CPT_254_S41</t>
  </si>
  <si>
    <t>CPT_254_S50</t>
  </si>
  <si>
    <t>CPT_255_P05</t>
  </si>
  <si>
    <t>CPT_255_P14</t>
  </si>
  <si>
    <t>CPT_255_P23</t>
  </si>
  <si>
    <t>CPT_255_P32</t>
  </si>
  <si>
    <t>CPT_255_P41</t>
  </si>
  <si>
    <t>CPT_255_P50</t>
  </si>
  <si>
    <t>CPT_255_S05</t>
  </si>
  <si>
    <t>CPT_255_S14</t>
  </si>
  <si>
    <t>CPT_255_S23</t>
  </si>
  <si>
    <t>CPT_255_S32</t>
  </si>
  <si>
    <t>CPT_255_S41</t>
  </si>
  <si>
    <t>CPT_255_S50</t>
  </si>
  <si>
    <t>CPT_259_P05</t>
  </si>
  <si>
    <t>CPT_259_P14</t>
  </si>
  <si>
    <t>CPT_259_P23</t>
  </si>
  <si>
    <t>CPT_259_P32</t>
  </si>
  <si>
    <t>CPT_259_P41</t>
  </si>
  <si>
    <t>CPT_259_P50</t>
  </si>
  <si>
    <t>CPT_259_S05</t>
  </si>
  <si>
    <t>CPT_259_S14</t>
  </si>
  <si>
    <t>CPT_259_S23</t>
  </si>
  <si>
    <t>CPT_259_S32</t>
  </si>
  <si>
    <t>CPT_259_S41</t>
  </si>
  <si>
    <t>CPT_259_S50</t>
  </si>
  <si>
    <t>CPT_321_P05</t>
  </si>
  <si>
    <t>CPT_321_P14</t>
  </si>
  <si>
    <t>CPT_321_P23</t>
  </si>
  <si>
    <t>CPT_321_P32</t>
  </si>
  <si>
    <t>CPT_321_P41</t>
  </si>
  <si>
    <t>CPT_321_P50</t>
  </si>
  <si>
    <t>CPT_321_S05</t>
  </si>
  <si>
    <t>CPT_321_S14</t>
  </si>
  <si>
    <t>CPT_321_S23</t>
  </si>
  <si>
    <t>CPT_321_S32</t>
  </si>
  <si>
    <t>CPT_321_S41</t>
  </si>
  <si>
    <t>CPT_321_S50</t>
  </si>
  <si>
    <t>CPT_329_P05</t>
  </si>
  <si>
    <t>CPT_329_P14</t>
  </si>
  <si>
    <t>CPT_329_P23</t>
  </si>
  <si>
    <t>CPT_329_P32</t>
  </si>
  <si>
    <t>CPT_329_P41</t>
  </si>
  <si>
    <t>CPT_329_P50</t>
  </si>
  <si>
    <t>CPT_329_S05</t>
  </si>
  <si>
    <t>CPT_329_S14</t>
  </si>
  <si>
    <t>CPT_329_S23</t>
  </si>
  <si>
    <t>CPT_329_S32</t>
  </si>
  <si>
    <t>CPT_329_S41</t>
  </si>
  <si>
    <t>CPT_329_S50</t>
  </si>
  <si>
    <t>CPT_336_P05</t>
  </si>
  <si>
    <t>CPT_336_P14</t>
  </si>
  <si>
    <t>CPT_336_P23</t>
  </si>
  <si>
    <t>CPT_336_P32</t>
  </si>
  <si>
    <t>CPT_336_P41</t>
  </si>
  <si>
    <t>CPT_336_P50</t>
  </si>
  <si>
    <t>CPT_336_S05</t>
  </si>
  <si>
    <t>CPT_336_S14</t>
  </si>
  <si>
    <t>CPT_336_S23</t>
  </si>
  <si>
    <t>CPT_336_S32</t>
  </si>
  <si>
    <t>CPT_336_S41</t>
  </si>
  <si>
    <t>CPT_336_S50</t>
  </si>
  <si>
    <t>CPT_193_P23</t>
  </si>
  <si>
    <t>CPT_193_P32</t>
  </si>
  <si>
    <t>CPT_193_P41</t>
  </si>
  <si>
    <t>CPT_193_P50</t>
  </si>
  <si>
    <t>CPT_033_P05</t>
  </si>
  <si>
    <t>CPT_033_P14</t>
  </si>
  <si>
    <t>CPT_033_P23</t>
  </si>
  <si>
    <t>CPT_033_P32</t>
  </si>
  <si>
    <t>CPT_033_P41</t>
  </si>
  <si>
    <t>CPT_033_P50</t>
  </si>
  <si>
    <t>CPT_033_S05</t>
  </si>
  <si>
    <t>CPT_033_S14</t>
  </si>
  <si>
    <t>CPT_033_S23</t>
  </si>
  <si>
    <t>CPT_033_S32</t>
  </si>
  <si>
    <t>CPT_033_S41</t>
  </si>
  <si>
    <t>CPT_033_S50</t>
  </si>
  <si>
    <t>BH_019_C00</t>
  </si>
  <si>
    <t>BH_019_P09</t>
  </si>
  <si>
    <t>BH_019_P18</t>
  </si>
  <si>
    <t>BH_019_P27</t>
  </si>
  <si>
    <t>BH_019_P36</t>
  </si>
  <si>
    <t>BH_019_P45</t>
  </si>
  <si>
    <t>BH_019_P54</t>
  </si>
  <si>
    <t>BH_019_P63</t>
  </si>
  <si>
    <t>BH_019_P72</t>
  </si>
  <si>
    <t>BH_019_S09</t>
  </si>
  <si>
    <t>BH_019_S18</t>
  </si>
  <si>
    <t>BH_019_S27</t>
  </si>
  <si>
    <t>BH_019_S36</t>
  </si>
  <si>
    <t>BH_019_S45</t>
  </si>
  <si>
    <t>BH_019_S54</t>
  </si>
  <si>
    <t>BH_019_S63</t>
  </si>
  <si>
    <t>BH_019_S72</t>
  </si>
  <si>
    <t>BH_022_C00</t>
  </si>
  <si>
    <t>BH_022_P09</t>
  </si>
  <si>
    <t>BH_022_P18</t>
  </si>
  <si>
    <t>BH_022_P27</t>
  </si>
  <si>
    <t>BH_022_P36</t>
  </si>
  <si>
    <t>BH_022_P45</t>
  </si>
  <si>
    <t>BH_022_P54</t>
  </si>
  <si>
    <t>BH_022_P63</t>
  </si>
  <si>
    <t>BH_022_P72</t>
  </si>
  <si>
    <t>BH_022_S09</t>
  </si>
  <si>
    <t>BH_022_S18</t>
  </si>
  <si>
    <t>BH_022_S27</t>
  </si>
  <si>
    <t>BH_022_S36</t>
  </si>
  <si>
    <t>BH_022_S45</t>
  </si>
  <si>
    <t>BH_022_S54</t>
  </si>
  <si>
    <t>BH_022_S63</t>
  </si>
  <si>
    <t>BH_022_S72</t>
  </si>
  <si>
    <t>BH_025_C00</t>
  </si>
  <si>
    <t>BH_025_P09</t>
  </si>
  <si>
    <t>BH_025_P18</t>
  </si>
  <si>
    <t>BH_025_P27</t>
  </si>
  <si>
    <t>BH_025_P36</t>
  </si>
  <si>
    <t>BH_025_P45</t>
  </si>
  <si>
    <t>BH_025_P54</t>
  </si>
  <si>
    <t>BH_025_P63</t>
  </si>
  <si>
    <t>BH_025_P72</t>
  </si>
  <si>
    <t>BH_025_S09</t>
  </si>
  <si>
    <t>BH_025_S18</t>
  </si>
  <si>
    <t>BH_025_S27</t>
  </si>
  <si>
    <t>BH_025_S36</t>
  </si>
  <si>
    <t>BH_025_S45</t>
  </si>
  <si>
    <t>BH_025_S54</t>
  </si>
  <si>
    <t>BH_025_S63</t>
  </si>
  <si>
    <t>BH_025_S72</t>
  </si>
  <si>
    <t>BH_052_C00</t>
  </si>
  <si>
    <t>BH_052_P09</t>
  </si>
  <si>
    <t>BH_052_P18</t>
  </si>
  <si>
    <t>BH_052_P27</t>
  </si>
  <si>
    <t>BH_052_P36</t>
  </si>
  <si>
    <t>BH_052_P45</t>
  </si>
  <si>
    <t>BH_052_P54</t>
  </si>
  <si>
    <t>BH_052_P63</t>
  </si>
  <si>
    <t>BH_052_P72</t>
  </si>
  <si>
    <t>BH_052_S09</t>
  </si>
  <si>
    <t>BH_052_S18</t>
  </si>
  <si>
    <t>BH_052_S27</t>
  </si>
  <si>
    <t>BH_052_S36</t>
  </si>
  <si>
    <t>BH_052_S45</t>
  </si>
  <si>
    <t>BH_052_S54</t>
  </si>
  <si>
    <t>BH_052_S63</t>
  </si>
  <si>
    <t>BH_052_S72</t>
  </si>
  <si>
    <t>BH_074_C00</t>
  </si>
  <si>
    <t>BH_074_P09</t>
  </si>
  <si>
    <t>BH_074_P18</t>
  </si>
  <si>
    <t>BH_074_P27</t>
  </si>
  <si>
    <t>BH_074_P36</t>
  </si>
  <si>
    <t>BH_074_P45</t>
  </si>
  <si>
    <t>BH_074_P54</t>
  </si>
  <si>
    <t>BH_074_P63</t>
  </si>
  <si>
    <t>BH_074_P72</t>
  </si>
  <si>
    <t>BH_074_S09</t>
  </si>
  <si>
    <t>BH_074_S18</t>
  </si>
  <si>
    <t>BH_074_S27</t>
  </si>
  <si>
    <t>BH_074_S36</t>
  </si>
  <si>
    <t>BH_074_S45</t>
  </si>
  <si>
    <t>BH_074_S54</t>
  </si>
  <si>
    <t>BH_074_S63</t>
  </si>
  <si>
    <t>BH_074_S72</t>
  </si>
  <si>
    <t>BH_090_C00</t>
  </si>
  <si>
    <t>BH_090_P09</t>
  </si>
  <si>
    <t>BH_090_P18</t>
  </si>
  <si>
    <t>BH_090_P27</t>
  </si>
  <si>
    <t>BH_090_P36</t>
  </si>
  <si>
    <t>BH_090_P45</t>
  </si>
  <si>
    <t>BH_090_P54</t>
  </si>
  <si>
    <t>BH_090_P63</t>
  </si>
  <si>
    <t>BH_090_P72</t>
  </si>
  <si>
    <t>BH_090_S09</t>
  </si>
  <si>
    <t>BH_090_S18</t>
  </si>
  <si>
    <t>BH_090_S27</t>
  </si>
  <si>
    <t>BH_090_S36</t>
  </si>
  <si>
    <t>BH_090_S45</t>
  </si>
  <si>
    <t>BH_090_S54</t>
  </si>
  <si>
    <t>BH_090_S63</t>
  </si>
  <si>
    <t>BH_090_S72</t>
  </si>
  <si>
    <t>BH_109_C00</t>
  </si>
  <si>
    <t>BH_109_P09</t>
  </si>
  <si>
    <t>BH_109_P18</t>
  </si>
  <si>
    <t>BH_109_P27</t>
  </si>
  <si>
    <t>BH_109_P36</t>
  </si>
  <si>
    <t>BH_109_P45</t>
  </si>
  <si>
    <t>BH_109_P54</t>
  </si>
  <si>
    <t>BH_109_P63</t>
  </si>
  <si>
    <t>BH_109_P72</t>
  </si>
  <si>
    <t>BH_109_S09</t>
  </si>
  <si>
    <t>BH_109_S18</t>
  </si>
  <si>
    <t>BH_109_S27</t>
  </si>
  <si>
    <t>BH_109_S36</t>
  </si>
  <si>
    <t>BH_109_S45</t>
  </si>
  <si>
    <t>BH_109_S54</t>
  </si>
  <si>
    <t>BH_109_S63</t>
  </si>
  <si>
    <t>BH_109_S72</t>
  </si>
  <si>
    <t>CPT_036_P05</t>
  </si>
  <si>
    <t>CPT_036_P14</t>
  </si>
  <si>
    <t>CPT_036_P23</t>
  </si>
  <si>
    <t>CPT_036_P32</t>
  </si>
  <si>
    <t>CPT_036_P41</t>
  </si>
  <si>
    <t>CPT_036_P50</t>
  </si>
  <si>
    <t>CPT_036_S05</t>
  </si>
  <si>
    <t>CPT_036_S14</t>
  </si>
  <si>
    <t>CPT_036_S23</t>
  </si>
  <si>
    <t>CPT_036_S32</t>
  </si>
  <si>
    <t>CPT_036_S41</t>
  </si>
  <si>
    <t>CPT_036_S50</t>
  </si>
  <si>
    <t>CPT_047_P05</t>
  </si>
  <si>
    <t>CPT_047_P14</t>
  </si>
  <si>
    <t>CPT_047_P23</t>
  </si>
  <si>
    <t>CPT_047_P32</t>
  </si>
  <si>
    <t>CPT_047_P41</t>
  </si>
  <si>
    <t>CPT_047_P50</t>
  </si>
  <si>
    <t>CPT_047_S05</t>
  </si>
  <si>
    <t>CPT_047_S14</t>
  </si>
  <si>
    <t>CPT_047_S23</t>
  </si>
  <si>
    <t>CPT_047_S32</t>
  </si>
  <si>
    <t>CPT_047_S41</t>
  </si>
  <si>
    <t>CPT_047_S50</t>
  </si>
  <si>
    <t>CPT_067_P05</t>
  </si>
  <si>
    <t>CPT_067_P14</t>
  </si>
  <si>
    <t>CPT_067_P23</t>
  </si>
  <si>
    <t>CPT_067_P32</t>
  </si>
  <si>
    <t>CPT_067_P41</t>
  </si>
  <si>
    <t>CPT_067_P50</t>
  </si>
  <si>
    <t>CPT_067_S05</t>
  </si>
  <si>
    <t>CPT_067_S14</t>
  </si>
  <si>
    <t>CPT_067_S23</t>
  </si>
  <si>
    <t>CPT_067_S32</t>
  </si>
  <si>
    <t>CPT_067_S41</t>
  </si>
  <si>
    <t>CPT_067_S50</t>
  </si>
  <si>
    <t>CPT_072_P05</t>
  </si>
  <si>
    <t>CPT_072_P14</t>
  </si>
  <si>
    <t>CPT_072_P23</t>
  </si>
  <si>
    <t>CPT_072_P32</t>
  </si>
  <si>
    <t>CPT_072_P41</t>
  </si>
  <si>
    <t>CPT_072_P50</t>
  </si>
  <si>
    <t>CPT_072_S05</t>
  </si>
  <si>
    <t>CPT_072_S14</t>
  </si>
  <si>
    <t>CPT_072_S23</t>
  </si>
  <si>
    <t>CPT_072_S32</t>
  </si>
  <si>
    <t>CPT_072_S41</t>
  </si>
  <si>
    <t>CPT_072_S50</t>
  </si>
  <si>
    <t>CPT_085_P05</t>
  </si>
  <si>
    <t>CPT_085_P14</t>
  </si>
  <si>
    <t>CPT_085_P23</t>
  </si>
  <si>
    <t>CPT_085_P32</t>
  </si>
  <si>
    <t>CPT_085_P41</t>
  </si>
  <si>
    <t>CPT_085_P50</t>
  </si>
  <si>
    <t>CPT_085_S05</t>
  </si>
  <si>
    <t>CPT_085_S14</t>
  </si>
  <si>
    <t>CPT_085_S23</t>
  </si>
  <si>
    <t>CPT_085_S32</t>
  </si>
  <si>
    <t>CPT_085_S41</t>
  </si>
  <si>
    <t>CPT_085_S50</t>
  </si>
  <si>
    <t>CPT_101_P05</t>
  </si>
  <si>
    <t>CPT_101_P14</t>
  </si>
  <si>
    <t>CPT_101_P23</t>
  </si>
  <si>
    <t>CPT_101_P32</t>
  </si>
  <si>
    <t>CPT_101_P41</t>
  </si>
  <si>
    <t>CPT_101_P50</t>
  </si>
  <si>
    <t>CPT_101_S05</t>
  </si>
  <si>
    <t>CPT_101_S14</t>
  </si>
  <si>
    <t>CPT_101_S23</t>
  </si>
  <si>
    <t>CPT_101_S32</t>
  </si>
  <si>
    <t>CPT_101_S41</t>
  </si>
  <si>
    <t>CPT_101_S50</t>
  </si>
  <si>
    <t>CPT_109_P05</t>
  </si>
  <si>
    <t>CPT_109_P14</t>
  </si>
  <si>
    <t>CPT_109_P23</t>
  </si>
  <si>
    <t>CPT_109_P32</t>
  </si>
  <si>
    <t>CPT_109_P41</t>
  </si>
  <si>
    <t>CPT_109_P50</t>
  </si>
  <si>
    <t>CPT_109_S05</t>
  </si>
  <si>
    <t>CPT_109_S14</t>
  </si>
  <si>
    <t>CPT_109_S23</t>
  </si>
  <si>
    <t>CPT_109_S32</t>
  </si>
  <si>
    <t>CPT_109_S41</t>
  </si>
  <si>
    <t>CPT_109_S50</t>
  </si>
  <si>
    <t>CPT_110_P05</t>
  </si>
  <si>
    <t>CPT_110_P14</t>
  </si>
  <si>
    <t>CPT_110_P23</t>
  </si>
  <si>
    <t>CPT_110_P32</t>
  </si>
  <si>
    <t>CPT_110_P41</t>
  </si>
  <si>
    <t>CPT_110_P50</t>
  </si>
  <si>
    <t>CPT_110_S05</t>
  </si>
  <si>
    <t>CPT_110_S14</t>
  </si>
  <si>
    <t>CPT_110_S23</t>
  </si>
  <si>
    <t>CPT_110_S32</t>
  </si>
  <si>
    <t>CPT_110_S41</t>
  </si>
  <si>
    <t>CPT_110_S50</t>
  </si>
  <si>
    <t>CPT_171_P05</t>
  </si>
  <si>
    <t>CPT_171_P14</t>
  </si>
  <si>
    <t>CPT_171_P23</t>
  </si>
  <si>
    <t>CPT_171_P32</t>
  </si>
  <si>
    <t>CPT_171_P41</t>
  </si>
  <si>
    <t>CPT_171_P50</t>
  </si>
  <si>
    <t>CPT_171_S05</t>
  </si>
  <si>
    <t>CPT_171_S14</t>
  </si>
  <si>
    <t>CPT_171_S23</t>
  </si>
  <si>
    <t>CPT_171_S32</t>
  </si>
  <si>
    <t>CPT_171_S41</t>
  </si>
  <si>
    <t>CPT_171_S50</t>
  </si>
  <si>
    <t>CPT_176_P05</t>
  </si>
  <si>
    <t>CPT_176_P14</t>
  </si>
  <si>
    <t>CPT_176_P23</t>
  </si>
  <si>
    <t>CPT_176_P32</t>
  </si>
  <si>
    <t>CPT_176_P41</t>
  </si>
  <si>
    <t>CPT_176_P50</t>
  </si>
  <si>
    <t>CPT_176_S05</t>
  </si>
  <si>
    <t>CPT_176_S14</t>
  </si>
  <si>
    <t>CPT_176_S23</t>
  </si>
  <si>
    <t>CPT_176_S32</t>
  </si>
  <si>
    <t>CPT_176_S41</t>
  </si>
  <si>
    <t>CPT_176_S50</t>
  </si>
  <si>
    <t>CPT_182_P05</t>
  </si>
  <si>
    <t>CPT_182_P14</t>
  </si>
  <si>
    <t>CPT_182_P23</t>
  </si>
  <si>
    <t>CPT_182_P32</t>
  </si>
  <si>
    <t>CPT_182_P41</t>
  </si>
  <si>
    <t>CPT_182_P50</t>
  </si>
  <si>
    <t>CPT_182_S05</t>
  </si>
  <si>
    <t>CPT_182_S14</t>
  </si>
  <si>
    <t>CPT_182_S23</t>
  </si>
  <si>
    <t>CPT_182_S32</t>
  </si>
  <si>
    <t>CPT_182_S41</t>
  </si>
  <si>
    <t>CPT_182_S50</t>
  </si>
  <si>
    <t>CPT_227_P05</t>
  </si>
  <si>
    <t>CPT_227_P14</t>
  </si>
  <si>
    <t>CPT_227_P23</t>
  </si>
  <si>
    <t>CPT_227_P32</t>
  </si>
  <si>
    <t>CPT_227_P41</t>
  </si>
  <si>
    <t>CPT_227_P50</t>
  </si>
  <si>
    <t>CPT_227_S05</t>
  </si>
  <si>
    <t>CPT_227_S14</t>
  </si>
  <si>
    <t>CPT_227_S23</t>
  </si>
  <si>
    <t>CPT_227_S32</t>
  </si>
  <si>
    <t>CPT_227_S41</t>
  </si>
  <si>
    <t>CPT_227_S50</t>
  </si>
  <si>
    <t>CPT_234_P05</t>
  </si>
  <si>
    <t>CPT_234_P14</t>
  </si>
  <si>
    <t>CPT_234_P23</t>
  </si>
  <si>
    <t>CPT_234_P32</t>
  </si>
  <si>
    <t>CPT_234_P41</t>
  </si>
  <si>
    <t>CPT_234_P50</t>
  </si>
  <si>
    <t>CPT_234_S05</t>
  </si>
  <si>
    <t>CPT_234_S14</t>
  </si>
  <si>
    <t>CPT_234_S23</t>
  </si>
  <si>
    <t>CPT_234_S32</t>
  </si>
  <si>
    <t>CPT_234_S41</t>
  </si>
  <si>
    <t>CPT_234_S50</t>
  </si>
  <si>
    <t>CPT_245_P05</t>
  </si>
  <si>
    <t>CPT_245_P14</t>
  </si>
  <si>
    <t>CPT_245_P23</t>
  </si>
  <si>
    <t>CPT_245_P32</t>
  </si>
  <si>
    <t>CPT_245_P41</t>
  </si>
  <si>
    <t>CPT_245_P50</t>
  </si>
  <si>
    <t>CPT_245_S05</t>
  </si>
  <si>
    <t>CPT_245_S14</t>
  </si>
  <si>
    <t>CPT_245_S23</t>
  </si>
  <si>
    <t>CPT_245_S32</t>
  </si>
  <si>
    <t>CPT_245_S41</t>
  </si>
  <si>
    <t>CPT_245_S50</t>
  </si>
  <si>
    <t>CPT_279_P05</t>
  </si>
  <si>
    <t>CPT_279_P14</t>
  </si>
  <si>
    <t>CPT_279_P23</t>
  </si>
  <si>
    <t>CPT_279_P32</t>
  </si>
  <si>
    <t>CPT_279_P41</t>
  </si>
  <si>
    <t>CPT_279_P50</t>
  </si>
  <si>
    <t>CPT_279_S05</t>
  </si>
  <si>
    <t>CPT_279_S14</t>
  </si>
  <si>
    <t>CPT_279_S23</t>
  </si>
  <si>
    <t>CPT_279_S32</t>
  </si>
  <si>
    <t>CPT_279_S41</t>
  </si>
  <si>
    <t>CPT_279_S50</t>
  </si>
  <si>
    <t>CPT_324_P05</t>
  </si>
  <si>
    <t>CPT_324_P14</t>
  </si>
  <si>
    <t>CPT_324_P23</t>
  </si>
  <si>
    <t>CPT_324_P32</t>
  </si>
  <si>
    <t>CPT_324_P41</t>
  </si>
  <si>
    <t>CPT_324_P50</t>
  </si>
  <si>
    <t>CPT_324_S05</t>
  </si>
  <si>
    <t>CPT_324_S14</t>
  </si>
  <si>
    <t>CPT_324_S23</t>
  </si>
  <si>
    <t>CPT_324_S32</t>
  </si>
  <si>
    <t>CPT_324_S41</t>
  </si>
  <si>
    <t>CPT_324_S50</t>
  </si>
  <si>
    <t>CPT_332_P05</t>
  </si>
  <si>
    <t>CPT_332_P14</t>
  </si>
  <si>
    <t>CPT_332_P23</t>
  </si>
  <si>
    <t>CPT_332_P32</t>
  </si>
  <si>
    <t>CPT_332_P41</t>
  </si>
  <si>
    <t>CPT_332_P50</t>
  </si>
  <si>
    <t>CPT_332_S05</t>
  </si>
  <si>
    <t>CPT_332_S14</t>
  </si>
  <si>
    <t>CPT_332_S23</t>
  </si>
  <si>
    <t>CPT_332_S32</t>
  </si>
  <si>
    <t>CPT_332_S41</t>
  </si>
  <si>
    <t>CPT_332_S50</t>
  </si>
  <si>
    <t>CPT_038_P05</t>
  </si>
  <si>
    <t>CPT_038_P14</t>
  </si>
  <si>
    <t>CPT_038_P23</t>
  </si>
  <si>
    <t>CPT_038_P32</t>
  </si>
  <si>
    <t>CPT_038_P41</t>
  </si>
  <si>
    <t>CPT_038_P50</t>
  </si>
  <si>
    <t>CPT_038_S05</t>
  </si>
  <si>
    <t>CPT_038_S14</t>
  </si>
  <si>
    <t>CPT_038_S23</t>
  </si>
  <si>
    <t>CPT_038_S32</t>
  </si>
  <si>
    <t>CPT_038_S41</t>
  </si>
  <si>
    <t>CPT_038_S50</t>
  </si>
  <si>
    <t>CPT_050_P05</t>
  </si>
  <si>
    <t>CPT_050_P14</t>
  </si>
  <si>
    <t>CPT_050_P23</t>
  </si>
  <si>
    <t>CPT_050_P32</t>
  </si>
  <si>
    <t>CPT_050_P41</t>
  </si>
  <si>
    <t>CPT_050_P50</t>
  </si>
  <si>
    <t>CPT_050_S05</t>
  </si>
  <si>
    <t>CPT_050_S14</t>
  </si>
  <si>
    <t>CPT_050_S23</t>
  </si>
  <si>
    <t>CPT_050_S32</t>
  </si>
  <si>
    <t>CPT_050_S41</t>
  </si>
  <si>
    <t>CPT_050_S50</t>
  </si>
  <si>
    <t>CPT_066_P05</t>
  </si>
  <si>
    <t>CPT_066_P14</t>
  </si>
  <si>
    <t>CPT_066_P23</t>
  </si>
  <si>
    <t>CPT_066_P32</t>
  </si>
  <si>
    <t>CPT_066_P41</t>
  </si>
  <si>
    <t>CPT_066_P50</t>
  </si>
  <si>
    <t>CPT_066_S05</t>
  </si>
  <si>
    <t>CPT_066_S14</t>
  </si>
  <si>
    <t>CPT_066_S23</t>
  </si>
  <si>
    <t>CPT_066_S32</t>
  </si>
  <si>
    <t>CPT_066_S41</t>
  </si>
  <si>
    <t>CPT_066_S50</t>
  </si>
  <si>
    <t>BM07 Borehole</t>
  </si>
  <si>
    <t>BM07 CPT</t>
  </si>
  <si>
    <t>BH_029_C00</t>
  </si>
  <si>
    <t>BH_029_P09</t>
  </si>
  <si>
    <t>BH_029_P18</t>
  </si>
  <si>
    <t>BH_029_P27</t>
  </si>
  <si>
    <t>BH_029_P36</t>
  </si>
  <si>
    <t>BH_029_P45</t>
  </si>
  <si>
    <t>BH_029_P54</t>
  </si>
  <si>
    <t>BH_029_P63</t>
  </si>
  <si>
    <t>BH_029_P72</t>
  </si>
  <si>
    <t>BH_029_S09</t>
  </si>
  <si>
    <t>BH_029_S18</t>
  </si>
  <si>
    <t>BH_029_S27</t>
  </si>
  <si>
    <t>BH_029_S36</t>
  </si>
  <si>
    <t>BH_029_S45</t>
  </si>
  <si>
    <t>BH_029_S54</t>
  </si>
  <si>
    <t>BH_029_S63</t>
  </si>
  <si>
    <t>BH_029_S72</t>
  </si>
  <si>
    <t>BM08 Borehole</t>
  </si>
  <si>
    <t>BM08 CPT</t>
  </si>
  <si>
    <t>BH_059_C00</t>
  </si>
  <si>
    <t>BH_059_P09</t>
  </si>
  <si>
    <t>BH_059_P18</t>
  </si>
  <si>
    <t>BH_059_P27</t>
  </si>
  <si>
    <t>BH_059_P36</t>
  </si>
  <si>
    <t>BH_059_P45</t>
  </si>
  <si>
    <t>BH_059_P54</t>
  </si>
  <si>
    <t>BH_059_P63</t>
  </si>
  <si>
    <t>BH_059_P72</t>
  </si>
  <si>
    <t>BH_059_S09</t>
  </si>
  <si>
    <t>BH_059_S18</t>
  </si>
  <si>
    <t>BH_059_S27</t>
  </si>
  <si>
    <t>BH_059_S36</t>
  </si>
  <si>
    <t>BH_059_S45</t>
  </si>
  <si>
    <t>BH_059_S54</t>
  </si>
  <si>
    <t>BH_059_S63</t>
  </si>
  <si>
    <t>BH_059_S72</t>
  </si>
  <si>
    <t>BH_070_C00</t>
  </si>
  <si>
    <t>BH_070_P09</t>
  </si>
  <si>
    <t>BH_070_P18</t>
  </si>
  <si>
    <t>BH_070_P27</t>
  </si>
  <si>
    <t>BH_070_P36</t>
  </si>
  <si>
    <t>BH_070_P45</t>
  </si>
  <si>
    <t>BH_070_P54</t>
  </si>
  <si>
    <t>BH_070_P63</t>
  </si>
  <si>
    <t>BH_070_P72</t>
  </si>
  <si>
    <t>BH_070_S09</t>
  </si>
  <si>
    <t>BH_070_S18</t>
  </si>
  <si>
    <t>BH_070_S27</t>
  </si>
  <si>
    <t>BH_070_S36</t>
  </si>
  <si>
    <t>BH_070_S45</t>
  </si>
  <si>
    <t>BH_070_S54</t>
  </si>
  <si>
    <t>BH_070_S63</t>
  </si>
  <si>
    <t>BH_070_S72</t>
  </si>
  <si>
    <t>BH_093_C00</t>
  </si>
  <si>
    <t>BH_093_P09</t>
  </si>
  <si>
    <t>BH_093_P18</t>
  </si>
  <si>
    <t>BH_093_P27</t>
  </si>
  <si>
    <t>BH_093_P36</t>
  </si>
  <si>
    <t>BH_093_P45</t>
  </si>
  <si>
    <t>BH_093_P54</t>
  </si>
  <si>
    <t>BH_093_P63</t>
  </si>
  <si>
    <t>BH_093_P72</t>
  </si>
  <si>
    <t>BH_093_S09</t>
  </si>
  <si>
    <t>BH_093_S18</t>
  </si>
  <si>
    <t>BH_093_S27</t>
  </si>
  <si>
    <t>BH_093_S36</t>
  </si>
  <si>
    <t>BH_093_S45</t>
  </si>
  <si>
    <t>BH_093_S54</t>
  </si>
  <si>
    <t>BH_093_S63</t>
  </si>
  <si>
    <t>BH_093_S72</t>
  </si>
  <si>
    <t>BH_101_C00</t>
  </si>
  <si>
    <t>BH_101_P09</t>
  </si>
  <si>
    <t>BH_101_P18</t>
  </si>
  <si>
    <t>BH_101_P27</t>
  </si>
  <si>
    <t>BH_101_P36</t>
  </si>
  <si>
    <t>BH_101_P45</t>
  </si>
  <si>
    <t>BH_101_P54</t>
  </si>
  <si>
    <t>BH_101_P63</t>
  </si>
  <si>
    <t>BH_101_P72</t>
  </si>
  <si>
    <t>BH_101_S09</t>
  </si>
  <si>
    <t>BH_101_S18</t>
  </si>
  <si>
    <t>BH_101_S27</t>
  </si>
  <si>
    <t>BH_101_S36</t>
  </si>
  <si>
    <t>BH_101_S45</t>
  </si>
  <si>
    <t>BH_101_S54</t>
  </si>
  <si>
    <t>BH_101_S63</t>
  </si>
  <si>
    <t>BH_101_S72</t>
  </si>
  <si>
    <t>BH_106_C00</t>
  </si>
  <si>
    <t>BH_106_P09</t>
  </si>
  <si>
    <t>BH_106_P18</t>
  </si>
  <si>
    <t>BH_106_P27</t>
  </si>
  <si>
    <t>BH_106_P36</t>
  </si>
  <si>
    <t>BH_106_P45</t>
  </si>
  <si>
    <t>BH_106_P54</t>
  </si>
  <si>
    <t>BH_106_P63</t>
  </si>
  <si>
    <t>BH_106_P72</t>
  </si>
  <si>
    <t>BH_106_S09</t>
  </si>
  <si>
    <t>BH_106_S18</t>
  </si>
  <si>
    <t>BH_106_S27</t>
  </si>
  <si>
    <t>BH_106_S36</t>
  </si>
  <si>
    <t>BH_106_S45</t>
  </si>
  <si>
    <t>BH_106_S54</t>
  </si>
  <si>
    <t>BH_106_S63</t>
  </si>
  <si>
    <t>BH_106_S72</t>
  </si>
  <si>
    <t>BH_125_C00</t>
  </si>
  <si>
    <t>BH_125_P09</t>
  </si>
  <si>
    <t>BH_125_P18</t>
  </si>
  <si>
    <t>BH_125_P27</t>
  </si>
  <si>
    <t>BH_125_P36</t>
  </si>
  <si>
    <t>BH_125_P45</t>
  </si>
  <si>
    <t>BH_125_P54</t>
  </si>
  <si>
    <t>BH_125_P63</t>
  </si>
  <si>
    <t>BH_125_P72</t>
  </si>
  <si>
    <t>BH_125_S09</t>
  </si>
  <si>
    <t>BH_125_S18</t>
  </si>
  <si>
    <t>BH_125_S27</t>
  </si>
  <si>
    <t>BH_125_S36</t>
  </si>
  <si>
    <t>BH_125_S45</t>
  </si>
  <si>
    <t>BH_125_S54</t>
  </si>
  <si>
    <t>BH_125_S63</t>
  </si>
  <si>
    <t>BH_125_S72</t>
  </si>
  <si>
    <t>BH_134_C00</t>
  </si>
  <si>
    <t>BH_134_P09</t>
  </si>
  <si>
    <t>BH_134_P18</t>
  </si>
  <si>
    <t>BH_134_P27</t>
  </si>
  <si>
    <t>BH_134_P36</t>
  </si>
  <si>
    <t>BH_134_P45</t>
  </si>
  <si>
    <t>BH_134_P54</t>
  </si>
  <si>
    <t>BH_134_P63</t>
  </si>
  <si>
    <t>BH_134_P72</t>
  </si>
  <si>
    <t>BH_134_S09</t>
  </si>
  <si>
    <t>BH_134_S18</t>
  </si>
  <si>
    <t>BH_134_S27</t>
  </si>
  <si>
    <t>BH_134_S36</t>
  </si>
  <si>
    <t>BH_134_S45</t>
  </si>
  <si>
    <t>BH_134_S54</t>
  </si>
  <si>
    <t>BH_134_S63</t>
  </si>
  <si>
    <t>BH_134_S72</t>
  </si>
  <si>
    <t>BH_140_C00</t>
  </si>
  <si>
    <t>BH_140_P09</t>
  </si>
  <si>
    <t>BH_140_P18</t>
  </si>
  <si>
    <t>BH_140_P27</t>
  </si>
  <si>
    <t>BH_140_P36</t>
  </si>
  <si>
    <t>BH_140_P45</t>
  </si>
  <si>
    <t>BH_140_P54</t>
  </si>
  <si>
    <t>BH_140_P63</t>
  </si>
  <si>
    <t>BH_140_P72</t>
  </si>
  <si>
    <t>BH_140_S09</t>
  </si>
  <si>
    <t>BH_140_S18</t>
  </si>
  <si>
    <t>BH_140_S27</t>
  </si>
  <si>
    <t>BH_140_S36</t>
  </si>
  <si>
    <t>BH_140_S45</t>
  </si>
  <si>
    <t>BH_140_S54</t>
  </si>
  <si>
    <t>BH_140_S63</t>
  </si>
  <si>
    <t>BH_140_S72</t>
  </si>
  <si>
    <t>CPT_068_P05</t>
  </si>
  <si>
    <t>CPT_068_P14</t>
  </si>
  <si>
    <t>CPT_068_P23</t>
  </si>
  <si>
    <t>CPT_068_P32</t>
  </si>
  <si>
    <t>CPT_068_P41</t>
  </si>
  <si>
    <t>CPT_068_P50</t>
  </si>
  <si>
    <t>CPT_068_S05</t>
  </si>
  <si>
    <t>CPT_068_S14</t>
  </si>
  <si>
    <t>CPT_068_S23</t>
  </si>
  <si>
    <t>CPT_068_S32</t>
  </si>
  <si>
    <t>CPT_068_S41</t>
  </si>
  <si>
    <t>CPT_068_S50</t>
  </si>
  <si>
    <t>CPT_086_P05</t>
  </si>
  <si>
    <t>CPT_086_P14</t>
  </si>
  <si>
    <t>CPT_086_P23</t>
  </si>
  <si>
    <t>CPT_086_P32</t>
  </si>
  <si>
    <t>CPT_086_P41</t>
  </si>
  <si>
    <t>CPT_086_P50</t>
  </si>
  <si>
    <t>CPT_086_S05</t>
  </si>
  <si>
    <t>CPT_086_S14</t>
  </si>
  <si>
    <t>CPT_086_S23</t>
  </si>
  <si>
    <t>CPT_086_S32</t>
  </si>
  <si>
    <t>CPT_086_S41</t>
  </si>
  <si>
    <t>CPT_086_S50</t>
  </si>
  <si>
    <t>CPT_117_P05</t>
  </si>
  <si>
    <t>CPT_117_P14</t>
  </si>
  <si>
    <t>CPT_117_P23</t>
  </si>
  <si>
    <t>CPT_117_P32</t>
  </si>
  <si>
    <t>CPT_117_P41</t>
  </si>
  <si>
    <t>CPT_117_P50</t>
  </si>
  <si>
    <t>CPT_117_S05</t>
  </si>
  <si>
    <t>CPT_117_S14</t>
  </si>
  <si>
    <t>CPT_117_S23</t>
  </si>
  <si>
    <t>CPT_117_S32</t>
  </si>
  <si>
    <t>CPT_117_S41</t>
  </si>
  <si>
    <t>CPT_117_S50</t>
  </si>
  <si>
    <t>CPT_141_P05</t>
  </si>
  <si>
    <t>CPT_141_P14</t>
  </si>
  <si>
    <t>CPT_141_P23</t>
  </si>
  <si>
    <t>CPT_141_P32</t>
  </si>
  <si>
    <t>CPT_141_P41</t>
  </si>
  <si>
    <t>CPT_141_P50</t>
  </si>
  <si>
    <t>CPT_141_S05</t>
  </si>
  <si>
    <t>CPT_141_S14</t>
  </si>
  <si>
    <t>CPT_141_S23</t>
  </si>
  <si>
    <t>CPT_141_S32</t>
  </si>
  <si>
    <t>CPT_141_S41</t>
  </si>
  <si>
    <t>CPT_141_S50</t>
  </si>
  <si>
    <t>CPT_144_P05</t>
  </si>
  <si>
    <t>CPT_144_P14</t>
  </si>
  <si>
    <t>CPT_144_P23</t>
  </si>
  <si>
    <t>CPT_144_P32</t>
  </si>
  <si>
    <t>CPT_144_P41</t>
  </si>
  <si>
    <t>CPT_144_P50</t>
  </si>
  <si>
    <t>CPT_144_S05</t>
  </si>
  <si>
    <t>CPT_144_S14</t>
  </si>
  <si>
    <t>CPT_144_S23</t>
  </si>
  <si>
    <t>CPT_144_S32</t>
  </si>
  <si>
    <t>CPT_144_S41</t>
  </si>
  <si>
    <t>CPT_144_S50</t>
  </si>
  <si>
    <t>CPT_145_P05</t>
  </si>
  <si>
    <t>CPT_145_P14</t>
  </si>
  <si>
    <t>CPT_145_P23</t>
  </si>
  <si>
    <t>CPT_145_P32</t>
  </si>
  <si>
    <t>CPT_145_P41</t>
  </si>
  <si>
    <t>CPT_145_P50</t>
  </si>
  <si>
    <t>CPT_145_S05</t>
  </si>
  <si>
    <t>CPT_145_S14</t>
  </si>
  <si>
    <t>CPT_145_S23</t>
  </si>
  <si>
    <t>CPT_145_S32</t>
  </si>
  <si>
    <t>CPT_145_S41</t>
  </si>
  <si>
    <t>CPT_145_S50</t>
  </si>
  <si>
    <t>CPT_159_P05</t>
  </si>
  <si>
    <t>CPT_159_P14</t>
  </si>
  <si>
    <t>CPT_159_P23</t>
  </si>
  <si>
    <t>CPT_159_P32</t>
  </si>
  <si>
    <t>CPT_159_P41</t>
  </si>
  <si>
    <t>CPT_159_P50</t>
  </si>
  <si>
    <t>CPT_159_S05</t>
  </si>
  <si>
    <t>CPT_159_S14</t>
  </si>
  <si>
    <t>CPT_159_S23</t>
  </si>
  <si>
    <t>CPT_159_S32</t>
  </si>
  <si>
    <t>CPT_159_S41</t>
  </si>
  <si>
    <t>CPT_159_S50</t>
  </si>
  <si>
    <t>CPT_166_P05</t>
  </si>
  <si>
    <t>CPT_166_P14</t>
  </si>
  <si>
    <t>CPT_166_P23</t>
  </si>
  <si>
    <t>CPT_166_P32</t>
  </si>
  <si>
    <t>CPT_166_P41</t>
  </si>
  <si>
    <t>CPT_166_P50</t>
  </si>
  <si>
    <t>CPT_166_S05</t>
  </si>
  <si>
    <t>CPT_166_S14</t>
  </si>
  <si>
    <t>CPT_166_S23</t>
  </si>
  <si>
    <t>CPT_166_S32</t>
  </si>
  <si>
    <t>CPT_166_S41</t>
  </si>
  <si>
    <t>CPT_166_S50</t>
  </si>
  <si>
    <t>CPT_175_P05</t>
  </si>
  <si>
    <t>CPT_175_P14</t>
  </si>
  <si>
    <t>CPT_175_P23</t>
  </si>
  <si>
    <t>CPT_175_P32</t>
  </si>
  <si>
    <t>CPT_175_P41</t>
  </si>
  <si>
    <t>CPT_175_P50</t>
  </si>
  <si>
    <t>CPT_175_S05</t>
  </si>
  <si>
    <t>CPT_175_S14</t>
  </si>
  <si>
    <t>CPT_175_S23</t>
  </si>
  <si>
    <t>CPT_175_S32</t>
  </si>
  <si>
    <t>CPT_175_S41</t>
  </si>
  <si>
    <t>CPT_175_S50</t>
  </si>
  <si>
    <t>CPT_183_P05</t>
  </si>
  <si>
    <t>CPT_183_P14</t>
  </si>
  <si>
    <t>CPT_183_P23</t>
  </si>
  <si>
    <t>CPT_183_P32</t>
  </si>
  <si>
    <t>CPT_183_P41</t>
  </si>
  <si>
    <t>CPT_183_P50</t>
  </si>
  <si>
    <t>CPT_183_S05</t>
  </si>
  <si>
    <t>CPT_183_S14</t>
  </si>
  <si>
    <t>CPT_183_S23</t>
  </si>
  <si>
    <t>CPT_183_S32</t>
  </si>
  <si>
    <t>CPT_183_S41</t>
  </si>
  <si>
    <t>CPT_183_S50</t>
  </si>
  <si>
    <t>CPT_228_P05</t>
  </si>
  <si>
    <t>CPT_228_P14</t>
  </si>
  <si>
    <t>CPT_228_P23</t>
  </si>
  <si>
    <t>CPT_228_P32</t>
  </si>
  <si>
    <t>CPT_228_P41</t>
  </si>
  <si>
    <t>CPT_228_P50</t>
  </si>
  <si>
    <t>CPT_228_S05</t>
  </si>
  <si>
    <t>CPT_228_S14</t>
  </si>
  <si>
    <t>CPT_228_S23</t>
  </si>
  <si>
    <t>CPT_228_S32</t>
  </si>
  <si>
    <t>CPT_228_S41</t>
  </si>
  <si>
    <t>CPT_228_S50</t>
  </si>
  <si>
    <t>CPT_246_P05</t>
  </si>
  <si>
    <t>CPT_246_P14</t>
  </si>
  <si>
    <t>CPT_246_P23</t>
  </si>
  <si>
    <t>CPT_246_P32</t>
  </si>
  <si>
    <t>CPT_246_P41</t>
  </si>
  <si>
    <t>CPT_246_P50</t>
  </si>
  <si>
    <t>CPT_246_S05</t>
  </si>
  <si>
    <t>CPT_246_S14</t>
  </si>
  <si>
    <t>CPT_246_S23</t>
  </si>
  <si>
    <t>CPT_246_S32</t>
  </si>
  <si>
    <t>CPT_246_S41</t>
  </si>
  <si>
    <t>CPT_246_S50</t>
  </si>
  <si>
    <t>CPT_296_P05</t>
  </si>
  <si>
    <t>CPT_296_P14</t>
  </si>
  <si>
    <t>CPT_296_P23</t>
  </si>
  <si>
    <t>CPT_296_P32</t>
  </si>
  <si>
    <t>CPT_296_P41</t>
  </si>
  <si>
    <t>CPT_296_P50</t>
  </si>
  <si>
    <t>CPT_296_S05</t>
  </si>
  <si>
    <t>CPT_296_S14</t>
  </si>
  <si>
    <t>CPT_296_S23</t>
  </si>
  <si>
    <t>CPT_296_S32</t>
  </si>
  <si>
    <t>CPT_296_S41</t>
  </si>
  <si>
    <t>CPT_296_S50</t>
  </si>
  <si>
    <t>CPT_326_P05</t>
  </si>
  <si>
    <t>CPT_326_P14</t>
  </si>
  <si>
    <t>CPT_326_P23</t>
  </si>
  <si>
    <t>CPT_326_P32</t>
  </si>
  <si>
    <t>CPT_326_P41</t>
  </si>
  <si>
    <t>CPT_326_P50</t>
  </si>
  <si>
    <t>CPT_326_S05</t>
  </si>
  <si>
    <t>CPT_326_S14</t>
  </si>
  <si>
    <t>CPT_326_S23</t>
  </si>
  <si>
    <t>CPT_326_S32</t>
  </si>
  <si>
    <t>CPT_326_S41</t>
  </si>
  <si>
    <t>CPT_326_S50</t>
  </si>
  <si>
    <t>CPT_330_P05</t>
  </si>
  <si>
    <t>CPT_330_P14</t>
  </si>
  <si>
    <t>CPT_330_P23</t>
  </si>
  <si>
    <t>CPT_330_P32</t>
  </si>
  <si>
    <t>CPT_330_P41</t>
  </si>
  <si>
    <t>CPT_330_P50</t>
  </si>
  <si>
    <t>CPT_330_S05</t>
  </si>
  <si>
    <t>CPT_330_S14</t>
  </si>
  <si>
    <t>CPT_330_S23</t>
  </si>
  <si>
    <t>CPT_330_S32</t>
  </si>
  <si>
    <t>CPT_330_S41</t>
  </si>
  <si>
    <t>CPT_330_S50</t>
  </si>
  <si>
    <t>CPT_331_P05</t>
  </si>
  <si>
    <t>CPT_331_P14</t>
  </si>
  <si>
    <t>CPT_331_P23</t>
  </si>
  <si>
    <t>CPT_331_P32</t>
  </si>
  <si>
    <t>CPT_331_P41</t>
  </si>
  <si>
    <t>CPT_331_P50</t>
  </si>
  <si>
    <t>CPT_331_S05</t>
  </si>
  <si>
    <t>CPT_331_S14</t>
  </si>
  <si>
    <t>CPT_331_S23</t>
  </si>
  <si>
    <t>CPT_331_S32</t>
  </si>
  <si>
    <t>CPT_331_S41</t>
  </si>
  <si>
    <t>CPT_331_S50</t>
  </si>
  <si>
    <t>BM09 Borehole</t>
  </si>
  <si>
    <t>BM09 CPT</t>
  </si>
  <si>
    <t>BH_030_C00</t>
  </si>
  <si>
    <t>BH_030_P09</t>
  </si>
  <si>
    <t>BH_030_P18</t>
  </si>
  <si>
    <t>BH_030_P27</t>
  </si>
  <si>
    <t>BH_030_P36</t>
  </si>
  <si>
    <t>BH_030_P45</t>
  </si>
  <si>
    <t>BH_030_P54</t>
  </si>
  <si>
    <t>BH_030_P63</t>
  </si>
  <si>
    <t>BH_030_P72</t>
  </si>
  <si>
    <t>BH_030_S09</t>
  </si>
  <si>
    <t>BH_030_S18</t>
  </si>
  <si>
    <t>BH_030_S27</t>
  </si>
  <si>
    <t>BH_030_S36</t>
  </si>
  <si>
    <t>BH_030_S45</t>
  </si>
  <si>
    <t>BH_030_S54</t>
  </si>
  <si>
    <t>BH_030_S63</t>
  </si>
  <si>
    <t>BH_030_S72</t>
  </si>
  <si>
    <t>BH_031_C00</t>
  </si>
  <si>
    <t>BH_031_P09</t>
  </si>
  <si>
    <t>BH_031_P18</t>
  </si>
  <si>
    <t>BH_031_P27</t>
  </si>
  <si>
    <t>BH_031_P36</t>
  </si>
  <si>
    <t>BH_031_P45</t>
  </si>
  <si>
    <t>BH_031_P54</t>
  </si>
  <si>
    <t>BH_031_P63</t>
  </si>
  <si>
    <t>BH_031_P72</t>
  </si>
  <si>
    <t>BH_031_S09</t>
  </si>
  <si>
    <t>BH_031_S18</t>
  </si>
  <si>
    <t>BH_031_S27</t>
  </si>
  <si>
    <t>BH_031_S36</t>
  </si>
  <si>
    <t>BH_031_S45</t>
  </si>
  <si>
    <t>BH_031_S54</t>
  </si>
  <si>
    <t>BH_031_S63</t>
  </si>
  <si>
    <t>BH_031_S72</t>
  </si>
  <si>
    <t>BH_048_C00</t>
  </si>
  <si>
    <t>BH_048_P09</t>
  </si>
  <si>
    <t>BH_048_P18</t>
  </si>
  <si>
    <t>BH_048_P27</t>
  </si>
  <si>
    <t>BH_048_P36</t>
  </si>
  <si>
    <t>BH_048_P45</t>
  </si>
  <si>
    <t>BH_048_P54</t>
  </si>
  <si>
    <t>BH_048_P63</t>
  </si>
  <si>
    <t>BH_048_P72</t>
  </si>
  <si>
    <t>BH_048_S09</t>
  </si>
  <si>
    <t>BH_048_S18</t>
  </si>
  <si>
    <t>BH_048_S27</t>
  </si>
  <si>
    <t>BH_048_S36</t>
  </si>
  <si>
    <t>BH_048_S45</t>
  </si>
  <si>
    <t>BH_048_S54</t>
  </si>
  <si>
    <t>BH_048_S63</t>
  </si>
  <si>
    <t>BH_048_S72</t>
  </si>
  <si>
    <t>BH_058_C00</t>
  </si>
  <si>
    <t>BH_058_P09</t>
  </si>
  <si>
    <t>BH_058_P18</t>
  </si>
  <si>
    <t>BH_058_P27</t>
  </si>
  <si>
    <t>BH_058_P36</t>
  </si>
  <si>
    <t>BH_058_P45</t>
  </si>
  <si>
    <t>BH_058_P54</t>
  </si>
  <si>
    <t>BH_058_P63</t>
  </si>
  <si>
    <t>BH_058_P72</t>
  </si>
  <si>
    <t>BH_058_S09</t>
  </si>
  <si>
    <t>BH_058_S18</t>
  </si>
  <si>
    <t>BH_058_S27</t>
  </si>
  <si>
    <t>BH_058_S36</t>
  </si>
  <si>
    <t>BH_058_S45</t>
  </si>
  <si>
    <t>BH_058_S54</t>
  </si>
  <si>
    <t>BH_058_S63</t>
  </si>
  <si>
    <t>BH_058_S72</t>
  </si>
  <si>
    <t>BH_063_C00</t>
  </si>
  <si>
    <t>BH_063_P09</t>
  </si>
  <si>
    <t>BH_063_P18</t>
  </si>
  <si>
    <t>BH_063_P27</t>
  </si>
  <si>
    <t>BH_063_P36</t>
  </si>
  <si>
    <t>BH_063_P45</t>
  </si>
  <si>
    <t>BH_063_P54</t>
  </si>
  <si>
    <t>BH_063_P63</t>
  </si>
  <si>
    <t>BH_063_P72</t>
  </si>
  <si>
    <t>BH_063_S09</t>
  </si>
  <si>
    <t>BH_063_S18</t>
  </si>
  <si>
    <t>BH_063_S27</t>
  </si>
  <si>
    <t>BH_063_S36</t>
  </si>
  <si>
    <t>BH_063_S45</t>
  </si>
  <si>
    <t>BH_063_S54</t>
  </si>
  <si>
    <t>BH_063_S63</t>
  </si>
  <si>
    <t>BH_063_S72</t>
  </si>
  <si>
    <t>BH_076_C00</t>
  </si>
  <si>
    <t>BH_076_P09</t>
  </si>
  <si>
    <t>BH_076_P18</t>
  </si>
  <si>
    <t>BH_076_P27</t>
  </si>
  <si>
    <t>BH_076_P36</t>
  </si>
  <si>
    <t>BH_076_P45</t>
  </si>
  <si>
    <t>BH_076_P54</t>
  </si>
  <si>
    <t>BH_076_P63</t>
  </si>
  <si>
    <t>BH_076_P72</t>
  </si>
  <si>
    <t>BH_076_S09</t>
  </si>
  <si>
    <t>BH_076_S18</t>
  </si>
  <si>
    <t>BH_076_S27</t>
  </si>
  <si>
    <t>BH_076_S36</t>
  </si>
  <si>
    <t>BH_076_S45</t>
  </si>
  <si>
    <t>BH_076_S54</t>
  </si>
  <si>
    <t>BH_076_S63</t>
  </si>
  <si>
    <t>BH_076_S72</t>
  </si>
  <si>
    <t>BH_110_C00</t>
  </si>
  <si>
    <t>BH_110_P09</t>
  </si>
  <si>
    <t>BH_110_P18</t>
  </si>
  <si>
    <t>BH_110_P27</t>
  </si>
  <si>
    <t>BH_110_P36</t>
  </si>
  <si>
    <t>BH_110_P45</t>
  </si>
  <si>
    <t>BH_110_P54</t>
  </si>
  <si>
    <t>BH_110_P63</t>
  </si>
  <si>
    <t>BH_110_P72</t>
  </si>
  <si>
    <t>BH_110_S09</t>
  </si>
  <si>
    <t>BH_110_S18</t>
  </si>
  <si>
    <t>BH_110_S27</t>
  </si>
  <si>
    <t>BH_110_S36</t>
  </si>
  <si>
    <t>BH_110_S45</t>
  </si>
  <si>
    <t>BH_110_S54</t>
  </si>
  <si>
    <t>BH_110_S63</t>
  </si>
  <si>
    <t>BH_110_S72</t>
  </si>
  <si>
    <t>CPT_302_P05</t>
  </si>
  <si>
    <t>CPT_302_P14</t>
  </si>
  <si>
    <t>CPT_302_P23</t>
  </si>
  <si>
    <t>CPT_302_P32</t>
  </si>
  <si>
    <t>CPT_302_P41</t>
  </si>
  <si>
    <t>CPT_302_P50</t>
  </si>
  <si>
    <t>CPT_302_S05</t>
  </si>
  <si>
    <t>CPT_302_S14</t>
  </si>
  <si>
    <t>CPT_302_S23</t>
  </si>
  <si>
    <t>CPT_302_S32</t>
  </si>
  <si>
    <t>CPT_302_S41</t>
  </si>
  <si>
    <t>CPT_302_S50</t>
  </si>
  <si>
    <t>CPT_045_P05</t>
  </si>
  <si>
    <t>CPT_045_P14</t>
  </si>
  <si>
    <t>CPT_045_P23</t>
  </si>
  <si>
    <t>CPT_045_P32</t>
  </si>
  <si>
    <t>CPT_045_P41</t>
  </si>
  <si>
    <t>CPT_045_P50</t>
  </si>
  <si>
    <t>CPT_045_S05</t>
  </si>
  <si>
    <t>CPT_045_S14</t>
  </si>
  <si>
    <t>CPT_045_S23</t>
  </si>
  <si>
    <t>CPT_045_S32</t>
  </si>
  <si>
    <t>CPT_045_S41</t>
  </si>
  <si>
    <t>CPT_045_S50</t>
  </si>
  <si>
    <t>CPT_046_P05</t>
  </si>
  <si>
    <t>CPT_046_P14</t>
  </si>
  <si>
    <t>CPT_046_P23</t>
  </si>
  <si>
    <t>CPT_046_P32</t>
  </si>
  <si>
    <t>CPT_046_P41</t>
  </si>
  <si>
    <t>CPT_046_P50</t>
  </si>
  <si>
    <t>CPT_046_S05</t>
  </si>
  <si>
    <t>CPT_046_S14</t>
  </si>
  <si>
    <t>CPT_046_S23</t>
  </si>
  <si>
    <t>CPT_046_S32</t>
  </si>
  <si>
    <t>CPT_046_S41</t>
  </si>
  <si>
    <t>CPT_046_S50</t>
  </si>
  <si>
    <t>CPT_053_P05</t>
  </si>
  <si>
    <t>CPT_053_P14</t>
  </si>
  <si>
    <t>CPT_053_P23</t>
  </si>
  <si>
    <t>CPT_053_P32</t>
  </si>
  <si>
    <t>CPT_053_P41</t>
  </si>
  <si>
    <t>CPT_053_P50</t>
  </si>
  <si>
    <t>CPT_053_S05</t>
  </si>
  <si>
    <t>CPT_053_S14</t>
  </si>
  <si>
    <t>CPT_053_S23</t>
  </si>
  <si>
    <t>CPT_053_S32</t>
  </si>
  <si>
    <t>CPT_053_S41</t>
  </si>
  <si>
    <t>CPT_053_S50</t>
  </si>
  <si>
    <t>CPT_057_P05</t>
  </si>
  <si>
    <t>CPT_057_P14</t>
  </si>
  <si>
    <t>CPT_057_P23</t>
  </si>
  <si>
    <t>CPT_057_P32</t>
  </si>
  <si>
    <t>CPT_057_P41</t>
  </si>
  <si>
    <t>CPT_057_P50</t>
  </si>
  <si>
    <t>CPT_057_S05</t>
  </si>
  <si>
    <t>CPT_057_S14</t>
  </si>
  <si>
    <t>CPT_057_S23</t>
  </si>
  <si>
    <t>CPT_057_S32</t>
  </si>
  <si>
    <t>CPT_057_S41</t>
  </si>
  <si>
    <t>CPT_057_S50</t>
  </si>
  <si>
    <t>CPT_069_P05</t>
  </si>
  <si>
    <t>CPT_069_P14</t>
  </si>
  <si>
    <t>CPT_069_P23</t>
  </si>
  <si>
    <t>CPT_069_P32</t>
  </si>
  <si>
    <t>CPT_069_P41</t>
  </si>
  <si>
    <t>CPT_069_P50</t>
  </si>
  <si>
    <t>CPT_069_S05</t>
  </si>
  <si>
    <t>CPT_069_S14</t>
  </si>
  <si>
    <t>CPT_069_S23</t>
  </si>
  <si>
    <t>CPT_069_S32</t>
  </si>
  <si>
    <t>CPT_069_S41</t>
  </si>
  <si>
    <t>CPT_069_S50</t>
  </si>
  <si>
    <t>CPT_073_P05</t>
  </si>
  <si>
    <t>CPT_073_P14</t>
  </si>
  <si>
    <t>CPT_073_P23</t>
  </si>
  <si>
    <t>CPT_073_P32</t>
  </si>
  <si>
    <t>CPT_073_P41</t>
  </si>
  <si>
    <t>CPT_073_P50</t>
  </si>
  <si>
    <t>CPT_073_S05</t>
  </si>
  <si>
    <t>CPT_073_S14</t>
  </si>
  <si>
    <t>CPT_073_S23</t>
  </si>
  <si>
    <t>CPT_073_S32</t>
  </si>
  <si>
    <t>CPT_073_S41</t>
  </si>
  <si>
    <t>CPT_073_S50</t>
  </si>
  <si>
    <t>CPT_084_P05</t>
  </si>
  <si>
    <t>CPT_084_P14</t>
  </si>
  <si>
    <t>CPT_084_P23</t>
  </si>
  <si>
    <t>CPT_084_P32</t>
  </si>
  <si>
    <t>CPT_084_P41</t>
  </si>
  <si>
    <t>CPT_084_P50</t>
  </si>
  <si>
    <t>CPT_084_S05</t>
  </si>
  <si>
    <t>CPT_084_S14</t>
  </si>
  <si>
    <t>CPT_084_S23</t>
  </si>
  <si>
    <t>CPT_084_S32</t>
  </si>
  <si>
    <t>CPT_084_S41</t>
  </si>
  <si>
    <t>CPT_084_S50</t>
  </si>
  <si>
    <t>CPT_121_P05</t>
  </si>
  <si>
    <t>CPT_121_P14</t>
  </si>
  <si>
    <t>CPT_121_P23</t>
  </si>
  <si>
    <t>CPT_121_P32</t>
  </si>
  <si>
    <t>CPT_121_P41</t>
  </si>
  <si>
    <t>CPT_121_P50</t>
  </si>
  <si>
    <t>CPT_121_S05</t>
  </si>
  <si>
    <t>CPT_121_S14</t>
  </si>
  <si>
    <t>CPT_121_S23</t>
  </si>
  <si>
    <t>CPT_121_S32</t>
  </si>
  <si>
    <t>CPT_121_S41</t>
  </si>
  <si>
    <t>CPT_121_S50</t>
  </si>
  <si>
    <t>CPT_123_P05</t>
  </si>
  <si>
    <t>CPT_123_P14</t>
  </si>
  <si>
    <t>CPT_123_P23</t>
  </si>
  <si>
    <t>CPT_123_P32</t>
  </si>
  <si>
    <t>CPT_123_P41</t>
  </si>
  <si>
    <t>CPT_123_P50</t>
  </si>
  <si>
    <t>CPT_123_S05</t>
  </si>
  <si>
    <t>CPT_123_S14</t>
  </si>
  <si>
    <t>CPT_123_S23</t>
  </si>
  <si>
    <t>CPT_123_S32</t>
  </si>
  <si>
    <t>CPT_123_S41</t>
  </si>
  <si>
    <t>CPT_123_S50</t>
  </si>
  <si>
    <t>CPT_157_P05</t>
  </si>
  <si>
    <t>CPT_157_P14</t>
  </si>
  <si>
    <t>CPT_157_P23</t>
  </si>
  <si>
    <t>CPT_157_P32</t>
  </si>
  <si>
    <t>CPT_157_P41</t>
  </si>
  <si>
    <t>CPT_157_P50</t>
  </si>
  <si>
    <t>CPT_157_S05</t>
  </si>
  <si>
    <t>CPT_157_S14</t>
  </si>
  <si>
    <t>CPT_157_S23</t>
  </si>
  <si>
    <t>CPT_157_S32</t>
  </si>
  <si>
    <t>CPT_157_S41</t>
  </si>
  <si>
    <t>CPT_157_S50</t>
  </si>
  <si>
    <t>CPT_173_P05</t>
  </si>
  <si>
    <t>CPT_173_P14</t>
  </si>
  <si>
    <t>CPT_173_P23</t>
  </si>
  <si>
    <t>CPT_173_P32</t>
  </si>
  <si>
    <t>CPT_173_P41</t>
  </si>
  <si>
    <t>CPT_173_P50</t>
  </si>
  <si>
    <t>CPT_173_S05</t>
  </si>
  <si>
    <t>CPT_173_S14</t>
  </si>
  <si>
    <t>CPT_173_S23</t>
  </si>
  <si>
    <t>CPT_173_S32</t>
  </si>
  <si>
    <t>CPT_173_S41</t>
  </si>
  <si>
    <t>CPT_173_S50</t>
  </si>
  <si>
    <t>CPT_186_P05</t>
  </si>
  <si>
    <t>CPT_186_P14</t>
  </si>
  <si>
    <t>CPT_186_P23</t>
  </si>
  <si>
    <t>CPT_186_P32</t>
  </si>
  <si>
    <t>CPT_186_P41</t>
  </si>
  <si>
    <t>CPT_186_P50</t>
  </si>
  <si>
    <t>CPT_186_S05</t>
  </si>
  <si>
    <t>CPT_186_S14</t>
  </si>
  <si>
    <t>CPT_186_S23</t>
  </si>
  <si>
    <t>CPT_186_S32</t>
  </si>
  <si>
    <t>CPT_186_S41</t>
  </si>
  <si>
    <t>CPT_186_S50</t>
  </si>
  <si>
    <t>CPT_207_P05</t>
  </si>
  <si>
    <t>CPT_207_P14</t>
  </si>
  <si>
    <t>CPT_207_P23</t>
  </si>
  <si>
    <t>CPT_207_P32</t>
  </si>
  <si>
    <t>CPT_207_P41</t>
  </si>
  <si>
    <t>CPT_207_P50</t>
  </si>
  <si>
    <t>CPT_207_S05</t>
  </si>
  <si>
    <t>CPT_207_S14</t>
  </si>
  <si>
    <t>CPT_207_S23</t>
  </si>
  <si>
    <t>CPT_207_S32</t>
  </si>
  <si>
    <t>CPT_207_S41</t>
  </si>
  <si>
    <t>CPT_207_S50</t>
  </si>
  <si>
    <t>CPT_212_P05</t>
  </si>
  <si>
    <t>CPT_212_P14</t>
  </si>
  <si>
    <t>CPT_212_P23</t>
  </si>
  <si>
    <t>CPT_212_P32</t>
  </si>
  <si>
    <t>CPT_212_P41</t>
  </si>
  <si>
    <t>CPT_212_P50</t>
  </si>
  <si>
    <t>CPT_212_S05</t>
  </si>
  <si>
    <t>CPT_212_S14</t>
  </si>
  <si>
    <t>CPT_212_S23</t>
  </si>
  <si>
    <t>CPT_212_S32</t>
  </si>
  <si>
    <t>CPT_212_S41</t>
  </si>
  <si>
    <t>CPT_212_S50</t>
  </si>
  <si>
    <t>CPT_218_P05</t>
  </si>
  <si>
    <t>CPT_218_P14</t>
  </si>
  <si>
    <t>CPT_218_P23</t>
  </si>
  <si>
    <t>CPT_218_P32</t>
  </si>
  <si>
    <t>CPT_218_P41</t>
  </si>
  <si>
    <t>CPT_218_P50</t>
  </si>
  <si>
    <t>CPT_218_S05</t>
  </si>
  <si>
    <t>CPT_218_S14</t>
  </si>
  <si>
    <t>CPT_218_S23</t>
  </si>
  <si>
    <t>CPT_218_S32</t>
  </si>
  <si>
    <t>CPT_218_S41</t>
  </si>
  <si>
    <t>CPT_218_S50</t>
  </si>
  <si>
    <t>CPT_239_P05</t>
  </si>
  <si>
    <t>CPT_239_P14</t>
  </si>
  <si>
    <t>CPT_239_P23</t>
  </si>
  <si>
    <t>CPT_239_P32</t>
  </si>
  <si>
    <t>CPT_239_P41</t>
  </si>
  <si>
    <t>CPT_239_P50</t>
  </si>
  <si>
    <t>CPT_239_S05</t>
  </si>
  <si>
    <t>CPT_239_S14</t>
  </si>
  <si>
    <t>CPT_239_S23</t>
  </si>
  <si>
    <t>CPT_239_S32</t>
  </si>
  <si>
    <t>CPT_239_S41</t>
  </si>
  <si>
    <t>CPT_239_S50</t>
  </si>
  <si>
    <t>CPT_258_P05</t>
  </si>
  <si>
    <t>CPT_258_P14</t>
  </si>
  <si>
    <t>CPT_258_P23</t>
  </si>
  <si>
    <t>CPT_258_P32</t>
  </si>
  <si>
    <t>CPT_258_P41</t>
  </si>
  <si>
    <t>CPT_258_P50</t>
  </si>
  <si>
    <t>CPT_258_S05</t>
  </si>
  <si>
    <t>CPT_258_S14</t>
  </si>
  <si>
    <t>CPT_258_S23</t>
  </si>
  <si>
    <t>CPT_258_S32</t>
  </si>
  <si>
    <t>CPT_258_S41</t>
  </si>
  <si>
    <t>CPT_258_S50</t>
  </si>
  <si>
    <t>CPT_305_P05</t>
  </si>
  <si>
    <t>CPT_305_P14</t>
  </si>
  <si>
    <t>CPT_305_P23</t>
  </si>
  <si>
    <t>CPT_305_P32</t>
  </si>
  <si>
    <t>CPT_305_P41</t>
  </si>
  <si>
    <t>CPT_305_P50</t>
  </si>
  <si>
    <t>CPT_305_S05</t>
  </si>
  <si>
    <t>CPT_305_S14</t>
  </si>
  <si>
    <t>CPT_305_S23</t>
  </si>
  <si>
    <t>CPT_305_S32</t>
  </si>
  <si>
    <t>CPT_305_S41</t>
  </si>
  <si>
    <t>CPT_305_S50</t>
  </si>
  <si>
    <t>CPT_322_P05</t>
  </si>
  <si>
    <t>CPT_322_P14</t>
  </si>
  <si>
    <t>CPT_322_P23</t>
  </si>
  <si>
    <t>CPT_322_P32</t>
  </si>
  <si>
    <t>CPT_322_P41</t>
  </si>
  <si>
    <t>CPT_322_P50</t>
  </si>
  <si>
    <t>CPT_322_S05</t>
  </si>
  <si>
    <t>CPT_322_S14</t>
  </si>
  <si>
    <t>CPT_322_S23</t>
  </si>
  <si>
    <t>CPT_322_S32</t>
  </si>
  <si>
    <t>CPT_322_S41</t>
  </si>
  <si>
    <t>CPT_322_S50</t>
  </si>
  <si>
    <t>CPT_323_P05</t>
  </si>
  <si>
    <t>CPT_323_P14</t>
  </si>
  <si>
    <t>CPT_323_P23</t>
  </si>
  <si>
    <t>CPT_323_P32</t>
  </si>
  <si>
    <t>CPT_323_P41</t>
  </si>
  <si>
    <t>CPT_323_P50</t>
  </si>
  <si>
    <t>CPT_323_S05</t>
  </si>
  <si>
    <t>CPT_323_S14</t>
  </si>
  <si>
    <t>CPT_323_S23</t>
  </si>
  <si>
    <t>CPT_323_S32</t>
  </si>
  <si>
    <t>CPT_323_S41</t>
  </si>
  <si>
    <t>CPT_323_S50</t>
  </si>
  <si>
    <t>BM10 Borehole</t>
  </si>
  <si>
    <t>BH_038_C00</t>
  </si>
  <si>
    <t>BH_038_P09</t>
  </si>
  <si>
    <t>BH_038_P18</t>
  </si>
  <si>
    <t>BH_038_P27</t>
  </si>
  <si>
    <t>BH_038_P36</t>
  </si>
  <si>
    <t>BH_038_P45</t>
  </si>
  <si>
    <t>BH_038_P54</t>
  </si>
  <si>
    <t>BH_038_P63</t>
  </si>
  <si>
    <t>BH_038_P72</t>
  </si>
  <si>
    <t>BH_038_S09</t>
  </si>
  <si>
    <t>BH_038_S18</t>
  </si>
  <si>
    <t>BH_038_S27</t>
  </si>
  <si>
    <t>BH_038_S36</t>
  </si>
  <si>
    <t>BH_038_S45</t>
  </si>
  <si>
    <t>BH_038_S54</t>
  </si>
  <si>
    <t>BH_038_S63</t>
  </si>
  <si>
    <t>BH_038_S72</t>
  </si>
  <si>
    <t>BH_044_C00</t>
  </si>
  <si>
    <t>BH_044_P09</t>
  </si>
  <si>
    <t>BH_044_P18</t>
  </si>
  <si>
    <t>BH_044_P27</t>
  </si>
  <si>
    <t>BH_044_P36</t>
  </si>
  <si>
    <t>BH_044_P45</t>
  </si>
  <si>
    <t>BH_044_P54</t>
  </si>
  <si>
    <t>BH_044_P63</t>
  </si>
  <si>
    <t>BH_044_P72</t>
  </si>
  <si>
    <t>BH_044_S09</t>
  </si>
  <si>
    <t>BH_044_S18</t>
  </si>
  <si>
    <t>BH_044_S27</t>
  </si>
  <si>
    <t>BH_044_S36</t>
  </si>
  <si>
    <t>BH_044_S45</t>
  </si>
  <si>
    <t>BH_044_S54</t>
  </si>
  <si>
    <t>BH_044_S63</t>
  </si>
  <si>
    <t>BH_044_S72</t>
  </si>
  <si>
    <t>BH_056_C00</t>
  </si>
  <si>
    <t>BH_056_P09</t>
  </si>
  <si>
    <t>BH_056_P18</t>
  </si>
  <si>
    <t>BH_056_P27</t>
  </si>
  <si>
    <t>BH_056_P36</t>
  </si>
  <si>
    <t>BH_056_P45</t>
  </si>
  <si>
    <t>BH_056_P54</t>
  </si>
  <si>
    <t>BH_056_P63</t>
  </si>
  <si>
    <t>BH_056_P72</t>
  </si>
  <si>
    <t>BH_056_S09</t>
  </si>
  <si>
    <t>BH_056_S18</t>
  </si>
  <si>
    <t>BH_056_S27</t>
  </si>
  <si>
    <t>BH_056_S36</t>
  </si>
  <si>
    <t>BH_056_S45</t>
  </si>
  <si>
    <t>BH_056_S54</t>
  </si>
  <si>
    <t>BH_056_S63</t>
  </si>
  <si>
    <t>BH_056_S72</t>
  </si>
  <si>
    <t>BH_066_C00</t>
  </si>
  <si>
    <t>BH_066_P09</t>
  </si>
  <si>
    <t>BH_066_P18</t>
  </si>
  <si>
    <t>BH_066_P27</t>
  </si>
  <si>
    <t>BH_066_P36</t>
  </si>
  <si>
    <t>BH_066_P45</t>
  </si>
  <si>
    <t>BH_066_P54</t>
  </si>
  <si>
    <t>BH_066_P63</t>
  </si>
  <si>
    <t>BH_066_P72</t>
  </si>
  <si>
    <t>BH_066_S09</t>
  </si>
  <si>
    <t>BH_066_S18</t>
  </si>
  <si>
    <t>BH_066_S27</t>
  </si>
  <si>
    <t>BH_066_S36</t>
  </si>
  <si>
    <t>BH_066_S45</t>
  </si>
  <si>
    <t>BH_066_S54</t>
  </si>
  <si>
    <t>BH_066_S63</t>
  </si>
  <si>
    <t>BH_066_S72</t>
  </si>
  <si>
    <t>BH_091_C00</t>
  </si>
  <si>
    <t>BH_091_P09</t>
  </si>
  <si>
    <t>BH_091_P18</t>
  </si>
  <si>
    <t>BH_091_P27</t>
  </si>
  <si>
    <t>BH_091_P36</t>
  </si>
  <si>
    <t>BH_091_P45</t>
  </si>
  <si>
    <t>BH_091_P54</t>
  </si>
  <si>
    <t>BH_091_P63</t>
  </si>
  <si>
    <t>BH_091_P72</t>
  </si>
  <si>
    <t>BH_091_S09</t>
  </si>
  <si>
    <t>BH_091_S18</t>
  </si>
  <si>
    <t>BH_091_S27</t>
  </si>
  <si>
    <t>BH_091_S36</t>
  </si>
  <si>
    <t>BH_091_S45</t>
  </si>
  <si>
    <t>BH_091_S54</t>
  </si>
  <si>
    <t>BH_091_S63</t>
  </si>
  <si>
    <t>BH_091_S72</t>
  </si>
  <si>
    <t>BH_095_C00</t>
  </si>
  <si>
    <t>BH_095_P09</t>
  </si>
  <si>
    <t>BH_095_P18</t>
  </si>
  <si>
    <t>BH_095_P27</t>
  </si>
  <si>
    <t>BH_095_P36</t>
  </si>
  <si>
    <t>BH_095_P45</t>
  </si>
  <si>
    <t>BH_095_P54</t>
  </si>
  <si>
    <t>BH_095_P63</t>
  </si>
  <si>
    <t>BH_095_P72</t>
  </si>
  <si>
    <t>BH_095_S09</t>
  </si>
  <si>
    <t>BH_095_S18</t>
  </si>
  <si>
    <t>BH_095_S27</t>
  </si>
  <si>
    <t>BH_095_S36</t>
  </si>
  <si>
    <t>BH_095_S45</t>
  </si>
  <si>
    <t>BH_095_S54</t>
  </si>
  <si>
    <t>BH_095_S63</t>
  </si>
  <si>
    <t>BH_095_S72</t>
  </si>
  <si>
    <t>BH_111_C00</t>
  </si>
  <si>
    <t>BH_111_P09</t>
  </si>
  <si>
    <t>BH_111_P18</t>
  </si>
  <si>
    <t>BH_111_P27</t>
  </si>
  <si>
    <t>BH_111_P36</t>
  </si>
  <si>
    <t>BH_111_P45</t>
  </si>
  <si>
    <t>BH_111_P54</t>
  </si>
  <si>
    <t>BH_111_P63</t>
  </si>
  <si>
    <t>BH_111_P72</t>
  </si>
  <si>
    <t>BH_111_S09</t>
  </si>
  <si>
    <t>BH_111_S18</t>
  </si>
  <si>
    <t>BH_111_S27</t>
  </si>
  <si>
    <t>BH_111_S36</t>
  </si>
  <si>
    <t>BH_111_S45</t>
  </si>
  <si>
    <t>BH_111_S54</t>
  </si>
  <si>
    <t>BH_111_S63</t>
  </si>
  <si>
    <t>BH_111_S72</t>
  </si>
  <si>
    <t>BH_118_C00</t>
  </si>
  <si>
    <t>BH_118_P09</t>
  </si>
  <si>
    <t>BH_118_P18</t>
  </si>
  <si>
    <t>BH_118_P27</t>
  </si>
  <si>
    <t>BH_118_P36</t>
  </si>
  <si>
    <t>BH_118_P45</t>
  </si>
  <si>
    <t>BH_118_P54</t>
  </si>
  <si>
    <t>BH_118_P63</t>
  </si>
  <si>
    <t>BH_118_P72</t>
  </si>
  <si>
    <t>BH_118_S09</t>
  </si>
  <si>
    <t>BH_118_S18</t>
  </si>
  <si>
    <t>BH_118_S27</t>
  </si>
  <si>
    <t>BH_118_S36</t>
  </si>
  <si>
    <t>BH_118_S45</t>
  </si>
  <si>
    <t>BH_118_S54</t>
  </si>
  <si>
    <t>BH_118_S63</t>
  </si>
  <si>
    <t>BH_118_S72</t>
  </si>
  <si>
    <t>BH_133_C00</t>
  </si>
  <si>
    <t>BH_133_P09</t>
  </si>
  <si>
    <t>BH_133_P18</t>
  </si>
  <si>
    <t>BH_133_P27</t>
  </si>
  <si>
    <t>BH_133_P36</t>
  </si>
  <si>
    <t>BH_133_P45</t>
  </si>
  <si>
    <t>BH_133_P54</t>
  </si>
  <si>
    <t>BH_133_P63</t>
  </si>
  <si>
    <t>BH_133_P72</t>
  </si>
  <si>
    <t>BH_133_S09</t>
  </si>
  <si>
    <t>BH_133_S18</t>
  </si>
  <si>
    <t>BH_133_S27</t>
  </si>
  <si>
    <t>BH_133_S36</t>
  </si>
  <si>
    <t>BH_133_S45</t>
  </si>
  <si>
    <t>BH_133_S54</t>
  </si>
  <si>
    <t>BH_133_S63</t>
  </si>
  <si>
    <t>BH_133_S72</t>
  </si>
  <si>
    <t>CPT_044_P05</t>
  </si>
  <si>
    <t>CPT_044_P14</t>
  </si>
  <si>
    <t>CPT_044_P23</t>
  </si>
  <si>
    <t>CPT_044_P32</t>
  </si>
  <si>
    <t>CPT_044_P41</t>
  </si>
  <si>
    <t>CPT_044_P50</t>
  </si>
  <si>
    <t>CPT_044_S05</t>
  </si>
  <si>
    <t>CPT_044_S14</t>
  </si>
  <si>
    <t>CPT_044_S23</t>
  </si>
  <si>
    <t>CPT_044_S32</t>
  </si>
  <si>
    <t>CPT_044_S41</t>
  </si>
  <si>
    <t>CPT_044_S50</t>
  </si>
  <si>
    <t>CPT_048_P05</t>
  </si>
  <si>
    <t>CPT_048_P14</t>
  </si>
  <si>
    <t>CPT_048_P23</t>
  </si>
  <si>
    <t>CPT_048_P32</t>
  </si>
  <si>
    <t>CPT_048_P41</t>
  </si>
  <si>
    <t>CPT_048_P50</t>
  </si>
  <si>
    <t>CPT_048_S05</t>
  </si>
  <si>
    <t>CPT_048_S14</t>
  </si>
  <si>
    <t>CPT_048_S23</t>
  </si>
  <si>
    <t>CPT_048_S32</t>
  </si>
  <si>
    <t>CPT_048_S41</t>
  </si>
  <si>
    <t>CPT_048_S50</t>
  </si>
  <si>
    <t>CPT_052_P05</t>
  </si>
  <si>
    <t>CPT_052_P14</t>
  </si>
  <si>
    <t>CPT_052_P23</t>
  </si>
  <si>
    <t>CPT_052_P32</t>
  </si>
  <si>
    <t>CPT_052_P41</t>
  </si>
  <si>
    <t>CPT_052_P50</t>
  </si>
  <si>
    <t>CPT_052_S05</t>
  </si>
  <si>
    <t>CPT_052_S14</t>
  </si>
  <si>
    <t>CPT_052_S23</t>
  </si>
  <si>
    <t>CPT_052_S32</t>
  </si>
  <si>
    <t>CPT_052_S41</t>
  </si>
  <si>
    <t>CPT_052_S50</t>
  </si>
  <si>
    <t>CPT_138_P05</t>
  </si>
  <si>
    <t>CPT_138_P14</t>
  </si>
  <si>
    <t>CPT_138_P23</t>
  </si>
  <si>
    <t>CPT_138_P32</t>
  </si>
  <si>
    <t>CPT_138_P41</t>
  </si>
  <si>
    <t>CPT_138_P50</t>
  </si>
  <si>
    <t>CPT_138_S05</t>
  </si>
  <si>
    <t>CPT_138_S14</t>
  </si>
  <si>
    <t>CPT_138_S23</t>
  </si>
  <si>
    <t>CPT_138_S32</t>
  </si>
  <si>
    <t>CPT_138_S41</t>
  </si>
  <si>
    <t>CPT_138_S50</t>
  </si>
  <si>
    <t>CPT_146_P05</t>
  </si>
  <si>
    <t>CPT_146_P14</t>
  </si>
  <si>
    <t>CPT_146_P23</t>
  </si>
  <si>
    <t>CPT_146_P32</t>
  </si>
  <si>
    <t>CPT_146_P41</t>
  </si>
  <si>
    <t>CPT_146_P50</t>
  </si>
  <si>
    <t>CPT_146_S05</t>
  </si>
  <si>
    <t>CPT_146_S14</t>
  </si>
  <si>
    <t>CPT_146_S23</t>
  </si>
  <si>
    <t>CPT_146_S32</t>
  </si>
  <si>
    <t>CPT_146_S41</t>
  </si>
  <si>
    <t>CPT_146_S50</t>
  </si>
  <si>
    <t>CPT_147_P05</t>
  </si>
  <si>
    <t>CPT_147_P14</t>
  </si>
  <si>
    <t>CPT_147_P23</t>
  </si>
  <si>
    <t>CPT_147_P32</t>
  </si>
  <si>
    <t>CPT_147_P41</t>
  </si>
  <si>
    <t>CPT_147_P50</t>
  </si>
  <si>
    <t>CPT_147_S05</t>
  </si>
  <si>
    <t>CPT_147_S14</t>
  </si>
  <si>
    <t>CPT_147_S23</t>
  </si>
  <si>
    <t>CPT_147_S32</t>
  </si>
  <si>
    <t>CPT_147_S41</t>
  </si>
  <si>
    <t>CPT_147_S50</t>
  </si>
  <si>
    <t>CPT_151_P05</t>
  </si>
  <si>
    <t>CPT_151_P14</t>
  </si>
  <si>
    <t>CPT_151_P23</t>
  </si>
  <si>
    <t>CPT_151_P32</t>
  </si>
  <si>
    <t>CPT_151_P41</t>
  </si>
  <si>
    <t>CPT_151_P50</t>
  </si>
  <si>
    <t>CPT_151_S05</t>
  </si>
  <si>
    <t>CPT_151_S14</t>
  </si>
  <si>
    <t>CPT_151_S23</t>
  </si>
  <si>
    <t>CPT_151_S32</t>
  </si>
  <si>
    <t>CPT_151_S41</t>
  </si>
  <si>
    <t>CPT_151_S50</t>
  </si>
  <si>
    <t>CPT_164_P05</t>
  </si>
  <si>
    <t>CPT_164_P14</t>
  </si>
  <si>
    <t>CPT_164_P23</t>
  </si>
  <si>
    <t>CPT_164_P32</t>
  </si>
  <si>
    <t>CPT_164_P41</t>
  </si>
  <si>
    <t>CPT_164_P50</t>
  </si>
  <si>
    <t>CPT_164_S05</t>
  </si>
  <si>
    <t>CPT_164_S14</t>
  </si>
  <si>
    <t>CPT_164_S23</t>
  </si>
  <si>
    <t>CPT_164_S32</t>
  </si>
  <si>
    <t>CPT_164_S41</t>
  </si>
  <si>
    <t>CPT_164_S50</t>
  </si>
  <si>
    <t>CPT_216_P05</t>
  </si>
  <si>
    <t>CPT_216_P14</t>
  </si>
  <si>
    <t>CPT_216_P23</t>
  </si>
  <si>
    <t>CPT_216_P32</t>
  </si>
  <si>
    <t>CPT_216_P41</t>
  </si>
  <si>
    <t>CPT_216_P50</t>
  </si>
  <si>
    <t>CPT_216_S05</t>
  </si>
  <si>
    <t>CPT_216_S14</t>
  </si>
  <si>
    <t>CPT_216_S23</t>
  </si>
  <si>
    <t>CPT_216_S32</t>
  </si>
  <si>
    <t>CPT_216_S41</t>
  </si>
  <si>
    <t>CPT_216_S50</t>
  </si>
  <si>
    <t>CPT_253_P05</t>
  </si>
  <si>
    <t>CPT_253_P14</t>
  </si>
  <si>
    <t>CPT_253_P23</t>
  </si>
  <si>
    <t>CPT_253_P32</t>
  </si>
  <si>
    <t>CPT_253_P41</t>
  </si>
  <si>
    <t>CPT_253_P50</t>
  </si>
  <si>
    <t>CPT_253_S05</t>
  </si>
  <si>
    <t>CPT_253_S14</t>
  </si>
  <si>
    <t>CPT_253_S23</t>
  </si>
  <si>
    <t>CPT_253_S32</t>
  </si>
  <si>
    <t>CPT_253_S41</t>
  </si>
  <si>
    <t>CPT_253_S50</t>
  </si>
  <si>
    <t>CPT_256_P05</t>
  </si>
  <si>
    <t>CPT_256_P14</t>
  </si>
  <si>
    <t>CPT_256_P23</t>
  </si>
  <si>
    <t>CPT_256_P32</t>
  </si>
  <si>
    <t>CPT_256_P41</t>
  </si>
  <si>
    <t>CPT_256_P50</t>
  </si>
  <si>
    <t>CPT_256_S05</t>
  </si>
  <si>
    <t>CPT_256_S14</t>
  </si>
  <si>
    <t>CPT_256_S23</t>
  </si>
  <si>
    <t>CPT_256_S32</t>
  </si>
  <si>
    <t>CPT_256_S41</t>
  </si>
  <si>
    <t>CPT_256_S50</t>
  </si>
  <si>
    <t>CPT_262_P05</t>
  </si>
  <si>
    <t>CPT_262_P14</t>
  </si>
  <si>
    <t>CPT_262_P23</t>
  </si>
  <si>
    <t>CPT_262_P32</t>
  </si>
  <si>
    <t>CPT_262_P41</t>
  </si>
  <si>
    <t>CPT_262_P50</t>
  </si>
  <si>
    <t>CPT_262_S05</t>
  </si>
  <si>
    <t>CPT_262_S14</t>
  </si>
  <si>
    <t>CPT_262_S23</t>
  </si>
  <si>
    <t>CPT_262_S32</t>
  </si>
  <si>
    <t>CPT_262_S41</t>
  </si>
  <si>
    <t>CPT_262_S50</t>
  </si>
  <si>
    <t>CPT_283_P05</t>
  </si>
  <si>
    <t>CPT_283_P14</t>
  </si>
  <si>
    <t>CPT_283_P23</t>
  </si>
  <si>
    <t>CPT_283_P32</t>
  </si>
  <si>
    <t>CPT_283_P41</t>
  </si>
  <si>
    <t>CPT_283_P50</t>
  </si>
  <si>
    <t>CPT_283_S05</t>
  </si>
  <si>
    <t>CPT_283_S14</t>
  </si>
  <si>
    <t>CPT_283_S23</t>
  </si>
  <si>
    <t>CPT_283_S32</t>
  </si>
  <si>
    <t>CPT_283_S41</t>
  </si>
  <si>
    <t>CPT_283_S50</t>
  </si>
  <si>
    <t>CPT_291_P05</t>
  </si>
  <si>
    <t>CPT_291_P14</t>
  </si>
  <si>
    <t>CPT_291_P23</t>
  </si>
  <si>
    <t>CPT_291_P32</t>
  </si>
  <si>
    <t>CPT_291_P41</t>
  </si>
  <si>
    <t>CPT_291_P50</t>
  </si>
  <si>
    <t>CPT_291_S05</t>
  </si>
  <si>
    <t>CPT_291_S14</t>
  </si>
  <si>
    <t>CPT_291_S23</t>
  </si>
  <si>
    <t>CPT_291_S32</t>
  </si>
  <si>
    <t>CPT_291_S41</t>
  </si>
  <si>
    <t>CPT_291_S50</t>
  </si>
  <si>
    <t>CPT_306_P05</t>
  </si>
  <si>
    <t>CPT_306_P14</t>
  </si>
  <si>
    <t>CPT_306_P23</t>
  </si>
  <si>
    <t>CPT_306_P32</t>
  </si>
  <si>
    <t>CPT_306_P41</t>
  </si>
  <si>
    <t>CPT_306_P50</t>
  </si>
  <si>
    <t>CPT_306_S05</t>
  </si>
  <si>
    <t>CPT_306_S14</t>
  </si>
  <si>
    <t>CPT_306_S23</t>
  </si>
  <si>
    <t>CPT_306_S32</t>
  </si>
  <si>
    <t>CPT_306_S41</t>
  </si>
  <si>
    <t>CPT_306_S50</t>
  </si>
  <si>
    <t>CPT_317_P05</t>
  </si>
  <si>
    <t>CPT_317_P14</t>
  </si>
  <si>
    <t>CPT_317_P23</t>
  </si>
  <si>
    <t>CPT_317_P32</t>
  </si>
  <si>
    <t>CPT_317_P41</t>
  </si>
  <si>
    <t>CPT_317_P50</t>
  </si>
  <si>
    <t>CPT_317_S05</t>
  </si>
  <si>
    <t>CPT_317_S14</t>
  </si>
  <si>
    <t>CPT_317_S23</t>
  </si>
  <si>
    <t>CPT_317_S32</t>
  </si>
  <si>
    <t>CPT_317_S41</t>
  </si>
  <si>
    <t>CPT_317_S50</t>
  </si>
  <si>
    <t>CPT_325_P05</t>
  </si>
  <si>
    <t>CPT_325_P14</t>
  </si>
  <si>
    <t>CPT_325_P23</t>
  </si>
  <si>
    <t>CPT_325_P32</t>
  </si>
  <si>
    <t>CPT_325_P41</t>
  </si>
  <si>
    <t>CPT_325_P50</t>
  </si>
  <si>
    <t>CPT_325_S05</t>
  </si>
  <si>
    <t>CPT_325_S14</t>
  </si>
  <si>
    <t>CPT_325_S23</t>
  </si>
  <si>
    <t>CPT_325_S32</t>
  </si>
  <si>
    <t>CPT_325_S41</t>
  </si>
  <si>
    <t>CPT_325_S50</t>
  </si>
  <si>
    <t>BM11 Borehole</t>
  </si>
  <si>
    <t>BM11 CPT</t>
  </si>
  <si>
    <t>BH_017_C00</t>
  </si>
  <si>
    <t>BH_017_P09</t>
  </si>
  <si>
    <t>BH_017_P18</t>
  </si>
  <si>
    <t>BH_017_P27</t>
  </si>
  <si>
    <t>BH_017_P36</t>
  </si>
  <si>
    <t>BH_017_P45</t>
  </si>
  <si>
    <t>BH_017_P54</t>
  </si>
  <si>
    <t>BH_017_P63</t>
  </si>
  <si>
    <t>BH_017_P72</t>
  </si>
  <si>
    <t>BH_017_S09</t>
  </si>
  <si>
    <t>BH_017_S18</t>
  </si>
  <si>
    <t>BH_017_S27</t>
  </si>
  <si>
    <t>BH_017_S36</t>
  </si>
  <si>
    <t>BH_017_S45</t>
  </si>
  <si>
    <t>BH_017_S54</t>
  </si>
  <si>
    <t>BH_017_S63</t>
  </si>
  <si>
    <t>BH_017_S72</t>
  </si>
  <si>
    <t>BH_039_C00</t>
  </si>
  <si>
    <t>BH_039_P09</t>
  </si>
  <si>
    <t>BH_039_P18</t>
  </si>
  <si>
    <t>BH_039_P27</t>
  </si>
  <si>
    <t>BH_039_P36</t>
  </si>
  <si>
    <t>BH_039_P45</t>
  </si>
  <si>
    <t>BH_039_P54</t>
  </si>
  <si>
    <t>BH_039_P63</t>
  </si>
  <si>
    <t>BH_039_P72</t>
  </si>
  <si>
    <t>BH_039_S09</t>
  </si>
  <si>
    <t>BH_039_S18</t>
  </si>
  <si>
    <t>BH_039_S27</t>
  </si>
  <si>
    <t>BH_039_S36</t>
  </si>
  <si>
    <t>BH_039_S45</t>
  </si>
  <si>
    <t>BH_039_S54</t>
  </si>
  <si>
    <t>BH_039_S63</t>
  </si>
  <si>
    <t>BH_039_S72</t>
  </si>
  <si>
    <t>BH_075_C00</t>
  </si>
  <si>
    <t>BH_075_P09</t>
  </si>
  <si>
    <t>BH_075_P18</t>
  </si>
  <si>
    <t>BH_075_P27</t>
  </si>
  <si>
    <t>BH_075_P36</t>
  </si>
  <si>
    <t>BH_075_P45</t>
  </si>
  <si>
    <t>BH_075_P54</t>
  </si>
  <si>
    <t>BH_075_P63</t>
  </si>
  <si>
    <t>BH_075_P72</t>
  </si>
  <si>
    <t>BH_075_S09</t>
  </si>
  <si>
    <t>BH_075_S18</t>
  </si>
  <si>
    <t>BH_075_S27</t>
  </si>
  <si>
    <t>BH_075_S36</t>
  </si>
  <si>
    <t>BH_075_S45</t>
  </si>
  <si>
    <t>BH_075_S54</t>
  </si>
  <si>
    <t>BH_075_S63</t>
  </si>
  <si>
    <t>BH_075_S72</t>
  </si>
  <si>
    <t>BH_081_C00</t>
  </si>
  <si>
    <t>BH_081_P09</t>
  </si>
  <si>
    <t>BH_081_P18</t>
  </si>
  <si>
    <t>BH_081_P27</t>
  </si>
  <si>
    <t>BH_081_P36</t>
  </si>
  <si>
    <t>BH_081_P45</t>
  </si>
  <si>
    <t>BH_081_P54</t>
  </si>
  <si>
    <t>BH_081_P63</t>
  </si>
  <si>
    <t>BH_081_P72</t>
  </si>
  <si>
    <t>BH_081_S09</t>
  </si>
  <si>
    <t>BH_081_S18</t>
  </si>
  <si>
    <t>BH_081_S27</t>
  </si>
  <si>
    <t>BH_081_S36</t>
  </si>
  <si>
    <t>BH_081_S45</t>
  </si>
  <si>
    <t>BH_081_S54</t>
  </si>
  <si>
    <t>BH_081_S63</t>
  </si>
  <si>
    <t>BH_081_S72</t>
  </si>
  <si>
    <t>BH_085_C00</t>
  </si>
  <si>
    <t>BH_085_P09</t>
  </si>
  <si>
    <t>BH_085_P18</t>
  </si>
  <si>
    <t>BH_085_P27</t>
  </si>
  <si>
    <t>BH_085_P36</t>
  </si>
  <si>
    <t>BH_085_P45</t>
  </si>
  <si>
    <t>BH_085_P54</t>
  </si>
  <si>
    <t>BH_085_P63</t>
  </si>
  <si>
    <t>BH_085_P72</t>
  </si>
  <si>
    <t>BH_085_S09</t>
  </si>
  <si>
    <t>BH_085_S18</t>
  </si>
  <si>
    <t>BH_085_S27</t>
  </si>
  <si>
    <t>BH_085_S36</t>
  </si>
  <si>
    <t>BH_085_S45</t>
  </si>
  <si>
    <t>BH_085_S54</t>
  </si>
  <si>
    <t>BH_085_S63</t>
  </si>
  <si>
    <t>BH_085_S72</t>
  </si>
  <si>
    <t>BH_097_C00</t>
  </si>
  <si>
    <t>BH_097_P09</t>
  </si>
  <si>
    <t>BH_097_P18</t>
  </si>
  <si>
    <t>BH_097_P27</t>
  </si>
  <si>
    <t>BH_097_P36</t>
  </si>
  <si>
    <t>BH_097_P45</t>
  </si>
  <si>
    <t>BH_097_P54</t>
  </si>
  <si>
    <t>BH_097_P63</t>
  </si>
  <si>
    <t>BH_097_P72</t>
  </si>
  <si>
    <t>BH_097_S09</t>
  </si>
  <si>
    <t>BH_097_S18</t>
  </si>
  <si>
    <t>BH_097_S27</t>
  </si>
  <si>
    <t>BH_097_S36</t>
  </si>
  <si>
    <t>BH_097_S45</t>
  </si>
  <si>
    <t>BH_097_S54</t>
  </si>
  <si>
    <t>BH_097_S63</t>
  </si>
  <si>
    <t>BH_097_S72</t>
  </si>
  <si>
    <t>BH_102_C00</t>
  </si>
  <si>
    <t>BH_102_P09</t>
  </si>
  <si>
    <t>BH_102_P18</t>
  </si>
  <si>
    <t>BH_102_P27</t>
  </si>
  <si>
    <t>BH_102_P36</t>
  </si>
  <si>
    <t>BH_102_P45</t>
  </si>
  <si>
    <t>BH_102_P54</t>
  </si>
  <si>
    <t>BH_102_P63</t>
  </si>
  <si>
    <t>BH_102_P72</t>
  </si>
  <si>
    <t>BH_102_S09</t>
  </si>
  <si>
    <t>BH_102_S18</t>
  </si>
  <si>
    <t>BH_102_S27</t>
  </si>
  <si>
    <t>BH_102_S36</t>
  </si>
  <si>
    <t>BH_102_S45</t>
  </si>
  <si>
    <t>BH_102_S54</t>
  </si>
  <si>
    <t>BH_102_S63</t>
  </si>
  <si>
    <t>BH_102_S72</t>
  </si>
  <si>
    <t>BH_129_C00</t>
  </si>
  <si>
    <t>BH_129_P09</t>
  </si>
  <si>
    <t>BH_129_P18</t>
  </si>
  <si>
    <t>BH_129_P27</t>
  </si>
  <si>
    <t>BH_129_P36</t>
  </si>
  <si>
    <t>BH_129_P45</t>
  </si>
  <si>
    <t>BH_129_P54</t>
  </si>
  <si>
    <t>BH_129_P63</t>
  </si>
  <si>
    <t>BH_129_P72</t>
  </si>
  <si>
    <t>BH_129_S09</t>
  </si>
  <si>
    <t>BH_129_S18</t>
  </si>
  <si>
    <t>BH_129_S27</t>
  </si>
  <si>
    <t>BH_129_S36</t>
  </si>
  <si>
    <t>BH_129_S45</t>
  </si>
  <si>
    <t>BH_129_S54</t>
  </si>
  <si>
    <t>BH_129_S63</t>
  </si>
  <si>
    <t>BH_129_S72</t>
  </si>
  <si>
    <t>CPT_071_P05</t>
  </si>
  <si>
    <t>CPT_071_P14</t>
  </si>
  <si>
    <t>CPT_071_P23</t>
  </si>
  <si>
    <t>CPT_071_P32</t>
  </si>
  <si>
    <t>CPT_071_P41</t>
  </si>
  <si>
    <t>CPT_071_P50</t>
  </si>
  <si>
    <t>CPT_071_S05</t>
  </si>
  <si>
    <t>CPT_071_S14</t>
  </si>
  <si>
    <t>CPT_071_S23</t>
  </si>
  <si>
    <t>CPT_071_S32</t>
  </si>
  <si>
    <t>CPT_071_S41</t>
  </si>
  <si>
    <t>CPT_071_S50</t>
  </si>
  <si>
    <t>CPT_087_P05</t>
  </si>
  <si>
    <t>CPT_087_P14</t>
  </si>
  <si>
    <t>CPT_087_P23</t>
  </si>
  <si>
    <t>CPT_087_P32</t>
  </si>
  <si>
    <t>CPT_087_P41</t>
  </si>
  <si>
    <t>CPT_087_P50</t>
  </si>
  <si>
    <t>CPT_087_S05</t>
  </si>
  <si>
    <t>CPT_087_S14</t>
  </si>
  <si>
    <t>CPT_087_S23</t>
  </si>
  <si>
    <t>CPT_087_S32</t>
  </si>
  <si>
    <t>CPT_087_S41</t>
  </si>
  <si>
    <t>CPT_087_S50</t>
  </si>
  <si>
    <t>CPT_088_P05</t>
  </si>
  <si>
    <t>CPT_088_P14</t>
  </si>
  <si>
    <t>CPT_088_P23</t>
  </si>
  <si>
    <t>CPT_088_P32</t>
  </si>
  <si>
    <t>CPT_088_P41</t>
  </si>
  <si>
    <t>CPT_088_P50</t>
  </si>
  <si>
    <t>CPT_088_S05</t>
  </si>
  <si>
    <t>CPT_088_S14</t>
  </si>
  <si>
    <t>CPT_088_S23</t>
  </si>
  <si>
    <t>CPT_088_S32</t>
  </si>
  <si>
    <t>CPT_088_S41</t>
  </si>
  <si>
    <t>CPT_088_S50</t>
  </si>
  <si>
    <t>CPT_094_P05</t>
  </si>
  <si>
    <t>CPT_094_P14</t>
  </si>
  <si>
    <t>CPT_094_P23</t>
  </si>
  <si>
    <t>CPT_094_P32</t>
  </si>
  <si>
    <t>CPT_094_P41</t>
  </si>
  <si>
    <t>CPT_094_P50</t>
  </si>
  <si>
    <t>CPT_094_S05</t>
  </si>
  <si>
    <t>CPT_094_S14</t>
  </si>
  <si>
    <t>CPT_094_S23</t>
  </si>
  <si>
    <t>CPT_094_S32</t>
  </si>
  <si>
    <t>CPT_094_S41</t>
  </si>
  <si>
    <t>CPT_094_S50</t>
  </si>
  <si>
    <t>CPT_095_P05</t>
  </si>
  <si>
    <t>CPT_095_P14</t>
  </si>
  <si>
    <t>CPT_095_P23</t>
  </si>
  <si>
    <t>CPT_095_P32</t>
  </si>
  <si>
    <t>CPT_095_P41</t>
  </si>
  <si>
    <t>CPT_095_P50</t>
  </si>
  <si>
    <t>CPT_095_S05</t>
  </si>
  <si>
    <t>CPT_095_S14</t>
  </si>
  <si>
    <t>CPT_095_S23</t>
  </si>
  <si>
    <t>CPT_095_S32</t>
  </si>
  <si>
    <t>CPT_095_S41</t>
  </si>
  <si>
    <t>CPT_095_S50</t>
  </si>
  <si>
    <t>CPT_107_P05</t>
  </si>
  <si>
    <t>CPT_107_P14</t>
  </si>
  <si>
    <t>CPT_107_P23</t>
  </si>
  <si>
    <t>CPT_107_P32</t>
  </si>
  <si>
    <t>CPT_107_P41</t>
  </si>
  <si>
    <t>CPT_107_P50</t>
  </si>
  <si>
    <t>CPT_107_S05</t>
  </si>
  <si>
    <t>CPT_107_S14</t>
  </si>
  <si>
    <t>CPT_107_S23</t>
  </si>
  <si>
    <t>CPT_107_S32</t>
  </si>
  <si>
    <t>CPT_107_S41</t>
  </si>
  <si>
    <t>CPT_107_S50</t>
  </si>
  <si>
    <t>CPT_115_P05</t>
  </si>
  <si>
    <t>CPT_115_P14</t>
  </si>
  <si>
    <t>CPT_115_P23</t>
  </si>
  <si>
    <t>CPT_115_P32</t>
  </si>
  <si>
    <t>CPT_115_P41</t>
  </si>
  <si>
    <t>CPT_115_P50</t>
  </si>
  <si>
    <t>CPT_115_S05</t>
  </si>
  <si>
    <t>CPT_115_S14</t>
  </si>
  <si>
    <t>CPT_115_S23</t>
  </si>
  <si>
    <t>CPT_115_S32</t>
  </si>
  <si>
    <t>CPT_115_S41</t>
  </si>
  <si>
    <t>CPT_115_S50</t>
  </si>
  <si>
    <t>CPT_120_P05</t>
  </si>
  <si>
    <t>CPT_120_P14</t>
  </si>
  <si>
    <t>CPT_120_P23</t>
  </si>
  <si>
    <t>CPT_120_P32</t>
  </si>
  <si>
    <t>CPT_120_P41</t>
  </si>
  <si>
    <t>CPT_120_P50</t>
  </si>
  <si>
    <t>CPT_120_S05</t>
  </si>
  <si>
    <t>CPT_120_S14</t>
  </si>
  <si>
    <t>CPT_120_S23</t>
  </si>
  <si>
    <t>CPT_120_S32</t>
  </si>
  <si>
    <t>CPT_120_S41</t>
  </si>
  <si>
    <t>CPT_120_S50</t>
  </si>
  <si>
    <t>CPT_122_P05</t>
  </si>
  <si>
    <t>CPT_122_P14</t>
  </si>
  <si>
    <t>CPT_122_P23</t>
  </si>
  <si>
    <t>CPT_122_P32</t>
  </si>
  <si>
    <t>CPT_122_P41</t>
  </si>
  <si>
    <t>CPT_122_P50</t>
  </si>
  <si>
    <t>CPT_122_S05</t>
  </si>
  <si>
    <t>CPT_122_S14</t>
  </si>
  <si>
    <t>CPT_122_S23</t>
  </si>
  <si>
    <t>CPT_122_S32</t>
  </si>
  <si>
    <t>CPT_122_S41</t>
  </si>
  <si>
    <t>CPT_122_S50</t>
  </si>
  <si>
    <t>CPT_188_P05</t>
  </si>
  <si>
    <t>CPT_188_P14</t>
  </si>
  <si>
    <t>CPT_188_P23</t>
  </si>
  <si>
    <t>CPT_188_P32</t>
  </si>
  <si>
    <t>CPT_188_P41</t>
  </si>
  <si>
    <t>CPT_188_P50</t>
  </si>
  <si>
    <t>CPT_188_S05</t>
  </si>
  <si>
    <t>CPT_188_S14</t>
  </si>
  <si>
    <t>CPT_188_S23</t>
  </si>
  <si>
    <t>CPT_188_S32</t>
  </si>
  <si>
    <t>CPT_188_S41</t>
  </si>
  <si>
    <t>CPT_188_S50</t>
  </si>
  <si>
    <t>CPT_189_P05</t>
  </si>
  <si>
    <t>CPT_189_P14</t>
  </si>
  <si>
    <t>CPT_189_P23</t>
  </si>
  <si>
    <t>CPT_189_P32</t>
  </si>
  <si>
    <t>CPT_189_P41</t>
  </si>
  <si>
    <t>CPT_189_P50</t>
  </si>
  <si>
    <t>CPT_189_S05</t>
  </si>
  <si>
    <t>CPT_189_S14</t>
  </si>
  <si>
    <t>CPT_189_S23</t>
  </si>
  <si>
    <t>CPT_189_S32</t>
  </si>
  <si>
    <t>CPT_189_S41</t>
  </si>
  <si>
    <t>CPT_189_S50</t>
  </si>
  <si>
    <t>CPT_190_P05</t>
  </si>
  <si>
    <t>CPT_190_P14</t>
  </si>
  <si>
    <t>CPT_190_P23</t>
  </si>
  <si>
    <t>CPT_190_P32</t>
  </si>
  <si>
    <t>CPT_190_P41</t>
  </si>
  <si>
    <t>CPT_190_P50</t>
  </si>
  <si>
    <t>CPT_190_S05</t>
  </si>
  <si>
    <t>CPT_190_S14</t>
  </si>
  <si>
    <t>CPT_190_S23</t>
  </si>
  <si>
    <t>CPT_190_S32</t>
  </si>
  <si>
    <t>CPT_190_S41</t>
  </si>
  <si>
    <t>CPT_190_S50</t>
  </si>
  <si>
    <t>CPT_194_P05</t>
  </si>
  <si>
    <t>CPT_194_P14</t>
  </si>
  <si>
    <t>CPT_194_P23</t>
  </si>
  <si>
    <t>CPT_194_P32</t>
  </si>
  <si>
    <t>CPT_194_P41</t>
  </si>
  <si>
    <t>CPT_194_P50</t>
  </si>
  <si>
    <t>CPT_194_S05</t>
  </si>
  <si>
    <t>CPT_194_S14</t>
  </si>
  <si>
    <t>CPT_194_S23</t>
  </si>
  <si>
    <t>CPT_194_S32</t>
  </si>
  <si>
    <t>CPT_194_S41</t>
  </si>
  <si>
    <t>CPT_194_S50</t>
  </si>
  <si>
    <t>CPT_293_P05</t>
  </si>
  <si>
    <t>CPT_293_P14</t>
  </si>
  <si>
    <t>CPT_293_P23</t>
  </si>
  <si>
    <t>CPT_293_P32</t>
  </si>
  <si>
    <t>CPT_293_P41</t>
  </si>
  <si>
    <t>CPT_293_P50</t>
  </si>
  <si>
    <t>CPT_293_S05</t>
  </si>
  <si>
    <t>CPT_293_S14</t>
  </si>
  <si>
    <t>CPT_293_S23</t>
  </si>
  <si>
    <t>CPT_293_S32</t>
  </si>
  <si>
    <t>CPT_293_S41</t>
  </si>
  <si>
    <t>CPT_293_S50</t>
  </si>
  <si>
    <t>CPT_313_P05</t>
  </si>
  <si>
    <t>CPT_313_P14</t>
  </si>
  <si>
    <t>CPT_313_P23</t>
  </si>
  <si>
    <t>CPT_313_P32</t>
  </si>
  <si>
    <t>CPT_313_P41</t>
  </si>
  <si>
    <t>CPT_313_P50</t>
  </si>
  <si>
    <t>CPT_313_S05</t>
  </si>
  <si>
    <t>CPT_313_S14</t>
  </si>
  <si>
    <t>CPT_313_S23</t>
  </si>
  <si>
    <t>CPT_313_S32</t>
  </si>
  <si>
    <t>CPT_313_S41</t>
  </si>
  <si>
    <t>CPT_313_S50</t>
  </si>
  <si>
    <t>CPT_318_P05</t>
  </si>
  <si>
    <t>CPT_318_P14</t>
  </si>
  <si>
    <t>CPT_318_P23</t>
  </si>
  <si>
    <t>CPT_318_P32</t>
  </si>
  <si>
    <t>CPT_318_P41</t>
  </si>
  <si>
    <t>CPT_318_P50</t>
  </si>
  <si>
    <t>CPT_318_S05</t>
  </si>
  <si>
    <t>CPT_318_S14</t>
  </si>
  <si>
    <t>CPT_318_S23</t>
  </si>
  <si>
    <t>CPT_318_S32</t>
  </si>
  <si>
    <t>CPT_318_S41</t>
  </si>
  <si>
    <t>CPT_318_S50</t>
  </si>
  <si>
    <t>CPT_319_P05</t>
  </si>
  <si>
    <t>CPT_319_P14</t>
  </si>
  <si>
    <t>CPT_319_P23</t>
  </si>
  <si>
    <t>CPT_319_P32</t>
  </si>
  <si>
    <t>CPT_319_P41</t>
  </si>
  <si>
    <t>CPT_319_P50</t>
  </si>
  <si>
    <t>CPT_319_S05</t>
  </si>
  <si>
    <t>CPT_319_S14</t>
  </si>
  <si>
    <t>CPT_319_S23</t>
  </si>
  <si>
    <t>CPT_319_S32</t>
  </si>
  <si>
    <t>CPT_319_S41</t>
  </si>
  <si>
    <t>CPT_319_S50</t>
  </si>
  <si>
    <t>BM12 Borehole</t>
  </si>
  <si>
    <t>BM12 CPT</t>
  </si>
  <si>
    <t>BH_020_C00</t>
  </si>
  <si>
    <t>BH_020_P09</t>
  </si>
  <si>
    <t>BH_020_P18</t>
  </si>
  <si>
    <t>BH_020_P27</t>
  </si>
  <si>
    <t>BH_020_P36</t>
  </si>
  <si>
    <t>BH_020_P45</t>
  </si>
  <si>
    <t>BH_020_P54</t>
  </si>
  <si>
    <t>BH_020_P63</t>
  </si>
  <si>
    <t>BH_020_P72</t>
  </si>
  <si>
    <t>BH_020_S09</t>
  </si>
  <si>
    <t>BH_020_S18</t>
  </si>
  <si>
    <t>BH_020_S27</t>
  </si>
  <si>
    <t>BH_020_S36</t>
  </si>
  <si>
    <t>BH_020_S45</t>
  </si>
  <si>
    <t>BH_020_S54</t>
  </si>
  <si>
    <t>BH_020_S63</t>
  </si>
  <si>
    <t>BH_020_S72</t>
  </si>
  <si>
    <t>BH_023_C00</t>
  </si>
  <si>
    <t>BH_023_P09</t>
  </si>
  <si>
    <t>BH_023_P18</t>
  </si>
  <si>
    <t>BH_023_P27</t>
  </si>
  <si>
    <t>BH_023_P36</t>
  </si>
  <si>
    <t>BH_023_P45</t>
  </si>
  <si>
    <t>BH_023_P54</t>
  </si>
  <si>
    <t>BH_023_P63</t>
  </si>
  <si>
    <t>BH_023_P72</t>
  </si>
  <si>
    <t>BH_023_S09</t>
  </si>
  <si>
    <t>BH_023_S18</t>
  </si>
  <si>
    <t>BH_023_S27</t>
  </si>
  <si>
    <t>BH_023_S36</t>
  </si>
  <si>
    <t>BH_023_S45</t>
  </si>
  <si>
    <t>BH_023_S54</t>
  </si>
  <si>
    <t>BH_023_S63</t>
  </si>
  <si>
    <t>BH_023_S72</t>
  </si>
  <si>
    <t>BH_034_C00</t>
  </si>
  <si>
    <t>BH_034_P09</t>
  </si>
  <si>
    <t>BH_034_P18</t>
  </si>
  <si>
    <t>BH_034_P27</t>
  </si>
  <si>
    <t>BH_034_P36</t>
  </si>
  <si>
    <t>BH_034_P45</t>
  </si>
  <si>
    <t>BH_034_P54</t>
  </si>
  <si>
    <t>BH_034_P63</t>
  </si>
  <si>
    <t>BH_034_P72</t>
  </si>
  <si>
    <t>BH_034_S09</t>
  </si>
  <si>
    <t>BH_034_S18</t>
  </si>
  <si>
    <t>BH_034_S27</t>
  </si>
  <si>
    <t>BH_034_S36</t>
  </si>
  <si>
    <t>BH_034_S45</t>
  </si>
  <si>
    <t>BH_034_S54</t>
  </si>
  <si>
    <t>BH_034_S63</t>
  </si>
  <si>
    <t>BH_034_S72</t>
  </si>
  <si>
    <t>BH_041_C00</t>
  </si>
  <si>
    <t>BH_041_P09</t>
  </si>
  <si>
    <t>BH_041_P18</t>
  </si>
  <si>
    <t>BH_041_P27</t>
  </si>
  <si>
    <t>BH_041_P36</t>
  </si>
  <si>
    <t>BH_041_P45</t>
  </si>
  <si>
    <t>BH_041_P54</t>
  </si>
  <si>
    <t>BH_041_P63</t>
  </si>
  <si>
    <t>BH_041_P72</t>
  </si>
  <si>
    <t>BH_041_S09</t>
  </si>
  <si>
    <t>BH_041_S18</t>
  </si>
  <si>
    <t>BH_041_S27</t>
  </si>
  <si>
    <t>BH_041_S36</t>
  </si>
  <si>
    <t>BH_041_S45</t>
  </si>
  <si>
    <t>BH_041_S54</t>
  </si>
  <si>
    <t>BH_041_S63</t>
  </si>
  <si>
    <t>BH_041_S72</t>
  </si>
  <si>
    <t>BH_103_C00</t>
  </si>
  <si>
    <t>BH_103_P09</t>
  </si>
  <si>
    <t>BH_103_P18</t>
  </si>
  <si>
    <t>BH_103_P27</t>
  </si>
  <si>
    <t>BH_103_P36</t>
  </si>
  <si>
    <t>BH_103_P45</t>
  </si>
  <si>
    <t>BH_103_P54</t>
  </si>
  <si>
    <t>BH_103_P63</t>
  </si>
  <si>
    <t>BH_103_P72</t>
  </si>
  <si>
    <t>BH_103_S09</t>
  </si>
  <si>
    <t>BH_103_S18</t>
  </si>
  <si>
    <t>BH_103_S27</t>
  </si>
  <si>
    <t>BH_103_S36</t>
  </si>
  <si>
    <t>BH_103_S45</t>
  </si>
  <si>
    <t>BH_103_S54</t>
  </si>
  <si>
    <t>BH_103_S63</t>
  </si>
  <si>
    <t>BH_103_S72</t>
  </si>
  <si>
    <t>BH_116_C00</t>
  </si>
  <si>
    <t>BH_116_P09</t>
  </si>
  <si>
    <t>BH_116_P18</t>
  </si>
  <si>
    <t>BH_116_P27</t>
  </si>
  <si>
    <t>BH_116_P36</t>
  </si>
  <si>
    <t>BH_116_P45</t>
  </si>
  <si>
    <t>BH_116_P54</t>
  </si>
  <si>
    <t>BH_116_P63</t>
  </si>
  <si>
    <t>BH_116_P72</t>
  </si>
  <si>
    <t>BH_116_S09</t>
  </si>
  <si>
    <t>BH_116_S18</t>
  </si>
  <si>
    <t>BH_116_S27</t>
  </si>
  <si>
    <t>BH_116_S36</t>
  </si>
  <si>
    <t>BH_116_S45</t>
  </si>
  <si>
    <t>BH_116_S54</t>
  </si>
  <si>
    <t>BH_116_S63</t>
  </si>
  <si>
    <t>BH_116_S72</t>
  </si>
  <si>
    <t>BH_136_C00</t>
  </si>
  <si>
    <t>BH_136_P09</t>
  </si>
  <si>
    <t>BH_136_P18</t>
  </si>
  <si>
    <t>BH_136_P27</t>
  </si>
  <si>
    <t>BH_136_P36</t>
  </si>
  <si>
    <t>BH_136_P45</t>
  </si>
  <si>
    <t>BH_136_P54</t>
  </si>
  <si>
    <t>BH_136_P63</t>
  </si>
  <si>
    <t>BH_136_P72</t>
  </si>
  <si>
    <t>BH_136_S09</t>
  </si>
  <si>
    <t>BH_136_S18</t>
  </si>
  <si>
    <t>BH_136_S27</t>
  </si>
  <si>
    <t>BH_136_S36</t>
  </si>
  <si>
    <t>BH_136_S45</t>
  </si>
  <si>
    <t>BH_136_S54</t>
  </si>
  <si>
    <t>BH_136_S63</t>
  </si>
  <si>
    <t>BH_136_S72</t>
  </si>
  <si>
    <t>BH_024_C00</t>
  </si>
  <si>
    <t>BH_024_P09</t>
  </si>
  <si>
    <t>BH_024_P18</t>
  </si>
  <si>
    <t>BH_024_P27</t>
  </si>
  <si>
    <t>BH_024_P36</t>
  </si>
  <si>
    <t>BH_024_P45</t>
  </si>
  <si>
    <t>BH_024_P54</t>
  </si>
  <si>
    <t>BH_024_P63</t>
  </si>
  <si>
    <t>BH_024_P72</t>
  </si>
  <si>
    <t>BH_024_S09</t>
  </si>
  <si>
    <t>BH_024_S18</t>
  </si>
  <si>
    <t>BH_024_S27</t>
  </si>
  <si>
    <t>BH_024_S36</t>
  </si>
  <si>
    <t>BH_024_S45</t>
  </si>
  <si>
    <t>BH_024_S54</t>
  </si>
  <si>
    <t>BH_024_S63</t>
  </si>
  <si>
    <t>BH_024_S72</t>
  </si>
  <si>
    <t>BH_035_C00</t>
  </si>
  <si>
    <t>BH_035_P09</t>
  </si>
  <si>
    <t>BH_035_P18</t>
  </si>
  <si>
    <t>BH_035_P27</t>
  </si>
  <si>
    <t>BH_035_P36</t>
  </si>
  <si>
    <t>BH_035_P45</t>
  </si>
  <si>
    <t>BH_035_P54</t>
  </si>
  <si>
    <t>BH_035_P63</t>
  </si>
  <si>
    <t>BH_035_P72</t>
  </si>
  <si>
    <t>BH_035_S09</t>
  </si>
  <si>
    <t>BH_035_S18</t>
  </si>
  <si>
    <t>BH_035_S27</t>
  </si>
  <si>
    <t>BH_035_S36</t>
  </si>
  <si>
    <t>BH_035_S45</t>
  </si>
  <si>
    <t>BH_035_S54</t>
  </si>
  <si>
    <t>BH_035_S63</t>
  </si>
  <si>
    <t>BH_035_S72</t>
  </si>
  <si>
    <t>CPT_041_P05</t>
  </si>
  <si>
    <t>CPT_041_P14</t>
  </si>
  <si>
    <t>CPT_041_P23</t>
  </si>
  <si>
    <t>CPT_041_P32</t>
  </si>
  <si>
    <t>CPT_041_P41</t>
  </si>
  <si>
    <t>CPT_041_P50</t>
  </si>
  <si>
    <t>CPT_041_S05</t>
  </si>
  <si>
    <t>CPT_041_S14</t>
  </si>
  <si>
    <t>CPT_041_S23</t>
  </si>
  <si>
    <t>CPT_041_S32</t>
  </si>
  <si>
    <t>CPT_041_S41</t>
  </si>
  <si>
    <t>CPT_041_S50</t>
  </si>
  <si>
    <t>CPT_042_P05</t>
  </si>
  <si>
    <t>CPT_042_P14</t>
  </si>
  <si>
    <t>CPT_042_P23</t>
  </si>
  <si>
    <t>CPT_042_S05</t>
  </si>
  <si>
    <t>CPT_042_S14</t>
  </si>
  <si>
    <t>CPT_042_S23</t>
  </si>
  <si>
    <t>CPT_042_S32</t>
  </si>
  <si>
    <t>CPT_042_S41</t>
  </si>
  <si>
    <t>CPT_042_S50</t>
  </si>
  <si>
    <t>CPT_049_P05</t>
  </si>
  <si>
    <t>CPT_049_P14</t>
  </si>
  <si>
    <t>CPT_049_P23</t>
  </si>
  <si>
    <t>CPT_049_P32</t>
  </si>
  <si>
    <t>CPT_049_P41</t>
  </si>
  <si>
    <t>CPT_049_P50</t>
  </si>
  <si>
    <t>CPT_049_S05</t>
  </si>
  <si>
    <t>CPT_049_S14</t>
  </si>
  <si>
    <t>CPT_049_S23</t>
  </si>
  <si>
    <t>CPT_049_S32</t>
  </si>
  <si>
    <t>CPT_049_S41</t>
  </si>
  <si>
    <t>CPT_049_S50</t>
  </si>
  <si>
    <t>CPT_074_P05</t>
  </si>
  <si>
    <t>CPT_074_P14</t>
  </si>
  <si>
    <t>CPT_074_P23</t>
  </si>
  <si>
    <t>CPT_074_P32</t>
  </si>
  <si>
    <t>CPT_074_P41</t>
  </si>
  <si>
    <t>CPT_074_P50</t>
  </si>
  <si>
    <t>CPT_074_S05</t>
  </si>
  <si>
    <t>CPT_074_S14</t>
  </si>
  <si>
    <t>CPT_074_S23</t>
  </si>
  <si>
    <t>CPT_074_S32</t>
  </si>
  <si>
    <t>CPT_074_S41</t>
  </si>
  <si>
    <t>CPT_074_S50</t>
  </si>
  <si>
    <t>CPT_083_P05</t>
  </si>
  <si>
    <t>CPT_083_P14</t>
  </si>
  <si>
    <t>CPT_083_P23</t>
  </si>
  <si>
    <t>CPT_083_P32</t>
  </si>
  <si>
    <t>CPT_083_P41</t>
  </si>
  <si>
    <t>CPT_083_P50</t>
  </si>
  <si>
    <t>CPT_083_S05</t>
  </si>
  <si>
    <t>CPT_083_S14</t>
  </si>
  <si>
    <t>CPT_083_S23</t>
  </si>
  <si>
    <t>CPT_083_S32</t>
  </si>
  <si>
    <t>CPT_083_S41</t>
  </si>
  <si>
    <t>CPT_083_S50</t>
  </si>
  <si>
    <t>CPT_089_P05</t>
  </si>
  <si>
    <t>CPT_089_P14</t>
  </si>
  <si>
    <t>CPT_089_P23</t>
  </si>
  <si>
    <t>CPT_089_P32</t>
  </si>
  <si>
    <t>CPT_089_P41</t>
  </si>
  <si>
    <t>CPT_089_P50</t>
  </si>
  <si>
    <t>CPT_089_S05</t>
  </si>
  <si>
    <t>CPT_089_S14</t>
  </si>
  <si>
    <t>CPT_089_S23</t>
  </si>
  <si>
    <t>CPT_089_S32</t>
  </si>
  <si>
    <t>CPT_089_S41</t>
  </si>
  <si>
    <t>CPT_089_S50</t>
  </si>
  <si>
    <t>CPT_090_P05</t>
  </si>
  <si>
    <t>CPT_090_P14</t>
  </si>
  <si>
    <t>CPT_090_P23</t>
  </si>
  <si>
    <t>CPT_090_P32</t>
  </si>
  <si>
    <t>CPT_090_P41</t>
  </si>
  <si>
    <t>CPT_090_P50</t>
  </si>
  <si>
    <t>CPT_090_S05</t>
  </si>
  <si>
    <t>CPT_090_S14</t>
  </si>
  <si>
    <t>CPT_090_S23</t>
  </si>
  <si>
    <t>CPT_090_S32</t>
  </si>
  <si>
    <t>CPT_090_S41</t>
  </si>
  <si>
    <t>CPT_090_S50</t>
  </si>
  <si>
    <t>CPT_102_P05</t>
  </si>
  <si>
    <t>CPT_102_P14</t>
  </si>
  <si>
    <t>CPT_102_P23</t>
  </si>
  <si>
    <t>CPT_102_P32</t>
  </si>
  <si>
    <t>CPT_102_P41</t>
  </si>
  <si>
    <t>CPT_102_P50</t>
  </si>
  <si>
    <t>CPT_102_S05</t>
  </si>
  <si>
    <t>CPT_102_S14</t>
  </si>
  <si>
    <t>CPT_102_S23</t>
  </si>
  <si>
    <t>CPT_102_S32</t>
  </si>
  <si>
    <t>CPT_102_S41</t>
  </si>
  <si>
    <t>CPT_102_S50</t>
  </si>
  <si>
    <t>CPT_150_P05</t>
  </si>
  <si>
    <t>CPT_150_P14</t>
  </si>
  <si>
    <t>CPT_150_P23</t>
  </si>
  <si>
    <t>CPT_150_P32</t>
  </si>
  <si>
    <t>CPT_150_P41</t>
  </si>
  <si>
    <t>CPT_150_P50</t>
  </si>
  <si>
    <t>CPT_150_S05</t>
  </si>
  <si>
    <t>CPT_150_S14</t>
  </si>
  <si>
    <t>CPT_150_S23</t>
  </si>
  <si>
    <t>CPT_150_S32</t>
  </si>
  <si>
    <t>CPT_150_S41</t>
  </si>
  <si>
    <t>CPT_150_S50</t>
  </si>
  <si>
    <t>CPT_153_P05</t>
  </si>
  <si>
    <t>CPT_153_P14</t>
  </si>
  <si>
    <t>CPT_153_P23</t>
  </si>
  <si>
    <t>CPT_153_P32</t>
  </si>
  <si>
    <t>CPT_153_P41</t>
  </si>
  <si>
    <t>CPT_153_P50</t>
  </si>
  <si>
    <t>CPT_153_S05</t>
  </si>
  <si>
    <t>CPT_153_S14</t>
  </si>
  <si>
    <t>CPT_153_S23</t>
  </si>
  <si>
    <t>CPT_153_S32</t>
  </si>
  <si>
    <t>CPT_153_S41</t>
  </si>
  <si>
    <t>CPT_153_S50</t>
  </si>
  <si>
    <t>CPT_170_P05</t>
  </si>
  <si>
    <t>CPT_170_P14</t>
  </si>
  <si>
    <t>CPT_170_P23</t>
  </si>
  <si>
    <t>CPT_170_P32</t>
  </si>
  <si>
    <t>CPT_170_P41</t>
  </si>
  <si>
    <t>CPT_170_P50</t>
  </si>
  <si>
    <t>CPT_170_S05</t>
  </si>
  <si>
    <t>CPT_170_S14</t>
  </si>
  <si>
    <t>CPT_170_S23</t>
  </si>
  <si>
    <t>CPT_170_S32</t>
  </si>
  <si>
    <t>CPT_170_S41</t>
  </si>
  <si>
    <t>CPT_170_S50</t>
  </si>
  <si>
    <t>CPT_223_P05</t>
  </si>
  <si>
    <t>CPT_223_P14</t>
  </si>
  <si>
    <t>CPT_223_P23</t>
  </si>
  <si>
    <t>CPT_223_P32</t>
  </si>
  <si>
    <t>CPT_223_P41</t>
  </si>
  <si>
    <t>CPT_223_P50</t>
  </si>
  <si>
    <t>CPT_223_S05</t>
  </si>
  <si>
    <t>CPT_223_S14</t>
  </si>
  <si>
    <t>CPT_223_S23</t>
  </si>
  <si>
    <t>CPT_223_S32</t>
  </si>
  <si>
    <t>CPT_223_S41</t>
  </si>
  <si>
    <t>CPT_223_S50</t>
  </si>
  <si>
    <t>CPT_235_P05</t>
  </si>
  <si>
    <t>CPT_235_P14</t>
  </si>
  <si>
    <t>CPT_235_P23</t>
  </si>
  <si>
    <t>CPT_235_P32</t>
  </si>
  <si>
    <t>CPT_235_P41</t>
  </si>
  <si>
    <t>CPT_235_P50</t>
  </si>
  <si>
    <t>CPT_235_S05</t>
  </si>
  <si>
    <t>CPT_235_S14</t>
  </si>
  <si>
    <t>CPT_235_S23</t>
  </si>
  <si>
    <t>CPT_235_S32</t>
  </si>
  <si>
    <t>CPT_235_S41</t>
  </si>
  <si>
    <t>CPT_235_S50</t>
  </si>
  <si>
    <t>CPT_238_P05</t>
  </si>
  <si>
    <t>CPT_238_P14</t>
  </si>
  <si>
    <t>CPT_238_P23</t>
  </si>
  <si>
    <t>CPT_238_P32</t>
  </si>
  <si>
    <t>CPT_238_P41</t>
  </si>
  <si>
    <t>CPT_238_P50</t>
  </si>
  <si>
    <t>CPT_238_S05</t>
  </si>
  <si>
    <t>CPT_238_S14</t>
  </si>
  <si>
    <t>CPT_238_S23</t>
  </si>
  <si>
    <t>CPT_238_S32</t>
  </si>
  <si>
    <t>CPT_238_S41</t>
  </si>
  <si>
    <t>CPT_238_S50</t>
  </si>
  <si>
    <t>CPT_280_P05</t>
  </si>
  <si>
    <t>CPT_280_P14</t>
  </si>
  <si>
    <t>CPT_280_P23</t>
  </si>
  <si>
    <t>CPT_280_P32</t>
  </si>
  <si>
    <t>CPT_280_P41</t>
  </si>
  <si>
    <t>CPT_280_P50</t>
  </si>
  <si>
    <t>CPT_280_S05</t>
  </si>
  <si>
    <t>CPT_280_S14</t>
  </si>
  <si>
    <t>CPT_280_S23</t>
  </si>
  <si>
    <t>CPT_280_S32</t>
  </si>
  <si>
    <t>CPT_280_S41</t>
  </si>
  <si>
    <t>CPT_280_S50</t>
  </si>
  <si>
    <t>CPT_289_P05</t>
  </si>
  <si>
    <t>CPT_289_P14</t>
  </si>
  <si>
    <t>CPT_289_P23</t>
  </si>
  <si>
    <t>CPT_289_P32</t>
  </si>
  <si>
    <t>CPT_289_P41</t>
  </si>
  <si>
    <t>CPT_289_P50</t>
  </si>
  <si>
    <t>CPT_289_S05</t>
  </si>
  <si>
    <t>CPT_289_S14</t>
  </si>
  <si>
    <t>CPT_289_S23</t>
  </si>
  <si>
    <t>CPT_289_S32</t>
  </si>
  <si>
    <t>CPT_289_S41</t>
  </si>
  <si>
    <t>CPT_289_S50</t>
  </si>
  <si>
    <t>CPT_299_P05</t>
  </si>
  <si>
    <t>CPT_299_P14</t>
  </si>
  <si>
    <t>CPT_299_P23</t>
  </si>
  <si>
    <t>CPT_299_P32</t>
  </si>
  <si>
    <t>CPT_299_P41</t>
  </si>
  <si>
    <t>CPT_299_P50</t>
  </si>
  <si>
    <t>CPT_299_S05</t>
  </si>
  <si>
    <t>CPT_299_S14</t>
  </si>
  <si>
    <t>CPT_299_S23</t>
  </si>
  <si>
    <t>CPT_299_S32</t>
  </si>
  <si>
    <t>CPT_299_S41</t>
  </si>
  <si>
    <t>CPT_299_S50</t>
  </si>
  <si>
    <t>CPT_307_P05</t>
  </si>
  <si>
    <t>CPT_307_P14</t>
  </si>
  <si>
    <t>CPT_307_P23</t>
  </si>
  <si>
    <t>CPT_307_S05</t>
  </si>
  <si>
    <t>CPT_307_S14</t>
  </si>
  <si>
    <t>CPT_307_S23</t>
  </si>
  <si>
    <t>CPT_307_S32</t>
  </si>
  <si>
    <t>CPT_307_S41</t>
  </si>
  <si>
    <t>CPT_307_S50</t>
  </si>
  <si>
    <t>CPT_316_P05</t>
  </si>
  <si>
    <t>CPT_316_P14</t>
  </si>
  <si>
    <t>CPT_316_P23</t>
  </si>
  <si>
    <t>CPT_316_P32</t>
  </si>
  <si>
    <t>CPT_316_P41</t>
  </si>
  <si>
    <t>CPT_316_P50</t>
  </si>
  <si>
    <t>CPT_316_S05</t>
  </si>
  <si>
    <t>CPT_316_S14</t>
  </si>
  <si>
    <t>CPT_316_S23</t>
  </si>
  <si>
    <t>CPT_316_S32</t>
  </si>
  <si>
    <t>CPT_316_S41</t>
  </si>
  <si>
    <t>CPT_316_S50</t>
  </si>
  <si>
    <t>CPT_335_P05</t>
  </si>
  <si>
    <t>CPT_335_P14</t>
  </si>
  <si>
    <t>CPT_335_P23</t>
  </si>
  <si>
    <t>CPT_335_P32</t>
  </si>
  <si>
    <t>CPT_335_P41</t>
  </si>
  <si>
    <t>CPT_335_P50</t>
  </si>
  <si>
    <t>CPT_335_S05</t>
  </si>
  <si>
    <t>CPT_335_S14</t>
  </si>
  <si>
    <t>CPT_335_S23</t>
  </si>
  <si>
    <t>CPT_335_S32</t>
  </si>
  <si>
    <t>CPT_335_S41</t>
  </si>
  <si>
    <t>CPT_335_S50</t>
  </si>
  <si>
    <t>CPT_307_P32</t>
  </si>
  <si>
    <t>CPT_307_P41</t>
  </si>
  <si>
    <t>CPT_307_P50</t>
  </si>
  <si>
    <t>CPT_042_P32</t>
  </si>
  <si>
    <t>CPT_042_P41</t>
  </si>
  <si>
    <t>CPT_042_P50</t>
  </si>
  <si>
    <t>BM13 Borehole</t>
  </si>
  <si>
    <t>BM13 CPT</t>
  </si>
  <si>
    <t>BH_072_C00</t>
  </si>
  <si>
    <t>BH_072_P09</t>
  </si>
  <si>
    <t>BH_072_P18</t>
  </si>
  <si>
    <t>BH_072_P27</t>
  </si>
  <si>
    <t>BH_072_P36</t>
  </si>
  <si>
    <t>BH_072_P45</t>
  </si>
  <si>
    <t>BH_072_P54</t>
  </si>
  <si>
    <t>BH_072_P63</t>
  </si>
  <si>
    <t>BH_072_P72</t>
  </si>
  <si>
    <t>BH_072_S09</t>
  </si>
  <si>
    <t>BH_072_S18</t>
  </si>
  <si>
    <t>BH_072_S27</t>
  </si>
  <si>
    <t>BH_072_S36</t>
  </si>
  <si>
    <t>BH_072_S45</t>
  </si>
  <si>
    <t>BH_072_S54</t>
  </si>
  <si>
    <t>BH_072_S63</t>
  </si>
  <si>
    <t>BH_072_S72</t>
  </si>
  <si>
    <t>BH_104_C00</t>
  </si>
  <si>
    <t>BH_104_P09</t>
  </si>
  <si>
    <t>BH_104_P18</t>
  </si>
  <si>
    <t>BH_104_P27</t>
  </si>
  <si>
    <t>BH_104_P36</t>
  </si>
  <si>
    <t>BH_104_P45</t>
  </si>
  <si>
    <t>BH_104_P54</t>
  </si>
  <si>
    <t>BH_104_P63</t>
  </si>
  <si>
    <t>BH_104_P72</t>
  </si>
  <si>
    <t>BH_104_S09</t>
  </si>
  <si>
    <t>BH_104_S18</t>
  </si>
  <si>
    <t>BH_104_S27</t>
  </si>
  <si>
    <t>BH_104_S36</t>
  </si>
  <si>
    <t>BH_104_S45</t>
  </si>
  <si>
    <t>BH_104_S54</t>
  </si>
  <si>
    <t>BH_104_S63</t>
  </si>
  <si>
    <t>BH_104_S72</t>
  </si>
  <si>
    <t>BH_115_C00</t>
  </si>
  <si>
    <t>BH_115_P09</t>
  </si>
  <si>
    <t>BH_115_P18</t>
  </si>
  <si>
    <t>BH_115_P27</t>
  </si>
  <si>
    <t>BH_115_P36</t>
  </si>
  <si>
    <t>BH_115_P45</t>
  </si>
  <si>
    <t>BH_115_P54</t>
  </si>
  <si>
    <t>BH_115_P63</t>
  </si>
  <si>
    <t>BH_115_P72</t>
  </si>
  <si>
    <t>BH_115_S09</t>
  </si>
  <si>
    <t>BH_115_S18</t>
  </si>
  <si>
    <t>BH_115_S27</t>
  </si>
  <si>
    <t>BH_115_S36</t>
  </si>
  <si>
    <t>BH_115_S45</t>
  </si>
  <si>
    <t>BH_115_S54</t>
  </si>
  <si>
    <t>BH_115_S63</t>
  </si>
  <si>
    <t>BH_115_S72</t>
  </si>
  <si>
    <t>BH_135_C00</t>
  </si>
  <si>
    <t>BH_135_P09</t>
  </si>
  <si>
    <t>BH_135_P18</t>
  </si>
  <si>
    <t>BH_135_P27</t>
  </si>
  <si>
    <t>BH_135_P36</t>
  </si>
  <si>
    <t>BH_135_P45</t>
  </si>
  <si>
    <t>BH_135_P54</t>
  </si>
  <si>
    <t>BH_135_P63</t>
  </si>
  <si>
    <t>BH_135_P72</t>
  </si>
  <si>
    <t>BH_135_S09</t>
  </si>
  <si>
    <t>BH_135_S18</t>
  </si>
  <si>
    <t>BH_135_S27</t>
  </si>
  <si>
    <t>BH_135_S36</t>
  </si>
  <si>
    <t>BH_135_S45</t>
  </si>
  <si>
    <t>BH_135_S54</t>
  </si>
  <si>
    <t>BH_135_S63</t>
  </si>
  <si>
    <t>BH_135_S72</t>
  </si>
  <si>
    <t>CPT_070_P05</t>
  </si>
  <si>
    <t>CPT_070_P14</t>
  </si>
  <si>
    <t>CPT_070_P23</t>
  </si>
  <si>
    <t>CPT_070_P32</t>
  </si>
  <si>
    <t>CPT_070_P41</t>
  </si>
  <si>
    <t>CPT_070_P50</t>
  </si>
  <si>
    <t>CPT_070_S05</t>
  </si>
  <si>
    <t>CPT_070_S14</t>
  </si>
  <si>
    <t>CPT_070_S23</t>
  </si>
  <si>
    <t>CPT_070_S32</t>
  </si>
  <si>
    <t>CPT_070_S41</t>
  </si>
  <si>
    <t>CPT_070_S50</t>
  </si>
  <si>
    <t>CPT_099_P05</t>
  </si>
  <si>
    <t>CPT_099_P14</t>
  </si>
  <si>
    <t>CPT_099_P23</t>
  </si>
  <si>
    <t>CPT_099_P32</t>
  </si>
  <si>
    <t>CPT_099_P41</t>
  </si>
  <si>
    <t>CPT_099_P50</t>
  </si>
  <si>
    <t>CPT_099_S05</t>
  </si>
  <si>
    <t>CPT_099_S14</t>
  </si>
  <si>
    <t>CPT_099_S23</t>
  </si>
  <si>
    <t>CPT_099_S32</t>
  </si>
  <si>
    <t>CPT_099_S41</t>
  </si>
  <si>
    <t>CPT_099_S50</t>
  </si>
  <si>
    <t>CPT_103_P05</t>
  </si>
  <si>
    <t>CPT_103_P14</t>
  </si>
  <si>
    <t>CPT_103_P23</t>
  </si>
  <si>
    <t>CPT_103_P32</t>
  </si>
  <si>
    <t>CPT_103_P41</t>
  </si>
  <si>
    <t>CPT_103_P50</t>
  </si>
  <si>
    <t>CPT_103_S05</t>
  </si>
  <si>
    <t>CPT_103_S14</t>
  </si>
  <si>
    <t>CPT_103_S23</t>
  </si>
  <si>
    <t>CPT_103_S32</t>
  </si>
  <si>
    <t>CPT_103_S41</t>
  </si>
  <si>
    <t>CPT_103_S50</t>
  </si>
  <si>
    <t>CPT_112_P05</t>
  </si>
  <si>
    <t>CPT_112_P14</t>
  </si>
  <si>
    <t>CPT_112_P23</t>
  </si>
  <si>
    <t>CPT_112_P32</t>
  </si>
  <si>
    <t>CPT_112_P41</t>
  </si>
  <si>
    <t>CPT_112_P50</t>
  </si>
  <si>
    <t>CPT_112_S05</t>
  </si>
  <si>
    <t>CPT_112_S14</t>
  </si>
  <si>
    <t>CPT_112_S23</t>
  </si>
  <si>
    <t>CPT_112_S32</t>
  </si>
  <si>
    <t>CPT_112_S41</t>
  </si>
  <si>
    <t>CPT_112_S50</t>
  </si>
  <si>
    <t>CPT_130_P05</t>
  </si>
  <si>
    <t>CPT_130_P14</t>
  </si>
  <si>
    <t>CPT_130_P23</t>
  </si>
  <si>
    <t>CPT_130_P32</t>
  </si>
  <si>
    <t>CPT_130_P41</t>
  </si>
  <si>
    <t>CPT_130_P50</t>
  </si>
  <si>
    <t>CPT_130_S05</t>
  </si>
  <si>
    <t>CPT_130_S14</t>
  </si>
  <si>
    <t>CPT_130_S23</t>
  </si>
  <si>
    <t>CPT_130_S32</t>
  </si>
  <si>
    <t>CPT_130_S41</t>
  </si>
  <si>
    <t>CPT_130_S50</t>
  </si>
  <si>
    <t>CPT_132_P05</t>
  </si>
  <si>
    <t>CPT_132_P14</t>
  </si>
  <si>
    <t>CPT_132_P23</t>
  </si>
  <si>
    <t>CPT_132_P32</t>
  </si>
  <si>
    <t>CPT_132_P41</t>
  </si>
  <si>
    <t>CPT_132_P50</t>
  </si>
  <si>
    <t>CPT_132_S05</t>
  </si>
  <si>
    <t>CPT_132_S14</t>
  </si>
  <si>
    <t>CPT_132_S23</t>
  </si>
  <si>
    <t>CPT_132_S32</t>
  </si>
  <si>
    <t>CPT_132_S41</t>
  </si>
  <si>
    <t>CPT_132_S50</t>
  </si>
  <si>
    <t>CPT_154_P05</t>
  </si>
  <si>
    <t>CPT_154_P14</t>
  </si>
  <si>
    <t>CPT_154_P23</t>
  </si>
  <si>
    <t>CPT_154_P32</t>
  </si>
  <si>
    <t>CPT_154_P41</t>
  </si>
  <si>
    <t>CPT_154_P50</t>
  </si>
  <si>
    <t>CPT_154_S05</t>
  </si>
  <si>
    <t>CPT_154_S14</t>
  </si>
  <si>
    <t>CPT_154_S23</t>
  </si>
  <si>
    <t>CPT_154_S32</t>
  </si>
  <si>
    <t>CPT_154_S41</t>
  </si>
  <si>
    <t>CPT_154_S50</t>
  </si>
  <si>
    <t>CPT_165_P05</t>
  </si>
  <si>
    <t>CPT_165_P14</t>
  </si>
  <si>
    <t>CPT_165_P23</t>
  </si>
  <si>
    <t>CPT_165_P32</t>
  </si>
  <si>
    <t>CPT_165_P41</t>
  </si>
  <si>
    <t>CPT_165_P50</t>
  </si>
  <si>
    <t>CPT_165_S05</t>
  </si>
  <si>
    <t>CPT_165_S14</t>
  </si>
  <si>
    <t>CPT_165_S23</t>
  </si>
  <si>
    <t>CPT_165_S32</t>
  </si>
  <si>
    <t>CPT_165_S41</t>
  </si>
  <si>
    <t>CPT_165_S50</t>
  </si>
  <si>
    <t>CPT_174_P05</t>
  </si>
  <si>
    <t>CPT_174_P14</t>
  </si>
  <si>
    <t>CPT_174_P23</t>
  </si>
  <si>
    <t>CPT_174_P32</t>
  </si>
  <si>
    <t>CPT_174_P41</t>
  </si>
  <si>
    <t>CPT_174_P50</t>
  </si>
  <si>
    <t>CPT_174_S05</t>
  </si>
  <si>
    <t>CPT_174_S14</t>
  </si>
  <si>
    <t>CPT_174_S23</t>
  </si>
  <si>
    <t>CPT_174_S32</t>
  </si>
  <si>
    <t>CPT_174_S41</t>
  </si>
  <si>
    <t>CPT_174_S50</t>
  </si>
  <si>
    <t>CPT_185_P05</t>
  </si>
  <si>
    <t>CPT_185_P14</t>
  </si>
  <si>
    <t>CPT_185_P23</t>
  </si>
  <si>
    <t>CPT_185_P32</t>
  </si>
  <si>
    <t>CPT_185_P41</t>
  </si>
  <si>
    <t>CPT_185_P50</t>
  </si>
  <si>
    <t>CPT_185_S05</t>
  </si>
  <si>
    <t>CPT_185_S14</t>
  </si>
  <si>
    <t>CPT_185_S23</t>
  </si>
  <si>
    <t>CPT_185_S32</t>
  </si>
  <si>
    <t>CPT_185_S41</t>
  </si>
  <si>
    <t>CPT_185_S50</t>
  </si>
  <si>
    <t>CPT_205_P05</t>
  </si>
  <si>
    <t>CPT_205_P14</t>
  </si>
  <si>
    <t>CPT_205_P23</t>
  </si>
  <si>
    <t>CPT_205_P32</t>
  </si>
  <si>
    <t>CPT_205_P41</t>
  </si>
  <si>
    <t>CPT_205_P50</t>
  </si>
  <si>
    <t>CPT_205_S05</t>
  </si>
  <si>
    <t>CPT_205_S14</t>
  </si>
  <si>
    <t>CPT_205_S23</t>
  </si>
  <si>
    <t>CPT_205_S32</t>
  </si>
  <si>
    <t>CPT_205_S41</t>
  </si>
  <si>
    <t>CPT_205_S50</t>
  </si>
  <si>
    <t>CPT_231_P05</t>
  </si>
  <si>
    <t>CPT_231_P14</t>
  </si>
  <si>
    <t>CPT_231_P23</t>
  </si>
  <si>
    <t>CPT_231_P32</t>
  </si>
  <si>
    <t>CPT_231_P41</t>
  </si>
  <si>
    <t>CPT_231_P50</t>
  </si>
  <si>
    <t>CPT_231_S05</t>
  </si>
  <si>
    <t>CPT_231_S14</t>
  </si>
  <si>
    <t>CPT_231_S23</t>
  </si>
  <si>
    <t>CPT_231_S32</t>
  </si>
  <si>
    <t>CPT_231_S41</t>
  </si>
  <si>
    <t>CPT_231_S50</t>
  </si>
  <si>
    <t>CPT_243_P05</t>
  </si>
  <si>
    <t>CPT_243_P14</t>
  </si>
  <si>
    <t>CPT_243_P23</t>
  </si>
  <si>
    <t>CPT_243_P32</t>
  </si>
  <si>
    <t>CPT_243_P41</t>
  </si>
  <si>
    <t>CPT_243_P50</t>
  </si>
  <si>
    <t>CPT_243_S05</t>
  </si>
  <si>
    <t>CPT_243_S14</t>
  </si>
  <si>
    <t>CPT_243_S23</t>
  </si>
  <si>
    <t>CPT_243_S32</t>
  </si>
  <si>
    <t>CPT_243_S41</t>
  </si>
  <si>
    <t>CPT_243_S50</t>
  </si>
  <si>
    <t>CPT_248_P05</t>
  </si>
  <si>
    <t>CPT_248_P14</t>
  </si>
  <si>
    <t>CPT_248_P23</t>
  </si>
  <si>
    <t>CPT_248_P32</t>
  </si>
  <si>
    <t>CPT_248_P41</t>
  </si>
  <si>
    <t>CPT_248_P50</t>
  </si>
  <si>
    <t>CPT_248_S05</t>
  </si>
  <si>
    <t>CPT_248_S14</t>
  </si>
  <si>
    <t>CPT_248_S23</t>
  </si>
  <si>
    <t>CPT_248_S32</t>
  </si>
  <si>
    <t>CPT_248_S41</t>
  </si>
  <si>
    <t>CPT_248_S50</t>
  </si>
  <si>
    <t>CPT_269_P05</t>
  </si>
  <si>
    <t>CPT_269_P14</t>
  </si>
  <si>
    <t>CPT_269_P23</t>
  </si>
  <si>
    <t>CPT_269_P32</t>
  </si>
  <si>
    <t>CPT_269_P41</t>
  </si>
  <si>
    <t>CPT_269_P50</t>
  </si>
  <si>
    <t>CPT_269_S05</t>
  </si>
  <si>
    <t>CPT_269_S14</t>
  </si>
  <si>
    <t>CPT_269_S23</t>
  </si>
  <si>
    <t>CPT_269_S32</t>
  </si>
  <si>
    <t>CPT_269_S41</t>
  </si>
  <si>
    <t>CPT_269_S50</t>
  </si>
  <si>
    <t>CPT_276_P05</t>
  </si>
  <si>
    <t>CPT_276_P14</t>
  </si>
  <si>
    <t>CPT_276_P23</t>
  </si>
  <si>
    <t>CPT_276_P32</t>
  </si>
  <si>
    <t>CPT_276_P41</t>
  </si>
  <si>
    <t>CPT_276_P50</t>
  </si>
  <si>
    <t>CPT_276_S05</t>
  </si>
  <si>
    <t>CPT_276_S14</t>
  </si>
  <si>
    <t>CPT_276_S23</t>
  </si>
  <si>
    <t>CPT_276_S32</t>
  </si>
  <si>
    <t>CPT_276_S41</t>
  </si>
  <si>
    <t>CPT_276_S50</t>
  </si>
  <si>
    <t>CPT_304_P05</t>
  </si>
  <si>
    <t>CPT_304_P14</t>
  </si>
  <si>
    <t>CPT_304_P23</t>
  </si>
  <si>
    <t>CPT_304_P32</t>
  </si>
  <si>
    <t>CPT_304_P41</t>
  </si>
  <si>
    <t>CPT_304_P50</t>
  </si>
  <si>
    <t>CPT_304_S05</t>
  </si>
  <si>
    <t>CPT_304_S14</t>
  </si>
  <si>
    <t>CPT_304_S23</t>
  </si>
  <si>
    <t>CPT_304_S32</t>
  </si>
  <si>
    <t>CPT_304_S41</t>
  </si>
  <si>
    <t>CPT_304_S50</t>
  </si>
  <si>
    <t>CPT_320_P05</t>
  </si>
  <si>
    <t>CPT_320_P14</t>
  </si>
  <si>
    <t>CPT_320_P23</t>
  </si>
  <si>
    <t>CPT_320_P32</t>
  </si>
  <si>
    <t>CPT_320_P41</t>
  </si>
  <si>
    <t>CPT_320_P50</t>
  </si>
  <si>
    <t>CPT_320_S05</t>
  </si>
  <si>
    <t>CPT_320_S14</t>
  </si>
  <si>
    <t>CPT_320_S23</t>
  </si>
  <si>
    <t>CPT_320_S32</t>
  </si>
  <si>
    <t>CPT_320_S41</t>
  </si>
  <si>
    <t>CPT_320_S50</t>
  </si>
  <si>
    <t>BH_015_C00</t>
  </si>
  <si>
    <t>BH_015_P09</t>
  </si>
  <si>
    <t>BH_015_P18</t>
  </si>
  <si>
    <t>BH_015_P27</t>
  </si>
  <si>
    <t>BH_015_P36</t>
  </si>
  <si>
    <t>BH_015_P45</t>
  </si>
  <si>
    <t>BH_015_P54</t>
  </si>
  <si>
    <t>BH_015_P63</t>
  </si>
  <si>
    <t>BH_015_P72</t>
  </si>
  <si>
    <t>BH_015_S09</t>
  </si>
  <si>
    <t>BH_015_S18</t>
  </si>
  <si>
    <t>BH_015_S27</t>
  </si>
  <si>
    <t>BH_015_S36</t>
  </si>
  <si>
    <t>BH_015_S45</t>
  </si>
  <si>
    <t>BH_015_S54</t>
  </si>
  <si>
    <t>BH_015_S63</t>
  </si>
  <si>
    <t>BH_015_S72</t>
  </si>
  <si>
    <t>BH_021_C00</t>
  </si>
  <si>
    <t>BH_021_P09</t>
  </si>
  <si>
    <t>BH_021_P18</t>
  </si>
  <si>
    <t>BH_021_P27</t>
  </si>
  <si>
    <t>BH_021_P36</t>
  </si>
  <si>
    <t>BH_021_P45</t>
  </si>
  <si>
    <t>BH_021_P54</t>
  </si>
  <si>
    <t>BH_021_P63</t>
  </si>
  <si>
    <t>BH_021_P72</t>
  </si>
  <si>
    <t>BH_021_S09</t>
  </si>
  <si>
    <t>BH_021_S18</t>
  </si>
  <si>
    <t>BH_021_S27</t>
  </si>
  <si>
    <t>BH_021_S36</t>
  </si>
  <si>
    <t>BH_021_S45</t>
  </si>
  <si>
    <t>BH_021_S54</t>
  </si>
  <si>
    <t>BH_021_S63</t>
  </si>
  <si>
    <t>BH_021_S72</t>
  </si>
  <si>
    <t>BH_036_C00</t>
  </si>
  <si>
    <t>BH_036_P09</t>
  </si>
  <si>
    <t>BH_036_P18</t>
  </si>
  <si>
    <t>BH_036_P27</t>
  </si>
  <si>
    <t>BH_036_P36</t>
  </si>
  <si>
    <t>BH_036_P45</t>
  </si>
  <si>
    <t>BH_036_P54</t>
  </si>
  <si>
    <t>BH_036_P63</t>
  </si>
  <si>
    <t>BH_036_P72</t>
  </si>
  <si>
    <t>BH_036_S09</t>
  </si>
  <si>
    <t>BH_036_S18</t>
  </si>
  <si>
    <t>BH_036_S27</t>
  </si>
  <si>
    <t>BH_036_S36</t>
  </si>
  <si>
    <t>BH_036_S45</t>
  </si>
  <si>
    <t>BH_036_S54</t>
  </si>
  <si>
    <t>BH_036_S63</t>
  </si>
  <si>
    <t>BH_036_S72</t>
  </si>
  <si>
    <t>BH_079_C00</t>
  </si>
  <si>
    <t>BH_079_P09</t>
  </si>
  <si>
    <t>BH_079_P18</t>
  </si>
  <si>
    <t>BH_079_P27</t>
  </si>
  <si>
    <t>BH_079_P36</t>
  </si>
  <si>
    <t>BH_079_P45</t>
  </si>
  <si>
    <t>BH_079_P54</t>
  </si>
  <si>
    <t>BH_079_P63</t>
  </si>
  <si>
    <t>BH_079_P72</t>
  </si>
  <si>
    <t>BH_079_S09</t>
  </si>
  <si>
    <t>BH_079_S18</t>
  </si>
  <si>
    <t>BH_079_S27</t>
  </si>
  <si>
    <t>BH_079_S36</t>
  </si>
  <si>
    <t>BH_079_S45</t>
  </si>
  <si>
    <t>BH_079_S54</t>
  </si>
  <si>
    <t>BH_079_S63</t>
  </si>
  <si>
    <t>BH_079_S72</t>
  </si>
  <si>
    <t>BH_083_C00</t>
  </si>
  <si>
    <t>BH_083_P09</t>
  </si>
  <si>
    <t>BH_083_P18</t>
  </si>
  <si>
    <t>BH_083_P27</t>
  </si>
  <si>
    <t>BH_083_P36</t>
  </si>
  <si>
    <t>BH_083_P45</t>
  </si>
  <si>
    <t>BH_083_P54</t>
  </si>
  <si>
    <t>BH_083_P63</t>
  </si>
  <si>
    <t>BH_083_P72</t>
  </si>
  <si>
    <t>BH_083_S09</t>
  </si>
  <si>
    <t>BH_083_S18</t>
  </si>
  <si>
    <t>BH_083_S27</t>
  </si>
  <si>
    <t>BH_083_S36</t>
  </si>
  <si>
    <t>BH_083_S45</t>
  </si>
  <si>
    <t>BH_083_S54</t>
  </si>
  <si>
    <t>BH_083_S63</t>
  </si>
  <si>
    <t>BH_083_S72</t>
  </si>
  <si>
    <t>BH_084_C00</t>
  </si>
  <si>
    <t>BH_084_P09</t>
  </si>
  <si>
    <t>BH_084_P18</t>
  </si>
  <si>
    <t>BH_084_P27</t>
  </si>
  <si>
    <t>BH_084_P36</t>
  </si>
  <si>
    <t>BH_084_P45</t>
  </si>
  <si>
    <t>BH_084_P54</t>
  </si>
  <si>
    <t>BH_084_P63</t>
  </si>
  <si>
    <t>BH_084_P72</t>
  </si>
  <si>
    <t>BH_084_S09</t>
  </si>
  <si>
    <t>BH_084_S18</t>
  </si>
  <si>
    <t>BH_084_S27</t>
  </si>
  <si>
    <t>BH_084_S36</t>
  </si>
  <si>
    <t>BH_084_S45</t>
  </si>
  <si>
    <t>BH_084_S54</t>
  </si>
  <si>
    <t>BH_084_S63</t>
  </si>
  <si>
    <t>BH_084_S72</t>
  </si>
  <si>
    <t>BH_088_C00</t>
  </si>
  <si>
    <t>BH_088_P09</t>
  </si>
  <si>
    <t>BH_088_P18</t>
  </si>
  <si>
    <t>BH_088_P27</t>
  </si>
  <si>
    <t>BH_088_P36</t>
  </si>
  <si>
    <t>BH_088_P45</t>
  </si>
  <si>
    <t>BH_088_P54</t>
  </si>
  <si>
    <t>BH_088_P63</t>
  </si>
  <si>
    <t>BH_088_P72</t>
  </si>
  <si>
    <t>BH_088_S09</t>
  </si>
  <si>
    <t>BH_088_S18</t>
  </si>
  <si>
    <t>BH_088_S27</t>
  </si>
  <si>
    <t>BH_088_S36</t>
  </si>
  <si>
    <t>BH_088_S45</t>
  </si>
  <si>
    <t>BH_088_S54</t>
  </si>
  <si>
    <t>BH_088_S63</t>
  </si>
  <si>
    <t>BH_088_S72</t>
  </si>
  <si>
    <t>BH_094_C00</t>
  </si>
  <si>
    <t>BH_094_P09</t>
  </si>
  <si>
    <t>BH_094_P18</t>
  </si>
  <si>
    <t>BH_094_P27</t>
  </si>
  <si>
    <t>BH_094_P36</t>
  </si>
  <si>
    <t>BH_094_P45</t>
  </si>
  <si>
    <t>BH_094_P54</t>
  </si>
  <si>
    <t>BH_094_P63</t>
  </si>
  <si>
    <t>BH_094_P72</t>
  </si>
  <si>
    <t>BH_094_S09</t>
  </si>
  <si>
    <t>BH_094_S18</t>
  </si>
  <si>
    <t>BH_094_S27</t>
  </si>
  <si>
    <t>BH_094_S36</t>
  </si>
  <si>
    <t>BH_094_S45</t>
  </si>
  <si>
    <t>BH_094_S54</t>
  </si>
  <si>
    <t>BH_094_S63</t>
  </si>
  <si>
    <t>BH_094_S72</t>
  </si>
  <si>
    <t>BH_112_C00</t>
  </si>
  <si>
    <t>BH_112_P09</t>
  </si>
  <si>
    <t>BH_112_P18</t>
  </si>
  <si>
    <t>BH_112_P27</t>
  </si>
  <si>
    <t>BH_112_P36</t>
  </si>
  <si>
    <t>BH_112_P45</t>
  </si>
  <si>
    <t>BH_112_P54</t>
  </si>
  <si>
    <t>BH_112_P63</t>
  </si>
  <si>
    <t>BH_112_P72</t>
  </si>
  <si>
    <t>BH_112_S09</t>
  </si>
  <si>
    <t>BH_112_S18</t>
  </si>
  <si>
    <t>BH_112_S27</t>
  </si>
  <si>
    <t>BH_112_S36</t>
  </si>
  <si>
    <t>BH_112_S45</t>
  </si>
  <si>
    <t>BH_112_S54</t>
  </si>
  <si>
    <t>BH_112_S63</t>
  </si>
  <si>
    <t>BH_112_S72</t>
  </si>
  <si>
    <t>BH_139_C00</t>
  </si>
  <si>
    <t>BH_139_P09</t>
  </si>
  <si>
    <t>BH_139_P18</t>
  </si>
  <si>
    <t>BH_139_P27</t>
  </si>
  <si>
    <t>BH_139_P36</t>
  </si>
  <si>
    <t>BH_139_P45</t>
  </si>
  <si>
    <t>BH_139_P54</t>
  </si>
  <si>
    <t>BH_139_P63</t>
  </si>
  <si>
    <t>BH_139_P72</t>
  </si>
  <si>
    <t>BH_139_S09</t>
  </si>
  <si>
    <t>BH_139_S18</t>
  </si>
  <si>
    <t>BH_139_S27</t>
  </si>
  <si>
    <t>BH_139_S36</t>
  </si>
  <si>
    <t>BH_139_S45</t>
  </si>
  <si>
    <t>BH_139_S54</t>
  </si>
  <si>
    <t>BH_139_S63</t>
  </si>
  <si>
    <t>BH_139_S72</t>
  </si>
  <si>
    <t>BH_144_C00</t>
  </si>
  <si>
    <t>BH_144_P09</t>
  </si>
  <si>
    <t>BH_144_P18</t>
  </si>
  <si>
    <t>BH_144_P27</t>
  </si>
  <si>
    <t>BH_144_P36</t>
  </si>
  <si>
    <t>BH_144_P45</t>
  </si>
  <si>
    <t>BH_144_P54</t>
  </si>
  <si>
    <t>BH_144_P63</t>
  </si>
  <si>
    <t>BH_144_P72</t>
  </si>
  <si>
    <t>BH_144_S09</t>
  </si>
  <si>
    <t>BH_144_S18</t>
  </si>
  <si>
    <t>BH_144_S27</t>
  </si>
  <si>
    <t>BH_144_S36</t>
  </si>
  <si>
    <t>BH_144_S45</t>
  </si>
  <si>
    <t>BH_144_S54</t>
  </si>
  <si>
    <t>BH_144_S63</t>
  </si>
  <si>
    <t>BH_144_S72</t>
  </si>
  <si>
    <t>CPT_075_P05</t>
  </si>
  <si>
    <t>CPT_075_P14</t>
  </si>
  <si>
    <t>CPT_075_P23</t>
  </si>
  <si>
    <t>CPT_075_P32</t>
  </si>
  <si>
    <t>CPT_075_P41</t>
  </si>
  <si>
    <t>CPT_075_P50</t>
  </si>
  <si>
    <t>CPT_075_S05</t>
  </si>
  <si>
    <t>CPT_075_S14</t>
  </si>
  <si>
    <t>CPT_075_S23</t>
  </si>
  <si>
    <t>CPT_075_S32</t>
  </si>
  <si>
    <t>CPT_075_S41</t>
  </si>
  <si>
    <t>CPT_075_S50</t>
  </si>
  <si>
    <t>CPT_080_P05</t>
  </si>
  <si>
    <t>CPT_080_P14</t>
  </si>
  <si>
    <t>CPT_080_P23</t>
  </si>
  <si>
    <t>CPT_080_P32</t>
  </si>
  <si>
    <t>CPT_080_P41</t>
  </si>
  <si>
    <t>CPT_080_P50</t>
  </si>
  <si>
    <t>CPT_080_S05</t>
  </si>
  <si>
    <t>CPT_080_S14</t>
  </si>
  <si>
    <t>CPT_080_S23</t>
  </si>
  <si>
    <t>CPT_080_S32</t>
  </si>
  <si>
    <t>CPT_080_S41</t>
  </si>
  <si>
    <t>CPT_080_S50</t>
  </si>
  <si>
    <t>CPT_082_P05</t>
  </si>
  <si>
    <t>CPT_082_P14</t>
  </si>
  <si>
    <t>CPT_082_P23</t>
  </si>
  <si>
    <t>CPT_082_P32</t>
  </si>
  <si>
    <t>CPT_082_P41</t>
  </si>
  <si>
    <t>CPT_082_P50</t>
  </si>
  <si>
    <t>CPT_082_S05</t>
  </si>
  <si>
    <t>CPT_082_S14</t>
  </si>
  <si>
    <t>CPT_082_S23</t>
  </si>
  <si>
    <t>CPT_082_S32</t>
  </si>
  <si>
    <t>CPT_082_S41</t>
  </si>
  <si>
    <t>CPT_082_S50</t>
  </si>
  <si>
    <t>CPT_091_P05</t>
  </si>
  <si>
    <t>CPT_091_P14</t>
  </si>
  <si>
    <t>CPT_091_P23</t>
  </si>
  <si>
    <t>CPT_091_P32</t>
  </si>
  <si>
    <t>CPT_091_P41</t>
  </si>
  <si>
    <t>CPT_091_P50</t>
  </si>
  <si>
    <t>CPT_091_S05</t>
  </si>
  <si>
    <t>CPT_091_S14</t>
  </si>
  <si>
    <t>CPT_091_S23</t>
  </si>
  <si>
    <t>CPT_091_S32</t>
  </si>
  <si>
    <t>CPT_091_S41</t>
  </si>
  <si>
    <t>CPT_091_S50</t>
  </si>
  <si>
    <t>CPT_093_P05</t>
  </si>
  <si>
    <t>CPT_093_P14</t>
  </si>
  <si>
    <t>CPT_093_P23</t>
  </si>
  <si>
    <t>CPT_093_P32</t>
  </si>
  <si>
    <t>CPT_093_P41</t>
  </si>
  <si>
    <t>CPT_093_P50</t>
  </si>
  <si>
    <t>CPT_093_S05</t>
  </si>
  <si>
    <t>CPT_093_S14</t>
  </si>
  <si>
    <t>CPT_093_S23</t>
  </si>
  <si>
    <t>CPT_093_S32</t>
  </si>
  <si>
    <t>CPT_093_S41</t>
  </si>
  <si>
    <t>CPT_093_S50</t>
  </si>
  <si>
    <t>CPT_100_P05</t>
  </si>
  <si>
    <t>CPT_100_P14</t>
  </si>
  <si>
    <t>CPT_100_P23</t>
  </si>
  <si>
    <t>CPT_100_P32</t>
  </si>
  <si>
    <t>CPT_100_P41</t>
  </si>
  <si>
    <t>CPT_100_P50</t>
  </si>
  <si>
    <t>CPT_100_S05</t>
  </si>
  <si>
    <t>CPT_100_S14</t>
  </si>
  <si>
    <t>CPT_100_S23</t>
  </si>
  <si>
    <t>CPT_100_S32</t>
  </si>
  <si>
    <t>CPT_100_S41</t>
  </si>
  <si>
    <t>CPT_100_S50</t>
  </si>
  <si>
    <t>CPT_126_P05</t>
  </si>
  <si>
    <t>CPT_126_P14</t>
  </si>
  <si>
    <t>CPT_126_P23</t>
  </si>
  <si>
    <t>CPT_126_P32</t>
  </si>
  <si>
    <t>CPT_126_P41</t>
  </si>
  <si>
    <t>CPT_126_P50</t>
  </si>
  <si>
    <t>CPT_126_S05</t>
  </si>
  <si>
    <t>CPT_126_S14</t>
  </si>
  <si>
    <t>CPT_126_S23</t>
  </si>
  <si>
    <t>CPT_126_S32</t>
  </si>
  <si>
    <t>CPT_126_S41</t>
  </si>
  <si>
    <t>CPT_126_S50</t>
  </si>
  <si>
    <t>CPT_135_P05</t>
  </si>
  <si>
    <t>CPT_135_P14</t>
  </si>
  <si>
    <t>CPT_135_P23</t>
  </si>
  <si>
    <t>CPT_135_P32</t>
  </si>
  <si>
    <t>CPT_135_P41</t>
  </si>
  <si>
    <t>CPT_135_P50</t>
  </si>
  <si>
    <t>CPT_135_S05</t>
  </si>
  <si>
    <t>CPT_135_S14</t>
  </si>
  <si>
    <t>CPT_135_S23</t>
  </si>
  <si>
    <t>CPT_135_S32</t>
  </si>
  <si>
    <t>CPT_135_S41</t>
  </si>
  <si>
    <t>CPT_135_S50</t>
  </si>
  <si>
    <t>CPT_139_P05</t>
  </si>
  <si>
    <t>CPT_139_P14</t>
  </si>
  <si>
    <t>CPT_139_P23</t>
  </si>
  <si>
    <t>CPT_139_P32</t>
  </si>
  <si>
    <t>CPT_139_P41</t>
  </si>
  <si>
    <t>CPT_139_P50</t>
  </si>
  <si>
    <t>CPT_139_S05</t>
  </si>
  <si>
    <t>CPT_139_S14</t>
  </si>
  <si>
    <t>CPT_139_S23</t>
  </si>
  <si>
    <t>CPT_139_S32</t>
  </si>
  <si>
    <t>CPT_139_S41</t>
  </si>
  <si>
    <t>CPT_139_S50</t>
  </si>
  <si>
    <t>CPT_142_P05</t>
  </si>
  <si>
    <t>CPT_142_P14</t>
  </si>
  <si>
    <t>CPT_142_P23</t>
  </si>
  <si>
    <t>CPT_142_P32</t>
  </si>
  <si>
    <t>CPT_142_P41</t>
  </si>
  <si>
    <t>CPT_142_P50</t>
  </si>
  <si>
    <t>CPT_142_S05</t>
  </si>
  <si>
    <t>CPT_142_S14</t>
  </si>
  <si>
    <t>CPT_142_S23</t>
  </si>
  <si>
    <t>CPT_142_S32</t>
  </si>
  <si>
    <t>CPT_142_S41</t>
  </si>
  <si>
    <t>CPT_142_S50</t>
  </si>
  <si>
    <t>CPT_161_P05</t>
  </si>
  <si>
    <t>CPT_161_P14</t>
  </si>
  <si>
    <t>CPT_161_P23</t>
  </si>
  <si>
    <t>CPT_161_P32</t>
  </si>
  <si>
    <t>CPT_161_P41</t>
  </si>
  <si>
    <t>CPT_161_P50</t>
  </si>
  <si>
    <t>CPT_161_S05</t>
  </si>
  <si>
    <t>CPT_161_S14</t>
  </si>
  <si>
    <t>CPT_161_S23</t>
  </si>
  <si>
    <t>CPT_161_S32</t>
  </si>
  <si>
    <t>CPT_161_S41</t>
  </si>
  <si>
    <t>CPT_161_S50</t>
  </si>
  <si>
    <t>CPT_178_P05</t>
  </si>
  <si>
    <t>CPT_178_P14</t>
  </si>
  <si>
    <t>CPT_178_P23</t>
  </si>
  <si>
    <t>CPT_178_P32</t>
  </si>
  <si>
    <t>CPT_178_P41</t>
  </si>
  <si>
    <t>CPT_178_P50</t>
  </si>
  <si>
    <t>CPT_178_S05</t>
  </si>
  <si>
    <t>CPT_178_S14</t>
  </si>
  <si>
    <t>CPT_178_S23</t>
  </si>
  <si>
    <t>CPT_178_S32</t>
  </si>
  <si>
    <t>CPT_178_S41</t>
  </si>
  <si>
    <t>CPT_178_S50</t>
  </si>
  <si>
    <t>CPT_201_P05</t>
  </si>
  <si>
    <t>CPT_201_P14</t>
  </si>
  <si>
    <t>CPT_201_P23</t>
  </si>
  <si>
    <t>CPT_201_P32</t>
  </si>
  <si>
    <t>CPT_201_P41</t>
  </si>
  <si>
    <t>CPT_201_P50</t>
  </si>
  <si>
    <t>CPT_201_S05</t>
  </si>
  <si>
    <t>CPT_201_S14</t>
  </si>
  <si>
    <t>CPT_201_S23</t>
  </si>
  <si>
    <t>CPT_201_S32</t>
  </si>
  <si>
    <t>CPT_201_S41</t>
  </si>
  <si>
    <t>CPT_201_S50</t>
  </si>
  <si>
    <t>CPT_204_P05</t>
  </si>
  <si>
    <t>CPT_204_P14</t>
  </si>
  <si>
    <t>CPT_204_P23</t>
  </si>
  <si>
    <t>CPT_204_P32</t>
  </si>
  <si>
    <t>CPT_204_P41</t>
  </si>
  <si>
    <t>CPT_204_P50</t>
  </si>
  <si>
    <t>CPT_204_S05</t>
  </si>
  <si>
    <t>CPT_204_S14</t>
  </si>
  <si>
    <t>CPT_204_S23</t>
  </si>
  <si>
    <t>CPT_204_S32</t>
  </si>
  <si>
    <t>CPT_204_S41</t>
  </si>
  <si>
    <t>CPT_204_S50</t>
  </si>
  <si>
    <t>CPT_209_P05</t>
  </si>
  <si>
    <t>CPT_209_P14</t>
  </si>
  <si>
    <t>CPT_209_P23</t>
  </si>
  <si>
    <t>CPT_209_P32</t>
  </si>
  <si>
    <t>CPT_209_P41</t>
  </si>
  <si>
    <t>CPT_209_P50</t>
  </si>
  <si>
    <t>CPT_209_S05</t>
  </si>
  <si>
    <t>CPT_209_S14</t>
  </si>
  <si>
    <t>CPT_209_S23</t>
  </si>
  <si>
    <t>CPT_209_S32</t>
  </si>
  <si>
    <t>CPT_209_S41</t>
  </si>
  <si>
    <t>CPT_209_S50</t>
  </si>
  <si>
    <t>CPT_236_P05</t>
  </si>
  <si>
    <t>CPT_236_P14</t>
  </si>
  <si>
    <t>CPT_236_P23</t>
  </si>
  <si>
    <t>CPT_236_P32</t>
  </si>
  <si>
    <t>CPT_236_P41</t>
  </si>
  <si>
    <t>CPT_236_P50</t>
  </si>
  <si>
    <t>CPT_236_S05</t>
  </si>
  <si>
    <t>CPT_236_S14</t>
  </si>
  <si>
    <t>CPT_236_S23</t>
  </si>
  <si>
    <t>CPT_236_S32</t>
  </si>
  <si>
    <t>CPT_236_S41</t>
  </si>
  <si>
    <t>CPT_236_S50</t>
  </si>
  <si>
    <t>CPT_264_P05</t>
  </si>
  <si>
    <t>CPT_264_P14</t>
  </si>
  <si>
    <t>CPT_264_P23</t>
  </si>
  <si>
    <t>CPT_264_P32</t>
  </si>
  <si>
    <t>CPT_264_P41</t>
  </si>
  <si>
    <t>CPT_264_P50</t>
  </si>
  <si>
    <t>CPT_264_S05</t>
  </si>
  <si>
    <t>CPT_264_S14</t>
  </si>
  <si>
    <t>CPT_264_S23</t>
  </si>
  <si>
    <t>CPT_264_S32</t>
  </si>
  <si>
    <t>CPT_264_S41</t>
  </si>
  <si>
    <t>CPT_264_S50</t>
  </si>
  <si>
    <t>CPT_275_P05</t>
  </si>
  <si>
    <t>CPT_275_P14</t>
  </si>
  <si>
    <t>CPT_275_P23</t>
  </si>
  <si>
    <t>CPT_275_P32</t>
  </si>
  <si>
    <t>CPT_275_P41</t>
  </si>
  <si>
    <t>CPT_275_P50</t>
  </si>
  <si>
    <t>CPT_275_S05</t>
  </si>
  <si>
    <t>CPT_275_S14</t>
  </si>
  <si>
    <t>CPT_275_S23</t>
  </si>
  <si>
    <t>CPT_275_S32</t>
  </si>
  <si>
    <t>CPT_275_S41</t>
  </si>
  <si>
    <t>CPT_275_S50</t>
  </si>
  <si>
    <t>CPT_284_P05</t>
  </si>
  <si>
    <t>CPT_284_P14</t>
  </si>
  <si>
    <t>CPT_284_P23</t>
  </si>
  <si>
    <t>CPT_284_P32</t>
  </si>
  <si>
    <t>CPT_284_P41</t>
  </si>
  <si>
    <t>CPT_284_P50</t>
  </si>
  <si>
    <t>CPT_284_S05</t>
  </si>
  <si>
    <t>CPT_284_S14</t>
  </si>
  <si>
    <t>CPT_284_S23</t>
  </si>
  <si>
    <t>CPT_284_S32</t>
  </si>
  <si>
    <t>CPT_284_S41</t>
  </si>
  <si>
    <t>CPT_284_S50</t>
  </si>
  <si>
    <t>CPT_290_P05</t>
  </si>
  <si>
    <t>CPT_290_P14</t>
  </si>
  <si>
    <t>CPT_290_P23</t>
  </si>
  <si>
    <t>CPT_290_P32</t>
  </si>
  <si>
    <t>CPT_290_P41</t>
  </si>
  <si>
    <t>CPT_290_P50</t>
  </si>
  <si>
    <t>CPT_290_S05</t>
  </si>
  <si>
    <t>CPT_290_S14</t>
  </si>
  <si>
    <t>CPT_290_S23</t>
  </si>
  <si>
    <t>CPT_290_S32</t>
  </si>
  <si>
    <t>CPT_290_S41</t>
  </si>
  <si>
    <t>CPT_290_S50</t>
  </si>
  <si>
    <t>CPT_294_P05</t>
  </si>
  <si>
    <t>CPT_294_P14</t>
  </si>
  <si>
    <t>CPT_294_P23</t>
  </si>
  <si>
    <t>CPT_294_P32</t>
  </si>
  <si>
    <t>CPT_294_P41</t>
  </si>
  <si>
    <t>CPT_294_P50</t>
  </si>
  <si>
    <t>CPT_294_S05</t>
  </si>
  <si>
    <t>CPT_294_S14</t>
  </si>
  <si>
    <t>CPT_294_S23</t>
  </si>
  <si>
    <t>CPT_294_S32</t>
  </si>
  <si>
    <t>CPT_294_S41</t>
  </si>
  <si>
    <t>CPT_294_S50</t>
  </si>
  <si>
    <t>CPT_314_P05</t>
  </si>
  <si>
    <t>CPT_314_P14</t>
  </si>
  <si>
    <t>CPT_314_P23</t>
  </si>
  <si>
    <t>CPT_314_P32</t>
  </si>
  <si>
    <t>CPT_314_P41</t>
  </si>
  <si>
    <t>CPT_314_P50</t>
  </si>
  <si>
    <t>CPT_314_S05</t>
  </si>
  <si>
    <t>CPT_314_S14</t>
  </si>
  <si>
    <t>CPT_314_S23</t>
  </si>
  <si>
    <t>CPT_314_S32</t>
  </si>
  <si>
    <t>CPT_314_S41</t>
  </si>
  <si>
    <t>CPT_314_S50</t>
  </si>
  <si>
    <t>CPT_334_P05</t>
  </si>
  <si>
    <t>CPT_334_P14</t>
  </si>
  <si>
    <t>CPT_334_P23</t>
  </si>
  <si>
    <t>CPT_334_P32</t>
  </si>
  <si>
    <t>CPT_334_P41</t>
  </si>
  <si>
    <t>CPT_334_P50</t>
  </si>
  <si>
    <t>CPT_334_S05</t>
  </si>
  <si>
    <t>CPT_334_S14</t>
  </si>
  <si>
    <t>CPT_334_S23</t>
  </si>
  <si>
    <t>CPT_334_S32</t>
  </si>
  <si>
    <t>CPT_334_S41</t>
  </si>
  <si>
    <t>CPT_334_S50</t>
  </si>
  <si>
    <t>BM15 Borehole</t>
  </si>
  <si>
    <t>BM15 CPT</t>
  </si>
  <si>
    <t>BM14 CPT</t>
  </si>
  <si>
    <t>BM14 Borehole</t>
  </si>
  <si>
    <t>BH_047_C00</t>
  </si>
  <si>
    <t>BH_047_P09</t>
  </si>
  <si>
    <t>BH_047_P18</t>
  </si>
  <si>
    <t>BH_047_P27</t>
  </si>
  <si>
    <t>BH_047_P36</t>
  </si>
  <si>
    <t>BH_047_P45</t>
  </si>
  <si>
    <t>BH_047_P54</t>
  </si>
  <si>
    <t>BH_047_P63</t>
  </si>
  <si>
    <t>BH_047_P72</t>
  </si>
  <si>
    <t>BH_047_S09</t>
  </si>
  <si>
    <t>BH_047_S18</t>
  </si>
  <si>
    <t>BH_047_S27</t>
  </si>
  <si>
    <t>BH_047_S36</t>
  </si>
  <si>
    <t>BH_047_S45</t>
  </si>
  <si>
    <t>BH_047_S54</t>
  </si>
  <si>
    <t>BH_047_S63</t>
  </si>
  <si>
    <t>BH_047_S72</t>
  </si>
  <si>
    <t>BH_071_C00</t>
  </si>
  <si>
    <t>BH_071_P09</t>
  </si>
  <si>
    <t>BH_071_P18</t>
  </si>
  <si>
    <t>BH_071_P27</t>
  </si>
  <si>
    <t>BH_071_P36</t>
  </si>
  <si>
    <t>BH_071_P45</t>
  </si>
  <si>
    <t>BH_071_P54</t>
  </si>
  <si>
    <t>BH_071_P63</t>
  </si>
  <si>
    <t>BH_071_P72</t>
  </si>
  <si>
    <t>BH_071_S09</t>
  </si>
  <si>
    <t>BH_071_S18</t>
  </si>
  <si>
    <t>BH_071_S27</t>
  </si>
  <si>
    <t>BH_071_S36</t>
  </si>
  <si>
    <t>BH_071_S45</t>
  </si>
  <si>
    <t>BH_071_S54</t>
  </si>
  <si>
    <t>BH_071_S63</t>
  </si>
  <si>
    <t>BH_071_S72</t>
  </si>
  <si>
    <t>BH_105_C00</t>
  </si>
  <si>
    <t>BH_105_P09</t>
  </si>
  <si>
    <t>BH_105_P18</t>
  </si>
  <si>
    <t>BH_105_P27</t>
  </si>
  <si>
    <t>BH_105_P36</t>
  </si>
  <si>
    <t>BH_105_P45</t>
  </si>
  <si>
    <t>BH_105_P54</t>
  </si>
  <si>
    <t>BH_105_P63</t>
  </si>
  <si>
    <t>BH_105_P72</t>
  </si>
  <si>
    <t>BH_105_S09</t>
  </si>
  <si>
    <t>BH_105_S18</t>
  </si>
  <si>
    <t>BH_105_S27</t>
  </si>
  <si>
    <t>BH_105_S36</t>
  </si>
  <si>
    <t>BH_105_S45</t>
  </si>
  <si>
    <t>BH_105_S54</t>
  </si>
  <si>
    <t>BH_105_S63</t>
  </si>
  <si>
    <t>BH_105_S72</t>
  </si>
  <si>
    <t>BH_107_C00</t>
  </si>
  <si>
    <t>BH_107_P09</t>
  </si>
  <si>
    <t>BH_107_P18</t>
  </si>
  <si>
    <t>BH_107_P27</t>
  </si>
  <si>
    <t>BH_107_P36</t>
  </si>
  <si>
    <t>BH_107_P45</t>
  </si>
  <si>
    <t>BH_107_P54</t>
  </si>
  <si>
    <t>BH_107_P63</t>
  </si>
  <si>
    <t>BH_107_P72</t>
  </si>
  <si>
    <t>BH_107_S09</t>
  </si>
  <si>
    <t>BH_107_S18</t>
  </si>
  <si>
    <t>BH_107_S27</t>
  </si>
  <si>
    <t>BH_107_S36</t>
  </si>
  <si>
    <t>BH_107_S45</t>
  </si>
  <si>
    <t>BH_107_S54</t>
  </si>
  <si>
    <t>BH_107_S63</t>
  </si>
  <si>
    <t>BH_107_S72</t>
  </si>
  <si>
    <t>BH_117_C00</t>
  </si>
  <si>
    <t>BH_117_P09</t>
  </si>
  <si>
    <t>BH_117_P18</t>
  </si>
  <si>
    <t>BH_117_P27</t>
  </si>
  <si>
    <t>BH_117_P36</t>
  </si>
  <si>
    <t>BH_117_P45</t>
  </si>
  <si>
    <t>BH_117_P54</t>
  </si>
  <si>
    <t>BH_117_P63</t>
  </si>
  <si>
    <t>BH_117_P72</t>
  </si>
  <si>
    <t>BH_117_S09</t>
  </si>
  <si>
    <t>BH_117_S18</t>
  </si>
  <si>
    <t>BH_117_S27</t>
  </si>
  <si>
    <t>BH_117_S36</t>
  </si>
  <si>
    <t>BH_117_S45</t>
  </si>
  <si>
    <t>BH_117_S54</t>
  </si>
  <si>
    <t>BH_117_S63</t>
  </si>
  <si>
    <t>BH_117_S72</t>
  </si>
  <si>
    <t>BH_128_C00</t>
  </si>
  <si>
    <t>BH_128_P09</t>
  </si>
  <si>
    <t>BH_128_P18</t>
  </si>
  <si>
    <t>BH_128_P27</t>
  </si>
  <si>
    <t>BH_128_P36</t>
  </si>
  <si>
    <t>BH_128_P45</t>
  </si>
  <si>
    <t>BH_128_P54</t>
  </si>
  <si>
    <t>BH_128_P63</t>
  </si>
  <si>
    <t>BH_128_P72</t>
  </si>
  <si>
    <t>BH_128_S09</t>
  </si>
  <si>
    <t>BH_128_S18</t>
  </si>
  <si>
    <t>BH_128_S27</t>
  </si>
  <si>
    <t>BH_128_S36</t>
  </si>
  <si>
    <t>BH_128_S45</t>
  </si>
  <si>
    <t>BH_128_S54</t>
  </si>
  <si>
    <t>BH_128_S63</t>
  </si>
  <si>
    <t>BH_128_S72</t>
  </si>
  <si>
    <t>CPT_039_P05</t>
  </si>
  <si>
    <t>CPT_039_P14</t>
  </si>
  <si>
    <t>CPT_039_P23</t>
  </si>
  <si>
    <t>CPT_039_P32</t>
  </si>
  <si>
    <t>CPT_039_P41</t>
  </si>
  <si>
    <t>CPT_039_P50</t>
  </si>
  <si>
    <t>CPT_039_S05</t>
  </si>
  <si>
    <t>CPT_039_S14</t>
  </si>
  <si>
    <t>CPT_039_S23</t>
  </si>
  <si>
    <t>CPT_039_S32</t>
  </si>
  <si>
    <t>CPT_039_S41</t>
  </si>
  <si>
    <t>CPT_039_S50</t>
  </si>
  <si>
    <t>CPT_051_P05</t>
  </si>
  <si>
    <t>CPT_051_P14</t>
  </si>
  <si>
    <t>CPT_051_P23</t>
  </si>
  <si>
    <t>CPT_051_P32</t>
  </si>
  <si>
    <t>CPT_051_P41</t>
  </si>
  <si>
    <t>CPT_051_P50</t>
  </si>
  <si>
    <t>CPT_051_S05</t>
  </si>
  <si>
    <t>CPT_051_S14</t>
  </si>
  <si>
    <t>CPT_051_S23</t>
  </si>
  <si>
    <t>CPT_051_S32</t>
  </si>
  <si>
    <t>CPT_051_S41</t>
  </si>
  <si>
    <t>CPT_051_S50</t>
  </si>
  <si>
    <t>CPT_137_P05</t>
  </si>
  <si>
    <t>CPT_137_P14</t>
  </si>
  <si>
    <t>CPT_137_P23</t>
  </si>
  <si>
    <t>CPT_137_P32</t>
  </si>
  <si>
    <t>CPT_137_P41</t>
  </si>
  <si>
    <t>CPT_137_P50</t>
  </si>
  <si>
    <t>CPT_137_S05</t>
  </si>
  <si>
    <t>CPT_137_S14</t>
  </si>
  <si>
    <t>CPT_137_S23</t>
  </si>
  <si>
    <t>CPT_137_S32</t>
  </si>
  <si>
    <t>CPT_137_S41</t>
  </si>
  <si>
    <t>CPT_137_S50</t>
  </si>
  <si>
    <t>CPT_140_P05</t>
  </si>
  <si>
    <t>CPT_140_P14</t>
  </si>
  <si>
    <t>CPT_140_P23</t>
  </si>
  <si>
    <t>CPT_140_P32</t>
  </si>
  <si>
    <t>CPT_140_P41</t>
  </si>
  <si>
    <t>CPT_140_P50</t>
  </si>
  <si>
    <t>CPT_140_S05</t>
  </si>
  <si>
    <t>CPT_140_S14</t>
  </si>
  <si>
    <t>CPT_140_S23</t>
  </si>
  <si>
    <t>CPT_140_S32</t>
  </si>
  <si>
    <t>CPT_140_S41</t>
  </si>
  <si>
    <t>CPT_140_S50</t>
  </si>
  <si>
    <t>CPT_160_P05</t>
  </si>
  <si>
    <t>CPT_160_P14</t>
  </si>
  <si>
    <t>CPT_160_P23</t>
  </si>
  <si>
    <t>CPT_160_P32</t>
  </si>
  <si>
    <t>CPT_160_P41</t>
  </si>
  <si>
    <t>CPT_160_P50</t>
  </si>
  <si>
    <t>CPT_160_S05</t>
  </si>
  <si>
    <t>CPT_160_S14</t>
  </si>
  <si>
    <t>CPT_160_S23</t>
  </si>
  <si>
    <t>CPT_160_S32</t>
  </si>
  <si>
    <t>CPT_160_S41</t>
  </si>
  <si>
    <t>CPT_160_S50</t>
  </si>
  <si>
    <t>CPT_187_P05</t>
  </si>
  <si>
    <t>CPT_187_P14</t>
  </si>
  <si>
    <t>CPT_187_P23</t>
  </si>
  <si>
    <t>CPT_187_P32</t>
  </si>
  <si>
    <t>CPT_187_P41</t>
  </si>
  <si>
    <t>CPT_187_P50</t>
  </si>
  <si>
    <t>CPT_187_S05</t>
  </si>
  <si>
    <t>CPT_187_S14</t>
  </si>
  <si>
    <t>CPT_187_S23</t>
  </si>
  <si>
    <t>CPT_187_S32</t>
  </si>
  <si>
    <t>CPT_187_S41</t>
  </si>
  <si>
    <t>CPT_187_S50</t>
  </si>
  <si>
    <t>CPT_197_P05</t>
  </si>
  <si>
    <t>CPT_197_P14</t>
  </si>
  <si>
    <t>CPT_197_P23</t>
  </si>
  <si>
    <t>CPT_197_P32</t>
  </si>
  <si>
    <t>CPT_197_P41</t>
  </si>
  <si>
    <t>CPT_197_P50</t>
  </si>
  <si>
    <t>CPT_197_S05</t>
  </si>
  <si>
    <t>CPT_197_S14</t>
  </si>
  <si>
    <t>CPT_197_S23</t>
  </si>
  <si>
    <t>CPT_197_S32</t>
  </si>
  <si>
    <t>CPT_197_S41</t>
  </si>
  <si>
    <t>CPT_197_S50</t>
  </si>
  <si>
    <t>CPT_203_P05</t>
  </si>
  <si>
    <t>CPT_203_P14</t>
  </si>
  <si>
    <t>CPT_203_P23</t>
  </si>
  <si>
    <t>CPT_203_P32</t>
  </si>
  <si>
    <t>CPT_203_P41</t>
  </si>
  <si>
    <t>CPT_203_P50</t>
  </si>
  <si>
    <t>CPT_203_S05</t>
  </si>
  <si>
    <t>CPT_203_S14</t>
  </si>
  <si>
    <t>CPT_203_S23</t>
  </si>
  <si>
    <t>CPT_203_S32</t>
  </si>
  <si>
    <t>CPT_203_S41</t>
  </si>
  <si>
    <t>CPT_203_S50</t>
  </si>
  <si>
    <t>CPT_208_S32</t>
  </si>
  <si>
    <t>CPT_208_S41</t>
  </si>
  <si>
    <t>CPT_208_S50</t>
  </si>
  <si>
    <t>CPT_213_P05</t>
  </si>
  <si>
    <t>CPT_213_P14</t>
  </si>
  <si>
    <t>CPT_213_P23</t>
  </si>
  <si>
    <t>CPT_213_P32</t>
  </si>
  <si>
    <t>CPT_213_P41</t>
  </si>
  <si>
    <t>CPT_213_P50</t>
  </si>
  <si>
    <t>CPT_213_S05</t>
  </si>
  <si>
    <t>CPT_213_S14</t>
  </si>
  <si>
    <t>CPT_213_S23</t>
  </si>
  <si>
    <t>CPT_213_S32</t>
  </si>
  <si>
    <t>CPT_213_S41</t>
  </si>
  <si>
    <t>CPT_213_S50</t>
  </si>
  <si>
    <t>CPT_226_P05</t>
  </si>
  <si>
    <t>CPT_226_P14</t>
  </si>
  <si>
    <t>CPT_226_P23</t>
  </si>
  <si>
    <t>CPT_226_P32</t>
  </si>
  <si>
    <t>CPT_226_P41</t>
  </si>
  <si>
    <t>CPT_226_P50</t>
  </si>
  <si>
    <t>CPT_226_S05</t>
  </si>
  <si>
    <t>CPT_226_S14</t>
  </si>
  <si>
    <t>CPT_226_S23</t>
  </si>
  <si>
    <t>CPT_226_S32</t>
  </si>
  <si>
    <t>CPT_226_S41</t>
  </si>
  <si>
    <t>CPT_226_S50</t>
  </si>
  <si>
    <t>CPT_237_P05</t>
  </si>
  <si>
    <t>CPT_237_P14</t>
  </si>
  <si>
    <t>CPT_237_P23</t>
  </si>
  <si>
    <t>CPT_237_P32</t>
  </si>
  <si>
    <t>CPT_237_P41</t>
  </si>
  <si>
    <t>CPT_237_P50</t>
  </si>
  <si>
    <t>CPT_237_S05</t>
  </si>
  <si>
    <t>CPT_237_S14</t>
  </si>
  <si>
    <t>CPT_237_S23</t>
  </si>
  <si>
    <t>CPT_237_S32</t>
  </si>
  <si>
    <t>CPT_237_S41</t>
  </si>
  <si>
    <t>CPT_237_S50</t>
  </si>
  <si>
    <t>CPT_274_P05</t>
  </si>
  <si>
    <t>CPT_274_P14</t>
  </si>
  <si>
    <t>CPT_274_P23</t>
  </si>
  <si>
    <t>CPT_274_P32</t>
  </si>
  <si>
    <t>CPT_274_P41</t>
  </si>
  <si>
    <t>CPT_274_P50</t>
  </si>
  <si>
    <t>CPT_274_S05</t>
  </si>
  <si>
    <t>CPT_274_S14</t>
  </si>
  <si>
    <t>CPT_274_S23</t>
  </si>
  <si>
    <t>CPT_274_S32</t>
  </si>
  <si>
    <t>CPT_274_S41</t>
  </si>
  <si>
    <t>CPT_274_S50</t>
  </si>
  <si>
    <t>CPT_288_P05</t>
  </si>
  <si>
    <t>CPT_288_P14</t>
  </si>
  <si>
    <t>CPT_288_P23</t>
  </si>
  <si>
    <t>CPT_288_P32</t>
  </si>
  <si>
    <t>CPT_288_P41</t>
  </si>
  <si>
    <t>CPT_288_P50</t>
  </si>
  <si>
    <t>CPT_288_S05</t>
  </si>
  <si>
    <t>CPT_288_S14</t>
  </si>
  <si>
    <t>CPT_288_S23</t>
  </si>
  <si>
    <t>CPT_288_S32</t>
  </si>
  <si>
    <t>CPT_288_S41</t>
  </si>
  <si>
    <t>CPT_288_S50</t>
  </si>
  <si>
    <t>CPT_301_P05</t>
  </si>
  <si>
    <t>CPT_301_P14</t>
  </si>
  <si>
    <t>CPT_301_P23</t>
  </si>
  <si>
    <t>CPT_301_P32</t>
  </si>
  <si>
    <t>CPT_301_P41</t>
  </si>
  <si>
    <t>CPT_301_P50</t>
  </si>
  <si>
    <t>CPT_301_S05</t>
  </si>
  <si>
    <t>CPT_301_S14</t>
  </si>
  <si>
    <t>CPT_301_S23</t>
  </si>
  <si>
    <t>CPT_301_S32</t>
  </si>
  <si>
    <t>CPT_301_S41</t>
  </si>
  <si>
    <t>CPT_301_S50</t>
  </si>
  <si>
    <t>CPT_303_P05</t>
  </si>
  <si>
    <t>CPT_303_P14</t>
  </si>
  <si>
    <t>CPT_303_P23</t>
  </si>
  <si>
    <t>CPT_303_P32</t>
  </si>
  <si>
    <t>CPT_303_P41</t>
  </si>
  <si>
    <t>CPT_303_P50</t>
  </si>
  <si>
    <t>CPT_303_S05</t>
  </si>
  <si>
    <t>CPT_303_S14</t>
  </si>
  <si>
    <t>CPT_303_S23</t>
  </si>
  <si>
    <t>CPT_303_S32</t>
  </si>
  <si>
    <t>CPT_303_S41</t>
  </si>
  <si>
    <t>CPT_303_S50</t>
  </si>
  <si>
    <t>CPT_311_P05</t>
  </si>
  <si>
    <t>CPT_311_P14</t>
  </si>
  <si>
    <t>CPT_311_P23</t>
  </si>
  <si>
    <t>CPT_311_P32</t>
  </si>
  <si>
    <t>CPT_311_P41</t>
  </si>
  <si>
    <t>CPT_311_P50</t>
  </si>
  <si>
    <t>CPT_311_S05</t>
  </si>
  <si>
    <t>CPT_311_S14</t>
  </si>
  <si>
    <t>CPT_311_S23</t>
  </si>
  <si>
    <t>CPT_311_S32</t>
  </si>
  <si>
    <t>CPT_311_S41</t>
  </si>
  <si>
    <t>CPT_311_S50</t>
  </si>
  <si>
    <t>CPT_162_P05</t>
  </si>
  <si>
    <t>CPT_162_P14</t>
  </si>
  <si>
    <t>CPT_162_P23</t>
  </si>
  <si>
    <t>CPT_162_P32</t>
  </si>
  <si>
    <t>CPT_162_P41</t>
  </si>
  <si>
    <t>CPT_162_P50</t>
  </si>
  <si>
    <t>CPT_162_S05</t>
  </si>
  <si>
    <t>CPT_162_S14</t>
  </si>
  <si>
    <t>CPT_162_S23</t>
  </si>
  <si>
    <t>CPT_162_S32</t>
  </si>
  <si>
    <t>CPT_162_S41</t>
  </si>
  <si>
    <t>CPT_162_S50</t>
  </si>
  <si>
    <t>BM16 Borehole</t>
  </si>
  <si>
    <t>BM16 CPT</t>
  </si>
  <si>
    <t>BH_026_C00</t>
  </si>
  <si>
    <t>BH_026_P09</t>
  </si>
  <si>
    <t>BH_026_P18</t>
  </si>
  <si>
    <t>BH_026_P27</t>
  </si>
  <si>
    <t>BH_026_P36</t>
  </si>
  <si>
    <t>BH_026_P45</t>
  </si>
  <si>
    <t>BH_026_P54</t>
  </si>
  <si>
    <t>BH_026_P63</t>
  </si>
  <si>
    <t>BH_026_P72</t>
  </si>
  <si>
    <t>BH_026_S09</t>
  </si>
  <si>
    <t>BH_026_S18</t>
  </si>
  <si>
    <t>BH_026_S27</t>
  </si>
  <si>
    <t>BH_026_S36</t>
  </si>
  <si>
    <t>BH_026_S45</t>
  </si>
  <si>
    <t>BH_026_S54</t>
  </si>
  <si>
    <t>BH_026_S63</t>
  </si>
  <si>
    <t>BH_026_S72</t>
  </si>
  <si>
    <t>BH_042_C00</t>
  </si>
  <si>
    <t>BH_042_P09</t>
  </si>
  <si>
    <t>BH_042_P18</t>
  </si>
  <si>
    <t>BH_042_P27</t>
  </si>
  <si>
    <t>BH_042_P36</t>
  </si>
  <si>
    <t>BH_042_P45</t>
  </si>
  <si>
    <t>BH_042_P54</t>
  </si>
  <si>
    <t>BH_042_P63</t>
  </si>
  <si>
    <t>BH_042_P72</t>
  </si>
  <si>
    <t>BH_042_S09</t>
  </si>
  <si>
    <t>BH_042_S18</t>
  </si>
  <si>
    <t>BH_042_S27</t>
  </si>
  <si>
    <t>BH_042_S36</t>
  </si>
  <si>
    <t>BH_042_S45</t>
  </si>
  <si>
    <t>BH_042_S54</t>
  </si>
  <si>
    <t>BH_042_S63</t>
  </si>
  <si>
    <t>BH_042_S72</t>
  </si>
  <si>
    <t>BH_043_C00</t>
  </si>
  <si>
    <t>BH_043_P09</t>
  </si>
  <si>
    <t>BH_043_P18</t>
  </si>
  <si>
    <t>BH_043_P27</t>
  </si>
  <si>
    <t>BH_043_P36</t>
  </si>
  <si>
    <t>BH_043_P45</t>
  </si>
  <si>
    <t>BH_043_P54</t>
  </si>
  <si>
    <t>BH_043_P63</t>
  </si>
  <si>
    <t>BH_043_P72</t>
  </si>
  <si>
    <t>BH_043_S09</t>
  </si>
  <si>
    <t>BH_043_S18</t>
  </si>
  <si>
    <t>BH_043_S27</t>
  </si>
  <si>
    <t>BH_043_S36</t>
  </si>
  <si>
    <t>BH_043_S45</t>
  </si>
  <si>
    <t>BH_043_S54</t>
  </si>
  <si>
    <t>BH_043_S63</t>
  </si>
  <si>
    <t>BH_043_S72</t>
  </si>
  <si>
    <t>BH_061_C00</t>
  </si>
  <si>
    <t>BH_061_P09</t>
  </si>
  <si>
    <t>BH_061_P18</t>
  </si>
  <si>
    <t>BH_061_P27</t>
  </si>
  <si>
    <t>BH_061_P36</t>
  </si>
  <si>
    <t>BH_061_P45</t>
  </si>
  <si>
    <t>BH_061_P54</t>
  </si>
  <si>
    <t>BH_061_P63</t>
  </si>
  <si>
    <t>BH_061_P72</t>
  </si>
  <si>
    <t>BH_061_S09</t>
  </si>
  <si>
    <t>BH_061_S18</t>
  </si>
  <si>
    <t>BH_061_S27</t>
  </si>
  <si>
    <t>BH_061_S36</t>
  </si>
  <si>
    <t>BH_061_S45</t>
  </si>
  <si>
    <t>BH_061_S54</t>
  </si>
  <si>
    <t>BH_061_S63</t>
  </si>
  <si>
    <t>BH_061_S72</t>
  </si>
  <si>
    <t>BH_062_C00</t>
  </si>
  <si>
    <t>BH_062_P09</t>
  </si>
  <si>
    <t>BH_062_P18</t>
  </si>
  <si>
    <t>BH_062_P27</t>
  </si>
  <si>
    <t>BH_062_P36</t>
  </si>
  <si>
    <t>BH_062_P45</t>
  </si>
  <si>
    <t>BH_062_P54</t>
  </si>
  <si>
    <t>BH_062_P63</t>
  </si>
  <si>
    <t>BH_062_P72</t>
  </si>
  <si>
    <t>BH_062_S09</t>
  </si>
  <si>
    <t>BH_062_S18</t>
  </si>
  <si>
    <t>BH_062_S27</t>
  </si>
  <si>
    <t>BH_062_S36</t>
  </si>
  <si>
    <t>BH_062_S45</t>
  </si>
  <si>
    <t>BH_062_S54</t>
  </si>
  <si>
    <t>BH_062_S63</t>
  </si>
  <si>
    <t>BH_062_S72</t>
  </si>
  <si>
    <t>BH_092_C00</t>
  </si>
  <si>
    <t>BH_092_P09</t>
  </si>
  <si>
    <t>BH_092_P18</t>
  </si>
  <si>
    <t>BH_092_P27</t>
  </si>
  <si>
    <t>BH_092_P36</t>
  </si>
  <si>
    <t>BH_092_P45</t>
  </si>
  <si>
    <t>BH_092_P54</t>
  </si>
  <si>
    <t>BH_092_P63</t>
  </si>
  <si>
    <t>BH_092_P72</t>
  </si>
  <si>
    <t>BH_092_S09</t>
  </si>
  <si>
    <t>BH_092_S18</t>
  </si>
  <si>
    <t>BH_092_S27</t>
  </si>
  <si>
    <t>BH_092_S36</t>
  </si>
  <si>
    <t>BH_092_S45</t>
  </si>
  <si>
    <t>BH_092_S54</t>
  </si>
  <si>
    <t>BH_092_S63</t>
  </si>
  <si>
    <t>BH_092_S72</t>
  </si>
  <si>
    <t>BH_130_C00</t>
  </si>
  <si>
    <t>BH_130_P09</t>
  </si>
  <si>
    <t>BH_130_P18</t>
  </si>
  <si>
    <t>BH_130_P27</t>
  </si>
  <si>
    <t>BH_130_P36</t>
  </si>
  <si>
    <t>BH_130_P45</t>
  </si>
  <si>
    <t>BH_130_P54</t>
  </si>
  <si>
    <t>BH_130_P63</t>
  </si>
  <si>
    <t>BH_130_P72</t>
  </si>
  <si>
    <t>BH_130_S09</t>
  </si>
  <si>
    <t>BH_130_S18</t>
  </si>
  <si>
    <t>BH_130_S27</t>
  </si>
  <si>
    <t>BH_130_S36</t>
  </si>
  <si>
    <t>BH_130_S45</t>
  </si>
  <si>
    <t>BH_130_S54</t>
  </si>
  <si>
    <t>BH_130_S63</t>
  </si>
  <si>
    <t>BH_130_S72</t>
  </si>
  <si>
    <t>BH_132_C00</t>
  </si>
  <si>
    <t>BH_132_P09</t>
  </si>
  <si>
    <t>BH_132_P18</t>
  </si>
  <si>
    <t>BH_132_P27</t>
  </si>
  <si>
    <t>BH_132_P36</t>
  </si>
  <si>
    <t>BH_132_P45</t>
  </si>
  <si>
    <t>BH_132_P54</t>
  </si>
  <si>
    <t>BH_132_P63</t>
  </si>
  <si>
    <t>BH_132_P72</t>
  </si>
  <si>
    <t>BH_132_S09</t>
  </si>
  <si>
    <t>BH_132_S18</t>
  </si>
  <si>
    <t>BH_132_S27</t>
  </si>
  <si>
    <t>BH_132_S36</t>
  </si>
  <si>
    <t>BH_132_S45</t>
  </si>
  <si>
    <t>BH_132_S54</t>
  </si>
  <si>
    <t>BH_132_S63</t>
  </si>
  <si>
    <t>BH_132_S72</t>
  </si>
  <si>
    <t>BH_137_C00</t>
  </si>
  <si>
    <t>BH_137_P09</t>
  </si>
  <si>
    <t>BH_137_P18</t>
  </si>
  <si>
    <t>BH_137_P27</t>
  </si>
  <si>
    <t>BH_137_P36</t>
  </si>
  <si>
    <t>BH_137_P45</t>
  </si>
  <si>
    <t>BH_137_P54</t>
  </si>
  <si>
    <t>BH_137_P63</t>
  </si>
  <si>
    <t>BH_137_P72</t>
  </si>
  <si>
    <t>BH_137_S09</t>
  </si>
  <si>
    <t>BH_137_S18</t>
  </si>
  <si>
    <t>BH_137_S27</t>
  </si>
  <si>
    <t>BH_137_S36</t>
  </si>
  <si>
    <t>BH_137_S45</t>
  </si>
  <si>
    <t>BH_137_S54</t>
  </si>
  <si>
    <t>BH_137_S63</t>
  </si>
  <si>
    <t>BH_137_S72</t>
  </si>
  <si>
    <t>CPT_040_P05</t>
  </si>
  <si>
    <t>CPT_040_P14</t>
  </si>
  <si>
    <t>CPT_040_P23</t>
  </si>
  <si>
    <t>CPT_040_P32</t>
  </si>
  <si>
    <t>CPT_040_P41</t>
  </si>
  <si>
    <t>CPT_040_P50</t>
  </si>
  <si>
    <t>CPT_040_S05</t>
  </si>
  <si>
    <t>CPT_040_S14</t>
  </si>
  <si>
    <t>CPT_040_S23</t>
  </si>
  <si>
    <t>CPT_040_S32</t>
  </si>
  <si>
    <t>CPT_040_S41</t>
  </si>
  <si>
    <t>CPT_040_S50</t>
  </si>
  <si>
    <t>CPT_078_P05</t>
  </si>
  <si>
    <t>CPT_078_P14</t>
  </si>
  <si>
    <t>CPT_078_P23</t>
  </si>
  <si>
    <t>CPT_078_P32</t>
  </si>
  <si>
    <t>CPT_078_P41</t>
  </si>
  <si>
    <t>CPT_078_P50</t>
  </si>
  <si>
    <t>CPT_078_S05</t>
  </si>
  <si>
    <t>CPT_078_S14</t>
  </si>
  <si>
    <t>CPT_078_S23</t>
  </si>
  <si>
    <t>CPT_078_S32</t>
  </si>
  <si>
    <t>CPT_078_S41</t>
  </si>
  <si>
    <t>CPT_078_S50</t>
  </si>
  <si>
    <t>CPT_098_P05</t>
  </si>
  <si>
    <t>CPT_098_P14</t>
  </si>
  <si>
    <t>CPT_098_P23</t>
  </si>
  <si>
    <t>CPT_098_P32</t>
  </si>
  <si>
    <t>CPT_098_P41</t>
  </si>
  <si>
    <t>CPT_098_P50</t>
  </si>
  <si>
    <t>CPT_098_S05</t>
  </si>
  <si>
    <t>CPT_098_S14</t>
  </si>
  <si>
    <t>CPT_098_S23</t>
  </si>
  <si>
    <t>CPT_098_S32</t>
  </si>
  <si>
    <t>CPT_098_S41</t>
  </si>
  <si>
    <t>CPT_098_S50</t>
  </si>
  <si>
    <t>CPT_111_P05</t>
  </si>
  <si>
    <t>CPT_111_P14</t>
  </si>
  <si>
    <t>CPT_111_P23</t>
  </si>
  <si>
    <t>CPT_111_P32</t>
  </si>
  <si>
    <t>CPT_111_P41</t>
  </si>
  <si>
    <t>CPT_111_P50</t>
  </si>
  <si>
    <t>CPT_111_S05</t>
  </si>
  <si>
    <t>CPT_111_S14</t>
  </si>
  <si>
    <t>CPT_111_S23</t>
  </si>
  <si>
    <t>CPT_111_S32</t>
  </si>
  <si>
    <t>CPT_111_S41</t>
  </si>
  <si>
    <t>CPT_111_S50</t>
  </si>
  <si>
    <t>CPT_128_P05</t>
  </si>
  <si>
    <t>CPT_128_P14</t>
  </si>
  <si>
    <t>CPT_128_P23</t>
  </si>
  <si>
    <t>CPT_128_P32</t>
  </si>
  <si>
    <t>CPT_128_P41</t>
  </si>
  <si>
    <t>CPT_128_P50</t>
  </si>
  <si>
    <t>CPT_128_S05</t>
  </si>
  <si>
    <t>CPT_128_S14</t>
  </si>
  <si>
    <t>CPT_128_S23</t>
  </si>
  <si>
    <t>CPT_128_S32</t>
  </si>
  <si>
    <t>CPT_128_S41</t>
  </si>
  <si>
    <t>CPT_128_S50</t>
  </si>
  <si>
    <t>CPT_129_P05</t>
  </si>
  <si>
    <t>CPT_129_P14</t>
  </si>
  <si>
    <t>CPT_129_P23</t>
  </si>
  <si>
    <t>CPT_129_P32</t>
  </si>
  <si>
    <t>CPT_129_P41</t>
  </si>
  <si>
    <t>CPT_129_P50</t>
  </si>
  <si>
    <t>CPT_129_S05</t>
  </si>
  <si>
    <t>CPT_129_S14</t>
  </si>
  <si>
    <t>CPT_129_S23</t>
  </si>
  <si>
    <t>CPT_129_S32</t>
  </si>
  <si>
    <t>CPT_129_S41</t>
  </si>
  <si>
    <t>CPT_129_S50</t>
  </si>
  <si>
    <t>CPT_133_P05</t>
  </si>
  <si>
    <t>CPT_133_P14</t>
  </si>
  <si>
    <t>CPT_133_P23</t>
  </si>
  <si>
    <t>CPT_133_P32</t>
  </si>
  <si>
    <t>CPT_133_P41</t>
  </si>
  <si>
    <t>CPT_133_P50</t>
  </si>
  <si>
    <t>CPT_133_S05</t>
  </si>
  <si>
    <t>CPT_133_S14</t>
  </si>
  <si>
    <t>CPT_133_S23</t>
  </si>
  <si>
    <t>CPT_133_S32</t>
  </si>
  <si>
    <t>CPT_133_S41</t>
  </si>
  <si>
    <t>CPT_133_S50</t>
  </si>
  <si>
    <t>CPT_155_P05</t>
  </si>
  <si>
    <t>CPT_155_P14</t>
  </si>
  <si>
    <t>CPT_155_P23</t>
  </si>
  <si>
    <t>CPT_155_P32</t>
  </si>
  <si>
    <t>CPT_155_P41</t>
  </si>
  <si>
    <t>CPT_155_P50</t>
  </si>
  <si>
    <t>CPT_155_S05</t>
  </si>
  <si>
    <t>CPT_155_S14</t>
  </si>
  <si>
    <t>CPT_155_S23</t>
  </si>
  <si>
    <t>CPT_155_S32</t>
  </si>
  <si>
    <t>CPT_155_S41</t>
  </si>
  <si>
    <t>CPT_155_S50</t>
  </si>
  <si>
    <t>CPT_195_P05</t>
  </si>
  <si>
    <t>CPT_195_P14</t>
  </si>
  <si>
    <t>CPT_195_P23</t>
  </si>
  <si>
    <t>CPT_195_P32</t>
  </si>
  <si>
    <t>CPT_195_P41</t>
  </si>
  <si>
    <t>CPT_195_P50</t>
  </si>
  <si>
    <t>CPT_195_S05</t>
  </si>
  <si>
    <t>CPT_195_S14</t>
  </si>
  <si>
    <t>CPT_195_S23</t>
  </si>
  <si>
    <t>CPT_195_S32</t>
  </si>
  <si>
    <t>CPT_195_S41</t>
  </si>
  <si>
    <t>CPT_195_S50</t>
  </si>
  <si>
    <t>CPT_208_P05</t>
  </si>
  <si>
    <t>CPT_208_P14</t>
  </si>
  <si>
    <t>CPT_208_P23</t>
  </si>
  <si>
    <t>CPT_208_P32</t>
  </si>
  <si>
    <t>CPT_208_P41</t>
  </si>
  <si>
    <t>CPT_208_P50</t>
  </si>
  <si>
    <t>CPT_208_S05</t>
  </si>
  <si>
    <t>CPT_208_S14</t>
  </si>
  <si>
    <t>CPT_208_S23</t>
  </si>
  <si>
    <t>CPT_260_P05</t>
  </si>
  <si>
    <t>CPT_260_P14</t>
  </si>
  <si>
    <t>CPT_260_P23</t>
  </si>
  <si>
    <t>CPT_260_P32</t>
  </si>
  <si>
    <t>CPT_260_P41</t>
  </si>
  <si>
    <t>CPT_260_P50</t>
  </si>
  <si>
    <t>CPT_260_S05</t>
  </si>
  <si>
    <t>CPT_260_S14</t>
  </si>
  <si>
    <t>CPT_260_S23</t>
  </si>
  <si>
    <t>CPT_260_S32</t>
  </si>
  <si>
    <t>CPT_260_S41</t>
  </si>
  <si>
    <t>CPT_260_S50</t>
  </si>
  <si>
    <t>CPT_267_P05</t>
  </si>
  <si>
    <t>CPT_267_P14</t>
  </si>
  <si>
    <t>CPT_267_P23</t>
  </si>
  <si>
    <t>CPT_267_P32</t>
  </si>
  <si>
    <t>CPT_267_P41</t>
  </si>
  <si>
    <t>CPT_267_P50</t>
  </si>
  <si>
    <t>CPT_267_S05</t>
  </si>
  <si>
    <t>CPT_267_S14</t>
  </si>
  <si>
    <t>CPT_267_S23</t>
  </si>
  <si>
    <t>CPT_267_S32</t>
  </si>
  <si>
    <t>CPT_267_S41</t>
  </si>
  <si>
    <t>CPT_267_S50</t>
  </si>
  <si>
    <t>CPT_268_P05</t>
  </si>
  <si>
    <t>CPT_268_P14</t>
  </si>
  <si>
    <t>CPT_268_P23</t>
  </si>
  <si>
    <t>CPT_268_P32</t>
  </si>
  <si>
    <t>CPT_268_P41</t>
  </si>
  <si>
    <t>CPT_268_P50</t>
  </si>
  <si>
    <t>CPT_268_S05</t>
  </si>
  <si>
    <t>CPT_268_S14</t>
  </si>
  <si>
    <t>CPT_268_S23</t>
  </si>
  <si>
    <t>CPT_268_S32</t>
  </si>
  <si>
    <t>CPT_268_S41</t>
  </si>
  <si>
    <t>CPT_268_S50</t>
  </si>
  <si>
    <t>CPT_272_P05</t>
  </si>
  <si>
    <t>CPT_272_P14</t>
  </si>
  <si>
    <t>CPT_272_P23</t>
  </si>
  <si>
    <t>CPT_272_P32</t>
  </si>
  <si>
    <t>CPT_272_P41</t>
  </si>
  <si>
    <t>CPT_272_P50</t>
  </si>
  <si>
    <t>CPT_272_S05</t>
  </si>
  <si>
    <t>CPT_272_S14</t>
  </si>
  <si>
    <t>CPT_272_S23</t>
  </si>
  <si>
    <t>CPT_272_S32</t>
  </si>
  <si>
    <t>CPT_272_S41</t>
  </si>
  <si>
    <t>CPT_272_S50</t>
  </si>
  <si>
    <t>CPT_273_P05</t>
  </si>
  <si>
    <t>CPT_273_P14</t>
  </si>
  <si>
    <t>CPT_273_P23</t>
  </si>
  <si>
    <t>CPT_273_P32</t>
  </si>
  <si>
    <t>CPT_273_P41</t>
  </si>
  <si>
    <t>CPT_273_P50</t>
  </si>
  <si>
    <t>CPT_273_S05</t>
  </si>
  <si>
    <t>CPT_273_S14</t>
  </si>
  <si>
    <t>CPT_273_S23</t>
  </si>
  <si>
    <t>CPT_273_S32</t>
  </si>
  <si>
    <t>CPT_273_S41</t>
  </si>
  <si>
    <t>CPT_273_S50</t>
  </si>
  <si>
    <t>CPT_281_P05</t>
  </si>
  <si>
    <t>CPT_281_P14</t>
  </si>
  <si>
    <t>CPT_281_P23</t>
  </si>
  <si>
    <t>CPT_281_P32</t>
  </si>
  <si>
    <t>CPT_281_P41</t>
  </si>
  <si>
    <t>CPT_281_P50</t>
  </si>
  <si>
    <t>CPT_281_S05</t>
  </si>
  <si>
    <t>CPT_281_S14</t>
  </si>
  <si>
    <t>CPT_281_S23</t>
  </si>
  <si>
    <t>CPT_281_S32</t>
  </si>
  <si>
    <t>CPT_281_S41</t>
  </si>
  <si>
    <t>CPT_281_S50</t>
  </si>
  <si>
    <t>CPT_286_P05</t>
  </si>
  <si>
    <t>CPT_286_P14</t>
  </si>
  <si>
    <t>CPT_286_P23</t>
  </si>
  <si>
    <t>CPT_286_P32</t>
  </si>
  <si>
    <t>CPT_286_P41</t>
  </si>
  <si>
    <t>CPT_286_P50</t>
  </si>
  <si>
    <t>CPT_286_S05</t>
  </si>
  <si>
    <t>CPT_286_S14</t>
  </si>
  <si>
    <t>CPT_286_S23</t>
  </si>
  <si>
    <t>CPT_286_S32</t>
  </si>
  <si>
    <t>CPT_286_S41</t>
  </si>
  <si>
    <t>CPT_286_S50</t>
  </si>
  <si>
    <t>CPT_292_P05</t>
  </si>
  <si>
    <t>CPT_292_P14</t>
  </si>
  <si>
    <t>CPT_292_P23</t>
  </si>
  <si>
    <t>CPT_292_P32</t>
  </si>
  <si>
    <t>CPT_292_P41</t>
  </si>
  <si>
    <t>CPT_292_P50</t>
  </si>
  <si>
    <t>CPT_292_S05</t>
  </si>
  <si>
    <t>CPT_292_S14</t>
  </si>
  <si>
    <t>CPT_292_S23</t>
  </si>
  <si>
    <t>CPT_292_S32</t>
  </si>
  <si>
    <t>CPT_292_S41</t>
  </si>
  <si>
    <t>CPT_292_S50</t>
  </si>
  <si>
    <t>CPT_297_P05</t>
  </si>
  <si>
    <t>CPT_297_P14</t>
  </si>
  <si>
    <t>CPT_297_P23</t>
  </si>
  <si>
    <t>CPT_297_P32</t>
  </si>
  <si>
    <t>CPT_297_P41</t>
  </si>
  <si>
    <t>CPT_297_P50</t>
  </si>
  <si>
    <t>CPT_297_S05</t>
  </si>
  <si>
    <t>CPT_297_S14</t>
  </si>
  <si>
    <t>CPT_297_S23</t>
  </si>
  <si>
    <t>CPT_297_S32</t>
  </si>
  <si>
    <t>CPT_297_S41</t>
  </si>
  <si>
    <t>CPT_297_S50</t>
  </si>
  <si>
    <t>CPT_327_P05</t>
  </si>
  <si>
    <t>CPT_327_P14</t>
  </si>
  <si>
    <t>CPT_327_P23</t>
  </si>
  <si>
    <t>CPT_327_P32</t>
  </si>
  <si>
    <t>CPT_327_P41</t>
  </si>
  <si>
    <t>CPT_327_P50</t>
  </si>
  <si>
    <t>CPT_327_S05</t>
  </si>
  <si>
    <t>CPT_327_S14</t>
  </si>
  <si>
    <t>CPT_327_S23</t>
  </si>
  <si>
    <t>CPT_327_S32</t>
  </si>
  <si>
    <t>CPT_327_S41</t>
  </si>
  <si>
    <t>CPT_327_S50</t>
  </si>
  <si>
    <t>BM17 Borehole</t>
  </si>
  <si>
    <t>BM17 CPT</t>
  </si>
  <si>
    <t>BH_049_C00</t>
  </si>
  <si>
    <t>BH_049_P09</t>
  </si>
  <si>
    <t>BH_049_P18</t>
  </si>
  <si>
    <t>BH_049_P27</t>
  </si>
  <si>
    <t>BH_049_P36</t>
  </si>
  <si>
    <t>BH_049_P45</t>
  </si>
  <si>
    <t>BH_049_P54</t>
  </si>
  <si>
    <t>BH_049_P63</t>
  </si>
  <si>
    <t>BH_049_P72</t>
  </si>
  <si>
    <t>BH_049_S09</t>
  </si>
  <si>
    <t>BH_049_S18</t>
  </si>
  <si>
    <t>BH_049_S27</t>
  </si>
  <si>
    <t>BH_049_S36</t>
  </si>
  <si>
    <t>BH_049_S45</t>
  </si>
  <si>
    <t>BH_049_S54</t>
  </si>
  <si>
    <t>BH_049_S63</t>
  </si>
  <si>
    <t>BH_049_S72</t>
  </si>
  <si>
    <t>BH_069_C00</t>
  </si>
  <si>
    <t>BH_069_P09</t>
  </si>
  <si>
    <t>BH_069_P18</t>
  </si>
  <si>
    <t>BH_069_P27</t>
  </si>
  <si>
    <t>BH_069_P36</t>
  </si>
  <si>
    <t>BH_069_P45</t>
  </si>
  <si>
    <t>BH_069_P54</t>
  </si>
  <si>
    <t>BH_069_P63</t>
  </si>
  <si>
    <t>BH_069_P72</t>
  </si>
  <si>
    <t>BH_069_S09</t>
  </si>
  <si>
    <t>BH_069_S18</t>
  </si>
  <si>
    <t>BH_069_S27</t>
  </si>
  <si>
    <t>BH_069_S36</t>
  </si>
  <si>
    <t>BH_069_S45</t>
  </si>
  <si>
    <t>BH_069_S54</t>
  </si>
  <si>
    <t>BH_069_S63</t>
  </si>
  <si>
    <t>BH_069_S72</t>
  </si>
  <si>
    <t>BH_089_C00</t>
  </si>
  <si>
    <t>BH_089_P09</t>
  </si>
  <si>
    <t>BH_089_P18</t>
  </si>
  <si>
    <t>BH_089_P27</t>
  </si>
  <si>
    <t>BH_089_P36</t>
  </si>
  <si>
    <t>BH_089_P45</t>
  </si>
  <si>
    <t>BH_089_P54</t>
  </si>
  <si>
    <t>BH_089_P63</t>
  </si>
  <si>
    <t>BH_089_P72</t>
  </si>
  <si>
    <t>BH_089_S09</t>
  </si>
  <si>
    <t>BH_089_S18</t>
  </si>
  <si>
    <t>BH_089_S27</t>
  </si>
  <si>
    <t>BH_089_S36</t>
  </si>
  <si>
    <t>BH_089_S45</t>
  </si>
  <si>
    <t>BH_089_S54</t>
  </si>
  <si>
    <t>BH_089_S63</t>
  </si>
  <si>
    <t>BH_089_S72</t>
  </si>
  <si>
    <t>BH_121_C00</t>
  </si>
  <si>
    <t>BH_121_P09</t>
  </si>
  <si>
    <t>BH_121_P18</t>
  </si>
  <si>
    <t>BH_121_P27</t>
  </si>
  <si>
    <t>BH_121_P36</t>
  </si>
  <si>
    <t>BH_121_P45</t>
  </si>
  <si>
    <t>BH_121_P54</t>
  </si>
  <si>
    <t>BH_121_P63</t>
  </si>
  <si>
    <t>BH_121_P72</t>
  </si>
  <si>
    <t>BH_121_S09</t>
  </si>
  <si>
    <t>BH_121_S18</t>
  </si>
  <si>
    <t>BH_121_S27</t>
  </si>
  <si>
    <t>BH_121_S36</t>
  </si>
  <si>
    <t>BH_121_S45</t>
  </si>
  <si>
    <t>BH_121_S54</t>
  </si>
  <si>
    <t>BH_121_S63</t>
  </si>
  <si>
    <t>BH_121_S72</t>
  </si>
  <si>
    <t>BH_123_C00</t>
  </si>
  <si>
    <t>BH_123_P09</t>
  </si>
  <si>
    <t>BH_123_P18</t>
  </si>
  <si>
    <t>BH_123_P27</t>
  </si>
  <si>
    <t>BH_123_P36</t>
  </si>
  <si>
    <t>BH_123_P45</t>
  </si>
  <si>
    <t>BH_123_P54</t>
  </si>
  <si>
    <t>BH_123_P63</t>
  </si>
  <si>
    <t>BH_123_P72</t>
  </si>
  <si>
    <t>BH_123_S09</t>
  </si>
  <si>
    <t>BH_123_S18</t>
  </si>
  <si>
    <t>BH_123_S27</t>
  </si>
  <si>
    <t>BH_123_S36</t>
  </si>
  <si>
    <t>BH_123_S45</t>
  </si>
  <si>
    <t>BH_123_S54</t>
  </si>
  <si>
    <t>BH_123_S63</t>
  </si>
  <si>
    <t>BH_123_S72</t>
  </si>
  <si>
    <t>BH_124_C00</t>
  </si>
  <si>
    <t>BH_124_P09</t>
  </si>
  <si>
    <t>BH_124_P18</t>
  </si>
  <si>
    <t>BH_124_P27</t>
  </si>
  <si>
    <t>BH_124_P36</t>
  </si>
  <si>
    <t>BH_124_P45</t>
  </si>
  <si>
    <t>BH_124_P54</t>
  </si>
  <si>
    <t>BH_124_P63</t>
  </si>
  <si>
    <t>BH_124_P72</t>
  </si>
  <si>
    <t>BH_124_S09</t>
  </si>
  <si>
    <t>BH_124_S18</t>
  </si>
  <si>
    <t>BH_124_S27</t>
  </si>
  <si>
    <t>BH_124_S36</t>
  </si>
  <si>
    <t>BH_124_S45</t>
  </si>
  <si>
    <t>BH_124_S54</t>
  </si>
  <si>
    <t>BH_124_S63</t>
  </si>
  <si>
    <t>BH_124_S72</t>
  </si>
  <si>
    <t>CPT_076_P05</t>
  </si>
  <si>
    <t>CPT_076_P14</t>
  </si>
  <si>
    <t>CPT_076_P23</t>
  </si>
  <si>
    <t>CPT_076_P32</t>
  </si>
  <si>
    <t>CPT_076_P41</t>
  </si>
  <si>
    <t>CPT_076_P50</t>
  </si>
  <si>
    <t>CPT_076_S05</t>
  </si>
  <si>
    <t>CPT_076_S14</t>
  </si>
  <si>
    <t>CPT_076_S23</t>
  </si>
  <si>
    <t>CPT_076_S32</t>
  </si>
  <si>
    <t>CPT_076_S41</t>
  </si>
  <si>
    <t>CPT_076_S50</t>
  </si>
  <si>
    <t>CPT_077_P05</t>
  </si>
  <si>
    <t>CPT_077_P14</t>
  </si>
  <si>
    <t>CPT_077_P23</t>
  </si>
  <si>
    <t>CPT_077_P32</t>
  </si>
  <si>
    <t>CPT_077_P41</t>
  </si>
  <si>
    <t>CPT_077_P50</t>
  </si>
  <si>
    <t>CPT_077_S05</t>
  </si>
  <si>
    <t>CPT_077_S14</t>
  </si>
  <si>
    <t>CPT_077_S23</t>
  </si>
  <si>
    <t>CPT_077_S32</t>
  </si>
  <si>
    <t>CPT_077_S41</t>
  </si>
  <si>
    <t>CPT_077_S50</t>
  </si>
  <si>
    <t>CPT_079_P05</t>
  </si>
  <si>
    <t>CPT_079_P14</t>
  </si>
  <si>
    <t>CPT_079_P23</t>
  </si>
  <si>
    <t>CPT_079_P32</t>
  </si>
  <si>
    <t>CPT_079_P41</t>
  </si>
  <si>
    <t>CPT_079_P50</t>
  </si>
  <si>
    <t>CPT_079_S05</t>
  </si>
  <si>
    <t>CPT_079_S14</t>
  </si>
  <si>
    <t>CPT_079_S23</t>
  </si>
  <si>
    <t>CPT_079_S32</t>
  </si>
  <si>
    <t>CPT_079_S41</t>
  </si>
  <si>
    <t>CPT_079_S50</t>
  </si>
  <si>
    <t>CPT_097_P05</t>
  </si>
  <si>
    <t>CPT_097_P14</t>
  </si>
  <si>
    <t>CPT_097_P23</t>
  </si>
  <si>
    <t>CPT_097_P32</t>
  </si>
  <si>
    <t>CPT_097_P41</t>
  </si>
  <si>
    <t>CPT_097_P50</t>
  </si>
  <si>
    <t>CPT_097_S05</t>
  </si>
  <si>
    <t>CPT_097_S14</t>
  </si>
  <si>
    <t>CPT_097_S23</t>
  </si>
  <si>
    <t>CPT_097_S32</t>
  </si>
  <si>
    <t>CPT_097_S41</t>
  </si>
  <si>
    <t>CPT_097_S50</t>
  </si>
  <si>
    <t>CPT_106_P05</t>
  </si>
  <si>
    <t>CPT_106_P14</t>
  </si>
  <si>
    <t>CPT_106_P23</t>
  </si>
  <si>
    <t>CPT_106_P32</t>
  </si>
  <si>
    <t>CPT_106_P41</t>
  </si>
  <si>
    <t>CPT_106_P50</t>
  </si>
  <si>
    <t>CPT_106_S05</t>
  </si>
  <si>
    <t>CPT_106_S14</t>
  </si>
  <si>
    <t>CPT_106_S23</t>
  </si>
  <si>
    <t>CPT_106_S32</t>
  </si>
  <si>
    <t>CPT_106_S41</t>
  </si>
  <si>
    <t>CPT_106_S50</t>
  </si>
  <si>
    <t>CPT_131_P05</t>
  </si>
  <si>
    <t>CPT_131_P14</t>
  </si>
  <si>
    <t>CPT_131_P23</t>
  </si>
  <si>
    <t>CPT_131_P32</t>
  </si>
  <si>
    <t>CPT_131_P41</t>
  </si>
  <si>
    <t>CPT_131_P50</t>
  </si>
  <si>
    <t>CPT_131_S05</t>
  </si>
  <si>
    <t>CPT_131_S14</t>
  </si>
  <si>
    <t>CPT_131_S23</t>
  </si>
  <si>
    <t>CPT_131_S32</t>
  </si>
  <si>
    <t>CPT_131_S41</t>
  </si>
  <si>
    <t>CPT_131_S50</t>
  </si>
  <si>
    <t>CPT_152_P05</t>
  </si>
  <si>
    <t>CPT_152_P14</t>
  </si>
  <si>
    <t>CPT_152_P23</t>
  </si>
  <si>
    <t>CPT_152_P32</t>
  </si>
  <si>
    <t>CPT_152_P41</t>
  </si>
  <si>
    <t>CPT_152_P50</t>
  </si>
  <si>
    <t>CPT_152_S05</t>
  </si>
  <si>
    <t>CPT_152_S14</t>
  </si>
  <si>
    <t>CPT_152_S23</t>
  </si>
  <si>
    <t>CPT_152_S32</t>
  </si>
  <si>
    <t>CPT_152_S41</t>
  </si>
  <si>
    <t>CPT_152_S50</t>
  </si>
  <si>
    <t>CPT_156_P05</t>
  </si>
  <si>
    <t>CPT_156_P14</t>
  </si>
  <si>
    <t>CPT_156_P23</t>
  </si>
  <si>
    <t>CPT_156_P32</t>
  </si>
  <si>
    <t>CPT_156_P41</t>
  </si>
  <si>
    <t>CPT_156_P50</t>
  </si>
  <si>
    <t>CPT_156_S05</t>
  </si>
  <si>
    <t>CPT_156_S14</t>
  </si>
  <si>
    <t>CPT_156_S23</t>
  </si>
  <si>
    <t>CPT_156_S32</t>
  </si>
  <si>
    <t>CPT_156_S41</t>
  </si>
  <si>
    <t>CPT_156_S50</t>
  </si>
  <si>
    <t>CPT_191_P05</t>
  </si>
  <si>
    <t>CPT_191_P14</t>
  </si>
  <si>
    <t>CPT_191_P23</t>
  </si>
  <si>
    <t>CPT_191_P32</t>
  </si>
  <si>
    <t>CPT_191_P41</t>
  </si>
  <si>
    <t>CPT_191_P50</t>
  </si>
  <si>
    <t>CPT_191_S05</t>
  </si>
  <si>
    <t>CPT_191_S14</t>
  </si>
  <si>
    <t>CPT_191_S23</t>
  </si>
  <si>
    <t>CPT_191_S32</t>
  </si>
  <si>
    <t>CPT_191_S41</t>
  </si>
  <si>
    <t>CPT_191_S50</t>
  </si>
  <si>
    <t>CPT_220_P05</t>
  </si>
  <si>
    <t>CPT_220_P14</t>
  </si>
  <si>
    <t>CPT_220_P23</t>
  </si>
  <si>
    <t>CPT_220_P32</t>
  </si>
  <si>
    <t>CPT_220_P41</t>
  </si>
  <si>
    <t>CPT_220_P50</t>
  </si>
  <si>
    <t>CPT_220_S05</t>
  </si>
  <si>
    <t>CPT_220_S14</t>
  </si>
  <si>
    <t>CPT_220_S23</t>
  </si>
  <si>
    <t>CPT_220_S32</t>
  </si>
  <si>
    <t>CPT_220_S41</t>
  </si>
  <si>
    <t>CPT_220_S50</t>
  </si>
  <si>
    <t>CPT_240_P05</t>
  </si>
  <si>
    <t>CPT_240_P14</t>
  </si>
  <si>
    <t>CPT_240_P23</t>
  </si>
  <si>
    <t>CPT_240_P32</t>
  </si>
  <si>
    <t>CPT_240_P41</t>
  </si>
  <si>
    <t>CPT_240_P50</t>
  </si>
  <si>
    <t>CPT_240_S05</t>
  </si>
  <si>
    <t>CPT_240_S14</t>
  </si>
  <si>
    <t>CPT_240_S23</t>
  </si>
  <si>
    <t>CPT_240_S32</t>
  </si>
  <si>
    <t>CPT_240_S41</t>
  </si>
  <si>
    <t>CPT_240_S50</t>
  </si>
  <si>
    <t>CPT_242_P05</t>
  </si>
  <si>
    <t>CPT_242_P14</t>
  </si>
  <si>
    <t>CPT_242_P23</t>
  </si>
  <si>
    <t>CPT_242_P32</t>
  </si>
  <si>
    <t>CPT_242_P41</t>
  </si>
  <si>
    <t>CPT_242_P50</t>
  </si>
  <si>
    <t>CPT_242_S05</t>
  </si>
  <si>
    <t>CPT_242_S14</t>
  </si>
  <si>
    <t>CPT_242_S23</t>
  </si>
  <si>
    <t>CPT_242_S32</t>
  </si>
  <si>
    <t>CPT_242_S41</t>
  </si>
  <si>
    <t>CPT_242_S50</t>
  </si>
  <si>
    <t>BM18 Borehole</t>
  </si>
  <si>
    <t>BM18 CPT</t>
  </si>
  <si>
    <t>BH_050_C00</t>
  </si>
  <si>
    <t>BH_050_P09</t>
  </si>
  <si>
    <t>BH_050_P18</t>
  </si>
  <si>
    <t>BH_050_P27</t>
  </si>
  <si>
    <t>BH_050_P36</t>
  </si>
  <si>
    <t>BH_050_P45</t>
  </si>
  <si>
    <t>BH_050_P54</t>
  </si>
  <si>
    <t>BH_050_P63</t>
  </si>
  <si>
    <t>BH_050_P72</t>
  </si>
  <si>
    <t>BH_050_S09</t>
  </si>
  <si>
    <t>BH_050_S18</t>
  </si>
  <si>
    <t>BH_050_S27</t>
  </si>
  <si>
    <t>BH_050_S36</t>
  </si>
  <si>
    <t>BH_050_S45</t>
  </si>
  <si>
    <t>BH_050_S54</t>
  </si>
  <si>
    <t>BH_050_S63</t>
  </si>
  <si>
    <t>BH_050_S72</t>
  </si>
  <si>
    <t>BH_077_C00</t>
  </si>
  <si>
    <t>BH_077_P09</t>
  </si>
  <si>
    <t>BH_077_P18</t>
  </si>
  <si>
    <t>BH_077_P27</t>
  </si>
  <si>
    <t>BH_077_P36</t>
  </si>
  <si>
    <t>BH_077_P45</t>
  </si>
  <si>
    <t>BH_077_P54</t>
  </si>
  <si>
    <t>BH_077_P63</t>
  </si>
  <si>
    <t>BH_077_P72</t>
  </si>
  <si>
    <t>BH_077_S09</t>
  </si>
  <si>
    <t>BH_077_S18</t>
  </si>
  <si>
    <t>BH_077_S27</t>
  </si>
  <si>
    <t>BH_077_S36</t>
  </si>
  <si>
    <t>BH_077_S45</t>
  </si>
  <si>
    <t>BH_077_S54</t>
  </si>
  <si>
    <t>BH_077_S63</t>
  </si>
  <si>
    <t>BH_077_S72</t>
  </si>
  <si>
    <t>BH_080_C00</t>
  </si>
  <si>
    <t>BH_080_P09</t>
  </si>
  <si>
    <t>BH_080_P18</t>
  </si>
  <si>
    <t>BH_080_P27</t>
  </si>
  <si>
    <t>BH_080_P36</t>
  </si>
  <si>
    <t>BH_080_P45</t>
  </si>
  <si>
    <t>BH_080_P54</t>
  </si>
  <si>
    <t>BH_080_P63</t>
  </si>
  <si>
    <t>BH_080_P72</t>
  </si>
  <si>
    <t>BH_080_S09</t>
  </si>
  <si>
    <t>BH_080_S18</t>
  </si>
  <si>
    <t>BH_080_S27</t>
  </si>
  <si>
    <t>BH_080_S36</t>
  </si>
  <si>
    <t>BH_080_S45</t>
  </si>
  <si>
    <t>BH_080_S54</t>
  </si>
  <si>
    <t>BH_080_S63</t>
  </si>
  <si>
    <t>BH_080_S72</t>
  </si>
  <si>
    <t>CPT_081_P05</t>
  </si>
  <si>
    <t>CPT_081_P14</t>
  </si>
  <si>
    <t>CPT_081_P23</t>
  </si>
  <si>
    <t>CPT_081_P32</t>
  </si>
  <si>
    <t>CPT_081_P41</t>
  </si>
  <si>
    <t>CPT_081_P50</t>
  </si>
  <si>
    <t>CPT_081_S05</t>
  </si>
  <si>
    <t>CPT_081_S14</t>
  </si>
  <si>
    <t>CPT_081_S23</t>
  </si>
  <si>
    <t>CPT_081_S32</t>
  </si>
  <si>
    <t>CPT_081_S41</t>
  </si>
  <si>
    <t>CPT_081_S50</t>
  </si>
  <si>
    <t>CPT_118_P05</t>
  </si>
  <si>
    <t>CPT_118_P14</t>
  </si>
  <si>
    <t>CPT_118_P23</t>
  </si>
  <si>
    <t>CPT_118_P32</t>
  </si>
  <si>
    <t>CPT_118_P41</t>
  </si>
  <si>
    <t>CPT_118_P50</t>
  </si>
  <si>
    <t>CPT_118_S05</t>
  </si>
  <si>
    <t>CPT_118_S14</t>
  </si>
  <si>
    <t>CPT_118_S23</t>
  </si>
  <si>
    <t>CPT_118_S32</t>
  </si>
  <si>
    <t>CPT_118_S41</t>
  </si>
  <si>
    <t>CPT_118_S50</t>
  </si>
  <si>
    <t>CPT_158_P05</t>
  </si>
  <si>
    <t>CPT_158_P14</t>
  </si>
  <si>
    <t>CPT_158_P23</t>
  </si>
  <si>
    <t>CPT_158_P32</t>
  </si>
  <si>
    <t>CPT_158_P41</t>
  </si>
  <si>
    <t>CPT_158_P50</t>
  </si>
  <si>
    <t>CPT_158_S05</t>
  </si>
  <si>
    <t>CPT_158_S14</t>
  </si>
  <si>
    <t>CPT_158_S23</t>
  </si>
  <si>
    <t>CPT_158_S32</t>
  </si>
  <si>
    <t>CPT_158_S41</t>
  </si>
  <si>
    <t>CPT_158_S50</t>
  </si>
  <si>
    <t>CPT_192_P05</t>
  </si>
  <si>
    <t>CPT_192_P14</t>
  </si>
  <si>
    <t>CPT_192_P23</t>
  </si>
  <si>
    <t>CPT_192_P32</t>
  </si>
  <si>
    <t>CPT_192_P41</t>
  </si>
  <si>
    <t>CPT_192_P50</t>
  </si>
  <si>
    <t>CPT_192_S05</t>
  </si>
  <si>
    <t>CPT_192_S14</t>
  </si>
  <si>
    <t>CPT_192_S23</t>
  </si>
  <si>
    <t>CPT_192_S32</t>
  </si>
  <si>
    <t>CPT_192_S41</t>
  </si>
  <si>
    <t>CPT_192_S50</t>
  </si>
  <si>
    <t>CPT_230_P05</t>
  </si>
  <si>
    <t>CPT_230_P14</t>
  </si>
  <si>
    <t>CPT_230_P23</t>
  </si>
  <si>
    <t>CPT_230_P32</t>
  </si>
  <si>
    <t>CPT_230_P41</t>
  </si>
  <si>
    <t>CPT_230_P50</t>
  </si>
  <si>
    <t>CPT_230_S05</t>
  </si>
  <si>
    <t>CPT_230_S14</t>
  </si>
  <si>
    <t>CPT_230_S23</t>
  </si>
  <si>
    <t>CPT_230_S32</t>
  </si>
  <si>
    <t>CPT_230_S41</t>
  </si>
  <si>
    <t>CPT_230_S50</t>
  </si>
  <si>
    <t>CPT_252_P05</t>
  </si>
  <si>
    <t>CPT_252_P14</t>
  </si>
  <si>
    <t>CPT_252_P23</t>
  </si>
  <si>
    <t>CPT_252_P32</t>
  </si>
  <si>
    <t>CPT_252_P41</t>
  </si>
  <si>
    <t>CPT_252_P50</t>
  </si>
  <si>
    <t>CPT_252_S05</t>
  </si>
  <si>
    <t>CPT_252_S14</t>
  </si>
  <si>
    <t>CPT_252_S23</t>
  </si>
  <si>
    <t>CPT_252_S32</t>
  </si>
  <si>
    <t>CPT_252_S41</t>
  </si>
  <si>
    <t>CPT_252_S50</t>
  </si>
  <si>
    <t>CPT_277_P05</t>
  </si>
  <si>
    <t>CPT_277_P14</t>
  </si>
  <si>
    <t>CPT_277_P23</t>
  </si>
  <si>
    <t>CPT_277_P32</t>
  </si>
  <si>
    <t>CPT_277_P41</t>
  </si>
  <si>
    <t>CPT_277_P50</t>
  </si>
  <si>
    <t>CPT_277_S05</t>
  </si>
  <si>
    <t>CPT_277_S14</t>
  </si>
  <si>
    <t>CPT_277_S23</t>
  </si>
  <si>
    <t>CPT_277_S32</t>
  </si>
  <si>
    <t>CPT_277_S41</t>
  </si>
  <si>
    <t>CPT_277_S50</t>
  </si>
  <si>
    <t>CPT_285_P05</t>
  </si>
  <si>
    <t>CPT_285_P14</t>
  </si>
  <si>
    <t>CPT_285_P23</t>
  </si>
  <si>
    <t>CPT_285_P32</t>
  </si>
  <si>
    <t>CPT_285_P41</t>
  </si>
  <si>
    <t>CPT_285_P50</t>
  </si>
  <si>
    <t>CPT_285_S05</t>
  </si>
  <si>
    <t>CPT_285_S14</t>
  </si>
  <si>
    <t>CPT_285_S23</t>
  </si>
  <si>
    <t>CPT_285_S32</t>
  </si>
  <si>
    <t>CPT_285_S41</t>
  </si>
  <si>
    <t>CPT_285_S50</t>
  </si>
  <si>
    <t>CPT_287_P05</t>
  </si>
  <si>
    <t>CPT_287_P14</t>
  </si>
  <si>
    <t>CPT_287_P23</t>
  </si>
  <si>
    <t>CPT_287_P32</t>
  </si>
  <si>
    <t>CPT_287_P41</t>
  </si>
  <si>
    <t>CPT_287_P50</t>
  </si>
  <si>
    <t>CPT_287_S05</t>
  </si>
  <si>
    <t>CPT_287_S14</t>
  </si>
  <si>
    <t>CPT_287_S23</t>
  </si>
  <si>
    <t>CPT_287_S32</t>
  </si>
  <si>
    <t>CPT_287_S41</t>
  </si>
  <si>
    <t>CPT_287_S50</t>
  </si>
  <si>
    <t>Wet_test_logging_20230617.jsf</t>
  </si>
  <si>
    <t>56;19;03.50340N</t>
  </si>
  <si>
    <t>4;40;16.10600E</t>
  </si>
  <si>
    <t>55;59;54.84603N</t>
  </si>
  <si>
    <t>7;00;19.65561E</t>
  </si>
  <si>
    <t>Vessel in location, start DP trials</t>
  </si>
  <si>
    <t>55;59;54.84429N</t>
  </si>
  <si>
    <t>7;00;19.64895E</t>
  </si>
  <si>
    <t>Toolbox #002</t>
  </si>
  <si>
    <t>56;00;12.12623N</t>
  </si>
  <si>
    <t>7;01;25.83231E</t>
  </si>
  <si>
    <t>56;00;12.45427N</t>
  </si>
  <si>
    <t>7;01;25.55295E</t>
  </si>
  <si>
    <t>Offshore</t>
  </si>
  <si>
    <t>Survey Area</t>
  </si>
  <si>
    <t>Moving to box CPT_040 to perform USBL verification</t>
  </si>
  <si>
    <t>56;00;17.83116N</t>
  </si>
  <si>
    <t>7;01;45.73167E</t>
  </si>
  <si>
    <t>56;00;18.19036N</t>
  </si>
  <si>
    <t>7;01;45.86032E</t>
  </si>
  <si>
    <t>Vessel in position</t>
  </si>
  <si>
    <t>Vessel heading change complete</t>
  </si>
  <si>
    <t>56;00;17.79367N</t>
  </si>
  <si>
    <t>7;01;46.00570E</t>
  </si>
  <si>
    <t>56;00;17.42573N</t>
  </si>
  <si>
    <t>7;01;45.92701E</t>
  </si>
  <si>
    <t>Planned_Tp_Position</t>
  </si>
  <si>
    <t>56;00;17.79862N</t>
  </si>
  <si>
    <t>7;01;45.98693E</t>
  </si>
  <si>
    <t>56;00;17.41577N</t>
  </si>
  <si>
    <t>7;01;45.86817E</t>
  </si>
  <si>
    <t>WROV off deck SOD #002</t>
  </si>
  <si>
    <t>OI104287_SE_SVX2_SVP_560029N_0070176E_20230618_0835_002</t>
  </si>
  <si>
    <t>56;00;17.81138N</t>
  </si>
  <si>
    <t>7;01;45.99255E</t>
  </si>
  <si>
    <t>56;00;17.25720N</t>
  </si>
  <si>
    <t>7;01;46.16600E</t>
  </si>
  <si>
    <t>SVP_002</t>
  </si>
  <si>
    <t>56;00;17.79341N</t>
  </si>
  <si>
    <t>7;01;45.99843E</t>
  </si>
  <si>
    <t>56;00;17.23472N</t>
  </si>
  <si>
    <t>7;01;46.02599E</t>
  </si>
  <si>
    <t>Transponder was installed on the seabed, ROV is going onboard for adding bouyncy</t>
  </si>
  <si>
    <t>CPT_040</t>
  </si>
  <si>
    <t>56;00;17.80709N</t>
  </si>
  <si>
    <t>7;01;46.00259E</t>
  </si>
  <si>
    <t>56;00;17.44474N</t>
  </si>
  <si>
    <t>7;01;45.82683E</t>
  </si>
  <si>
    <t>ROV in the TMS</t>
  </si>
  <si>
    <t>56;00;17.80908N</t>
  </si>
  <si>
    <t>7;01;46.00009E</t>
  </si>
  <si>
    <t>56;00;17.42950N</t>
  </si>
  <si>
    <t>7;01;45.80812E</t>
  </si>
  <si>
    <t>WROV on deck EOD #002</t>
  </si>
  <si>
    <t>Vessel on the move 15m r, 000° brg</t>
  </si>
  <si>
    <t>56;00;17.77939N</t>
  </si>
  <si>
    <t>56;00;17.40838N</t>
  </si>
  <si>
    <t>7;01;45.90136E</t>
  </si>
  <si>
    <t>USBL_Spin</t>
  </si>
  <si>
    <t>56;00;18.23848N</t>
  </si>
  <si>
    <t>7;01;46.00525E</t>
  </si>
  <si>
    <t>56;00;17.90264N</t>
  </si>
  <si>
    <t>7;01;45.89865E</t>
  </si>
  <si>
    <t>USBL</t>
  </si>
  <si>
    <t>Vessel move complete</t>
  </si>
  <si>
    <t>56;00;18.28563N</t>
  </si>
  <si>
    <t>7;01;45.98400E</t>
  </si>
  <si>
    <t>56;00;17.92512N</t>
  </si>
  <si>
    <t>7;01;45.88446E</t>
  </si>
  <si>
    <t>0014_OI104287_SE_USBL_Spin_20230618090701 - 0001.db</t>
  </si>
  <si>
    <t>003014_20230618_09.06_OI103996SEROV1SPRINTNAV500.bin</t>
  </si>
  <si>
    <t>Log on, USBL verification</t>
  </si>
  <si>
    <t>56;00;18.29833N</t>
  </si>
  <si>
    <t>7;01;46.00134E</t>
  </si>
  <si>
    <t>56;00;17.95726N</t>
  </si>
  <si>
    <t>7;01;45.88960E</t>
  </si>
  <si>
    <t>003015_20230618_09.21_OI103996SEROV1SPRINTNAV500.bin</t>
  </si>
  <si>
    <t>56;00;18.28369N</t>
  </si>
  <si>
    <t>7;01;45.98796E</t>
  </si>
  <si>
    <t>56;00;17.91622N</t>
  </si>
  <si>
    <t>7;01;45.86877E</t>
  </si>
  <si>
    <t>0015_OI104287_SE_USBL_Spin_20230618094438 - 0001.db</t>
  </si>
  <si>
    <t>003016_20230618_09.36_OI103996SEROV1SPRINTNAV500.bin</t>
  </si>
  <si>
    <t>56;00;18.27537N</t>
  </si>
  <si>
    <t>7;01;45.98643E</t>
  </si>
  <si>
    <t>56;00;17.90324N</t>
  </si>
  <si>
    <t>7;01;45.90287E</t>
  </si>
  <si>
    <t>56;00;18.28062N</t>
  </si>
  <si>
    <t>7;01;45.96423E</t>
  </si>
  <si>
    <t>56;00;17.92316N</t>
  </si>
  <si>
    <t>7;01;45.90740E</t>
  </si>
  <si>
    <t>0016_OI104287_SE_USBL_Spin_20230618094551 - 0001.db</t>
  </si>
  <si>
    <t>56;00;18.28401N</t>
  </si>
  <si>
    <t>7;01;45.97092E</t>
  </si>
  <si>
    <t>56;00;17.92422N</t>
  </si>
  <si>
    <t>7;01;45.91766E</t>
  </si>
  <si>
    <t>56;00;18.28716N</t>
  </si>
  <si>
    <t>7;01;45.97247E</t>
  </si>
  <si>
    <t>56;00;17.93463N</t>
  </si>
  <si>
    <t>7;01;45.92158E</t>
  </si>
  <si>
    <t>0017_OI104287_SE_USBL_Spin_20230618094725 - 0001.db</t>
  </si>
  <si>
    <t>56;00;18.28607N</t>
  </si>
  <si>
    <t>7;01;45.97734E</t>
  </si>
  <si>
    <t>56;00;17.93689N</t>
  </si>
  <si>
    <t>7;01;45.92369E</t>
  </si>
  <si>
    <t>56;00;18.28753N</t>
  </si>
  <si>
    <t>7;01;45.97566E</t>
  </si>
  <si>
    <t>56;00;17.94247N</t>
  </si>
  <si>
    <t>7;01;45.90921E</t>
  </si>
  <si>
    <t>0018_OI104287_SE_USBL_Spin_20230618095017 - 0001.db</t>
  </si>
  <si>
    <t>Position fix tool not working properly, restart QINSy</t>
  </si>
  <si>
    <t>56;00;18.30435N</t>
  </si>
  <si>
    <t>7;01;45.97532E</t>
  </si>
  <si>
    <t>56;00;17.93583N</t>
  </si>
  <si>
    <t>7;01;45.90619E</t>
  </si>
  <si>
    <t>003018_20230618_10.06_OI103996SEROV1SPRINTNAV500.bin</t>
  </si>
  <si>
    <t>dGNSS_DynamicVerif_EW</t>
  </si>
  <si>
    <t>56;00;18.28702N</t>
  </si>
  <si>
    <t>7;01;45.95567E</t>
  </si>
  <si>
    <t>56;00;17.92618N</t>
  </si>
  <si>
    <t>7;01;45.86123E</t>
  </si>
  <si>
    <t>0019_OI104287_SE_dGNSS_DynamicVerif_EW_20230618102341 - 0001.db</t>
  </si>
  <si>
    <t>003019_20230618_10.21_OI103996SEROV1SPRINTNAV500.bin</t>
  </si>
  <si>
    <t>dGNSS</t>
  </si>
  <si>
    <t>Log off. Wrong data from computation</t>
  </si>
  <si>
    <t>Log on. Test database</t>
  </si>
  <si>
    <t>56;00;18.27675N</t>
  </si>
  <si>
    <t>7;01;16.14976E</t>
  </si>
  <si>
    <t>56;00;17.91984N</t>
  </si>
  <si>
    <t>7;01;16.04637E</t>
  </si>
  <si>
    <t>dGNSS_DynamicVerif_WE</t>
  </si>
  <si>
    <t>56;00;02.02771N</t>
  </si>
  <si>
    <t>7;01;14.74565E</t>
  </si>
  <si>
    <t>56;00;02.37858N</t>
  </si>
  <si>
    <t>7;01;14.80377E</t>
  </si>
  <si>
    <t>0020_OI104287_SE_dGNSS_DynamicVerif_NS_20230618104400 - 0001.db</t>
  </si>
  <si>
    <t>003021_20230618_10.51_OI103996SEROV1SPRINTNAV500.bin</t>
  </si>
  <si>
    <t>56;00;02.03478N</t>
  </si>
  <si>
    <t>7;01;16.61211E</t>
  </si>
  <si>
    <t>56;00;02.38447N</t>
  </si>
  <si>
    <t>7;01;16.73707E</t>
  </si>
  <si>
    <t>0021_OI104287_SE_dGNSS_DynamicVerif_WE_20230618105825 - 0001.db</t>
  </si>
  <si>
    <t>56;00;02.05287N</t>
  </si>
  <si>
    <t>7;01;47.66122E</t>
  </si>
  <si>
    <t>56;00;02.40046N</t>
  </si>
  <si>
    <t>7;01;47.75349E</t>
  </si>
  <si>
    <t>003022_20230618_11.06_OI103996SEROV1SPRINTNAV500.bin</t>
  </si>
  <si>
    <t>dGNSS_DynamicVerif_SN</t>
  </si>
  <si>
    <t>56;00;01.96748N</t>
  </si>
  <si>
    <t>7;01;46.15238E</t>
  </si>
  <si>
    <t>56;00;02.04395N</t>
  </si>
  <si>
    <t>7;01;45.55435E</t>
  </si>
  <si>
    <t>0022_OI104287_SE_dGNSS_DynamicVerif_SN_20230618111308 - 0001.db</t>
  </si>
  <si>
    <t>dGNSS_DynamicVerif_NS</t>
  </si>
  <si>
    <t>003020_20230618_10.21_OI103996SEROV1SPRINTNAV500.bin</t>
  </si>
  <si>
    <t>56;00;21.86721N</t>
  </si>
  <si>
    <t>7;01;46.11067E</t>
  </si>
  <si>
    <t>56;00;21.92404N</t>
  </si>
  <si>
    <t>7;01;45.46111E</t>
  </si>
  <si>
    <t>003023_20230618_11.21_OI103996SEROV1SPRINTNAV500.bin</t>
  </si>
  <si>
    <t>56;00;22.05593N</t>
  </si>
  <si>
    <t>7;01;46.12598E</t>
  </si>
  <si>
    <t>56;00;22.11882N</t>
  </si>
  <si>
    <t>7;01;45.47409E</t>
  </si>
  <si>
    <t>dGNSS dynamic verification is completed</t>
  </si>
  <si>
    <t>SIT_Reccon_STB+9m</t>
  </si>
  <si>
    <t>56;00;22.05018N</t>
  </si>
  <si>
    <t>7;01;47.59989E</t>
  </si>
  <si>
    <t>56;00;22.14402N</t>
  </si>
  <si>
    <t>7;01;48.11499E</t>
  </si>
  <si>
    <t>SIT</t>
  </si>
  <si>
    <t>Vessel on the move to recconaisance area</t>
  </si>
  <si>
    <t>56;00;22.29503N</t>
  </si>
  <si>
    <t>7;01;47.38403E</t>
  </si>
  <si>
    <t>56;00;22.23575N</t>
  </si>
  <si>
    <t>7;01;48.04257E</t>
  </si>
  <si>
    <t>WROV off deck SOD #003</t>
  </si>
  <si>
    <t>OI104287_SE_SVX2_SVP_560037N_0070178E_20230618_1150_003</t>
  </si>
  <si>
    <t>56;00;22.31154N</t>
  </si>
  <si>
    <t>7;01;47.37146E</t>
  </si>
  <si>
    <t>56;00;22.32597N</t>
  </si>
  <si>
    <t>7;01;48.27371E</t>
  </si>
  <si>
    <t>SVP_003</t>
  </si>
  <si>
    <t>OI104287_SE_SVX2_SVP_560037N_0070178E_20230618_1154_004</t>
  </si>
  <si>
    <t>56;00;22.31091N</t>
  </si>
  <si>
    <t>7;01;47.38386E</t>
  </si>
  <si>
    <t>56;00;22.30787N</t>
  </si>
  <si>
    <t>7;01;48.35699E</t>
  </si>
  <si>
    <t>SVP_004</t>
  </si>
  <si>
    <t>56;00;22.30569N</t>
  </si>
  <si>
    <t>7;01;47.37783E</t>
  </si>
  <si>
    <t>56;00;22.47307N</t>
  </si>
  <si>
    <t>7;01;48.61620E</t>
  </si>
  <si>
    <t>0023_OI104287_SE_SIT_Reccon_STB+9m_20230618115853 - 0001.db</t>
  </si>
  <si>
    <t>003025_20230618_11.51_OI103996SEROV1SPRINTNAV500.bin</t>
  </si>
  <si>
    <t>56;00;22.30595N</t>
  </si>
  <si>
    <t>7;01;47.38068E</t>
  </si>
  <si>
    <t>56;00;22.34106N</t>
  </si>
  <si>
    <t>7;01;48.63038E</t>
  </si>
  <si>
    <t>56;00;22.28080N</t>
  </si>
  <si>
    <t>7;01;47.39137E</t>
  </si>
  <si>
    <t>56;00;22.08306N</t>
  </si>
  <si>
    <t>7;01;48.54106E</t>
  </si>
  <si>
    <t>0024_OI104287_SE_SIT_Reccon_STB+9m_20230618122415 - 0001.db</t>
  </si>
  <si>
    <t>230618122405.SBD</t>
  </si>
  <si>
    <t>SIT_reccon_STB_S9.jsf</t>
  </si>
  <si>
    <t>003027_20230618_12.21_OI103996SEROV1SPRINTNAV500.bin</t>
  </si>
  <si>
    <t>56;00;18.16320N</t>
  </si>
  <si>
    <t>7;01;47.55663E</t>
  </si>
  <si>
    <t>56;00;18.03631N</t>
  </si>
  <si>
    <t>7;01;48.74474E</t>
  </si>
  <si>
    <t>Log on, Wrong qinsy linename. It is CL line</t>
  </si>
  <si>
    <t>SIT_Reccon_Pt-9m</t>
  </si>
  <si>
    <t>56;00;18.15328N</t>
  </si>
  <si>
    <t>7;01;47.91475E</t>
  </si>
  <si>
    <t>56;00;17.90234N</t>
  </si>
  <si>
    <t>7;01;49.27522E</t>
  </si>
  <si>
    <t>0025_OI104287_SE_SIT_Reccon_Pt-9m_20230618123358 - 0001.db</t>
  </si>
  <si>
    <t>SIT_reccon_STB_P9.jsf</t>
  </si>
  <si>
    <t>56;00;22.15068N</t>
  </si>
  <si>
    <t>7;01;47.79728E</t>
  </si>
  <si>
    <t>56;00;22.05576N</t>
  </si>
  <si>
    <t>7;01;49.05645E</t>
  </si>
  <si>
    <t>230618123404.SBD</t>
  </si>
  <si>
    <t>003028_20230618_12.36_OI103996SEROV1SPRINTNAV500.bin</t>
  </si>
  <si>
    <t>56;00;22.41952N</t>
  </si>
  <si>
    <t>7;01;47.79978E</t>
  </si>
  <si>
    <t>56;00;22.58125N</t>
  </si>
  <si>
    <t>7;01;49.00636E</t>
  </si>
  <si>
    <t>0026_OI104287_SE_SIT_Reccon_STB+9m_20230618123905 - 0001.db</t>
  </si>
  <si>
    <t>56;00;22.41976N</t>
  </si>
  <si>
    <t>7;01;47.79761E</t>
  </si>
  <si>
    <t>56;00;22.59060N</t>
  </si>
  <si>
    <t>7;01;49.00847E</t>
  </si>
  <si>
    <t>56;00;21.91333N</t>
  </si>
  <si>
    <t>7;01;46.97361E</t>
  </si>
  <si>
    <t>56;00;21.80546N</t>
  </si>
  <si>
    <t>7;01;48.06490E</t>
  </si>
  <si>
    <t>0027_OI104287_SE_SIT_Reccon_STB+9m_20230618124351 - 0001.db</t>
  </si>
  <si>
    <t>SIT_reccon_STB_C.jsf</t>
  </si>
  <si>
    <t>56;00;18.07188N</t>
  </si>
  <si>
    <t>7;01;47.11259E</t>
  </si>
  <si>
    <t>7;01;48.26345E</t>
  </si>
  <si>
    <t>230618124404.SBD</t>
  </si>
  <si>
    <t>SIT_reccon_STB_S9.001.jsf</t>
  </si>
  <si>
    <t>56;00;17.70027N</t>
  </si>
  <si>
    <t>7;01;47.13583E</t>
  </si>
  <si>
    <t>56;00;17.64148N</t>
  </si>
  <si>
    <t>7;01;48.31113E</t>
  </si>
  <si>
    <t>DVL issues</t>
  </si>
  <si>
    <t>56;00;17.69127N</t>
  </si>
  <si>
    <t>7;01;47.12503E</t>
  </si>
  <si>
    <t>56;00;17.63906N</t>
  </si>
  <si>
    <t>7;01;47.79363E</t>
  </si>
  <si>
    <t>56;00;17.69654N</t>
  </si>
  <si>
    <t>7;01;47.11976E</t>
  </si>
  <si>
    <t>56;00;17.64087N</t>
  </si>
  <si>
    <t>7;01;47.76074E</t>
  </si>
  <si>
    <t>WROV on deck EOD #003</t>
  </si>
  <si>
    <t>SIT_PlannedLocation</t>
  </si>
  <si>
    <t>56;00;19.63761N</t>
  </si>
  <si>
    <t>7;01;47.48528E</t>
  </si>
  <si>
    <t>56;00;19.57885N</t>
  </si>
  <si>
    <t>7;01;48.11952E</t>
  </si>
  <si>
    <t>WROV off deck SOD #004</t>
  </si>
  <si>
    <t>56;00;19.63074N</t>
  </si>
  <si>
    <t>7;01;47.49112E</t>
  </si>
  <si>
    <t>56;00;19.64086N</t>
  </si>
  <si>
    <t>7;01;48.39501E</t>
  </si>
  <si>
    <t>56;00;19.63303N</t>
  </si>
  <si>
    <t>7;01;47.47739E</t>
  </si>
  <si>
    <t>56;00;19.64418N</t>
  </si>
  <si>
    <t>7;01;48.39290E</t>
  </si>
  <si>
    <t>Vessel on the move 50 m to North to BGC location</t>
  </si>
  <si>
    <t>ROV_Grad_Compensation</t>
  </si>
  <si>
    <t>56;00;21.25197N</t>
  </si>
  <si>
    <t>7;01;47.50699E</t>
  </si>
  <si>
    <t>56;00;21.28132N</t>
  </si>
  <si>
    <t>7;01;48.95325E</t>
  </si>
  <si>
    <t>ROV</t>
  </si>
  <si>
    <t>Vessel in location</t>
  </si>
  <si>
    <t>SIT placed on seabed @377173.07 mE, 6208436.49 mN</t>
  </si>
  <si>
    <t>56;00;21.29141N</t>
  </si>
  <si>
    <t>7;01;47.51461E</t>
  </si>
  <si>
    <t>56;00;21.34906N</t>
  </si>
  <si>
    <t>7;01;48.89712E</t>
  </si>
  <si>
    <t>Vessel on the move 20 m away from ROV and change heading to 270°</t>
  </si>
  <si>
    <t>56;00;22.31554N</t>
  </si>
  <si>
    <t>7;01;49.10038E</t>
  </si>
  <si>
    <t>56;00;21.38633N</t>
  </si>
  <si>
    <t>7;01;48.90316E</t>
  </si>
  <si>
    <t>0028_OI104287_SE_ROV_Grad_Compensation_20230618142146 - 0001.db</t>
  </si>
  <si>
    <t>003035_20230618_14.21_OI103996SEROV1SPRINTNAV500.bin</t>
  </si>
  <si>
    <t>56;00;22.31188N</t>
  </si>
  <si>
    <t>7;01;49.10241E</t>
  </si>
  <si>
    <t>56;00;21.39312N</t>
  </si>
  <si>
    <t>7;01;48.93424E</t>
  </si>
  <si>
    <t>1st 360 completed</t>
  </si>
  <si>
    <t>56;00;22.30603N</t>
  </si>
  <si>
    <t>7;01;49.10743E</t>
  </si>
  <si>
    <t>56;00;21.38361N</t>
  </si>
  <si>
    <t>7;01;48.90135E</t>
  </si>
  <si>
    <t>2nd 360 completed</t>
  </si>
  <si>
    <t>56;00;22.31748N</t>
  </si>
  <si>
    <t>7;01;49.09966E</t>
  </si>
  <si>
    <t>56;00;21.41213N</t>
  </si>
  <si>
    <t>7;01;48.96713E</t>
  </si>
  <si>
    <t>3rd 360 completed</t>
  </si>
  <si>
    <t>56;00;22.31693N</t>
  </si>
  <si>
    <t>7;01;49.10404E</t>
  </si>
  <si>
    <t>56;00;21.38904N</t>
  </si>
  <si>
    <t>7;01;48.90437E</t>
  </si>
  <si>
    <t>003036_20230618_14.36_OI103996SEROV1SPRINTNAV500.bin</t>
  </si>
  <si>
    <t>56;00;22.30335N</t>
  </si>
  <si>
    <t>7;01;49.06217E</t>
  </si>
  <si>
    <t>56;00;21.69758N</t>
  </si>
  <si>
    <t>7;01;48.83074E</t>
  </si>
  <si>
    <t>56;00;20.69251N</t>
  </si>
  <si>
    <t>7;01;47.57829E</t>
  </si>
  <si>
    <t>56;00;20.60932N</t>
  </si>
  <si>
    <t>7;01;48.63822E</t>
  </si>
  <si>
    <t>0029_OI104287_SE_SIT_CL_20230618145420 - 0001.db</t>
  </si>
  <si>
    <t>003037_20230618_14.51_OI103996SEROV1SPRINTNAV500.bin</t>
  </si>
  <si>
    <t>56;00;18.91083N</t>
  </si>
  <si>
    <t>7;01;47.64151E</t>
  </si>
  <si>
    <t>56;00;18.73305N</t>
  </si>
  <si>
    <t>7;01;48.73327E</t>
  </si>
  <si>
    <t>Log on 1.5m alt south</t>
  </si>
  <si>
    <t>SIT_CL</t>
  </si>
  <si>
    <t>56;00;18.55415N</t>
  </si>
  <si>
    <t>7;01;47.64042E</t>
  </si>
  <si>
    <t>56;00;18.59289N</t>
  </si>
  <si>
    <t>7;01;48.72995E</t>
  </si>
  <si>
    <t>0030_OI104287_SE_SIT_CL_20230618145920 - 0001.db</t>
  </si>
  <si>
    <t>56;00;20.29248N</t>
  </si>
  <si>
    <t>7;01;47.52764E</t>
  </si>
  <si>
    <t>56;00;20.52649N</t>
  </si>
  <si>
    <t>7;01;48.63158E</t>
  </si>
  <si>
    <t>230618150010.SBD</t>
  </si>
  <si>
    <t>Log on 1.5m alt north</t>
  </si>
  <si>
    <t>56;00;20.57368N</t>
  </si>
  <si>
    <t>7;01;47.53388E</t>
  </si>
  <si>
    <t>56;00;20.54505N</t>
  </si>
  <si>
    <t>7;01;48.64245E</t>
  </si>
  <si>
    <t>0031_OI104287_SE_SIT_CL_20230618150410 - 0001.db</t>
  </si>
  <si>
    <t>230618150411.SBD</t>
  </si>
  <si>
    <t>Log on 2.0 m alt to south</t>
  </si>
  <si>
    <t>56;00;18.28879N</t>
  </si>
  <si>
    <t>7;01;47.67047E</t>
  </si>
  <si>
    <t>56;00;18.08067N</t>
  </si>
  <si>
    <t>7;01;48.76375E</t>
  </si>
  <si>
    <t>003038_20230618_15.06_OI103996SEROV1SPRINTNAV500.bin</t>
  </si>
  <si>
    <t>56;00;18.36299N</t>
  </si>
  <si>
    <t>7;01;47.67630E</t>
  </si>
  <si>
    <t>56;00;18.48034N</t>
  </si>
  <si>
    <t>7;01;48.72482E</t>
  </si>
  <si>
    <t>0032_OI104287_SE_SIT_CL_20230618151034 - 0001.db</t>
  </si>
  <si>
    <t>230618151002.SBD</t>
  </si>
  <si>
    <t>Log on 3.0 m alt to north</t>
  </si>
  <si>
    <t>56;00;20.20045N</t>
  </si>
  <si>
    <t>7;01;47.55014E</t>
  </si>
  <si>
    <t>56;00;20.49979N</t>
  </si>
  <si>
    <t>7;01;48.63882E</t>
  </si>
  <si>
    <t>56;00;20.44693N</t>
  </si>
  <si>
    <t>7;01;47.54527E</t>
  </si>
  <si>
    <t>56;00;20.53525N</t>
  </si>
  <si>
    <t>7;01;48.63913E</t>
  </si>
  <si>
    <t>0033_OI104287_SE_SIT_CL_20230618151528 - 0001.db</t>
  </si>
  <si>
    <t>230618151513.SBD</t>
  </si>
  <si>
    <t>Log on 4.0 m alt to south</t>
  </si>
  <si>
    <t>56;00;18.96321N</t>
  </si>
  <si>
    <t>7;01;47.64451E</t>
  </si>
  <si>
    <t>56;00;18.74271N</t>
  </si>
  <si>
    <t>7;01;48.72784E</t>
  </si>
  <si>
    <t>Grad compensation complete and applied., vessel on the move to SoL</t>
  </si>
  <si>
    <t>56;00;18.66446N</t>
  </si>
  <si>
    <t>7;01;47.65469E</t>
  </si>
  <si>
    <t>56;00;18.63061N</t>
  </si>
  <si>
    <t>7;01;48.73689E</t>
  </si>
  <si>
    <t>0034_OI104287_SE_SIT_CL_20230618151940 - 0001.db</t>
  </si>
  <si>
    <t>56;00;20.27558N</t>
  </si>
  <si>
    <t>7;01;47.55653E</t>
  </si>
  <si>
    <t>56;00;20.45709N</t>
  </si>
  <si>
    <t>003039_20230618_15.21_OI103996SEROV1SPRINTNAV500.bin</t>
  </si>
  <si>
    <t>SIT_S_45</t>
  </si>
  <si>
    <t>56;00;20.66420N</t>
  </si>
  <si>
    <t>7;01;47.57243E</t>
  </si>
  <si>
    <t>56;00;20.62155N</t>
  </si>
  <si>
    <t>7;01;48.89441E</t>
  </si>
  <si>
    <t>0035_OI104287_SE_SIT_S_45_20230618152648 - 0001.db</t>
  </si>
  <si>
    <t>Log on 5.0 m alt to north</t>
  </si>
  <si>
    <t>Log on 1.5 m alt to south, line offset 4.5 m to East</t>
  </si>
  <si>
    <t>56;00;18.81770N</t>
  </si>
  <si>
    <t>7;01;47.64570E</t>
  </si>
  <si>
    <t>56;00;18.56965N</t>
  </si>
  <si>
    <t>7;01;48.99519E</t>
  </si>
  <si>
    <t>SIT_P_45</t>
  </si>
  <si>
    <t>56;00;18.51632N</t>
  </si>
  <si>
    <t>7;01;47.23213E</t>
  </si>
  <si>
    <t>56;00;18.70107N</t>
  </si>
  <si>
    <t>7;01;48.45778E</t>
  </si>
  <si>
    <t>0036_OI104287_SE_SIT_P_45_20230618153254 - 0001.db</t>
  </si>
  <si>
    <t>Log on 1.5 m alt to south, line offset 4.5 m to West</t>
  </si>
  <si>
    <t>56;00;20.37911N</t>
  </si>
  <si>
    <t>7;01;47.11391E</t>
  </si>
  <si>
    <t>56;00;20.47565N</t>
  </si>
  <si>
    <t>7;01;48.37842E</t>
  </si>
  <si>
    <t>SIT_Cross</t>
  </si>
  <si>
    <t>56;00;20.15166N</t>
  </si>
  <si>
    <t>7;01;46.61481E</t>
  </si>
  <si>
    <t>56;00;19.59620N</t>
  </si>
  <si>
    <t>7;01;47.07366E</t>
  </si>
  <si>
    <t>0037_OI104287_SE_SIT_Cross_20230618154534 - 0001.db</t>
  </si>
  <si>
    <t>003040_20230618_15.36_OI103996SEROV1SPRINTNAV500.bin</t>
  </si>
  <si>
    <t>Log on, Cross line W-E</t>
  </si>
  <si>
    <t>56;00;20.20019N</t>
  </si>
  <si>
    <t>7;01;50.18599E</t>
  </si>
  <si>
    <t>56;00;19.65007N</t>
  </si>
  <si>
    <t>7;01;50.39621E</t>
  </si>
  <si>
    <t>56;00;20.15825N</t>
  </si>
  <si>
    <t>7;01;50.70734E</t>
  </si>
  <si>
    <t>56;00;19.66063N</t>
  </si>
  <si>
    <t>7;01;50.50001E</t>
  </si>
  <si>
    <t>0038_OI104287_SE_SIT_Cross_20230618155206 - 0001.db</t>
  </si>
  <si>
    <t>003041_20230618_15.51_OI103996SEROV1SPRINTNAV500.bin</t>
  </si>
  <si>
    <t>56;00;20.16702N</t>
  </si>
  <si>
    <t>7;01;47.69521E</t>
  </si>
  <si>
    <t>56;00;19.60420N</t>
  </si>
  <si>
    <t>7;01;47.11832E</t>
  </si>
  <si>
    <t>Log on, Cross line E-W</t>
  </si>
  <si>
    <t>ROV proceed to recovery USBL transponder</t>
  </si>
  <si>
    <t>Actual_Tp_Position</t>
  </si>
  <si>
    <t>56;00;20.14438N</t>
  </si>
  <si>
    <t>7;01;46.80896E</t>
  </si>
  <si>
    <t>56;00;19.59484N</t>
  </si>
  <si>
    <t>7;01;46.13462E</t>
  </si>
  <si>
    <t>Actual</t>
  </si>
  <si>
    <t>56;00;17.68416N</t>
  </si>
  <si>
    <t>7;01;46.67127E</t>
  </si>
  <si>
    <t>56;00;17.22325N</t>
  </si>
  <si>
    <t>7;01;46.09931E</t>
  </si>
  <si>
    <t>Cal beacon off the seabed</t>
  </si>
  <si>
    <t>56;00;17.72152N</t>
  </si>
  <si>
    <t>7;01;46.66771E</t>
  </si>
  <si>
    <t>56;00;17.36749N</t>
  </si>
  <si>
    <t>7;01;46.56702E</t>
  </si>
  <si>
    <t>56;00;17.72606N</t>
  </si>
  <si>
    <t>7;01;46.67955E</t>
  </si>
  <si>
    <t>56;00;17.36296N</t>
  </si>
  <si>
    <t>7;01;46.57879E</t>
  </si>
  <si>
    <t>56;00;17.72757N</t>
  </si>
  <si>
    <t>7;01;46.65926E</t>
  </si>
  <si>
    <t>56;00;17.24619N</t>
  </si>
  <si>
    <t>7;01;46.59689E</t>
  </si>
  <si>
    <t>DVL set to freerunning and PD4 instead of triggered and ASONDV</t>
  </si>
  <si>
    <t>SSS verification S</t>
  </si>
  <si>
    <t>56;00;17.75332N</t>
  </si>
  <si>
    <t>7;01;46.66450E</t>
  </si>
  <si>
    <t>56;00;17.15762N</t>
  </si>
  <si>
    <t>7;01;46.41494E</t>
  </si>
  <si>
    <t>ROV to set up on the line for SSS verification</t>
  </si>
  <si>
    <t>56;00;19.75315N</t>
  </si>
  <si>
    <t>7;01;47.36583E</t>
  </si>
  <si>
    <t>56;00;19.15565N</t>
  </si>
  <si>
    <t>7;01;47.18681E</t>
  </si>
  <si>
    <t>0039_OI104287_SE_SSS verification S_20230618172637 - 0001.db</t>
  </si>
  <si>
    <t>SSS_Verification_S_W-E.jsf</t>
  </si>
  <si>
    <t>003047_20230618_17.21_OI103996SEROV1SPRINTNAV500.bin</t>
  </si>
  <si>
    <t>Log on WE direction</t>
  </si>
  <si>
    <t>56;00;19.73825N</t>
  </si>
  <si>
    <t>7;01;50.57124E</t>
  </si>
  <si>
    <t>56;00;19.20453N</t>
  </si>
  <si>
    <t>7;01;50.33827E</t>
  </si>
  <si>
    <t>56;00;19.73413N</t>
  </si>
  <si>
    <t>7;01;51.10794E</t>
  </si>
  <si>
    <t>56;00;19.21675N</t>
  </si>
  <si>
    <t>7;01;50.59265E</t>
  </si>
  <si>
    <t>0040_OI104287_SE_SSS verification S_20230618173123 - 0001.db</t>
  </si>
  <si>
    <t>SSS_Verification_S_E-W.jsf</t>
  </si>
  <si>
    <t>Log on EW direction</t>
  </si>
  <si>
    <t>56;00;19.71281N</t>
  </si>
  <si>
    <t>7;01;47.58270E</t>
  </si>
  <si>
    <t>56;00;19.13332N</t>
  </si>
  <si>
    <t>7;01;47.19466E</t>
  </si>
  <si>
    <t>SSS verification N</t>
  </si>
  <si>
    <t>56;00;20.63790N</t>
  </si>
  <si>
    <t>7;01;47.17546E</t>
  </si>
  <si>
    <t>56;00;20.04807N</t>
  </si>
  <si>
    <t>7;01;47.15664E</t>
  </si>
  <si>
    <t>0041_OI104287_SE_SSS verification N_20230618173933 - 0001.db</t>
  </si>
  <si>
    <t>SSS_Verification_N_W-E.jsf</t>
  </si>
  <si>
    <t>003048_20230618_17.36_OI103996SEROV1SPRINTNAV500.bin</t>
  </si>
  <si>
    <t>56;00;20.63211N</t>
  </si>
  <si>
    <t>7;01;50.47296E</t>
  </si>
  <si>
    <t>56;00;20.09967N</t>
  </si>
  <si>
    <t>7;01;50.38565E</t>
  </si>
  <si>
    <t>56;00;20.64039N</t>
  </si>
  <si>
    <t>7;01;50.53894E</t>
  </si>
  <si>
    <t>56;00;20.10224N</t>
  </si>
  <si>
    <t>7;01;50.52385E</t>
  </si>
  <si>
    <t>0042_OI104287_SE_SSS verification N_20230618174435 - 0001.db</t>
  </si>
  <si>
    <t>SSS_Verification_N_E-W.jsf</t>
  </si>
  <si>
    <t>56;00;20.60022N</t>
  </si>
  <si>
    <t>7;01;47.16197E</t>
  </si>
  <si>
    <t>56;00;20.06014N</t>
  </si>
  <si>
    <t>7;01;47.18319E</t>
  </si>
  <si>
    <t>OI104287_SE_SVX2_SVP_20230618_1814_560034N_0070177E_007</t>
  </si>
  <si>
    <t>56;00;20.62207N</t>
  </si>
  <si>
    <t>7;01;46.61971E</t>
  </si>
  <si>
    <t>56;00;20.15640N</t>
  </si>
  <si>
    <t>7;01;46.48012E</t>
  </si>
  <si>
    <t>SVP_007 downcast</t>
  </si>
  <si>
    <t>OI104287_SE_SVX2_SVP_20230618_1819_560034N_0070177E_008</t>
  </si>
  <si>
    <t>56;00;20.64032N</t>
  </si>
  <si>
    <t>7;01;46.65051E</t>
  </si>
  <si>
    <t>56;00;20.26397N</t>
  </si>
  <si>
    <t>7;01;46.49430E</t>
  </si>
  <si>
    <t>SVP_008 upcast</t>
  </si>
  <si>
    <t>OI104287_SE_SVX2_SVP_20230618_1821_560034N_0070177E_009</t>
  </si>
  <si>
    <t>56;00;20.61564N</t>
  </si>
  <si>
    <t>7;01;46.62262E</t>
  </si>
  <si>
    <t>56;00;20.07402N</t>
  </si>
  <si>
    <t>7;01;46.44300E</t>
  </si>
  <si>
    <t>SVP_009 downcast</t>
  </si>
  <si>
    <t>56;00;20.24764N</t>
  </si>
  <si>
    <t>7;01;48.68965E</t>
  </si>
  <si>
    <t>56;00;19.66742N</t>
  </si>
  <si>
    <t>7;01;48.48131E</t>
  </si>
  <si>
    <t>SSS data check and ok</t>
  </si>
  <si>
    <t>Recovering SIT</t>
  </si>
  <si>
    <t>56;00;20.22934N</t>
  </si>
  <si>
    <t>7;01;48.73983E</t>
  </si>
  <si>
    <t>56;00;19.66711N</t>
  </si>
  <si>
    <t>7;01;48.48252E</t>
  </si>
  <si>
    <t>56;00;20.21124N</t>
  </si>
  <si>
    <t>7;01;48.80103E</t>
  </si>
  <si>
    <t>56;00;19.84605N</t>
  </si>
  <si>
    <t>7;01;48.64124E</t>
  </si>
  <si>
    <t>ROV IN TMS</t>
  </si>
  <si>
    <t>56;00;20.21198N</t>
  </si>
  <si>
    <t>7;01;48.83902E</t>
  </si>
  <si>
    <t>56;00;19.84424N</t>
  </si>
  <si>
    <t>7;01;48.74202E</t>
  </si>
  <si>
    <t>55;57;53.99772N</t>
  </si>
  <si>
    <t>7;09;38.36834E</t>
  </si>
  <si>
    <t>55;57;54.31757N</t>
  </si>
  <si>
    <t>7;09;38.66102E</t>
  </si>
  <si>
    <t>Bridge spotted fishing gear 300m port side, put in Qinsy nav</t>
  </si>
  <si>
    <t>55;51;58.77722N</t>
  </si>
  <si>
    <t>7;40;40.21004E</t>
  </si>
  <si>
    <t>55;51;59.14282N</t>
  </si>
  <si>
    <t>7;40;40.18170E</t>
  </si>
  <si>
    <t>55;51;58.77950N</t>
  </si>
  <si>
    <t>7;40;40.20615E</t>
  </si>
  <si>
    <t>55;51;59.14237N</t>
  </si>
  <si>
    <t>7;40;40.17929E</t>
  </si>
  <si>
    <t>Vessel at location, DP check</t>
  </si>
  <si>
    <t>OI104287_SE_SVX2_SVP_20230618_2245_555197N_0074067E_010</t>
  </si>
  <si>
    <t>55;51;58.77554N</t>
  </si>
  <si>
    <t>7;40;40.20829E</t>
  </si>
  <si>
    <t>55;51;59.08594N</t>
  </si>
  <si>
    <t>7;40;40.18412E</t>
  </si>
  <si>
    <t>SVP_010</t>
  </si>
  <si>
    <t>MBES_Patchtest</t>
  </si>
  <si>
    <t>55;51;59.11594N</t>
  </si>
  <si>
    <t>7;40;43.67379E</t>
  </si>
  <si>
    <t>55;51;59.39660N</t>
  </si>
  <si>
    <t>7;40;42.59720E</t>
  </si>
  <si>
    <t>0043_OI104287_SE_MBES_Patchtest_20230618235911 - 0001.db</t>
  </si>
  <si>
    <t>230618235912.SBD</t>
  </si>
  <si>
    <t>003074_20230618_23.54_OI103996SEROV1SPRINTNAV500.bin</t>
  </si>
  <si>
    <t>MBES</t>
  </si>
  <si>
    <t>55;51;59.60752N</t>
  </si>
  <si>
    <t>7;40;43.36642E</t>
  </si>
  <si>
    <t>55;51;59.70709N</t>
  </si>
  <si>
    <t>7;40;42.42068E</t>
  </si>
  <si>
    <t>55;52;02.06169N</t>
  </si>
  <si>
    <t>7;40;42.05711E</t>
  </si>
  <si>
    <t>55;52;02.35886N</t>
  </si>
  <si>
    <t>7;40;40.99340E</t>
  </si>
  <si>
    <t>55;52;02.13477N</t>
  </si>
  <si>
    <t>7;40;42.02582E</t>
  </si>
  <si>
    <t>55;52;01.98167N</t>
  </si>
  <si>
    <t>7;40;41.22062E</t>
  </si>
  <si>
    <t>0044_OI104287_SE_MBES_Patchtest_20230619002007 - 0001.db</t>
  </si>
  <si>
    <t>003075_20230619_00.09_OI103996SEROV1SPRINTNAV500.bin</t>
  </si>
  <si>
    <t>55;51;59.80392N</t>
  </si>
  <si>
    <t>7;40;43.26046E</t>
  </si>
  <si>
    <t>55;51;59.55727N</t>
  </si>
  <si>
    <t>7;40;42.52055E</t>
  </si>
  <si>
    <t>230619002043.SBD</t>
  </si>
  <si>
    <t>003076_20230619_00.24_OI103996SEROV1SPRINTNAV500.bin</t>
  </si>
  <si>
    <t>OI104287_SE_SVX2_SVP_20230619_0052_555198N_0074072E_011</t>
  </si>
  <si>
    <t>55;51;58.83581N</t>
  </si>
  <si>
    <t>7;40;43.80267E</t>
  </si>
  <si>
    <t>55;51;58.85767N</t>
  </si>
  <si>
    <t>7;40;42.80239E</t>
  </si>
  <si>
    <t>SVP_011</t>
  </si>
  <si>
    <t>55;51;58.96879N</t>
  </si>
  <si>
    <t>7;40;43.73547E</t>
  </si>
  <si>
    <t>55;51;58.99165N</t>
  </si>
  <si>
    <t>7;40;42.81144E</t>
  </si>
  <si>
    <t>0045_OI104287_SE_MBES_Patchtest_20230619010303 - 0001.db</t>
  </si>
  <si>
    <t>230619010252.SBD</t>
  </si>
  <si>
    <t>003078_20230619_00.54_OI103996SEROV1SPRINTNAV500.bin</t>
  </si>
  <si>
    <t>55;52;04.42776N</t>
  </si>
  <si>
    <t>7;40;40.75266E</t>
  </si>
  <si>
    <t>55;52;04.48875N</t>
  </si>
  <si>
    <t>7;40;39.90228E</t>
  </si>
  <si>
    <t>Log on, CL north directon, 1kn</t>
  </si>
  <si>
    <t>55;52;04.41765N</t>
  </si>
  <si>
    <t>7;40;40.77232E</t>
  </si>
  <si>
    <t>55;52;04.34557N</t>
  </si>
  <si>
    <t>7;40;39.97259E</t>
  </si>
  <si>
    <t>0046_OI104287_SE_MBES_Patchtest_20230619011705 - 0001.db</t>
  </si>
  <si>
    <t>230619011658.SBD</t>
  </si>
  <si>
    <t>003079_20230619_01.09_OI103996SEROV1SPRINTNAV500.bin</t>
  </si>
  <si>
    <t>Log on, CL south directon, 1kn</t>
  </si>
  <si>
    <t>55;51;59.39791N</t>
  </si>
  <si>
    <t>7;40;43.51311E</t>
  </si>
  <si>
    <t>55;51;59.30411N</t>
  </si>
  <si>
    <t>7;40;42.64065E</t>
  </si>
  <si>
    <t>MBES_Patchtest_S</t>
  </si>
  <si>
    <t>55;51;59.31662N</t>
  </si>
  <si>
    <t>7;40;44.22293E</t>
  </si>
  <si>
    <t>55;51;59.35706N</t>
  </si>
  <si>
    <t>7;40;43.33286E</t>
  </si>
  <si>
    <t>0047_OI104287_SE_MBES_Patchtest_S_20230619012809 - 0001.db</t>
  </si>
  <si>
    <t>230619012806.SBD</t>
  </si>
  <si>
    <t>003080_20230619_01.24_OI103996SEROV1SPRINTNAV500.bin</t>
  </si>
  <si>
    <t>Log on, offset 12m starboard, north directon, 1kn</t>
  </si>
  <si>
    <t>55;52;04.63122N</t>
  </si>
  <si>
    <t>7;40;41.42823E</t>
  </si>
  <si>
    <t>55;52;04.65079N</t>
  </si>
  <si>
    <t>7;40;40.52660E</t>
  </si>
  <si>
    <t>55;52;04.79160N</t>
  </si>
  <si>
    <t>7;40;41.40416E</t>
  </si>
  <si>
    <t>55;52;04.76696N</t>
  </si>
  <si>
    <t>7;40;40.48043E</t>
  </si>
  <si>
    <t>0048_OI104287_SE_MBES_Patchtest_S_20230619013659 - 0001.db</t>
  </si>
  <si>
    <t>230619013656.SBD</t>
  </si>
  <si>
    <t>55;51;59.26933N</t>
  </si>
  <si>
    <t>7;40;44.35999E</t>
  </si>
  <si>
    <t>55;51;59.16787N</t>
  </si>
  <si>
    <t>7;40;43.43787E</t>
  </si>
  <si>
    <t>003081_20230619_01.39_OI103996SEROV1SPRINTNAV500.bin</t>
  </si>
  <si>
    <t>Log on, offset 12m starboard, south directon, 1kn</t>
  </si>
  <si>
    <t>MBES_Patchtest_P</t>
  </si>
  <si>
    <t>55;51;58.95338N</t>
  </si>
  <si>
    <t>7;40;43.07071E</t>
  </si>
  <si>
    <t>55;51;59.03027N</t>
  </si>
  <si>
    <t>7;40;42.07095E</t>
  </si>
  <si>
    <t>0049_OI104287_SE_MBES_Patchtest_P_20230619015024 - 0001.db</t>
  </si>
  <si>
    <t>230619015021.SBD</t>
  </si>
  <si>
    <t>Log on, offset 12m port, north directon, 1kn</t>
  </si>
  <si>
    <t>RA/AF</t>
  </si>
  <si>
    <t>55;52;04.44994N</t>
  </si>
  <si>
    <t>7;40;40.09883E</t>
  </si>
  <si>
    <t>55;52;04.40064N</t>
  </si>
  <si>
    <t>7;40;39.22727E</t>
  </si>
  <si>
    <t>003082_20230619_01.54_OI103996SEROV1SPRINTNAV500.bin</t>
  </si>
  <si>
    <t>55;52;04.79032N</t>
  </si>
  <si>
    <t>7;40;39.95040E</t>
  </si>
  <si>
    <t>55;52;04.59134N</t>
  </si>
  <si>
    <t>7;40;39.11261E</t>
  </si>
  <si>
    <t>0050_OI104287_SE_MBES_Patchtest_P_20230619015806 - 0001.db</t>
  </si>
  <si>
    <t>230619015759.SBD</t>
  </si>
  <si>
    <t>55;51;59.01511N</t>
  </si>
  <si>
    <t>7;40;43.08500E</t>
  </si>
  <si>
    <t>55;51;59.07387N</t>
  </si>
  <si>
    <t>7;40;42.05073E</t>
  </si>
  <si>
    <t>Log on, offset 12m port, south directon, 1kn</t>
  </si>
  <si>
    <t>55;51;59.34492N</t>
  </si>
  <si>
    <t>7;40;43.44453E</t>
  </si>
  <si>
    <t>55;51;59.41832N</t>
  </si>
  <si>
    <t>7;40;42.58664E</t>
  </si>
  <si>
    <t>0051_OI104287_SE_MBES_Patchtest_20230619021226 - 0001.db</t>
  </si>
  <si>
    <t>230619021225.SBD</t>
  </si>
  <si>
    <t>003083_20230619_02.09_OI103996SEROV1SPRINTNAV500.bin</t>
  </si>
  <si>
    <t>55;52;04.11290N</t>
  </si>
  <si>
    <t>7;40;40.95070E</t>
  </si>
  <si>
    <t>55;52;04.12605N</t>
  </si>
  <si>
    <t>7;40;40.09057E</t>
  </si>
  <si>
    <t>OI104287_SE_SVX2_SVP_20230619_0222_555207N_0074068E_012</t>
  </si>
  <si>
    <t>55;52;04.40249N</t>
  </si>
  <si>
    <t>7;40;40.84313E</t>
  </si>
  <si>
    <t>55;52;04.42191N</t>
  </si>
  <si>
    <t>7;40;40.01876E</t>
  </si>
  <si>
    <t>SVP_012</t>
  </si>
  <si>
    <t>55;52;04.30012N</t>
  </si>
  <si>
    <t>7;40;40.90852E</t>
  </si>
  <si>
    <t>55;52;04.31540N</t>
  </si>
  <si>
    <t>7;40;39.98888E</t>
  </si>
  <si>
    <t>0052_OI104287_SE_MBES_Patchtest_20230619024250 - 0001.db</t>
  </si>
  <si>
    <t>230619024245.SBD</t>
  </si>
  <si>
    <t>003085_20230619_02.39_OI103996SEROV1SPRINTNAV500.bin</t>
  </si>
  <si>
    <t>55;52;02.85937N</t>
  </si>
  <si>
    <t>7;40;41.67944E</t>
  </si>
  <si>
    <t>55;52;02.99796N</t>
  </si>
  <si>
    <t>7;40;40.68110E</t>
  </si>
  <si>
    <t>MBES_Test</t>
  </si>
  <si>
    <t>Waiting for offline in Gothenburg to verify data OK</t>
  </si>
  <si>
    <t>Re-run first MBES patch line, relocate to south end of the line</t>
  </si>
  <si>
    <t>55;51;58.64014N</t>
  </si>
  <si>
    <t>7;40;43.97430E</t>
  </si>
  <si>
    <t>55;51;58.68130N</t>
  </si>
  <si>
    <t>7;40;43.06491E</t>
  </si>
  <si>
    <t>Log on, test line, 1.5m altitude</t>
  </si>
  <si>
    <t>55;51;58.82994N</t>
  </si>
  <si>
    <t>7;40;43.83158E</t>
  </si>
  <si>
    <t>55;51;58.97203N</t>
  </si>
  <si>
    <t>7;40;42.82623E</t>
  </si>
  <si>
    <t>0053_OI104287_SE_MBES_Patchtest_20230619030320 - 0001.db</t>
  </si>
  <si>
    <t>230619030319.SBD</t>
  </si>
  <si>
    <t>003086_20230619_02.54_OI103996SEROV1SPRINTNAV500.bin</t>
  </si>
  <si>
    <t>55;52;04.10574N</t>
  </si>
  <si>
    <t>7;40;41.02476E</t>
  </si>
  <si>
    <t>55;52;04.31706N</t>
  </si>
  <si>
    <t>7;40;39.98707E</t>
  </si>
  <si>
    <t>55;52;04.16153N</t>
  </si>
  <si>
    <t>7;40;41.03106E</t>
  </si>
  <si>
    <t>55;52;04.18715N</t>
  </si>
  <si>
    <t>7;40;40.35038E</t>
  </si>
  <si>
    <t>BH</t>
  </si>
  <si>
    <t>Waiting for confirmation of data quality</t>
  </si>
  <si>
    <t>55;52;04.16243N</t>
  </si>
  <si>
    <t>7;40;41.02339E</t>
  </si>
  <si>
    <t>55;52;04.18685N</t>
  </si>
  <si>
    <t>7;40;40.34435E</t>
  </si>
  <si>
    <t xml:space="preserve">Data confirmed good, recover WROV to deck </t>
  </si>
  <si>
    <t>55;52;04.15896N</t>
  </si>
  <si>
    <t>7;40;40.99564E</t>
  </si>
  <si>
    <t>55;52;04.15471N</t>
  </si>
  <si>
    <t>7;40;40.36456E</t>
  </si>
  <si>
    <t>WROV on deck EOD #004</t>
  </si>
  <si>
    <t>WROV off deck SOD #005</t>
  </si>
  <si>
    <t>WROV on deck EOD #005</t>
  </si>
  <si>
    <t>WROV off deck SOD #006</t>
  </si>
  <si>
    <t>WROV on deck EOD #006</t>
  </si>
  <si>
    <t>55;52;04.20182N</t>
  </si>
  <si>
    <t>7;40;39.56070E</t>
  </si>
  <si>
    <t>55;52;04.42689N</t>
  </si>
  <si>
    <t>7;40;39.18261E</t>
  </si>
  <si>
    <t>Transit to BH_143</t>
  </si>
  <si>
    <t>AK/NE</t>
  </si>
  <si>
    <t>55;51;49.47887N</t>
  </si>
  <si>
    <t>7;46;04.97367E</t>
  </si>
  <si>
    <t>55;51;49.54797N</t>
  </si>
  <si>
    <t>7;46;04.40927E</t>
  </si>
  <si>
    <t>55;51;48.97882N</t>
  </si>
  <si>
    <t>7;46;05.13030E</t>
  </si>
  <si>
    <t>55;51;49.14348N</t>
  </si>
  <si>
    <t>7;46;04.19201E</t>
  </si>
  <si>
    <t>WROV off deck SOD #007</t>
  </si>
  <si>
    <t>OI104287_SE_SVX2_SVP_20230619_0518_555181N_0074608E_013</t>
  </si>
  <si>
    <t>55;51;48.96179N</t>
  </si>
  <si>
    <t>7;46;05.16555E</t>
  </si>
  <si>
    <t>55;51;49.40042N</t>
  </si>
  <si>
    <t>7;46;04.31633E</t>
  </si>
  <si>
    <t>SVP_013</t>
  </si>
  <si>
    <t>55;51;48.95440N</t>
  </si>
  <si>
    <t>7;46;05.44322E</t>
  </si>
  <si>
    <t>55;51;49.43663N</t>
  </si>
  <si>
    <t>7;46;04.63317E</t>
  </si>
  <si>
    <t>55;51;48.95285N</t>
  </si>
  <si>
    <t>7;46;05.43029E</t>
  </si>
  <si>
    <t>55;51;49.01328N</t>
  </si>
  <si>
    <t>7;46;04.79702E</t>
  </si>
  <si>
    <t>WROV on deck EOD #007</t>
  </si>
  <si>
    <t>55;51;48.94238N</t>
  </si>
  <si>
    <t>7;46;05.42731E</t>
  </si>
  <si>
    <t>55;51;49.00377N</t>
  </si>
  <si>
    <t>7;46;04.78646E</t>
  </si>
  <si>
    <t>WROV off deck SOD #008</t>
  </si>
  <si>
    <t>OI104287_SE_SVX2_SVP_20230619_0636_555181N_0074609E_014</t>
  </si>
  <si>
    <t>55;51;48.94085N</t>
  </si>
  <si>
    <t>7;46;05.44312E</t>
  </si>
  <si>
    <t>55;51;49.20926N</t>
  </si>
  <si>
    <t>7;46;04.54174E</t>
  </si>
  <si>
    <t>SVP_014</t>
  </si>
  <si>
    <t>55;51;49.26583N</t>
  </si>
  <si>
    <t>7;46;05.38687E</t>
  </si>
  <si>
    <t>55;51;49.54209N</t>
  </si>
  <si>
    <t>7;46;04.62714E</t>
  </si>
  <si>
    <t>0054_OI104287_SE_BH_143_P72_20230619064549 - 0001.db</t>
  </si>
  <si>
    <t>OI104287_SEROV1_ET2205SSS_BH_143_P72.001.jsf</t>
  </si>
  <si>
    <t>003101_20230619_06.39_OI103996SEROV1SPRINTNAV500.bin</t>
  </si>
  <si>
    <t>55;51;56.54424N</t>
  </si>
  <si>
    <t>7;46;05.14940E</t>
  </si>
  <si>
    <t>55;51;56.90656N</t>
  </si>
  <si>
    <t>7;46;04.38151E</t>
  </si>
  <si>
    <t>230619064601.SBD</t>
  </si>
  <si>
    <t>Issue with svgrad20, 11th sensor, ROV go on deck for sensor replacing.</t>
  </si>
  <si>
    <t>Replaced sensor to SN0133</t>
  </si>
  <si>
    <t>55;51;57.21321N</t>
  </si>
  <si>
    <t>7;46;05.56745E</t>
  </si>
  <si>
    <t>55;51;57.11236N</t>
  </si>
  <si>
    <t>7;46;04.89267E</t>
  </si>
  <si>
    <t>0055_OI104287_SE_BH_143_P63_20230619065835 - 0001.db</t>
  </si>
  <si>
    <t>230619065832.SBD</t>
  </si>
  <si>
    <t>OI104287_SEROV1_ET2205SSS_BH_143_P63.002.jsf</t>
  </si>
  <si>
    <t>003102_20230619_06.54_OI103996SEROV1SPRINTNAV500.bin</t>
  </si>
  <si>
    <t>55;51;49.90441N</t>
  </si>
  <si>
    <t>7;46;05.93687E</t>
  </si>
  <si>
    <t>55;51;49.69130N</t>
  </si>
  <si>
    <t>7;46;05.13136E</t>
  </si>
  <si>
    <t>55;51;49.46655N</t>
  </si>
  <si>
    <t>7;46;06.32905E</t>
  </si>
  <si>
    <t>55;51;49.50483N</t>
  </si>
  <si>
    <t>7;46;05.65338E</t>
  </si>
  <si>
    <t>0056_OI104287_SE_BH_143_P54_20230619071106 - 0001.db</t>
  </si>
  <si>
    <t>230619071100.SBD</t>
  </si>
  <si>
    <t>OI104287_SEROV1_ET2205SSS_BH_143_P54.003.jsf</t>
  </si>
  <si>
    <t>003103_20230619_07.09_OI103996SEROV1SPRINTNAV500.bin</t>
  </si>
  <si>
    <t>55;51;56.76885N</t>
  </si>
  <si>
    <t>7;46;06.15469E</t>
  </si>
  <si>
    <t>55;51;56.92226N</t>
  </si>
  <si>
    <t>7;46;05.41681E</t>
  </si>
  <si>
    <t>55;51;57.04022N</t>
  </si>
  <si>
    <t>7;46;06.59893E</t>
  </si>
  <si>
    <t>55;51;56.90158N</t>
  </si>
  <si>
    <t>7;46;05.94185E</t>
  </si>
  <si>
    <t>0057_OI104287_SE_BH_143_P45_20230619072227 - 0001.db</t>
  </si>
  <si>
    <t>230619072227.SBD</t>
  </si>
  <si>
    <t>OI104287_SEROV1_ET2205SSS_BH_143_P45.004.jsf</t>
  </si>
  <si>
    <t>55;51;49.95115N</t>
  </si>
  <si>
    <t>7;46;06.91745E</t>
  </si>
  <si>
    <t>55;51;49.69930N</t>
  </si>
  <si>
    <t>7;46;06.16877E</t>
  </si>
  <si>
    <t>003104_20230619_07.24_OI103996SEROV1SPRINTNAV500.bin</t>
  </si>
  <si>
    <t>55;51;49.32522N</t>
  </si>
  <si>
    <t>7;46;07.31958E</t>
  </si>
  <si>
    <t>55;51;49.50633N</t>
  </si>
  <si>
    <t>7;46;06.69170E</t>
  </si>
  <si>
    <t>0058_OI104287_SE_BH_143_P36_20230619073329 - 0001.db</t>
  </si>
  <si>
    <t>230619073311.SBD</t>
  </si>
  <si>
    <t>OI104287_SEROV1_ET2205SSS_BH_143_P36.004.jsf</t>
  </si>
  <si>
    <t>55;51;56.62462N</t>
  </si>
  <si>
    <t>7;46;07.17259E</t>
  </si>
  <si>
    <t>55;51;56.91894N</t>
  </si>
  <si>
    <t>7;46;06.45513E</t>
  </si>
  <si>
    <t>003105_20230619_07.39_OI103996SEROV1SPRINTNAV500.bin</t>
  </si>
  <si>
    <t>55;51;56.90855N</t>
  </si>
  <si>
    <t>7;46;07.74564E</t>
  </si>
  <si>
    <t>55;51;57.05412N</t>
  </si>
  <si>
    <t>7;46;06.96508E</t>
  </si>
  <si>
    <t>0059_OI104287_SE_BH_143_P27_20230619074618 - 0001.db</t>
  </si>
  <si>
    <t>230619074609.SBD</t>
  </si>
  <si>
    <t>OI104287_SEROV1_ET2205SSS_BH_143_P27.004.jsf</t>
  </si>
  <si>
    <t>55;51;49.76965N</t>
  </si>
  <si>
    <t>7;46;08.02219E</t>
  </si>
  <si>
    <t>55;51;49.70005N</t>
  </si>
  <si>
    <t>7;46;07.20135E</t>
  </si>
  <si>
    <t>55;51;49.44181N</t>
  </si>
  <si>
    <t>7;46;08.42076E</t>
  </si>
  <si>
    <t>55;51;49.47721N</t>
  </si>
  <si>
    <t>7;46;07.72670E</t>
  </si>
  <si>
    <t>0060_OI104287_SE_BH_143_P18_20230619075726 - 0001.db</t>
  </si>
  <si>
    <t>230619075715.SBD</t>
  </si>
  <si>
    <t>OI104287_SEROV1_ET2205SSS_BH_143_P18.004.jsf</t>
  </si>
  <si>
    <t>003106_20230619_07.54_OI103996SEROV1SPRINTNAV500.bin</t>
  </si>
  <si>
    <t>55;51;56.70605N</t>
  </si>
  <si>
    <t>7;46;08.26514E</t>
  </si>
  <si>
    <t>55;51;56.92633N</t>
  </si>
  <si>
    <t>7;46;07.49013E</t>
  </si>
  <si>
    <t>55;51;57.18267N</t>
  </si>
  <si>
    <t>7;46;08.80172E</t>
  </si>
  <si>
    <t>55;51;57.08641N</t>
  </si>
  <si>
    <t>7;46;07.99495E</t>
  </si>
  <si>
    <t>0061_OI104287_SE_BH_143_P09_20230619080912 - 0001.db</t>
  </si>
  <si>
    <t>230619080911.SBD</t>
  </si>
  <si>
    <t>OI104287_SEROV1_ET2205SSS_BH_143_P09.005.jsf</t>
  </si>
  <si>
    <t>55;51;49.92064N</t>
  </si>
  <si>
    <t>7;46;09.08222E</t>
  </si>
  <si>
    <t>55;51;49.67712N</t>
  </si>
  <si>
    <t>7;46;08.23454E</t>
  </si>
  <si>
    <t>003107_20230619_08.09_OI103996SEROV1SPRINTNAV500.bin</t>
  </si>
  <si>
    <t>55;51;49.56100N</t>
  </si>
  <si>
    <t>7;46;09.55541E</t>
  </si>
  <si>
    <t>55;51;49.47540N</t>
  </si>
  <si>
    <t>7;46;08.75807E</t>
  </si>
  <si>
    <t>0062_OI104287_SE_BH_143_C00_20230619082056 - 0001.db</t>
  </si>
  <si>
    <t>230619082046.SBD</t>
  </si>
  <si>
    <t>OI104287_SEROV1_ET2205SSS_BH_143_C00.005.jsf</t>
  </si>
  <si>
    <t>55;51;56.75792N</t>
  </si>
  <si>
    <t>7;46;09.36752E</t>
  </si>
  <si>
    <t>55;51;56.89434N</t>
  </si>
  <si>
    <t>7;46;08.52361E</t>
  </si>
  <si>
    <t>003108_20230619_08.24_OI103996SEROV1SPRINTNAV500.bin</t>
  </si>
  <si>
    <t>55;51;56.98974N</t>
  </si>
  <si>
    <t>7;46;09.84922E</t>
  </si>
  <si>
    <t>55;51;56.91064N</t>
  </si>
  <si>
    <t>7;46;09.04021E</t>
  </si>
  <si>
    <t>0063_OI104287_SE_BH_143_S09_20230619083202 - 0001.db</t>
  </si>
  <si>
    <t>230619083158.SBD</t>
  </si>
  <si>
    <t>OI104287_SEROV1_ET2200SSS_BH_143_S09.001.jsf</t>
  </si>
  <si>
    <t>55;51;49.60756N</t>
  </si>
  <si>
    <t>7;46;10.12112E</t>
  </si>
  <si>
    <t>55;51;49.37643N</t>
  </si>
  <si>
    <t>7;46;09.28281E</t>
  </si>
  <si>
    <t>003109_20230619_08.39_OI103996SEROV1SPRINTNAV500.bin</t>
  </si>
  <si>
    <t>55;51;49.14389N</t>
  </si>
  <si>
    <t>7;46;10.61520E</t>
  </si>
  <si>
    <t>55;51;49.32544N</t>
  </si>
  <si>
    <t>7;46;09.80001E</t>
  </si>
  <si>
    <t>0064_OI104287_SE_BH_143_S18_20230619084423 - 0001.db</t>
  </si>
  <si>
    <t>230619084402.SBD</t>
  </si>
  <si>
    <t>OI104287_SEROV1_ET2200SSS_BH_143_S18.002.jsf</t>
  </si>
  <si>
    <t>55;51;56.61488N</t>
  </si>
  <si>
    <t>7;46;10.40291E</t>
  </si>
  <si>
    <t>7;46;09.55891E</t>
  </si>
  <si>
    <t>55;51;57.35556N</t>
  </si>
  <si>
    <t>7;46;10.81962E</t>
  </si>
  <si>
    <t>55;51;57.01202N</t>
  </si>
  <si>
    <t>7;46;10.07249E</t>
  </si>
  <si>
    <t>0065_OI104287_SE_BH_143_S27_20230619085756 - 0001.db</t>
  </si>
  <si>
    <t>230619085622.SBD</t>
  </si>
  <si>
    <t>OI104287_SEROV1_ET2200SSS_BH_143_S27.001.jsf</t>
  </si>
  <si>
    <t>003110_20230619_08.54_OI103996SEROV1SPRINTNAV500.bin</t>
  </si>
  <si>
    <t>55;51;49.76938N</t>
  </si>
  <si>
    <t>7;46;11.14344E</t>
  </si>
  <si>
    <t>55;51;49.63880N</t>
  </si>
  <si>
    <t>7;46;10.30816E</t>
  </si>
  <si>
    <t>55;51;49.16812N</t>
  </si>
  <si>
    <t>7;46;11.63188E</t>
  </si>
  <si>
    <t>55;51;49.41551N</t>
  </si>
  <si>
    <t>7;46;10.82203E</t>
  </si>
  <si>
    <t>0066_OI104287_SE_BH_143_S36_20230619091154 - 0001.db</t>
  </si>
  <si>
    <t>230619091139.SBD</t>
  </si>
  <si>
    <t>OI104287_SEROV1_ET2200SSS_BH_143_S36.001.jsf</t>
  </si>
  <si>
    <t>003111_20230619_09.09_OI103996SEROV1SPRINTNAV500.bin</t>
  </si>
  <si>
    <t>55;51;56.70016N</t>
  </si>
  <si>
    <t>7;46;11.38497E</t>
  </si>
  <si>
    <t>55;51;56.92889N</t>
  </si>
  <si>
    <t>7;46;10.59723E</t>
  </si>
  <si>
    <t>55;51;57.43190N</t>
  </si>
  <si>
    <t>7;46;11.84031E</t>
  </si>
  <si>
    <t>55;51;57.07660N</t>
  </si>
  <si>
    <t>7;46;11.10507E</t>
  </si>
  <si>
    <t>0067_OI104287_SE_BH_143_S45_20230619092524 - 0001.db</t>
  </si>
  <si>
    <t>230619092444.SBD</t>
  </si>
  <si>
    <t>OI104287_SEROV1_ET2200SSS_BH_143_S45.001.jsf</t>
  </si>
  <si>
    <t>003112_20230619_09.24_OI103996SEROV1SPRINTNAV500.bin</t>
  </si>
  <si>
    <t>55;51;49.92810N</t>
  </si>
  <si>
    <t>7;46;12.14248E</t>
  </si>
  <si>
    <t>55;51;49.55567N</t>
  </si>
  <si>
    <t>7;46;11.34526E</t>
  </si>
  <si>
    <t>55;51;49.21967N</t>
  </si>
  <si>
    <t>7;46;12.58219E</t>
  </si>
  <si>
    <t>55;51;49.53410N</t>
  </si>
  <si>
    <t>7;46;11.86427E</t>
  </si>
  <si>
    <t>0068_OI104287_SE_BH_143_S54_20230619093741 - 0001.db</t>
  </si>
  <si>
    <t>230619093723.SBD</t>
  </si>
  <si>
    <t>OI104287_SEROV1_ET2200SSS_BH_143_S54.001.jsf</t>
  </si>
  <si>
    <t>55;51;56.58601N</t>
  </si>
  <si>
    <t>7;46;12.40032E</t>
  </si>
  <si>
    <t>55;51;56.99362N</t>
  </si>
  <si>
    <t>7;46;11.62770E</t>
  </si>
  <si>
    <t>003113_20230619_09.39_OI103996SEROV1SPRINTNAV500.bin</t>
  </si>
  <si>
    <t>55;51;57.08111N</t>
  </si>
  <si>
    <t>7;46;12.80743E</t>
  </si>
  <si>
    <t>55;51;56.86190N</t>
  </si>
  <si>
    <t>7;46;12.14097E</t>
  </si>
  <si>
    <t>0069_OI104287_SE_BH_143_S63_20230619094952 - 0001.db</t>
  </si>
  <si>
    <t>230619094923.SBD</t>
  </si>
  <si>
    <t>OI104287_SEROV1_ET2200SSS_BH_143_S63.001.jsf</t>
  </si>
  <si>
    <t>55;51;49.79572N</t>
  </si>
  <si>
    <t>7;46;13.18035E</t>
  </si>
  <si>
    <t>55;51;49.64348N</t>
  </si>
  <si>
    <t>7;46;12.37574E</t>
  </si>
  <si>
    <t>003114_20230619_09.54_OI103996SEROV1SPRINTNAV500.bin</t>
  </si>
  <si>
    <t>55;51;49.26056N</t>
  </si>
  <si>
    <t>7;46;13.64447E</t>
  </si>
  <si>
    <t>55;51;49.61195N</t>
  </si>
  <si>
    <t>7;46;12.88961E</t>
  </si>
  <si>
    <t>0070_OI104287_SE_BH_143_S72_20230619100230 - 0001.db</t>
  </si>
  <si>
    <t>230619100147.SBD</t>
  </si>
  <si>
    <t>OI104287_SEROV1_ET2200SSS_BH_143_S72.001.jsf</t>
  </si>
  <si>
    <t>55;51;56.39925N</t>
  </si>
  <si>
    <t>7;46;13.46451E</t>
  </si>
  <si>
    <t>55;51;56.76987N</t>
  </si>
  <si>
    <t>7;46;12.67628E</t>
  </si>
  <si>
    <t>55;51;57.54918N</t>
  </si>
  <si>
    <t>7;46;13.99340E</t>
  </si>
  <si>
    <t>55;51;57.63514N</t>
  </si>
  <si>
    <t>7;46;13.26257E</t>
  </si>
  <si>
    <t>WROV on deck EOD #008</t>
  </si>
  <si>
    <t>55;51;57.62743N</t>
  </si>
  <si>
    <t>7;46;13.62280E</t>
  </si>
  <si>
    <t>55;51;57.76081N</t>
  </si>
  <si>
    <t>7;46;13.03023E</t>
  </si>
  <si>
    <t>Vessel on the move to CPT_251</t>
  </si>
  <si>
    <t>AK/RA</t>
  </si>
  <si>
    <t>55;53;22.90565N</t>
  </si>
  <si>
    <t>7;48;40.73314E</t>
  </si>
  <si>
    <t>55;53;22.84228N</t>
  </si>
  <si>
    <t>7;48;41.32092E</t>
  </si>
  <si>
    <t>55;53;22.90508N</t>
  </si>
  <si>
    <t>7;48;40.73440E</t>
  </si>
  <si>
    <t>55;53;22.84575N</t>
  </si>
  <si>
    <t>7;48;41.31880E</t>
  </si>
  <si>
    <t>WROV off deck SOD #009</t>
  </si>
  <si>
    <t>R2Sonic</t>
  </si>
  <si>
    <t>400kHz</t>
  </si>
  <si>
    <t>Freq</t>
  </si>
  <si>
    <t>Ping rate</t>
  </si>
  <si>
    <t>Sector coverage</t>
  </si>
  <si>
    <t>100/100</t>
  </si>
  <si>
    <t>Sector rotate</t>
  </si>
  <si>
    <t>-8/8</t>
  </si>
  <si>
    <t xml:space="preserve">Min gate </t>
  </si>
  <si>
    <t>equ dist quad</t>
  </si>
  <si>
    <t>Snippets</t>
  </si>
  <si>
    <t>Intensity</t>
  </si>
  <si>
    <t>Bottom Sampling</t>
  </si>
  <si>
    <t>OI104287_SE_SVX2_SVP_20230619_1051_555338N_0074867E_015</t>
  </si>
  <si>
    <t>55;53;22.88449N</t>
  </si>
  <si>
    <t>7;48;40.65699E</t>
  </si>
  <si>
    <t>55;53;22.89584N</t>
  </si>
  <si>
    <t>7;48;41.72737E</t>
  </si>
  <si>
    <t>SVP_015</t>
  </si>
  <si>
    <t>55;53;23.42269N</t>
  </si>
  <si>
    <t>7;48;40.20927E</t>
  </si>
  <si>
    <t>55;53;23.25552N</t>
  </si>
  <si>
    <t>7;48;41.38398E</t>
  </si>
  <si>
    <t>0071_OI104287_SE_CPT_251_P50_20230619110435 - 0001.db</t>
  </si>
  <si>
    <t>230619110400.SBD</t>
  </si>
  <si>
    <t>OI104287_SEROV1_ET2200SSS_CPT_251_P50.001.jsf</t>
  </si>
  <si>
    <t>003118_20230619_10.54_OI103996SEROV1SPRINTNAV500.bin</t>
  </si>
  <si>
    <t>55;53;17.45985N</t>
  </si>
  <si>
    <t>7;48;40.33697E</t>
  </si>
  <si>
    <t>55;53;17.18314N</t>
  </si>
  <si>
    <t>7;48;41.56986E</t>
  </si>
  <si>
    <t>003119_20230619_11.09_OI103996SEROV1SPRINTNAV500.bin</t>
  </si>
  <si>
    <t>55;53;17.01471N</t>
  </si>
  <si>
    <t>7;48;40.79259E</t>
  </si>
  <si>
    <t>55;53;17.16232N</t>
  </si>
  <si>
    <t>7;48;42.08977E</t>
  </si>
  <si>
    <t>0072_OI104287_SE_CPT_251_P41_20230619111531 - 0001.db</t>
  </si>
  <si>
    <t>230619111442.SBD</t>
  </si>
  <si>
    <t>OI104287_SEROV1_ET2200SSS_CPT_251_P41.001.jsf</t>
  </si>
  <si>
    <t>55;53;22.93436N</t>
  </si>
  <si>
    <t>7;48;40.64832E</t>
  </si>
  <si>
    <t>55;53;23.11506N</t>
  </si>
  <si>
    <t>7;48;41.91144E</t>
  </si>
  <si>
    <t>55;53;23.08604N</t>
  </si>
  <si>
    <t>7;48;41.18289E</t>
  </si>
  <si>
    <t>55;53;23.02861N</t>
  </si>
  <si>
    <t>7;48;42.42984E</t>
  </si>
  <si>
    <t>0073_OI104287_SE_CPT_251_P32_20230619112557 - 0001.db</t>
  </si>
  <si>
    <t>230619112329.SBD</t>
  </si>
  <si>
    <t>OI104287_SEROV1_ET2200SSS_CPT_251_P32.001.jsf</t>
  </si>
  <si>
    <t>003120_20230619_11.24_OI103996SEROV1SPRINTNAV500.bin</t>
  </si>
  <si>
    <t>55;53;17.28608N</t>
  </si>
  <si>
    <t>7;48;41.32697E</t>
  </si>
  <si>
    <t>55;53;17.20878N</t>
  </si>
  <si>
    <t>7;48;42.60817E</t>
  </si>
  <si>
    <t>55;53;16.95351N</t>
  </si>
  <si>
    <t>7;48;41.93158E</t>
  </si>
  <si>
    <t>55;53;17.05821N</t>
  </si>
  <si>
    <t>7;48;43.13412E</t>
  </si>
  <si>
    <t>0074_OI104287_SE_CPT_251_P23_20230619113739 - 0001.db</t>
  </si>
  <si>
    <t>230619113712.SBD</t>
  </si>
  <si>
    <t>OI104287_SEROV1_ET2200SSS_CPT_251_P23.001.jsf</t>
  </si>
  <si>
    <t>55;53;22.84413N</t>
  </si>
  <si>
    <t>7;48;41.80965E</t>
  </si>
  <si>
    <t>55;53;23.00356N</t>
  </si>
  <si>
    <t>7;48;42.95066E</t>
  </si>
  <si>
    <t>003121_20230619_11.39_OI103996SEROV1SPRINTNAV500.bin</t>
  </si>
  <si>
    <t>55;53;23.16822N</t>
  </si>
  <si>
    <t>7;48;42.30327E</t>
  </si>
  <si>
    <t>55;53;23.04023N</t>
  </si>
  <si>
    <t>7;48;43.46574E</t>
  </si>
  <si>
    <t>0075_OI104287_SE_CPT_251_P14_20230619114905 - 0001.db</t>
  </si>
  <si>
    <t>230619114815.SBD</t>
  </si>
  <si>
    <t>OI104287_SEROV1_ET2200SSS_CPT_251_P14.001.jsf</t>
  </si>
  <si>
    <t>55;53;17.44258N</t>
  </si>
  <si>
    <t>7;48;42.48346E</t>
  </si>
  <si>
    <t>55;53;17.24862N</t>
  </si>
  <si>
    <t>7;48;43.64438E</t>
  </si>
  <si>
    <t>003122_20230619_11.54_OI103996SEROV1SPRINTNAV500.bin</t>
  </si>
  <si>
    <t>55;53;17.00930N</t>
  </si>
  <si>
    <t>7;48;42.84319E</t>
  </si>
  <si>
    <t>55;53;17.06410N</t>
  </si>
  <si>
    <t>7;48;44.16610E</t>
  </si>
  <si>
    <t>0076_OI104287_SE_CPT_251_P05_20230619120006 - 0001.db</t>
  </si>
  <si>
    <t>230619115954.SBD</t>
  </si>
  <si>
    <t>OI104287_SEROV1_ET2200SSS_CPT_251_P05.001.jsf</t>
  </si>
  <si>
    <t>55;53;22.70875N</t>
  </si>
  <si>
    <t>7;48;42.76812E</t>
  </si>
  <si>
    <t>55;53;22.90097N</t>
  </si>
  <si>
    <t>7;48;43.98656E</t>
  </si>
  <si>
    <t>55;53;23.21162N</t>
  </si>
  <si>
    <t>7;48;43.27904E</t>
  </si>
  <si>
    <t>55;53;23.08911N</t>
  </si>
  <si>
    <t>7;48;44.50285E</t>
  </si>
  <si>
    <t>0077_OI104287_SE_CPT_251_S05_20230619121158 - 0001.db</t>
  </si>
  <si>
    <t>230619120602.SBD</t>
  </si>
  <si>
    <t>OI104287_SEROV1_ET2200SSS_CPT_251_S05.001.jsf</t>
  </si>
  <si>
    <t>003123_20230619_12.09_OI103996SEROV1SPRINTNAV500.bin</t>
  </si>
  <si>
    <t>55;53;17.39109N</t>
  </si>
  <si>
    <t>7;48;43.41095E</t>
  </si>
  <si>
    <t>55;53;17.26400N</t>
  </si>
  <si>
    <t>7;48;44.67817E</t>
  </si>
  <si>
    <t>55;53;17.03139N</t>
  </si>
  <si>
    <t>7;48;43.91549E</t>
  </si>
  <si>
    <t>55;53;17.05746N</t>
  </si>
  <si>
    <t>7;48;45.18843E</t>
  </si>
  <si>
    <t>0078_OI104287_SE_CPT_251_S14_20230619122343 - 0001.db</t>
  </si>
  <si>
    <t>230619122333.SBD</t>
  </si>
  <si>
    <t>OI104287_SEROV1_ET2200SSS_CPT_251_S14.001.jsf</t>
  </si>
  <si>
    <t>55;53;23.23295N</t>
  </si>
  <si>
    <t>7;48;43.83323E</t>
  </si>
  <si>
    <t>55;53;23.26533N</t>
  </si>
  <si>
    <t>7;48;45.00315E</t>
  </si>
  <si>
    <t>003124_20230619_12.24_OI103996SEROV1SPRINTNAV500.bin</t>
  </si>
  <si>
    <t>55;53;23.64776N</t>
  </si>
  <si>
    <t>7;48;44.39941E</t>
  </si>
  <si>
    <t>55;53;23.53932N</t>
  </si>
  <si>
    <t>7;48;45.52427E</t>
  </si>
  <si>
    <t>0079_OI104287_SE_CPT_251_S23_20230619123355 - 0001.db</t>
  </si>
  <si>
    <t>230619123221.SBD</t>
  </si>
  <si>
    <t>OI104287_SEROV1_ET2200SSS_CPT_251_S23.001.jsf</t>
  </si>
  <si>
    <t>55;53;17.15913N</t>
  </si>
  <si>
    <t>7;48;44.73217E</t>
  </si>
  <si>
    <t>55;53;17.08280N</t>
  </si>
  <si>
    <t>7;48;45.72041E</t>
  </si>
  <si>
    <t>55;53;17.09718N</t>
  </si>
  <si>
    <t>7;48;45.15073E</t>
  </si>
  <si>
    <t>55;53;17.07013N</t>
  </si>
  <si>
    <t>7;48;46.23700E</t>
  </si>
  <si>
    <t>0080_OI104287_SE_CPT_251_S32_20230619124408 - 0001.db</t>
  </si>
  <si>
    <t>230619124338.SBD</t>
  </si>
  <si>
    <t>OI104287_SEROV1_ET2200SSS_CPT_251_S32.001.jsf</t>
  </si>
  <si>
    <t>003125_20230619_12.39_OI103996SEROV1SPRINTNAV500.bin</t>
  </si>
  <si>
    <t>55;53;23.05589N</t>
  </si>
  <si>
    <t>7;48;44.98410E</t>
  </si>
  <si>
    <t>55;53;22.94065N</t>
  </si>
  <si>
    <t>7;48;46.05746E</t>
  </si>
  <si>
    <t>55;53;23.34962N</t>
  </si>
  <si>
    <t>7;48;45.45576E</t>
  </si>
  <si>
    <t>55;53;23.10435N</t>
  </si>
  <si>
    <t>7;48;46.57285E</t>
  </si>
  <si>
    <t>0081_OI104287_SE_CPT_251_S41_20230619125345 - 0001.db</t>
  </si>
  <si>
    <t>230619125304.SBD</t>
  </si>
  <si>
    <t>OI104287_SEROV1_ET2200SSS_CPT_251_S41.001.jsf</t>
  </si>
  <si>
    <t>55;53;17.37119N</t>
  </si>
  <si>
    <t>7;48;45.67529E</t>
  </si>
  <si>
    <t>55;53;17.23655N</t>
  </si>
  <si>
    <t>7;48;46.75329E</t>
  </si>
  <si>
    <t>003126_20230619_12.54_OI103996SEROV1SPRINTNAV500.bin</t>
  </si>
  <si>
    <t>55;53;17.03564N</t>
  </si>
  <si>
    <t>7;48;46.08411E</t>
  </si>
  <si>
    <t>55;53;17.06666N</t>
  </si>
  <si>
    <t>7;48;47.27230E</t>
  </si>
  <si>
    <t>0082_OI104287_SE_CPT_251_S50_20230619130245 - 0001.db</t>
  </si>
  <si>
    <t>230619130229.SBD</t>
  </si>
  <si>
    <t>OI104287_SEROV1_ET2200SSS_CPT_251_S50.001.jsf</t>
  </si>
  <si>
    <t>55;53;22.83395N</t>
  </si>
  <si>
    <t>7;48;45.94976E</t>
  </si>
  <si>
    <t>55;53;22.91847N</t>
  </si>
  <si>
    <t>7;48;47.09698E</t>
  </si>
  <si>
    <t>55;53;22.50658N</t>
  </si>
  <si>
    <t>7;48;45.95607E</t>
  </si>
  <si>
    <t>55;53;22.52061N</t>
  </si>
  <si>
    <t>7;48;46.61781E</t>
  </si>
  <si>
    <t>Vessel on the move to CPT_043</t>
  </si>
  <si>
    <t>55;52;20.74675N</t>
  </si>
  <si>
    <t>7;49;12.26314E</t>
  </si>
  <si>
    <t>55;52;20.82843N</t>
  </si>
  <si>
    <t>7;49;13.36480E</t>
  </si>
  <si>
    <t>OI104287_SE_SVX2_SVP_20230619_1333_555234N_0074920E_016</t>
  </si>
  <si>
    <t>SVP_016</t>
  </si>
  <si>
    <t>55;52;20.23388N</t>
  </si>
  <si>
    <t>7;49;12.24098E</t>
  </si>
  <si>
    <t>55;52;20.14890N</t>
  </si>
  <si>
    <t>7;49;13.39135E</t>
  </si>
  <si>
    <t>0083_OI104287_SE_CPT_043_S50_20230619133926 - 0001.db</t>
  </si>
  <si>
    <t>230619133912.SBD</t>
  </si>
  <si>
    <t>OI104287_SEROV1_ET2200SSS_CPT_043_S50.001.jsf</t>
  </si>
  <si>
    <t>003128_20230619_13.24_OI103996SEROV1SPRINTNAV500.bin</t>
  </si>
  <si>
    <t>55;52;14.50515N</t>
  </si>
  <si>
    <t>7;49;12.44960E</t>
  </si>
  <si>
    <t>55;52;14.40707N</t>
  </si>
  <si>
    <t>7;49;13.56274E</t>
  </si>
  <si>
    <t>003129_20230619_13.39_OI103996SEROV1SPRINTNAV500.bin</t>
  </si>
  <si>
    <t>55;52;14.15012N</t>
  </si>
  <si>
    <t>7;49;12.14107E</t>
  </si>
  <si>
    <t>55;52;14.24398N</t>
  </si>
  <si>
    <t>7;49;13.05792E</t>
  </si>
  <si>
    <t>0084_OI104287_SE_CPT_043_S41_20230619135857 - 0001.db</t>
  </si>
  <si>
    <t>230619135833.SBD</t>
  </si>
  <si>
    <t>OI104287_SEROV1_ET2200SSS_CPT_043_S41.001.jsf</t>
  </si>
  <si>
    <t>003130_20230619_13.54_OI103996SEROV1SPRINTNAV500.bin</t>
  </si>
  <si>
    <t>55;52;19.93309N</t>
  </si>
  <si>
    <t>7;49;11.96470E</t>
  </si>
  <si>
    <t>55;52;20.10288N</t>
  </si>
  <si>
    <t>7;49;12.87627E</t>
  </si>
  <si>
    <t>Changed DVL rate from MAX to 10Hz</t>
  </si>
  <si>
    <t>55;52;20.41574N</t>
  </si>
  <si>
    <t>7;49;11.24851E</t>
  </si>
  <si>
    <t>55;52;20.38939N</t>
  </si>
  <si>
    <t>7;49;12.34579E</t>
  </si>
  <si>
    <t>0087_OI104287_SE_CPT_043_S14_20230619143005 - 0001.db</t>
  </si>
  <si>
    <t>230619143002.SBD</t>
  </si>
  <si>
    <t>OI104287_SEROV1_ET2200SSS_CPT_043_S14.001.jsf</t>
  </si>
  <si>
    <t>003132_20230619_14.24_OI103996SEROV1SPRINTNAV500.bin</t>
  </si>
  <si>
    <t>55;52;14.12137N</t>
  </si>
  <si>
    <t>7;49;10.38682E</t>
  </si>
  <si>
    <t>55;52;14.07877N</t>
  </si>
  <si>
    <t>7;49;11.50059E</t>
  </si>
  <si>
    <t>0085_OI104287_SE_CPT_043_S32_20230619140931 - 0001.db</t>
  </si>
  <si>
    <t>0086_OI104287_SE_CPT_043_S32_20230619142011 - 0001.db</t>
  </si>
  <si>
    <t>OI104287_SEROV1_ET2200SSS_CPT_043_S32.001.jsf</t>
  </si>
  <si>
    <t>OI104287_SEROV1_ET2200SSS_CPT_043_S23.001.jsf</t>
  </si>
  <si>
    <t>55;52;14.49160N</t>
  </si>
  <si>
    <t>7;49;09.83288E</t>
  </si>
  <si>
    <t>55;52;14.37750N</t>
  </si>
  <si>
    <t>7;49;10.97163E</t>
  </si>
  <si>
    <t>0088_OI104287_SE_CPT_043_S05_20230619143925 - 0001.db</t>
  </si>
  <si>
    <t>230619140921.SBD</t>
  </si>
  <si>
    <t>230619141932.SBD</t>
  </si>
  <si>
    <t>230619143930.SBD</t>
  </si>
  <si>
    <t>OI104287_SEROV1_ET2200SSS_CPT_043_S05.001.jsf</t>
  </si>
  <si>
    <t>003130_20230619_14.09_OI103996SEROV1SPRINTNAV500.bin</t>
  </si>
  <si>
    <t>003130_20230619_14.20_OI103996SEROV1SPRINTNAV500.bin</t>
  </si>
  <si>
    <t>55;52;20.44764N</t>
  </si>
  <si>
    <t>7;49;09.64256E</t>
  </si>
  <si>
    <t>55;52;20.42696N</t>
  </si>
  <si>
    <t>7;49;10.79209E</t>
  </si>
  <si>
    <t>003133_20230619_14.39_OI103996SEROV1SPRINTNAV500.bin</t>
  </si>
  <si>
    <t>55;52;20.49288N</t>
  </si>
  <si>
    <t>7;49;09.16448E</t>
  </si>
  <si>
    <t>55;52;20.46332N</t>
  </si>
  <si>
    <t>7;49;10.27368E</t>
  </si>
  <si>
    <t>0089_OI104287_SE_CPT_043_P05_20230619144846 - 0001.db</t>
  </si>
  <si>
    <t>230619144835.SBD</t>
  </si>
  <si>
    <t>OI104287_SEROV1_ET2200SSS_CPT_043_P05.001.jsf</t>
  </si>
  <si>
    <t>55;52;14.53108N</t>
  </si>
  <si>
    <t>7;49;09.34196E</t>
  </si>
  <si>
    <t>55;52;14.37569N</t>
  </si>
  <si>
    <t>7;49;10.45504E</t>
  </si>
  <si>
    <t>55;52;14.22443N</t>
  </si>
  <si>
    <t>7;49;08.79111E</t>
  </si>
  <si>
    <t>55;52;14.13128N</t>
  </si>
  <si>
    <t>7;49;09.94448E</t>
  </si>
  <si>
    <t>0090_OI104287_SE_CPT_043_P14_20230619145816 - 0001.db</t>
  </si>
  <si>
    <t>230619145731.SBD</t>
  </si>
  <si>
    <t>OI104287_SEROV1_ET2200SSS_CPT_043_P14.001.jsf</t>
  </si>
  <si>
    <t>003134_20230619_14.54_OI103996SEROV1SPRINTNAV500.bin</t>
  </si>
  <si>
    <t>55;52;20.17500N</t>
  </si>
  <si>
    <t>7;49;08.62060E</t>
  </si>
  <si>
    <t>55;52;20.12762N</t>
  </si>
  <si>
    <t>7;49;09.76343E</t>
  </si>
  <si>
    <t>55;52;20.29961N</t>
  </si>
  <si>
    <t>7;49;08.12287E</t>
  </si>
  <si>
    <t>55;52;20.27352N</t>
  </si>
  <si>
    <t>7;49;09.24895E</t>
  </si>
  <si>
    <t>0091_OI104287_SE_CPT_043_P23_20230619150734 - 0001.db</t>
  </si>
  <si>
    <t>230619150707.SBD</t>
  </si>
  <si>
    <t>OI104287_SEROV1_ET2200SSS_CPT_043_P23.001.jsf</t>
  </si>
  <si>
    <t>55;52;14.38881N</t>
  </si>
  <si>
    <t>7;49;08.33427E</t>
  </si>
  <si>
    <t>55;52;14.31579N</t>
  </si>
  <si>
    <t>7;49;09.42275E</t>
  </si>
  <si>
    <t>003135_20230619_15.09_OI103996SEROV1SPRINTNAV500.bin</t>
  </si>
  <si>
    <t>55;52;13.95264N</t>
  </si>
  <si>
    <t>7;49;07.80712E</t>
  </si>
  <si>
    <t>55;52;14.14274N</t>
  </si>
  <si>
    <t>7;49;08.91129E</t>
  </si>
  <si>
    <t>0092_OI104287_SE_CPT_043_P32_20230619151633 - 0001.db</t>
  </si>
  <si>
    <t>230619151625.SBD</t>
  </si>
  <si>
    <t>OI104287_SEROV1_ET2200SSS_CPT_043_P32.001.jsf</t>
  </si>
  <si>
    <t>55;52;19.92967N</t>
  </si>
  <si>
    <t>7;49;07.60280E</t>
  </si>
  <si>
    <t>55;52;20.06576N</t>
  </si>
  <si>
    <t>7;49;08.72873E</t>
  </si>
  <si>
    <t>55;52;20.28856N</t>
  </si>
  <si>
    <t>7;49;07.09785E</t>
  </si>
  <si>
    <t>55;52;20.25345N</t>
  </si>
  <si>
    <t>7;49;08.21123E</t>
  </si>
  <si>
    <t>0093_OI104287_SE_CPT_043_P41_20230619152550 - 0001.db</t>
  </si>
  <si>
    <t>230619152526.SBD</t>
  </si>
  <si>
    <t>OI104287_SEROV1_ET2200SSS_CPT_043_P41.001.jsf</t>
  </si>
  <si>
    <t>003136_20230619_15.24_OI103996SEROV1SPRINTNAV500.bin</t>
  </si>
  <si>
    <t>55;52;14.37448N</t>
  </si>
  <si>
    <t>7;49;07.29126E</t>
  </si>
  <si>
    <t>55;52;14.34386N</t>
  </si>
  <si>
    <t>7;49;08.38896E</t>
  </si>
  <si>
    <t>55;52;14.17910N</t>
  </si>
  <si>
    <t>7;49;06.76442E</t>
  </si>
  <si>
    <t>55;52;14.20339N</t>
  </si>
  <si>
    <t>7;49;07.87116E</t>
  </si>
  <si>
    <t>0094_OI104287_SE_CPT_043_P50_20230619153559 - 0001.db</t>
  </si>
  <si>
    <t>230619153538.SBD</t>
  </si>
  <si>
    <t>OI104287_SEROV1_ET2200SSS_CPT_043_P50.001.jsf</t>
  </si>
  <si>
    <t>55;52;20.01620N</t>
  </si>
  <si>
    <t>7;49;06.57730E</t>
  </si>
  <si>
    <t>55;52;20.06546N</t>
  </si>
  <si>
    <t>7;49;07.69615E</t>
  </si>
  <si>
    <t>003137_20230619_15.39_OI103996SEROV1SPRINTNAV500.bin</t>
  </si>
  <si>
    <t>55;52;20.93773N</t>
  </si>
  <si>
    <t>7;49;06.60704E</t>
  </si>
  <si>
    <t>55;52;20.74515N</t>
  </si>
  <si>
    <t>7;49;07.32379E</t>
  </si>
  <si>
    <t>Vessel on the move to location BH_114</t>
  </si>
  <si>
    <t>55;52;17.85503N</t>
  </si>
  <si>
    <t>7;48;45.56696E</t>
  </si>
  <si>
    <t>55;52;17.79329N</t>
  </si>
  <si>
    <t>7;48;46.64195E</t>
  </si>
  <si>
    <t>0095_OI104287_SE_BH_114_S72_20230619160405 - 0001.db</t>
  </si>
  <si>
    <t>230619160337.SBD</t>
  </si>
  <si>
    <t>OI104287_SEROV1_ET2200SSS_BH_114_S72.001.jsf</t>
  </si>
  <si>
    <t>003138_20230619_15.54_OI103996SEROV1SPRINTNAV500.bin</t>
  </si>
  <si>
    <t>55;52;09.98110N</t>
  </si>
  <si>
    <t>7;48;45.83692E</t>
  </si>
  <si>
    <t>55;52;09.82110N</t>
  </si>
  <si>
    <t>7;48;46.87882E</t>
  </si>
  <si>
    <t>003139_20230619_16.09_OI103996SEROV1SPRINTNAV500.bin</t>
  </si>
  <si>
    <t>55;52;09.93020N</t>
  </si>
  <si>
    <t>7;48;45.27229E</t>
  </si>
  <si>
    <t>55;52;09.81793N</t>
  </si>
  <si>
    <t>7;48;46.36223E</t>
  </si>
  <si>
    <t>0096_OI104287_SE_BH_114_S63_20230619161833 - 0001.db</t>
  </si>
  <si>
    <t>230619161830.SBD</t>
  </si>
  <si>
    <t>OI104287_SEROV1_ET2200SSS_BH_114_S63.001.jsf</t>
  </si>
  <si>
    <t>RA/AF/ES</t>
  </si>
  <si>
    <t>55;52;17.71802N</t>
  </si>
  <si>
    <t>7;48;44.98437E</t>
  </si>
  <si>
    <t>55;52;17.68497N</t>
  </si>
  <si>
    <t>7;48;46.12686E</t>
  </si>
  <si>
    <t>003140_20230619_16.24_OI103996SEROV1SPRINTNAV500.bin</t>
  </si>
  <si>
    <t>55;52;17.75329N</t>
  </si>
  <si>
    <t>7;48;44.48282E</t>
  </si>
  <si>
    <t>55;52;17.62266N</t>
  </si>
  <si>
    <t>7;48;45.61057E</t>
  </si>
  <si>
    <t>0097_OI104287_SE_BH_114_S54_20230619163110 - 0001.db</t>
  </si>
  <si>
    <t>230619163106.SBD</t>
  </si>
  <si>
    <t>OI104287_SEROV1_ET2200SSS_BH_114_S54.001.jsf</t>
  </si>
  <si>
    <t>55;52;09.80173N</t>
  </si>
  <si>
    <t>7;48;44.72334E</t>
  </si>
  <si>
    <t>55;52;09.79274N</t>
  </si>
  <si>
    <t>7;48;45.84744E</t>
  </si>
  <si>
    <t>55;52;09.66546N</t>
  </si>
  <si>
    <t>7;48;44.20518E</t>
  </si>
  <si>
    <t>55;52;09.66540N</t>
  </si>
  <si>
    <t>7;48;45.33839E</t>
  </si>
  <si>
    <t>0098_OI104287_SE_BH_114_S45_20230619164303 - 0001.db</t>
  </si>
  <si>
    <t>230619164258.SBD</t>
  </si>
  <si>
    <t>OI104287_SEROV1_ET2200SSS_BH_114_S45.001.jsf</t>
  </si>
  <si>
    <t>003141_20230619_16.39_OI103996SEROV1SPRINTNAV500.bin</t>
  </si>
  <si>
    <t>55;52;17.59999N</t>
  </si>
  <si>
    <t>7;48;43.95641E</t>
  </si>
  <si>
    <t>55;52;17.50120N</t>
  </si>
  <si>
    <t>7;48;45.09790E</t>
  </si>
  <si>
    <t>55;52;17.69179N</t>
  </si>
  <si>
    <t>7;48;43.49242E</t>
  </si>
  <si>
    <t>55;52;17.60199N</t>
  </si>
  <si>
    <t>7;48;44.58010E</t>
  </si>
  <si>
    <t>0099_OI104287_SE_BH_114_S36_20230619165443 - 0001.db</t>
  </si>
  <si>
    <t>230619165440.SBD</t>
  </si>
  <si>
    <t>OI104287_SEROV1_ET2200SSS_BH_114_S36.001.jsf</t>
  </si>
  <si>
    <t>003142_20230619_16.54_OI103996SEROV1SPRINTNAV500.bin</t>
  </si>
  <si>
    <t>55;52;09.79946N</t>
  </si>
  <si>
    <t>7;48;43.67374E</t>
  </si>
  <si>
    <t>55;52;09.66872N</t>
  </si>
  <si>
    <t>7;48;44.81094E</t>
  </si>
  <si>
    <t>55;52;09.82460N</t>
  </si>
  <si>
    <t>7;48;43.67520E</t>
  </si>
  <si>
    <t>55;52;09.77840N</t>
  </si>
  <si>
    <t>7;48;44.80973E</t>
  </si>
  <si>
    <t>0100_OI104287_SE_BH_114_S36_20230619170810 - 0001.db</t>
  </si>
  <si>
    <t>230619170807.SBD</t>
  </si>
  <si>
    <t>OI104287_SEROV1_ET2200SSS_BH_114_S36.002.jsf</t>
  </si>
  <si>
    <t>Log on - DNP</t>
  </si>
  <si>
    <t>Log off - DNP</t>
  </si>
  <si>
    <t>55;52;17.47061N</t>
  </si>
  <si>
    <t>7;48;43.43951E</t>
  </si>
  <si>
    <t>55;52;17.42290N</t>
  </si>
  <si>
    <t>7;48;44.57980E</t>
  </si>
  <si>
    <t>003143_20230619_17.09_OI103996SEROV1SPRINTNAV500.bin</t>
  </si>
  <si>
    <t>55;52;17.59202N</t>
  </si>
  <si>
    <t>7;48;42.97282E</t>
  </si>
  <si>
    <t>55;52;17.48642N</t>
  </si>
  <si>
    <t>7;48;44.06441E</t>
  </si>
  <si>
    <t>0101_OI104287_SE_BH_114_S27_20230619171916 - 0001.db</t>
  </si>
  <si>
    <t>230619171908.SBD</t>
  </si>
  <si>
    <t>OI104287_SEROV1_ET2200SSS_BH_114_S27.001.jsf</t>
  </si>
  <si>
    <t>55;52;09.75088N</t>
  </si>
  <si>
    <t>7;48;43.16579E</t>
  </si>
  <si>
    <t>55;52;09.65695N</t>
  </si>
  <si>
    <t>7;48;44.29977E</t>
  </si>
  <si>
    <t>003144_20230619_17.24_OI103996SEROV1SPRINTNAV500.bin</t>
  </si>
  <si>
    <t>55;52;09.68967N</t>
  </si>
  <si>
    <t>7;48;42.65504E</t>
  </si>
  <si>
    <t>55;52;09.62511N</t>
  </si>
  <si>
    <t>7;48;43.78711E</t>
  </si>
  <si>
    <t>0102_OI104287_SE_BH_114_S18_20230619173038 - 0001.db</t>
  </si>
  <si>
    <t>230619173035.SBD</t>
  </si>
  <si>
    <t>OI104287_SEROV1_ET2200SSS_BH_114_S18.001.jsf</t>
  </si>
  <si>
    <t>55;52;17.47460N</t>
  </si>
  <si>
    <t>7;48;42.37611E</t>
  </si>
  <si>
    <t>55;52;17.44206N</t>
  </si>
  <si>
    <t>7;48;43.54873E</t>
  </si>
  <si>
    <t>55;52;17.55062N</t>
  </si>
  <si>
    <t>7;48;41.90744E</t>
  </si>
  <si>
    <t>55;52;17.50482N</t>
  </si>
  <si>
    <t>7;48;43.02640E</t>
  </si>
  <si>
    <t>0103_OI104287_SE_BH_114_S09_20230619174224 - 0001.db</t>
  </si>
  <si>
    <t>230619174216.SBD</t>
  </si>
  <si>
    <t>OI104287_SEROV1_ET2200SSS_BH_114_S09.001.jsf</t>
  </si>
  <si>
    <t>003145_20230619_17.39_OI103996SEROV1SPRINTNAV500.bin</t>
  </si>
  <si>
    <t>55;52;09.73236N</t>
  </si>
  <si>
    <t>7;48;42.14163E</t>
  </si>
  <si>
    <t>55;52;09.63628N</t>
  </si>
  <si>
    <t>7;48;43.26327E</t>
  </si>
  <si>
    <t>55;52;09.66426N</t>
  </si>
  <si>
    <t>7;48;41.58941E</t>
  </si>
  <si>
    <t>55;52;09.60535N</t>
  </si>
  <si>
    <t>7;48;42.74969E</t>
  </si>
  <si>
    <t>0104_OI104287_SE_BH_114_C00_20230619175358 - 0001.db</t>
  </si>
  <si>
    <t>230619175352.SBD</t>
  </si>
  <si>
    <t>OI104287_SEROV1_ET2200SSS_BH_114_C00.001.jsf</t>
  </si>
  <si>
    <t>55;52;17.44385N</t>
  </si>
  <si>
    <t>7;48;41.38929E</t>
  </si>
  <si>
    <t>55;52;17.48038N</t>
  </si>
  <si>
    <t>7;48;42.51252E</t>
  </si>
  <si>
    <t>003146_20230619_17.54_OI103996SEROV1SPRINTNAV500.bin</t>
  </si>
  <si>
    <t>55;52;17.49022N</t>
  </si>
  <si>
    <t>7;48;40.93337E</t>
  </si>
  <si>
    <t>55;52;17.40359N</t>
  </si>
  <si>
    <t>7;48;41.98989E</t>
  </si>
  <si>
    <t>0105_OI104287_SE_BH_114_P09_20230619180518 - 0001.db</t>
  </si>
  <si>
    <t>230619180514.SBD</t>
  </si>
  <si>
    <t>OI104287_SEROV1_ET2200SSS_BH_114_P09.001.jsf</t>
  </si>
  <si>
    <t>55;52;09.74242N</t>
  </si>
  <si>
    <t>7;48;41.04283E</t>
  </si>
  <si>
    <t>55;52;09.68426N</t>
  </si>
  <si>
    <t>7;48;42.22857E</t>
  </si>
  <si>
    <t>003147_20230619_18.09_OI103996SEROV1SPRINTNAV500.bin</t>
  </si>
  <si>
    <t>55;52;09.65865N</t>
  </si>
  <si>
    <t>7;48;40.51043E</t>
  </si>
  <si>
    <t>55;52;09.57050N</t>
  </si>
  <si>
    <t>7;48;41.71983E</t>
  </si>
  <si>
    <t>0106_OI104287_SE_BH_114_P18_20230619181649 - 0001.db</t>
  </si>
  <si>
    <t>230619181640.SBD</t>
  </si>
  <si>
    <t>OI104287_SEROV1_ET2200SSS_BH_114_P18.001.jsf</t>
  </si>
  <si>
    <t>55;52;17.44917N</t>
  </si>
  <si>
    <t>7;48;40.33208E</t>
  </si>
  <si>
    <t>55;52;17.32061N</t>
  </si>
  <si>
    <t>7;48;41.47571E</t>
  </si>
  <si>
    <t>003148_20230619_18.24_OI103996SEROV1SPRINTNAV500.bin</t>
  </si>
  <si>
    <t>55;52;17.56001N</t>
  </si>
  <si>
    <t>7;48;39.87035E</t>
  </si>
  <si>
    <t>55;52;17.53017N</t>
  </si>
  <si>
    <t>7;48;40.95369E</t>
  </si>
  <si>
    <t>0107_OI104287_SE_BH_114_P27_20230619182745 - 0001.db</t>
  </si>
  <si>
    <t>230619182731.SBD</t>
  </si>
  <si>
    <t>OI104287_SEROV1_ET2200SSS_BH_114_P27.001.jsf</t>
  </si>
  <si>
    <t>55;52;09.77940N</t>
  </si>
  <si>
    <t>7;48;40.01461E</t>
  </si>
  <si>
    <t>55;52;09.68260N</t>
  </si>
  <si>
    <t>7;48;41.19086E</t>
  </si>
  <si>
    <t>55;52;09.67116N</t>
  </si>
  <si>
    <t>7;48;39.46655E</t>
  </si>
  <si>
    <t>55;52;09.60610N</t>
  </si>
  <si>
    <t>7;48;40.68453E</t>
  </si>
  <si>
    <t>0108_OI104287_SE_BH_114_P36_20230619184141 - 0001.db</t>
  </si>
  <si>
    <t>230619184137.SBD</t>
  </si>
  <si>
    <t>OI104287_SEROV1_ET2200SSS_BH_114_P36.001.jsf</t>
  </si>
  <si>
    <t>003149_20230619_18.39_OI103996SEROV1SPRINTNAV500.bin</t>
  </si>
  <si>
    <t>55;52;17.50175N</t>
  </si>
  <si>
    <t>7;48;39.29386E</t>
  </si>
  <si>
    <t>55;52;17.44327N</t>
  </si>
  <si>
    <t>7;48;40.43830E</t>
  </si>
  <si>
    <t>55;52;17.72537N</t>
  </si>
  <si>
    <t>7;48;38.89356E</t>
  </si>
  <si>
    <t>55;52;17.61360N</t>
  </si>
  <si>
    <t>7;48;39.91748E</t>
  </si>
  <si>
    <t>0109_OI104287_SE_BH_114_P45_20230619185224 - 0001.db</t>
  </si>
  <si>
    <t>230619185216.SBD</t>
  </si>
  <si>
    <t>OI104287_SEROV1_ET2200SSS_BH_114_P45.001.jsf</t>
  </si>
  <si>
    <t>55;52;09.72494N</t>
  </si>
  <si>
    <t>7;48;39.07011E</t>
  </si>
  <si>
    <t>55;52;09.64684N</t>
  </si>
  <si>
    <t>7;48;40.15435E</t>
  </si>
  <si>
    <t>003150_20230619_18.54_OI103996SEROV1SPRINTNAV500.bin</t>
  </si>
  <si>
    <t>55;52;09.44492N</t>
  </si>
  <si>
    <t>7;48;38.51605E</t>
  </si>
  <si>
    <t>55;52;09.42023N</t>
  </si>
  <si>
    <t>7;48;39.65556E</t>
  </si>
  <si>
    <t>0110_OI104287_SE_BH_114_P54_20230619190254 - 0001.db</t>
  </si>
  <si>
    <t>230619190245.SBD</t>
  </si>
  <si>
    <t>OI104287_SEROV1_ET2200SSS_BH_114_P54.001.jsf</t>
  </si>
  <si>
    <t>55;52;17.76078N</t>
  </si>
  <si>
    <t>7;48;38.27591E</t>
  </si>
  <si>
    <t>55;52;17.53062N</t>
  </si>
  <si>
    <t>7;48;39.40632E</t>
  </si>
  <si>
    <t>003151_20230619_19.09_OI103996SEROV1SPRINTNAV500.bin</t>
  </si>
  <si>
    <t>55;52;17.78067N</t>
  </si>
  <si>
    <t>7;48;37.87310E</t>
  </si>
  <si>
    <t>55;52;17.58961N</t>
  </si>
  <si>
    <t>7;48;38.87555E</t>
  </si>
  <si>
    <t>0111_OI104287_SE_BH_114_P63_20230619191400 - 0001.db</t>
  </si>
  <si>
    <t>230619191352.SBD</t>
  </si>
  <si>
    <t>OI104287_SEROV1_ET2200SSS_BH_114_P63.001.jsf</t>
  </si>
  <si>
    <t>55;52;09.60985N</t>
  </si>
  <si>
    <t>7;48;38.02908E</t>
  </si>
  <si>
    <t>55;52;09.59192N</t>
  </si>
  <si>
    <t>7;48;39.11785E</t>
  </si>
  <si>
    <t>55;52;09.41151N</t>
  </si>
  <si>
    <t>7;48;37.46091E</t>
  </si>
  <si>
    <t>55;52;09.33513N</t>
  </si>
  <si>
    <t>7;48;38.61996E</t>
  </si>
  <si>
    <t>0112_OI104287_SE_BH_114_P72_20230619192400 - 0001.db</t>
  </si>
  <si>
    <t>230619192353.SBD</t>
  </si>
  <si>
    <t>OI104287_SEROV1_ET2200SSS_BH_114_P72.001.jsf</t>
  </si>
  <si>
    <t>55;52;17.64937N</t>
  </si>
  <si>
    <t>7;48;37.24254E</t>
  </si>
  <si>
    <t>55;52;17.38609N</t>
  </si>
  <si>
    <t>7;48;38.36921E</t>
  </si>
  <si>
    <t>003152_20230619_19.24_OI103996SEROV1SPRINTNAV500.bin</t>
  </si>
  <si>
    <t>55;52;17.44024N</t>
  </si>
  <si>
    <t>7;48;37.59914E</t>
  </si>
  <si>
    <t>55;52;17.33569N</t>
  </si>
  <si>
    <t>7;48;38.21260E</t>
  </si>
  <si>
    <t>Vessel transit to CPT 266</t>
  </si>
  <si>
    <t>OI104287_SE_SVX2_SVP_20230619_2009_554999N_0074822E_017</t>
  </si>
  <si>
    <t>55;49;59.96012N</t>
  </si>
  <si>
    <t>7;48;13.33478E</t>
  </si>
  <si>
    <t>55;49;59.77156N</t>
  </si>
  <si>
    <t>7;48;13.97073E</t>
  </si>
  <si>
    <t>SVP_017</t>
  </si>
  <si>
    <t>55;49;59.95573N</t>
  </si>
  <si>
    <t>7;48;13.38044E</t>
  </si>
  <si>
    <t>55;49;59.49878N</t>
  </si>
  <si>
    <t>7;48;14.00272E</t>
  </si>
  <si>
    <t>0113_OI104287_SE_CPT_266_S50_20230619202100 - 0001.db</t>
  </si>
  <si>
    <t>230619202049.SBD</t>
  </si>
  <si>
    <t>003155_20230619_20.09_OI103996SEROV1SPRINTNAV500.bin</t>
  </si>
  <si>
    <t>55;49;57.92979N</t>
  </si>
  <si>
    <t>7;48;13.52069E</t>
  </si>
  <si>
    <t>55;49;57.66521N</t>
  </si>
  <si>
    <t>7;48;14.06186E</t>
  </si>
  <si>
    <t>55;49;57.50625N</t>
  </si>
  <si>
    <t>7;48;13.38343E</t>
  </si>
  <si>
    <t>55;49;57.50362N</t>
  </si>
  <si>
    <t>7;48;14.04134E</t>
  </si>
  <si>
    <t>ROV too close to the vessel, grad data affected, re-run line</t>
  </si>
  <si>
    <t>55;49;59.94276N</t>
  </si>
  <si>
    <t>7;48;12.93908E</t>
  </si>
  <si>
    <t>55;49;59.63744N</t>
  </si>
  <si>
    <t>7;48;13.99668E</t>
  </si>
  <si>
    <t>0114_OI104287_SE_CPT_266_S50_20230619203147 - 0001.db</t>
  </si>
  <si>
    <t>230619203138.SBD</t>
  </si>
  <si>
    <t>003156_20230619_20.24_OI103996SEROV1SPRINTNAV500.bin</t>
  </si>
  <si>
    <t>55;49;59.23106N</t>
  </si>
  <si>
    <t>7;48;12.93016E</t>
  </si>
  <si>
    <t>55;49;53.67565N</t>
  </si>
  <si>
    <t>7;48;13.08903E</t>
  </si>
  <si>
    <t>55;49;53.51873N</t>
  </si>
  <si>
    <t>7;48;14.18799E</t>
  </si>
  <si>
    <t>55;49;53.31028N</t>
  </si>
  <si>
    <t>7;48;12.52247E</t>
  </si>
  <si>
    <t>55;49;53.10654N</t>
  </si>
  <si>
    <t>7;48;13.68769E</t>
  </si>
  <si>
    <t>0115_OI104287_SE_CPT_266_S41_20230619204205 - 0001.db</t>
  </si>
  <si>
    <t>230619204156.SBD</t>
  </si>
  <si>
    <t>OI104287_SEROV1_ET2200SSS_CPT_266_S41.001.jsf</t>
  </si>
  <si>
    <t>003157_20230619_20.39_OI103996SEROV1SPRINTNAV500.bin</t>
  </si>
  <si>
    <t>OI104287_SEROV1_ET2200SSS_CPT_266_S50.001.jsf</t>
  </si>
  <si>
    <t>OI104287_SEROV1_ET2200SSS_CPT_266_S50.002.jsf</t>
  </si>
  <si>
    <t>55;49;59.68929N</t>
  </si>
  <si>
    <t>7;48;12.34437E</t>
  </si>
  <si>
    <t>55;49;59.54978N</t>
  </si>
  <si>
    <t>7;48;13.48884E</t>
  </si>
  <si>
    <t>55;50;00.30988N</t>
  </si>
  <si>
    <t>7;48;11.82713E</t>
  </si>
  <si>
    <t>55;49;59.92938N</t>
  </si>
  <si>
    <t>7;48;12.95263E</t>
  </si>
  <si>
    <t>0116_OI104287_SE_CPT_266_S32_20230619205201 - 0001.db</t>
  </si>
  <si>
    <t>230619205140.SBD</t>
  </si>
  <si>
    <t>OI104287_SEROV1_ET2200SSS_CPT_266_S32.001.jsf</t>
  </si>
  <si>
    <t>55;49;53.62187N</t>
  </si>
  <si>
    <t>7;48;12.06993E</t>
  </si>
  <si>
    <t>55;49;53.37962N</t>
  </si>
  <si>
    <t>7;48;13.15118E</t>
  </si>
  <si>
    <t>003158_20230619_20.54_OI103996SEROV1SPRINTNAV500.bin</t>
  </si>
  <si>
    <t>55;49;53.22319N</t>
  </si>
  <si>
    <t>7;48;11.46756E</t>
  </si>
  <si>
    <t>55;49;52.95567N</t>
  </si>
  <si>
    <t>7;48;12.65722E</t>
  </si>
  <si>
    <t>0117_OI104287_SE_CPT_266_S23_20230619210248 - 0001.db</t>
  </si>
  <si>
    <t>230619210236.SBD</t>
  </si>
  <si>
    <t>OI104287_SEROV1_ET2200SSS_CPT_266_S23.001.jsf</t>
  </si>
  <si>
    <t>55;49;59.70618N</t>
  </si>
  <si>
    <t>7;48;11.28072E</t>
  </si>
  <si>
    <t>55;49;59.42259N</t>
  </si>
  <si>
    <t>7;48;12.45444E</t>
  </si>
  <si>
    <t>55;50;00.09930N</t>
  </si>
  <si>
    <t>7;48;10.83694E</t>
  </si>
  <si>
    <t>55;49;59.66173N</t>
  </si>
  <si>
    <t>7;48;11.93363E</t>
  </si>
  <si>
    <t>0118_OI104287_SE_CPT_266_S14_20230619211312 - 0001.db</t>
  </si>
  <si>
    <t>230619211300.SBD</t>
  </si>
  <si>
    <t>OI104287_SEROV1_ET2200SSS_CPT_266_S14.001.jsf</t>
  </si>
  <si>
    <t>003159_20230619_21.09_OI103996SEROV1SPRINTNAV500.bin</t>
  </si>
  <si>
    <t>55;49;54.09951N</t>
  </si>
  <si>
    <t>7;48;11.06555E</t>
  </si>
  <si>
    <t>55;49;53.62811N</t>
  </si>
  <si>
    <t>7;48;12.11618E</t>
  </si>
  <si>
    <t>55;49;53.73294N</t>
  </si>
  <si>
    <t>7;48;10.51617E</t>
  </si>
  <si>
    <t>55;49;53.43319N</t>
  </si>
  <si>
    <t>7;48;11.59808E</t>
  </si>
  <si>
    <t>0119_OI104287_SE_CPT_266_S05_20230619212220 - 0001.db</t>
  </si>
  <si>
    <t>230619212205.SBD</t>
  </si>
  <si>
    <t>OI104287_SEROV1_ET2200SSS_CPT_266_S05.001.jsf</t>
  </si>
  <si>
    <t>55;49;59.72814N</t>
  </si>
  <si>
    <t>7;48;10.33715E</t>
  </si>
  <si>
    <t>55;49;59.49984N</t>
  </si>
  <si>
    <t>7;48;11.41160E</t>
  </si>
  <si>
    <t>003160_20230619_21.24_OI103996SEROV1SPRINTNAV500.bin</t>
  </si>
  <si>
    <t>55;50;00.16142N</t>
  </si>
  <si>
    <t>7;48;09.82362E</t>
  </si>
  <si>
    <t>55;49;59.69190N</t>
  </si>
  <si>
    <t>7;48;10.89622E</t>
  </si>
  <si>
    <t>0120_OI104287_SE_CPT_266_P05_20230619213106 - 0001.db</t>
  </si>
  <si>
    <t>230619213102.SBD</t>
  </si>
  <si>
    <t>OI104287_SEROV1_ET2200SSS_CPT_266_P05.001.jsf</t>
  </si>
  <si>
    <t>55;49;54.11671N</t>
  </si>
  <si>
    <t>7;48;10.07599E</t>
  </si>
  <si>
    <t>55;49;53.62630N</t>
  </si>
  <si>
    <t>7;48;11.07666E</t>
  </si>
  <si>
    <t>55;49;53.56842N</t>
  </si>
  <si>
    <t>7;48;09.47806E</t>
  </si>
  <si>
    <t>55;49;53.41961N</t>
  </si>
  <si>
    <t>7;48;10.58089E</t>
  </si>
  <si>
    <t>0121_OI104287_SE_CPT_266_P14_20230619214022 - 0001.db</t>
  </si>
  <si>
    <t>230619214010.SBD</t>
  </si>
  <si>
    <t>OI104287_SEROV1_ET2200SSS_CPT_266_P14.001.jsf</t>
  </si>
  <si>
    <t>003161_20230619_21.39_OI103996SEROV1SPRINTNAV500.bin</t>
  </si>
  <si>
    <t>55;49;59.76364N</t>
  </si>
  <si>
    <t>7;48;09.29517E</t>
  </si>
  <si>
    <t>55;49;59.48354N</t>
  </si>
  <si>
    <t>7;48;10.39290E</t>
  </si>
  <si>
    <t>55;50;00.10942N</t>
  </si>
  <si>
    <t>7;48;08.84750E</t>
  </si>
  <si>
    <t>55;49;59.80989N</t>
  </si>
  <si>
    <t>7;48;09.85941E</t>
  </si>
  <si>
    <t>0122_OI104287_SE_CPT_266_P23_20230619215023 - 0001.db</t>
  </si>
  <si>
    <t>230619215001.SBD</t>
  </si>
  <si>
    <t>OI104287_SEROV1_ET2200SSS_CPT_266_P23.001.jsf</t>
  </si>
  <si>
    <t>55;49;53.86262N</t>
  </si>
  <si>
    <t>7;48;09.03650E</t>
  </si>
  <si>
    <t>55;49;53.60624N</t>
  </si>
  <si>
    <t>7;48;10.04921E</t>
  </si>
  <si>
    <t>003162_20230619_21.54_OI103996SEROV1SPRINTNAV500.bin</t>
  </si>
  <si>
    <t>55;49;53.60631N</t>
  </si>
  <si>
    <t>7;48;08.48316E</t>
  </si>
  <si>
    <t>55;49;53.35428N</t>
  </si>
  <si>
    <t>7;48;09.53986E</t>
  </si>
  <si>
    <t>0123_OI104287_SE_CPT_266_P32_20230619220115 - 0001.db</t>
  </si>
  <si>
    <t>230619220045.SBD</t>
  </si>
  <si>
    <t>OI104287_SEROV1_ET2200SSS_CPT_266_P32.001.jsf</t>
  </si>
  <si>
    <t>55;49;59.90328N</t>
  </si>
  <si>
    <t>7;48;08.30623E</t>
  </si>
  <si>
    <t>55;49;59.55657N</t>
  </si>
  <si>
    <t>7;48;09.35006E</t>
  </si>
  <si>
    <t>Transit to BH_086</t>
  </si>
  <si>
    <t>0126_OI104287_SE_BH_086_S72_20230619225227 - 0001.db</t>
  </si>
  <si>
    <t>230619225210.SBD</t>
  </si>
  <si>
    <t>OI104287_SEROV1_ET2200SSS_BH_086_S72.001.jsf</t>
  </si>
  <si>
    <t>003166_20230619_22.54_OI103996SEROV1SPRINTNAV500.bin</t>
  </si>
  <si>
    <t>55;50;01.00535N</t>
  </si>
  <si>
    <t>7;48;07.76708E</t>
  </si>
  <si>
    <t>55;50;00.48007N</t>
  </si>
  <si>
    <t>7;48;08.80751E</t>
  </si>
  <si>
    <t>55;50;00.17719N</t>
  </si>
  <si>
    <t>7;48;07.81344E</t>
  </si>
  <si>
    <t>55;49;59.82950N</t>
  </si>
  <si>
    <t>7;48;08.82441E</t>
  </si>
  <si>
    <t>55;49;53.56731N</t>
  </si>
  <si>
    <t>7;47;18.62952E</t>
  </si>
  <si>
    <t>55;49;53.54181N</t>
  </si>
  <si>
    <t>7;47;19.34822E</t>
  </si>
  <si>
    <t>55;49;53.63895N</t>
  </si>
  <si>
    <t>7;47;18.51744E</t>
  </si>
  <si>
    <t>55;49;53.16629N</t>
  </si>
  <si>
    <t>7;47;19.32287E</t>
  </si>
  <si>
    <t>0127_OI104287_SE_BH_086_S72_20230619230507 - 0001.db</t>
  </si>
  <si>
    <t>230619230459.SBD</t>
  </si>
  <si>
    <t>OI104287_SEROV1_ET2200SSS_BH_086_S72.002.jsf</t>
  </si>
  <si>
    <t>55;49;45.74381N</t>
  </si>
  <si>
    <t>7;47;18.81024E</t>
  </si>
  <si>
    <t>55;49;45.24162N</t>
  </si>
  <si>
    <t>7;47;19.56487E</t>
  </si>
  <si>
    <t>003167_20230619_23.09_OI103996SEROV1SPRINTNAV500.bin</t>
  </si>
  <si>
    <t>55;49;45.62071N</t>
  </si>
  <si>
    <t>7;47;17.86656E</t>
  </si>
  <si>
    <t>55;49;45.48090N</t>
  </si>
  <si>
    <t>7;47;19.04918E</t>
  </si>
  <si>
    <t>0128_OI104287_SE_BH_086_S63_20230619232457 - 0001.db</t>
  </si>
  <si>
    <t>230619232349.SBD</t>
  </si>
  <si>
    <t>OI104287_SEROV1_ET2200SSS_BH_086_S63.001.jsf</t>
  </si>
  <si>
    <t>003168_20230619_23.24_OI103996SEROV1SPRINTNAV500.bin</t>
  </si>
  <si>
    <t>55;49;53.36959N</t>
  </si>
  <si>
    <t>7;47;17.60206E</t>
  </si>
  <si>
    <t>55;49;53.30992N</t>
  </si>
  <si>
    <t>7;47;18.80205E</t>
  </si>
  <si>
    <t>55;49;52.86730N</t>
  </si>
  <si>
    <t>7;47;17.19935E</t>
  </si>
  <si>
    <t>55;49;52.86062N</t>
  </si>
  <si>
    <t>7;47;18.29602E</t>
  </si>
  <si>
    <t>0129_OI104287_SE_BH_086_S54_20230619234620 - 0001.db</t>
  </si>
  <si>
    <t>230619234603.SBD</t>
  </si>
  <si>
    <t>OI104287_SEROV1_ET2200SSS_BH_086_S54.001.jsf</t>
  </si>
  <si>
    <t>003169_20230619_23.39_OI103996SEROV1SPRINTNAV500.bin</t>
  </si>
  <si>
    <t>55;49;45.41694N</t>
  </si>
  <si>
    <t>7;47;17.38436E</t>
  </si>
  <si>
    <t>55;49;45.38239N</t>
  </si>
  <si>
    <t>7;47;18.52414E</t>
  </si>
  <si>
    <t>55;49;44.63892N</t>
  </si>
  <si>
    <t>7;47;16.65204E</t>
  </si>
  <si>
    <t>55;49;44.52934N</t>
  </si>
  <si>
    <t>7;47;18.03018E</t>
  </si>
  <si>
    <t>55;49;45.54351N</t>
  </si>
  <si>
    <t>7;47;16.70025E</t>
  </si>
  <si>
    <t>55;49;45.36941N</t>
  </si>
  <si>
    <t>7;47;18.00875E</t>
  </si>
  <si>
    <t>0130_OI104287_SE_BH_086_S45_20230620000259 - 0001.db</t>
  </si>
  <si>
    <t>230620000242.SBD</t>
  </si>
  <si>
    <t>OI104287_SEROV1_ET2200SSS_BH_086_S45.001.jsf</t>
  </si>
  <si>
    <t>003170_20230619_23.54_OI103996SEROV1SPRINTNAV500.bin</t>
  </si>
  <si>
    <t>CPT_266_S72</t>
  </si>
  <si>
    <t>55;49;53.02840N</t>
  </si>
  <si>
    <t>7;47;16.44366E</t>
  </si>
  <si>
    <t>55;49;52.88928N</t>
  </si>
  <si>
    <t>7;47;17.77067E</t>
  </si>
  <si>
    <t>003171_20230620_00.09_OI103996SEROV1SPRINTNAV500.bin</t>
  </si>
  <si>
    <t>0124_OI104287_SE_CPT_266_P41_20230619221405 - 0001.db</t>
  </si>
  <si>
    <t>0125_OI104287_SE_CPT_266_P50_20230619222358 - 0001.db</t>
  </si>
  <si>
    <t>OI104287_SEROV1_ET2200SSS_CPT_266_P41.001.jsf</t>
  </si>
  <si>
    <t>OI104287_SEROV1_ET2200SSS_CPT_266_P50.001.jsf</t>
  </si>
  <si>
    <t>55;49;53.53389N</t>
  </si>
  <si>
    <t>7;47;16.27747E</t>
  </si>
  <si>
    <t>55;49;53.07788N</t>
  </si>
  <si>
    <t>7;47;17.25016E</t>
  </si>
  <si>
    <t>0131_OI104287_SE_BH_086_S36_20230620001932 - 0001.db</t>
  </si>
  <si>
    <t>230620001924.SBD</t>
  </si>
  <si>
    <t>OI104287_SEROV1_ET2200SSS_BH_086_S36.001.jsf</t>
  </si>
  <si>
    <t>230619221217.SBD</t>
  </si>
  <si>
    <t>230619222343.SBD</t>
  </si>
  <si>
    <t>55;49;45.73211N</t>
  </si>
  <si>
    <t>7;47;16.60566E</t>
  </si>
  <si>
    <t>55;49;45.37740N</t>
  </si>
  <si>
    <t>7;47;17.49367E</t>
  </si>
  <si>
    <t>003172_20230620_00.24_OI103996SEROV1SPRINTNAV500.bin</t>
  </si>
  <si>
    <t>55;49;45.75277N</t>
  </si>
  <si>
    <t>7;47;16.00643E</t>
  </si>
  <si>
    <t>55;49;45.26923N</t>
  </si>
  <si>
    <t>7;47;16.97979E</t>
  </si>
  <si>
    <t>0132_OI104287_SE_BH_086_S27_20230620003438 - 0001.db</t>
  </si>
  <si>
    <t>230620003423.SBD</t>
  </si>
  <si>
    <t>OI104287_SEROV1_ET2200SSS_BH_086_S27.001.jsf</t>
  </si>
  <si>
    <t>Y</t>
  </si>
  <si>
    <t>55;49;53.34108N</t>
  </si>
  <si>
    <t>7;47;15.74170E</t>
  </si>
  <si>
    <t>55;49;52.86409N</t>
  </si>
  <si>
    <t>7;47;16.74111E</t>
  </si>
  <si>
    <t>003173_20230620_00.39_OI103996SEROV1SPRINTNAV500.bin</t>
  </si>
  <si>
    <t>55;49;53.49358N</t>
  </si>
  <si>
    <t>7;47;15.26308E</t>
  </si>
  <si>
    <t>55;49;53.09402N</t>
  </si>
  <si>
    <t>7;47;16.21969E</t>
  </si>
  <si>
    <t>0133_OI104287_SE_BH_086_S18_20230620004732 - 0001.db</t>
  </si>
  <si>
    <t>230620004703.SBD</t>
  </si>
  <si>
    <t>OI104287_SEROV1_ET2200SSS_BH_086_S18.001.jsf</t>
  </si>
  <si>
    <t>55;49;45.81907N</t>
  </si>
  <si>
    <t>7;47;15.55938E</t>
  </si>
  <si>
    <t>55;49;45.43956N</t>
  </si>
  <si>
    <t>7;47;16.45082E</t>
  </si>
  <si>
    <t>003174_20230620_00.54_OI103996SEROV1SPRINTNAV500.bin</t>
  </si>
  <si>
    <t>55;49;45.72880N</t>
  </si>
  <si>
    <t>7;47;15.02275E</t>
  </si>
  <si>
    <t>55;49;45.26727N</t>
  </si>
  <si>
    <t>7;47;15.94630E</t>
  </si>
  <si>
    <t>0134_OI104287_SE_BH_086_S09_20230620010143 - 0001.db</t>
  </si>
  <si>
    <t>230620010119.SBD</t>
  </si>
  <si>
    <t>OI104287_SEROV1_ET2200SSS_BH_086_S09.001.jsf</t>
  </si>
  <si>
    <t>55;49;50.63980N</t>
  </si>
  <si>
    <t>7;47;14.72356E</t>
  </si>
  <si>
    <t>55;49;50.11983N</t>
  </si>
  <si>
    <t>7;47;15.80237E</t>
  </si>
  <si>
    <t>55;49;53.20760N</t>
  </si>
  <si>
    <t>7;47;14.69200E</t>
  </si>
  <si>
    <t>55;49;52.67278N</t>
  </si>
  <si>
    <t>7;47;15.71758E</t>
  </si>
  <si>
    <t>55;49;53.07798N</t>
  </si>
  <si>
    <t>7;47;14.14095E</t>
  </si>
  <si>
    <t>55;49;52.85323N</t>
  </si>
  <si>
    <t>7;47;15.19133E</t>
  </si>
  <si>
    <t>0135_OI104287_SE_BH_086_C00_20230620011553 - 0001.db</t>
  </si>
  <si>
    <t>230620011528.SBD</t>
  </si>
  <si>
    <t>OI104287_SEROV1_ET2200SSS_BH_086_C00.001.jsf</t>
  </si>
  <si>
    <t>003175_20230620_01.09_OI103996SEROV1SPRINTNAV500.bin</t>
  </si>
  <si>
    <t>55;49;45.61307N</t>
  </si>
  <si>
    <t>7;47;14.44365E</t>
  </si>
  <si>
    <t>55;49;45.41060N</t>
  </si>
  <si>
    <t>7;47;15.42096E</t>
  </si>
  <si>
    <t>55;49;44.66354N</t>
  </si>
  <si>
    <t>7;47;14.42293E</t>
  </si>
  <si>
    <t>55;49;44.43022N</t>
  </si>
  <si>
    <t>7;47;15.56610E</t>
  </si>
  <si>
    <t>55;49;45.40203N</t>
  </si>
  <si>
    <t>7;47;14.92306E</t>
  </si>
  <si>
    <t>55;49;45.17584N</t>
  </si>
  <si>
    <t>7;47;15.95294E</t>
  </si>
  <si>
    <t>0136_OI104287_SE_BH_086_S09_20230620012943 - 0001.db</t>
  </si>
  <si>
    <t>230620012933.SBD</t>
  </si>
  <si>
    <t>OI104287_SEROV1_ET2200SSS_BH_086_S09.002.jsf</t>
  </si>
  <si>
    <t>003176_20230620_01.24_OI103996SEROV1SPRINTNAV500.bin</t>
  </si>
  <si>
    <t>55;49;53.09678N</t>
  </si>
  <si>
    <t>7;47;14.66826E</t>
  </si>
  <si>
    <t>55;49;52.72015N</t>
  </si>
  <si>
    <t>7;47;15.71335E</t>
  </si>
  <si>
    <t>Re-run BH_086_S09 due to gradiometer noise cause by current</t>
  </si>
  <si>
    <t>Noise in gradiometer data due to motion on the WROV cause by current, need to re-run line</t>
  </si>
  <si>
    <t>55;49;53.22662N</t>
  </si>
  <si>
    <t>7;47;13.13916E</t>
  </si>
  <si>
    <t>55;49;52.91161N</t>
  </si>
  <si>
    <t>7;47;14.15331E</t>
  </si>
  <si>
    <t>0137_OI104287_SE_BH_086_P18_20230620014538 - 0001.db</t>
  </si>
  <si>
    <t>230620014521.SBD</t>
  </si>
  <si>
    <t>OI104287_SEROV1_ET2200SSS_BH_086_P18.001.jsf</t>
  </si>
  <si>
    <t>003177_20230620_01.39_OI103996SEROV1SPRINTNAV500.bin</t>
  </si>
  <si>
    <t>55;49;45.58508N</t>
  </si>
  <si>
    <t>7;47;13.41609E</t>
  </si>
  <si>
    <t>55;49;45.37891N</t>
  </si>
  <si>
    <t>7;47;14.38687E</t>
  </si>
  <si>
    <t>55;49;45.59987N</t>
  </si>
  <si>
    <t>7;47;13.93136E</t>
  </si>
  <si>
    <t>55;49;45.28477N</t>
  </si>
  <si>
    <t>7;47;14.91462E</t>
  </si>
  <si>
    <t>0138_OI104287_SE_BH_086_P09_20230620015943 - 0001.db</t>
  </si>
  <si>
    <t>230620015929.SBD</t>
  </si>
  <si>
    <t>OI104287_SEROV1_ET2200SSS_BH_086_P09.001.jsf</t>
  </si>
  <si>
    <t>003178_20230620_01.54_OI103996SEROV1SPRINTNAV500.bin</t>
  </si>
  <si>
    <t>55;49;52.98714N</t>
  </si>
  <si>
    <t>7;47;13.58874E</t>
  </si>
  <si>
    <t>55;49;52.69737N</t>
  </si>
  <si>
    <t>7;47;14.68167E</t>
  </si>
  <si>
    <t>55;49;53.32232N</t>
  </si>
  <si>
    <t>7;47;12.20568E</t>
  </si>
  <si>
    <t>55;49;52.98931N</t>
  </si>
  <si>
    <t>7;47;13.12254E</t>
  </si>
  <si>
    <t>0139_OI104287_SE_BH_086_P36_20230620021825 - 0001.db</t>
  </si>
  <si>
    <t>230620021807.SBD</t>
  </si>
  <si>
    <t>OI104287_SEROV1_ET2200SSS_BH_086_P36.001.jsf</t>
  </si>
  <si>
    <t>003179_20230620_02.09_OI103996SEROV1SPRINTNAV500.bin</t>
  </si>
  <si>
    <t>55;49;45.63115N</t>
  </si>
  <si>
    <t>7;47;12.52983E</t>
  </si>
  <si>
    <t>55;49;45.32113N</t>
  </si>
  <si>
    <t>7;47;13.35820E</t>
  </si>
  <si>
    <t>003180_20230620_02.24_OI103996SEROV1SPRINTNAV500.bin</t>
  </si>
  <si>
    <t>55;49;45.49562N</t>
  </si>
  <si>
    <t>7;47;13.04261E</t>
  </si>
  <si>
    <t>55;49;45.19138N</t>
  </si>
  <si>
    <t>7;47;13.88234E</t>
  </si>
  <si>
    <t>0140_OI104287_SE_BH_086_P27_20230620023223 - 0001.db</t>
  </si>
  <si>
    <t>230620023214.SBD</t>
  </si>
  <si>
    <t>OI104287_SEROV1_ET2200SSS_BH_086_P27.001.jsf</t>
  </si>
  <si>
    <t>55;49;53.12718N</t>
  </si>
  <si>
    <t>7;47;12.73004E</t>
  </si>
  <si>
    <t>55;49;52.78533N</t>
  </si>
  <si>
    <t>7;47;13.64788E</t>
  </si>
  <si>
    <t>003181_20230620_02.39_OI103996SEROV1SPRINTNAV500.bin</t>
  </si>
  <si>
    <t>55;49;53.25473N</t>
  </si>
  <si>
    <t>7;47;11.18433E</t>
  </si>
  <si>
    <t>7;47;12.07940E</t>
  </si>
  <si>
    <t>0141_OI104287_SE_BH_086_P54_20230620024716 - 0001.db</t>
  </si>
  <si>
    <t>230620024705.SBD</t>
  </si>
  <si>
    <t>OI104287_SEROV1_ET2200SSS_BH_086_P54.001.jsf</t>
  </si>
  <si>
    <t>55;49;45.56915N</t>
  </si>
  <si>
    <t>7;47;11.50210E</t>
  </si>
  <si>
    <t>55;49;45.28824N</t>
  </si>
  <si>
    <t>7;47;12.32924E</t>
  </si>
  <si>
    <t>003182_20230620_02.54_OI103996SEROV1SPRINTNAV500.bin</t>
  </si>
  <si>
    <t>55;49;45.56542N</t>
  </si>
  <si>
    <t>7;47;11.83715E</t>
  </si>
  <si>
    <t>55;49;45.22065N</t>
  </si>
  <si>
    <t>7;47;12.84372E</t>
  </si>
  <si>
    <t>0142_OI104287_SE_BH_086_P45_20230620030117 - 0001.db</t>
  </si>
  <si>
    <t>230620030054.SBD</t>
  </si>
  <si>
    <t>OI104287_SEROV1_ET2200SSS_BH_086_P45.001.jsf</t>
  </si>
  <si>
    <t>55;49;53.09663N</t>
  </si>
  <si>
    <t>7;47;11.71495E</t>
  </si>
  <si>
    <t>55;49;52.77175N</t>
  </si>
  <si>
    <t>7;47;12.61802E</t>
  </si>
  <si>
    <t>55;49;53.29750N</t>
  </si>
  <si>
    <t>7;47;10.20108E</t>
  </si>
  <si>
    <t>55;49;52.90437N</t>
  </si>
  <si>
    <t>7;47;11.05405E</t>
  </si>
  <si>
    <t>0143_OI104287_SE_BH_086_P72_20230620031718 - 0001.db</t>
  </si>
  <si>
    <t>230620031659.SBD</t>
  </si>
  <si>
    <t>OI104287_SEROV1_ET2200SSS_BH_086_P72.001.jsf</t>
  </si>
  <si>
    <t>003183_20230620_03.09_OI103996SEROV1SPRINTNAV500.bin</t>
  </si>
  <si>
    <t>55;49;45.57360N</t>
  </si>
  <si>
    <t>7;47;10.46163E</t>
  </si>
  <si>
    <t>55;49;45.27707N</t>
  </si>
  <si>
    <t>7;47;11.29002E</t>
  </si>
  <si>
    <t>003184_20230620_03.24_OI103996SEROV1SPRINTNAV500.bin</t>
  </si>
  <si>
    <t>55;49;45.58864N</t>
  </si>
  <si>
    <t>7;47;10.91860E</t>
  </si>
  <si>
    <t>55;49;45.17433N</t>
  </si>
  <si>
    <t>7;47;11.80782E</t>
  </si>
  <si>
    <t>0144_OI104287_SE_BH_086_P63_20230620033211 - 0001.db</t>
  </si>
  <si>
    <t>230620033153.SBD</t>
  </si>
  <si>
    <t>OI104287_SEROV1_ET2200SSS_BH_086_P63.001.jsf</t>
  </si>
  <si>
    <t>55;49;53.11916N</t>
  </si>
  <si>
    <t>7;47;10.61470E</t>
  </si>
  <si>
    <t>55;49;52.76843N</t>
  </si>
  <si>
    <t>7;47;11.57336E</t>
  </si>
  <si>
    <t>003185_20230620_03.39_OI103996SEROV1SPRINTNAV500.bin</t>
  </si>
  <si>
    <t>55;49;53.94225N</t>
  </si>
  <si>
    <t>7;47;10.59018E</t>
  </si>
  <si>
    <t>55;49;53.63340N</t>
  </si>
  <si>
    <t>7;47;11.04047E</t>
  </si>
  <si>
    <t>WROV in latch, transit to CPT_148</t>
  </si>
  <si>
    <t>BM04</t>
  </si>
  <si>
    <t>55;49;10.97788N</t>
  </si>
  <si>
    <t>7;46;06.57222E</t>
  </si>
  <si>
    <t>55;49;10.74618N</t>
  </si>
  <si>
    <t>7;46;07.03811E</t>
  </si>
  <si>
    <t>55;49;10.83906N</t>
  </si>
  <si>
    <t>7;46;06.54301E</t>
  </si>
  <si>
    <t>55;49;10.71072N</t>
  </si>
  <si>
    <t>7;46;07.15488E</t>
  </si>
  <si>
    <t>OI104287_SE_SVX2_SVP_20230620_0401_554918N_0074610E_018</t>
  </si>
  <si>
    <t>55;49;10.84518N</t>
  </si>
  <si>
    <t>7;46;06.54877E</t>
  </si>
  <si>
    <t>55;49;10.74422N</t>
  </si>
  <si>
    <t>7;46;07.24028E</t>
  </si>
  <si>
    <t>SVP_018</t>
  </si>
  <si>
    <t>WROV out of latch</t>
  </si>
  <si>
    <t>55;49;10.17702N</t>
  </si>
  <si>
    <t>7;46;06.54791E</t>
  </si>
  <si>
    <t>55;49;09.74543N</t>
  </si>
  <si>
    <t>7;46;07.31994E</t>
  </si>
  <si>
    <t>0145_OI104287_SE_CPT_148_S50_20230620041132 - 0001.db</t>
  </si>
  <si>
    <t>230620041120.SBD</t>
  </si>
  <si>
    <t>OI104287_SEROV1_ET2200SSS_CPT_148_S50.001.jsf</t>
  </si>
  <si>
    <t>003187_20230620_04.09_OI103996SEROV1SPRINTNAV500.bin</t>
  </si>
  <si>
    <t>55;49;04.03978N</t>
  </si>
  <si>
    <t>7;46;06.65367E</t>
  </si>
  <si>
    <t>55;49;03.63005N</t>
  </si>
  <si>
    <t>7;46;07.51095E</t>
  </si>
  <si>
    <t>55;49;03.51505N</t>
  </si>
  <si>
    <t>7;46;06.03108E</t>
  </si>
  <si>
    <t>55;49;03.45865N</t>
  </si>
  <si>
    <t>7;46;07.00099E</t>
  </si>
  <si>
    <t>0146_OI104287_SE_CPT_148_S41_20230620042321 - 0001.db</t>
  </si>
  <si>
    <t>230620042303.SBD</t>
  </si>
  <si>
    <t>OI104287_SEROV1_ET2200SSS_CPT_148_S41.001.jsf</t>
  </si>
  <si>
    <t>55;49;09.71787N</t>
  </si>
  <si>
    <t>7;46;05.80664E</t>
  </si>
  <si>
    <t>55;49;09.75780N</t>
  </si>
  <si>
    <t>7;46;06.79912E</t>
  </si>
  <si>
    <t>003188_20230620_04.24_OI103996SEROV1SPRINTNAV500.bin</t>
  </si>
  <si>
    <t>55;49;09.93070N</t>
  </si>
  <si>
    <t>7;46;05.31366E</t>
  </si>
  <si>
    <t>55;49;09.73472N</t>
  </si>
  <si>
    <t>7;46;06.28826E</t>
  </si>
  <si>
    <t>0147_OI104287_SE_CPT_148_S32_20230620043357 - 0001.db</t>
  </si>
  <si>
    <t>OI104287_SEROV1_ET2200SSS_CPT_148_S32.001.jsf</t>
  </si>
  <si>
    <t>55;49;03.76653N</t>
  </si>
  <si>
    <t>7;46;05.44707E</t>
  </si>
  <si>
    <t>55;49;03.63125N</t>
  </si>
  <si>
    <t>7;46;06.47806E</t>
  </si>
  <si>
    <t>55;49;03.22546N</t>
  </si>
  <si>
    <t>7;46;04.96830E</t>
  </si>
  <si>
    <t>55;49;03.06065N</t>
  </si>
  <si>
    <t>7;46;05.97444E</t>
  </si>
  <si>
    <t>0148_OI104287_SE_CPT_148_S23_20230620044430 - 0001.db</t>
  </si>
  <si>
    <t>230620044423.SBD</t>
  </si>
  <si>
    <t>OI104287_SEROV1_ET2200SSS_CPT_148_S23.001.jsf</t>
  </si>
  <si>
    <t>003189_20230620_04.39_OI103996SEROV1SPRINTNAV500.bin</t>
  </si>
  <si>
    <t>55;49;09.71336N</t>
  </si>
  <si>
    <t>7;46;04.79613E</t>
  </si>
  <si>
    <t>55;49;09.55020N</t>
  </si>
  <si>
    <t>7;46;05.76925E</t>
  </si>
  <si>
    <t>55;49;09.86623N</t>
  </si>
  <si>
    <t>7;46;04.28106E</t>
  </si>
  <si>
    <t>55;49;09.73668N</t>
  </si>
  <si>
    <t>7;46;05.25477E</t>
  </si>
  <si>
    <t>0149_OI104287_SE_CPT_148_S14_20230620045445 - 0001.db</t>
  </si>
  <si>
    <t>230620045420.SBD</t>
  </si>
  <si>
    <t>OI104287_SEROV1_ET2200SSS_CPT_148_S14.001.jsf</t>
  </si>
  <si>
    <t>003190_20230620_04.54_OI103996SEROV1SPRINTNAV500.bin</t>
  </si>
  <si>
    <t>55;49;03.49212N</t>
  </si>
  <si>
    <t>7;46;04.42075E</t>
  </si>
  <si>
    <t>55;49;03.31457N</t>
  </si>
  <si>
    <t>7;46;05.45423E</t>
  </si>
  <si>
    <t>55;49;03.11309N</t>
  </si>
  <si>
    <t>7;46;03.90346E</t>
  </si>
  <si>
    <t>55;49;03.24532N</t>
  </si>
  <si>
    <t>7;46;04.94156E</t>
  </si>
  <si>
    <t>0150_OI104287_SE_CPT_148_S05_20230620050501 - 0001.db</t>
  </si>
  <si>
    <t>230620050448.SBD</t>
  </si>
  <si>
    <t>OI104287_SEROV1_ET2200SSS_CPT_148_S05.001.jsf</t>
  </si>
  <si>
    <t>55;49;09.49789N</t>
  </si>
  <si>
    <t>7;46;03.68134E</t>
  </si>
  <si>
    <t>55;49;09.57781N</t>
  </si>
  <si>
    <t>7;46;04.73818E</t>
  </si>
  <si>
    <t>003191_20230620_05.09_OI103996SEROV1SPRINTNAV500.bin</t>
  </si>
  <si>
    <t>55;49;09.84461N</t>
  </si>
  <si>
    <t>7;46;03.25183E</t>
  </si>
  <si>
    <t>55;49;09.69217N</t>
  </si>
  <si>
    <t>7;46;04.21827E</t>
  </si>
  <si>
    <t>0151_OI104287_SE_CPT_148_P05_20230620051516 - 0001.db</t>
  </si>
  <si>
    <t>230620051452.SBD</t>
  </si>
  <si>
    <t>OI104287_SEROV1_ET2200SSS_CPT_148_P05.001.jsf</t>
  </si>
  <si>
    <t>55;49;03.71352N</t>
  </si>
  <si>
    <t>7;46;03.37564E</t>
  </si>
  <si>
    <t>55;49;03.50889N</t>
  </si>
  <si>
    <t>7;46;04.41169E</t>
  </si>
  <si>
    <t>55;49;03.66252N</t>
  </si>
  <si>
    <t>7;46;02.80823E</t>
  </si>
  <si>
    <t>55;49;03.41761N</t>
  </si>
  <si>
    <t>7;46;03.90354E</t>
  </si>
  <si>
    <t>0152_OI104287_SE_CPT_148_P14_20230620052529 - 0001.db</t>
  </si>
  <si>
    <t>230620052427.SBD</t>
  </si>
  <si>
    <t>OI104287_SEROV1_ET2200SSS_CPT_148_P14.001.jsf</t>
  </si>
  <si>
    <t>003192_20230620_05.24_OI103996SEROV1SPRINTNAV500.bin</t>
  </si>
  <si>
    <t>55;49;09.65410N</t>
  </si>
  <si>
    <t>7;46;02.64111E</t>
  </si>
  <si>
    <t>55;49;09.51173N</t>
  </si>
  <si>
    <t>7;46;03.70680E</t>
  </si>
  <si>
    <t>55;49;09.63130N</t>
  </si>
  <si>
    <t>7;46;02.18501E</t>
  </si>
  <si>
    <t>55;49;09.58475N</t>
  </si>
  <si>
    <t>7;46;03.19051E</t>
  </si>
  <si>
    <t>0153_OI104287_SE_CPT_148_P23_20230620053641 - 0001.db</t>
  </si>
  <si>
    <t>230620053627.SBD</t>
  </si>
  <si>
    <t>OI104287_SEROV1_ET2200SSS_CPT_148_P23.001.jsf</t>
  </si>
  <si>
    <t>55;49;03.71495N</t>
  </si>
  <si>
    <t>7;46;02.28516E</t>
  </si>
  <si>
    <t>55;49;03.65584N</t>
  </si>
  <si>
    <t>7;46;03.37458E</t>
  </si>
  <si>
    <t>003193_20230620_05.39_OI103996SEROV1SPRINTNAV500.bin</t>
  </si>
  <si>
    <t>55;49;03.72120N</t>
  </si>
  <si>
    <t>7;46;01.75724E</t>
  </si>
  <si>
    <t>55;49;03.44688N</t>
  </si>
  <si>
    <t>7;46;02.86492E</t>
  </si>
  <si>
    <t>0154_OI104287_SE_CPT_148_P32_20230620054645 - 0001.db</t>
  </si>
  <si>
    <t>230620054633.SBD</t>
  </si>
  <si>
    <t>OI104287_SEROV1_ET2200SSS_CPT_148_P32.001.jsf</t>
  </si>
  <si>
    <t>55;49;09.81045N</t>
  </si>
  <si>
    <t>7;46;01.55518E</t>
  </si>
  <si>
    <t>55;49;09.52274N</t>
  </si>
  <si>
    <t>7;46;02.67060E</t>
  </si>
  <si>
    <t>55;49;09.59814N</t>
  </si>
  <si>
    <t>7;46;01.09770E</t>
  </si>
  <si>
    <t>55;49;09.65204N</t>
  </si>
  <si>
    <t>7;46;02.15219E</t>
  </si>
  <si>
    <t>0155_OI104287_SE_CPT_148_P41_20230620055706 - 0001.db</t>
  </si>
  <si>
    <t>230620055658.SBD</t>
  </si>
  <si>
    <t>OI104287_SEROV1_ET2200SSS_CPT_148_P41.001.jsf</t>
  </si>
  <si>
    <t>003194_20230620_05.54_OI103996SEROV1SPRINTNAV500.bin</t>
  </si>
  <si>
    <t>55;49;03.55090N</t>
  </si>
  <si>
    <t>7;46;01.20852E</t>
  </si>
  <si>
    <t>55;49;03.61224N</t>
  </si>
  <si>
    <t>7;46;02.33898E</t>
  </si>
  <si>
    <t>55;49;03.59302N</t>
  </si>
  <si>
    <t>7;46;00.64370E</t>
  </si>
  <si>
    <t>55;49;03.41203N</t>
  </si>
  <si>
    <t>7;46;01.82721E</t>
  </si>
  <si>
    <t>0156_OI104287_SE_CPT_148_P50_20230620060659 - 0001.db</t>
  </si>
  <si>
    <t>230620060629.SBD</t>
  </si>
  <si>
    <t>OI104287_SEROV1_ET2200SSS_CPT_148_P50.001.jsf</t>
  </si>
  <si>
    <t>55;49;09.65019N</t>
  </si>
  <si>
    <t>7;46;00.44542E</t>
  </si>
  <si>
    <t>55;49;09.48819N</t>
  </si>
  <si>
    <t>7;46;01.63711E</t>
  </si>
  <si>
    <t>003195_20230620_06.09_OI103996SEROV1SPRINTNAV500.bin</t>
  </si>
  <si>
    <t>55;49;10.37512N</t>
  </si>
  <si>
    <t>7;46;00.51906E</t>
  </si>
  <si>
    <t>55;49;10.17346N</t>
  </si>
  <si>
    <t>7;46;01.53361E</t>
  </si>
  <si>
    <t xml:space="preserve">Standby to verify data </t>
  </si>
  <si>
    <t>55;49;10.37926N</t>
  </si>
  <si>
    <t>7;46;00.49256E</t>
  </si>
  <si>
    <t>55;49;10.17406N</t>
  </si>
  <si>
    <t>7;46;01.53029E</t>
  </si>
  <si>
    <t>Data is good, ROV proceed to latch</t>
  </si>
  <si>
    <t>Vessel on the move to CPT_295</t>
  </si>
  <si>
    <t>55;49;10.39009N</t>
  </si>
  <si>
    <t>7;46;00.50856E</t>
  </si>
  <si>
    <t>55;49;10.27877N</t>
  </si>
  <si>
    <t>7;46;01.06982E</t>
  </si>
  <si>
    <t>ROV out of latch</t>
  </si>
  <si>
    <t>55;48;57.23491N</t>
  </si>
  <si>
    <t>7;44;28.46716E</t>
  </si>
  <si>
    <t>55;48;57.08663N</t>
  </si>
  <si>
    <t>7;44;29.06459E</t>
  </si>
  <si>
    <t>OI104287_SE_SVX2_SVP_20230620_0642_554895N_0074447E_019</t>
  </si>
  <si>
    <t>55;48;57.20552N</t>
  </si>
  <si>
    <t>7;44;28.25255E</t>
  </si>
  <si>
    <t>55;48;56.97106N</t>
  </si>
  <si>
    <t>7;44;29.06278E</t>
  </si>
  <si>
    <t>SVP_019</t>
  </si>
  <si>
    <t>55;48;56.80559N</t>
  </si>
  <si>
    <t>7;44;28.53207E</t>
  </si>
  <si>
    <t>55;48;56.57124N</t>
  </si>
  <si>
    <t>7;44;29.45988E</t>
  </si>
  <si>
    <t>0157_OI104287_SE_CPT_295_S50_20230620065126 - 0001.db</t>
  </si>
  <si>
    <t>230620065104.SBD</t>
  </si>
  <si>
    <t>OI104287_SEROV1_ET2200SSS_CPT_295_S50.001.jsf</t>
  </si>
  <si>
    <t>003197_20230620_06.39_OI103996SEROV1SPRINTNAV500.bin</t>
  </si>
  <si>
    <t>55;48;50.81506N</t>
  </si>
  <si>
    <t>7;44;28.67129E</t>
  </si>
  <si>
    <t>55;48;50.63766N</t>
  </si>
  <si>
    <t>7;44;29.65933E</t>
  </si>
  <si>
    <t>003198_20230620_06.54_OI103996SEROV1SPRINTNAV500.bin</t>
  </si>
  <si>
    <t>55;48;50.68519N</t>
  </si>
  <si>
    <t>7;44;28.10811E</t>
  </si>
  <si>
    <t>55;48;50.45601N</t>
  </si>
  <si>
    <t>7;44;29.15149E</t>
  </si>
  <si>
    <t>0158_OI104287_SE_CPT_295_S41_20230620070156 - 0001.db</t>
  </si>
  <si>
    <t>230620070122.SBD</t>
  </si>
  <si>
    <t>OI104287_SEROV1_ET2200SSS_CPT_295_S41.001.jsf</t>
  </si>
  <si>
    <t>55;48;56.55954N</t>
  </si>
  <si>
    <t>7;44;27.90804E</t>
  </si>
  <si>
    <t>55;48;56.36967N</t>
  </si>
  <si>
    <t>7;44;28.96199E</t>
  </si>
  <si>
    <t>55;48;56.78032N</t>
  </si>
  <si>
    <t>7;44;27.45762E</t>
  </si>
  <si>
    <t>55;48;56.57713N</t>
  </si>
  <si>
    <t>7;44;28.44389E</t>
  </si>
  <si>
    <t>0159_OI104287_SE_CPT_295_S32_20230620071207 - 0001.db</t>
  </si>
  <si>
    <t>230620071136.SBD</t>
  </si>
  <si>
    <t>OI104287_SEROV1_ET2200SSS_CPT_295_S32.001.jsf</t>
  </si>
  <si>
    <t>003199_20230620_07.09_OI103996SEROV1SPRINTNAV500.bin</t>
  </si>
  <si>
    <t>55;48;50.81992N</t>
  </si>
  <si>
    <t>7;44;27.61244E</t>
  </si>
  <si>
    <t>55;48;50.68624N</t>
  </si>
  <si>
    <t>7;44;28.63188E</t>
  </si>
  <si>
    <t>55;48;50.65469N</t>
  </si>
  <si>
    <t>7;44;27.06953E</t>
  </si>
  <si>
    <t>55;48;50.55951N</t>
  </si>
  <si>
    <t>7;44;28.11136E</t>
  </si>
  <si>
    <t>0160_OI104287_SE_CPT_295_S23_20230620072207 - 0001.db</t>
  </si>
  <si>
    <t>230620072146.SBD</t>
  </si>
  <si>
    <t>OI104287_SEROV1_ET2200SSS_CPT_295_S23.001.jsf</t>
  </si>
  <si>
    <t>55;48;56.47798N</t>
  </si>
  <si>
    <t>7;44;26.84834E</t>
  </si>
  <si>
    <t>55;48;56.37224N</t>
  </si>
  <si>
    <t>7;44;27.92700E</t>
  </si>
  <si>
    <t>003200_20230620_07.24_OI103996SEROV1SPRINTNAV500.bin</t>
  </si>
  <si>
    <t>55;48;56.95689N</t>
  </si>
  <si>
    <t>7;44;26.44639E</t>
  </si>
  <si>
    <t>55;48;56.56144N</t>
  </si>
  <si>
    <t>7;44;27.40316E</t>
  </si>
  <si>
    <t>0161_OI104287_SE_CPT_295_S14_20230620073218 - 0001.db</t>
  </si>
  <si>
    <t>230620073146.SBD</t>
  </si>
  <si>
    <t>OI104287_SEROV1_ET2200SSS_CPT_295_S14.001.jsf</t>
  </si>
  <si>
    <t>55;48;51.06531N</t>
  </si>
  <si>
    <t>7;44;26.62822E</t>
  </si>
  <si>
    <t>55;48;50.68428N</t>
  </si>
  <si>
    <t>7;44;27.59417E</t>
  </si>
  <si>
    <t>0161_OI104287_SE_CPT_295_S14_20230620073238 - 0002.db</t>
  </si>
  <si>
    <t>55;48;50.11452N</t>
  </si>
  <si>
    <t>7;44;26.17685E</t>
  </si>
  <si>
    <t>55;48;50.03597N</t>
  </si>
  <si>
    <t>7;44;27.26587E</t>
  </si>
  <si>
    <t>Recovery ROV onboard due an broken shear pin on stbd grad frame</t>
  </si>
  <si>
    <t>55;48;50.11106N</t>
  </si>
  <si>
    <t>7;44;26.16498E</t>
  </si>
  <si>
    <t>55;48;49.94183N</t>
  </si>
  <si>
    <t>7;44;26.77824E</t>
  </si>
  <si>
    <t>WROV on deck EOD #009</t>
  </si>
  <si>
    <t>55;48;50.10908N</t>
  </si>
  <si>
    <t>7;44;26.14607E</t>
  </si>
  <si>
    <t>55;48;49.95013N</t>
  </si>
  <si>
    <t>7;44;26.75229E</t>
  </si>
  <si>
    <t>WROV off deck SOD #010</t>
  </si>
  <si>
    <t>55;48;50.58048N</t>
  </si>
  <si>
    <t>7;44;26.11513E</t>
  </si>
  <si>
    <t>55;48;50.52164N</t>
  </si>
  <si>
    <t>7;44;27.07486E</t>
  </si>
  <si>
    <t>0162_OI104287_SE_CPT_295_S05_20230620082141 - 0001.db</t>
  </si>
  <si>
    <t>230620082116.SBD</t>
  </si>
  <si>
    <t>OI104287_SEROV1_ET2200SSS_CPT_295_S05.001.jsf</t>
  </si>
  <si>
    <t>003203_20230620_08.09_OI103996SEROV1SPRINTNAV500.bin</t>
  </si>
  <si>
    <t>55;48;56.43737N</t>
  </si>
  <si>
    <t>7;44;25.94364E</t>
  </si>
  <si>
    <t>55;48;56.34252N</t>
  </si>
  <si>
    <t>7;44;26.88959E</t>
  </si>
  <si>
    <t>003204_20230620_08.24_OI103996SEROV1SPRINTNAV500.bin</t>
  </si>
  <si>
    <t>55;48;56.68069N</t>
  </si>
  <si>
    <t>7;44;25.46189E</t>
  </si>
  <si>
    <t>55;48;56.43696N</t>
  </si>
  <si>
    <t>7;44;26.37209E</t>
  </si>
  <si>
    <t>0163_OI104287_SE_CPT_295_P05_20230620083343 - 0001.db</t>
  </si>
  <si>
    <t>230620083231.SBD</t>
  </si>
  <si>
    <t>OI104287_SEROV1_ET2200SSS_CPT_295_P05.001.jsf</t>
  </si>
  <si>
    <t>55;48;51.07307N</t>
  </si>
  <si>
    <t>7;44;25.68608E</t>
  </si>
  <si>
    <t>55;48;50.68277N</t>
  </si>
  <si>
    <t>7;44;26.56128E</t>
  </si>
  <si>
    <t>55;48;50.77046N</t>
  </si>
  <si>
    <t>7;44;25.12985E</t>
  </si>
  <si>
    <t>55;48;50.57837N</t>
  </si>
  <si>
    <t>7;44;26.04590E</t>
  </si>
  <si>
    <t>0164_OI104287_SE_CPT_295_P14_20230620084410 - 0001.db</t>
  </si>
  <si>
    <t>230620084403.SBD</t>
  </si>
  <si>
    <t>OI104287_SEROV1_ET2200SSS_CPT_295_P14.001.jsf</t>
  </si>
  <si>
    <t>003205_20230620_08.39_OI103996SEROV1SPRINTNAV500.bin</t>
  </si>
  <si>
    <t>55;48;56.66763N</t>
  </si>
  <si>
    <t>7;44;24.98610E</t>
  </si>
  <si>
    <t>55;48;56.47574N</t>
  </si>
  <si>
    <t>7;44;25.85881E</t>
  </si>
  <si>
    <t>55;48;56.79239N</t>
  </si>
  <si>
    <t>7;44;24.49716E</t>
  </si>
  <si>
    <t>55;48;56.42535N</t>
  </si>
  <si>
    <t>7;44;25.33980E</t>
  </si>
  <si>
    <t>0165_OI104287_SE_CPT_295_P23_20230620085421 - 0001.db</t>
  </si>
  <si>
    <t>230620085355.SBD</t>
  </si>
  <si>
    <t>OI104287_SEROV1_ET2200SSS_CPT_295_P23.001.jsf</t>
  </si>
  <si>
    <t>55;48;51.03473N</t>
  </si>
  <si>
    <t>7;44;24.67909E</t>
  </si>
  <si>
    <t>55;48;50.62891N</t>
  </si>
  <si>
    <t>7;44;25.52508E</t>
  </si>
  <si>
    <t>003206_20230620_08.54_OI103996SEROV1SPRINTNAV500.bin</t>
  </si>
  <si>
    <t>55;48;50.63503N</t>
  </si>
  <si>
    <t>7;44;24.14601E</t>
  </si>
  <si>
    <t>55;48;50.43156N</t>
  </si>
  <si>
    <t>7;44;25.01180E</t>
  </si>
  <si>
    <t>0166_OI104287_SE_CPT_295_P32_20230620090407 - 0001.db</t>
  </si>
  <si>
    <t>230620090346.SBD</t>
  </si>
  <si>
    <t>OI104287_SEROV1_ET2200SSS_CPT_295_P32.001.jsf</t>
  </si>
  <si>
    <t>55;48;56.48841N</t>
  </si>
  <si>
    <t>7;44;23.99614E</t>
  </si>
  <si>
    <t>55;48;56.30329N</t>
  </si>
  <si>
    <t>7;44;24.82623E</t>
  </si>
  <si>
    <t>55;48;56.85625N</t>
  </si>
  <si>
    <t>7;44;23.51017E</t>
  </si>
  <si>
    <t>55;48;56.42716N</t>
  </si>
  <si>
    <t>7;44;24.29606E</t>
  </si>
  <si>
    <t>0167_OI104287_SE_CPT_295_P41_20230620091403 - 0001.db</t>
  </si>
  <si>
    <t>230620091347.SBD</t>
  </si>
  <si>
    <t>OI104287_SEROV1_ET2200SSS_CPT_295_P41.001.jsf</t>
  </si>
  <si>
    <t>003207_20230620_09.09_OI103996SEROV1SPRINTNAV500.bin</t>
  </si>
  <si>
    <t>55;48;50.79137N</t>
  </si>
  <si>
    <t>7;44;23.72848E</t>
  </si>
  <si>
    <t>55;48;50.35417N</t>
  </si>
  <si>
    <t>7;44;24.49762E</t>
  </si>
  <si>
    <t>55;48;50.47765N</t>
  </si>
  <si>
    <t>7;44;23.15395E</t>
  </si>
  <si>
    <t>55;48;50.50655N</t>
  </si>
  <si>
    <t>7;44;23.97711E</t>
  </si>
  <si>
    <t>0168_OI104287_SE_CPT_295_P50_20230620092353 - 0001.db</t>
  </si>
  <si>
    <t>230620092338.SBD</t>
  </si>
  <si>
    <t>OI104287_SEROV1_ET2200SSS_CPT_295_P50.001.jsf</t>
  </si>
  <si>
    <t>55;48;56.62187N</t>
  </si>
  <si>
    <t>7;44;23.04772E</t>
  </si>
  <si>
    <t>55;48;56.63219N</t>
  </si>
  <si>
    <t>7;44;23.77675E</t>
  </si>
  <si>
    <t>003208_20230620_09.24_OI103996SEROV1SPRINTNAV500.bin</t>
  </si>
  <si>
    <t>55;48;57.11307N</t>
  </si>
  <si>
    <t>7;44;23.02593E</t>
  </si>
  <si>
    <t>55;48;56.95477N</t>
  </si>
  <si>
    <t>7;44;23.81567E</t>
  </si>
  <si>
    <t>55;48;57.33749N</t>
  </si>
  <si>
    <t>7;44;23.06075E</t>
  </si>
  <si>
    <t>55;48;56.94405N</t>
  </si>
  <si>
    <t>7;44;23.80632E</t>
  </si>
  <si>
    <t>Vessel on the move to BH_126</t>
  </si>
  <si>
    <t>55;48;57.34832N</t>
  </si>
  <si>
    <t>7;44;23.05108E</t>
  </si>
  <si>
    <t>55;48;57.15120N</t>
  </si>
  <si>
    <t>7;44;23.62980E</t>
  </si>
  <si>
    <t>ROV on latch</t>
  </si>
  <si>
    <t>55;48;57.34407N</t>
  </si>
  <si>
    <t>7;44;23.05784E</t>
  </si>
  <si>
    <t>55;48;57.16629N</t>
  </si>
  <si>
    <t>7;44;23.63583E</t>
  </si>
  <si>
    <t>55;48;26.92329N</t>
  </si>
  <si>
    <t>7;44;34.46400E</t>
  </si>
  <si>
    <t>55;48;26.87346N</t>
  </si>
  <si>
    <t>7;44;35.11133E</t>
  </si>
  <si>
    <t>OI104287_SE_SVX2_SVP_20230620_0954_554844N_0074457E_020</t>
  </si>
  <si>
    <t>55;48;26.91418N</t>
  </si>
  <si>
    <t>7;44;34.35191E</t>
  </si>
  <si>
    <t>55;48;26.51362N</t>
  </si>
  <si>
    <t>7;44;35.12581E</t>
  </si>
  <si>
    <t>SVP_020</t>
  </si>
  <si>
    <t>55;48;25.96041N</t>
  </si>
  <si>
    <t>7;44;34.61366E</t>
  </si>
  <si>
    <t>55;48;25.72425N</t>
  </si>
  <si>
    <t>7;44;35.65145E</t>
  </si>
  <si>
    <t>0169_OI104287_SE_BH_126_P72_20230620100340 - 0001.db</t>
  </si>
  <si>
    <t>230620100330.SBD</t>
  </si>
  <si>
    <t>OI104287_SEROV1_ET2200SSS_BH_126_P72.001.jsf</t>
  </si>
  <si>
    <t>003210_20230620_09.54_OI103996SEROV1SPRINTNAV500.bin</t>
  </si>
  <si>
    <t>55;48;18.64563N</t>
  </si>
  <si>
    <t>7;44;34.82715E</t>
  </si>
  <si>
    <t>55;48;18.39296N</t>
  </si>
  <si>
    <t>7;44;35.89165E</t>
  </si>
  <si>
    <t>003211_20230620_10.09_OI103996SEROV1SPRINTNAV500.bin</t>
  </si>
  <si>
    <t>55;48;18.38388N</t>
  </si>
  <si>
    <t>7;44;35.36760E</t>
  </si>
  <si>
    <t>55;48;18.30093N</t>
  </si>
  <si>
    <t>7;44;36.40704E</t>
  </si>
  <si>
    <t>0170_OI104287_SE_BH_126_P63_20230620101525 - 0001.db</t>
  </si>
  <si>
    <t>230620101509.SBD</t>
  </si>
  <si>
    <t>OI104287_SEROV1_ET2200SSS_BH_126_P63.001.jsf</t>
  </si>
  <si>
    <t>55;48;25.68685N</t>
  </si>
  <si>
    <t>7;44;35.11941E</t>
  </si>
  <si>
    <t>55;48;25.58650N</t>
  </si>
  <si>
    <t>7;44;36.18314E</t>
  </si>
  <si>
    <t>55;48;26.06525N</t>
  </si>
  <si>
    <t>7;44;35.57396E</t>
  </si>
  <si>
    <t>55;48;25.75276N</t>
  </si>
  <si>
    <t>7;44;36.68856E</t>
  </si>
  <si>
    <t>0171_OI104287_SE_BH_126_P54_20230620102532 - 0001.db</t>
  </si>
  <si>
    <t>230620102514.SBD</t>
  </si>
  <si>
    <t>OI104287_SEROV1_ET2200SSS_BH_126_P54.001.jsf</t>
  </si>
  <si>
    <t>003212_20230620_10.24_OI103996SEROV1SPRINTNAV500.bin</t>
  </si>
  <si>
    <t>55;48;18.75460N</t>
  </si>
  <si>
    <t>7;44;35.85763E</t>
  </si>
  <si>
    <t>55;48;18.37395N</t>
  </si>
  <si>
    <t>7;44;36.92635E</t>
  </si>
  <si>
    <t>55;48;18.37886N</t>
  </si>
  <si>
    <t>7;44;36.29770E</t>
  </si>
  <si>
    <t>55;48;18.29474N</t>
  </si>
  <si>
    <t>7;44;37.43720E</t>
  </si>
  <si>
    <t>0172_OI104287_SE_BH_126_P45_20230620103533 - 0001.db</t>
  </si>
  <si>
    <t>230620103512.SBD</t>
  </si>
  <si>
    <t>OI104287_SEROV1_ET2200SSS_BH_126_P45.001.jsf</t>
  </si>
  <si>
    <t>55;48;25.57577N</t>
  </si>
  <si>
    <t>7;44;36.09260E</t>
  </si>
  <si>
    <t>55;48;25.50080N</t>
  </si>
  <si>
    <t>7;44;37.21391E</t>
  </si>
  <si>
    <t>003213_20230620_10.39_OI103996SEROV1SPRINTNAV500.bin</t>
  </si>
  <si>
    <t>55;48;25.74186N</t>
  </si>
  <si>
    <t>7;44;36.63382E</t>
  </si>
  <si>
    <t>55;48;25.47048N</t>
  </si>
  <si>
    <t>7;44;37.72568E</t>
  </si>
  <si>
    <t>0173_OI104287_SE_BH_126_P36_20230620104702 - 0001.db</t>
  </si>
  <si>
    <t>230620104643.SBD</t>
  </si>
  <si>
    <t>OI104287_SEROV1_ET2200SSS_BH_126_P36.001.jsf</t>
  </si>
  <si>
    <t>55;48;18.70330N</t>
  </si>
  <si>
    <t>7;44;36.83828E</t>
  </si>
  <si>
    <t>55;48;18.38572N</t>
  </si>
  <si>
    <t>7;44;37.95561E</t>
  </si>
  <si>
    <t>55;48;18.48940N</t>
  </si>
  <si>
    <t>7;44;37.34604E</t>
  </si>
  <si>
    <t>55;48;18.32296N</t>
  </si>
  <si>
    <t>7;44;38.48095E</t>
  </si>
  <si>
    <t>0174_OI104287_SE_BH_126_P27_20230620105642 - 0001.db</t>
  </si>
  <si>
    <t>230620105623.SBD</t>
  </si>
  <si>
    <t>OI104287_SEROV1_ET2200SSS_BH_126_P27.001.jsf</t>
  </si>
  <si>
    <t>003214_20230620_10.54_OI103996SEROV1SPRINTNAV500.bin</t>
  </si>
  <si>
    <t>55;48;25.66433N</t>
  </si>
  <si>
    <t>7;44;37.13714E</t>
  </si>
  <si>
    <t>55;48;25.49537N</t>
  </si>
  <si>
    <t>7;44;38.24981E</t>
  </si>
  <si>
    <t>55;48;25.69372N</t>
  </si>
  <si>
    <t>7;44;37.67675E</t>
  </si>
  <si>
    <t>55;48;25.57684N</t>
  </si>
  <si>
    <t>7;44;38.76037E</t>
  </si>
  <si>
    <t>0175_OI104287_SE_BH_126_P18_20230620110813 - 0001.db</t>
  </si>
  <si>
    <t>230620110759.SBD</t>
  </si>
  <si>
    <t>OI104287_SEROV1_ET2200SSS_BH_126_P18.001.jsf</t>
  </si>
  <si>
    <t>55;48;18.56488N</t>
  </si>
  <si>
    <t>7;44;37.90060E</t>
  </si>
  <si>
    <t>55;48;18.40187N</t>
  </si>
  <si>
    <t>7;44;38.99181E</t>
  </si>
  <si>
    <t>003215_20230620_11.09_OI103996SEROV1SPRINTNAV500.bin</t>
  </si>
  <si>
    <t>55;48;18.17318N</t>
  </si>
  <si>
    <t>7;44;38.39851E</t>
  </si>
  <si>
    <t>55;48;18.23138N</t>
  </si>
  <si>
    <t>7;44;39.51746E</t>
  </si>
  <si>
    <t>0176_OI104287_SE_BH_126_P09_20230620111854 - 0001.db</t>
  </si>
  <si>
    <t>230620111837.SBD</t>
  </si>
  <si>
    <t>OI104287_SEROV1_ET2200SSS_BH_126_P09.001.jsf</t>
  </si>
  <si>
    <t>55;48;25.46890N</t>
  </si>
  <si>
    <t>7;44;38.18895E</t>
  </si>
  <si>
    <t>55;48;25.52389N</t>
  </si>
  <si>
    <t>7;44;39.28270E</t>
  </si>
  <si>
    <t>003216_20230620_11.24_OI103996SEROV1SPRINTNAV500.bin</t>
  </si>
  <si>
    <t>55;48;25.69911N</t>
  </si>
  <si>
    <t>7;44;38.71822E</t>
  </si>
  <si>
    <t>55;48;25.63312N</t>
  </si>
  <si>
    <t>7;44;39.79929E</t>
  </si>
  <si>
    <t>0177_OI104287_SE_BH_126_C00_20230620113032 - 0001.db</t>
  </si>
  <si>
    <t>230620112958.SBD</t>
  </si>
  <si>
    <t>OI104287_SEROV1_ET2200SSS_BH_126_C00.001.jsf</t>
  </si>
  <si>
    <t>55;48;18.61376N</t>
  </si>
  <si>
    <t>7;44;38.90935E</t>
  </si>
  <si>
    <t>55;48;18.47926N</t>
  </si>
  <si>
    <t>7;44;40.02470E</t>
  </si>
  <si>
    <t>55;48;18.45479N</t>
  </si>
  <si>
    <t>7;44;39.40653E</t>
  </si>
  <si>
    <t>55;48;18.24194N</t>
  </si>
  <si>
    <t>7;44;40.54823E</t>
  </si>
  <si>
    <t>0178_OI104287_SE_BH_126_S09_20230620114021 - 0001.db</t>
  </si>
  <si>
    <t>230620114001.SBD</t>
  </si>
  <si>
    <t>OI104287_SEROV1_ET2200SSS_BH_126_S09.001.jsf</t>
  </si>
  <si>
    <t>003217_20230620_11.39_OI103996SEROV1SPRINTNAV500.bin</t>
  </si>
  <si>
    <t>55;48;25.68165N</t>
  </si>
  <si>
    <t>7;44;39.22364E</t>
  </si>
  <si>
    <t>55;48;25.54274N</t>
  </si>
  <si>
    <t>7;44;40.32162E</t>
  </si>
  <si>
    <t>55;48;25.89970N</t>
  </si>
  <si>
    <t>7;44;39.75501E</t>
  </si>
  <si>
    <t>55;48;25.82971N</t>
  </si>
  <si>
    <t>7;44;40.81769E</t>
  </si>
  <si>
    <t>0179_OI104287_SE_BH_126_S18_20230620115140 - 0001.db</t>
  </si>
  <si>
    <t>230620115126.SBD</t>
  </si>
  <si>
    <t>OI104287_SEROV1_ET2200SSS_BH_126_S18.001.jsf</t>
  </si>
  <si>
    <t>55;48;18.54780N</t>
  </si>
  <si>
    <t>7;44;39.94545E</t>
  </si>
  <si>
    <t>55;48;18.45105N</t>
  </si>
  <si>
    <t>7;44;41.06301E</t>
  </si>
  <si>
    <t>003218_20230620_11.54_OI103996SEROV1SPRINTNAV500.bin</t>
  </si>
  <si>
    <t>55;48;18.29395N</t>
  </si>
  <si>
    <t>7;44;40.48883E</t>
  </si>
  <si>
    <t>55;48;18.29354N</t>
  </si>
  <si>
    <t>7;44;41.58504E</t>
  </si>
  <si>
    <t>0180_OI104287_SE_BH_126_S27_20230620120208 - 0001.db</t>
  </si>
  <si>
    <t>230620120154.SBD</t>
  </si>
  <si>
    <t>OI104287_SEROV1_ET2200SSS_BH_126_S27.001.jsf</t>
  </si>
  <si>
    <t>55;48;25.82295N</t>
  </si>
  <si>
    <t>7;44;40.30701E</t>
  </si>
  <si>
    <t>55;48;25.78098N</t>
  </si>
  <si>
    <t>7;44;41.34636E</t>
  </si>
  <si>
    <t>55;48;25.99577N</t>
  </si>
  <si>
    <t>7;44;40.75583E</t>
  </si>
  <si>
    <t>55;48;25.92310N</t>
  </si>
  <si>
    <t>7;44;41.85269E</t>
  </si>
  <si>
    <t>0181_OI104287_SE_BH_126_S36_20230620121205 - 0001.db</t>
  </si>
  <si>
    <t>230620121153.SBD</t>
  </si>
  <si>
    <t>OI104287_SEROV1_ET2200SSS_BH_126_S36.001.jsf</t>
  </si>
  <si>
    <t>003219_20230620_12.09_OI103996SEROV1SPRINTNAV500.bin</t>
  </si>
  <si>
    <t>55;48;18.71998N</t>
  </si>
  <si>
    <t>7;44;40.99360E</t>
  </si>
  <si>
    <t>55;48;18.48681N</t>
  </si>
  <si>
    <t>7;44;42.09167E</t>
  </si>
  <si>
    <t>230620121827.SBD</t>
  </si>
  <si>
    <t>55;48;18.42682N</t>
  </si>
  <si>
    <t>7;44;41.43426E</t>
  </si>
  <si>
    <t>55;48;18.28313N</t>
  </si>
  <si>
    <t>7;44;42.61612E</t>
  </si>
  <si>
    <t>0182_OI104287_SE_BH_126_S45_20230620122151 - 0001.db</t>
  </si>
  <si>
    <t>230620122135.SBD</t>
  </si>
  <si>
    <t>OI104287_SEROV1_ET2200SSS_BH_126_S45.001.jsf</t>
  </si>
  <si>
    <t>55;48;25.85380N</t>
  </si>
  <si>
    <t>7;44;41.27615E</t>
  </si>
  <si>
    <t>55;48;25.66375N</t>
  </si>
  <si>
    <t>7;44;42.38316E</t>
  </si>
  <si>
    <t>003220_20230620_12.24_OI103996SEROV1SPRINTNAV500.bin</t>
  </si>
  <si>
    <t>55;48;25.93119N</t>
  </si>
  <si>
    <t>7;44;41.78956E</t>
  </si>
  <si>
    <t>55;48;25.77132N</t>
  </si>
  <si>
    <t>7;44;42.90429E</t>
  </si>
  <si>
    <t>0183_OI104287_SE_BH_126_S54_20230620123211 - 0001.db</t>
  </si>
  <si>
    <t>230620123155.SBD</t>
  </si>
  <si>
    <t>OI104287_SEROV1_ET2200SSS_BH_126_S54.001.jsf</t>
  </si>
  <si>
    <t>55;48;18.70387N</t>
  </si>
  <si>
    <t>7;44;42.02552E</t>
  </si>
  <si>
    <t>55;48;18.48907N</t>
  </si>
  <si>
    <t>7;44;43.12848E</t>
  </si>
  <si>
    <t>55;48;18.42405N</t>
  </si>
  <si>
    <t>7;44;42.48051E</t>
  </si>
  <si>
    <t>55;48;18.32914N</t>
  </si>
  <si>
    <t>7;44;43.63995E</t>
  </si>
  <si>
    <t>0184_OI104287_SE_BH_126_S63_20230620124215 - 0001.db</t>
  </si>
  <si>
    <t>230620124204.SBD</t>
  </si>
  <si>
    <t>OI104287_SEROV1_ET2200SSS_BH_126_S63.001.jsf</t>
  </si>
  <si>
    <t>003221_20230620_12.39_OI103996SEROV1SPRINTNAV500.bin</t>
  </si>
  <si>
    <t>55;48;25.74962N</t>
  </si>
  <si>
    <t>7;44;42.31464E</t>
  </si>
  <si>
    <t>55;48;25.68260N</t>
  </si>
  <si>
    <t>7;44;43.41364E</t>
  </si>
  <si>
    <t>55;48;25.93864N</t>
  </si>
  <si>
    <t>7;44;42.81380E</t>
  </si>
  <si>
    <t>55;48;25.81688N</t>
  </si>
  <si>
    <t>7;44;43.92902E</t>
  </si>
  <si>
    <t>0185_OI104287_SE_BH_126_S72_20230620125239 - 0001.db</t>
  </si>
  <si>
    <t>230620125230.SBD</t>
  </si>
  <si>
    <t>OI104287_SEROV1_ET2200SSS_BH_126_S72.001.jsf</t>
  </si>
  <si>
    <t>55;48;18.70008N</t>
  </si>
  <si>
    <t>7;44;43.05996E</t>
  </si>
  <si>
    <t>55;48;18.52920N</t>
  </si>
  <si>
    <t>7;44;44.15594E</t>
  </si>
  <si>
    <t>003222_20230620_12.54_OI103996SEROV1SPRINTNAV500.bin</t>
  </si>
  <si>
    <t>55;48;18.04163N</t>
  </si>
  <si>
    <t>7;44;43.05882E</t>
  </si>
  <si>
    <t>55;48;18.03946N</t>
  </si>
  <si>
    <t>7;44;44.12637E</t>
  </si>
  <si>
    <t>55;48;18.03889N</t>
  </si>
  <si>
    <t>7;44;43.08537E</t>
  </si>
  <si>
    <t>55;48;17.93642N</t>
  </si>
  <si>
    <t>7;44;43.74858E</t>
  </si>
  <si>
    <t>Vessel on the move to CPT_180</t>
  </si>
  <si>
    <t>55;48;18.04040N</t>
  </si>
  <si>
    <t>7;44;43.08739E</t>
  </si>
  <si>
    <t>55;48;18.00597N</t>
  </si>
  <si>
    <t>7;44;43.69366E</t>
  </si>
  <si>
    <t>55;48;18.04124N</t>
  </si>
  <si>
    <t>7;44;43.08948E</t>
  </si>
  <si>
    <t>55;48;18.00537N</t>
  </si>
  <si>
    <t>7;44;43.69607E</t>
  </si>
  <si>
    <t>Vessel in location, WROV out of latch</t>
  </si>
  <si>
    <t>55;47;41.24425N</t>
  </si>
  <si>
    <t>7;43;16.81501E</t>
  </si>
  <si>
    <t>55;47;41.18254N</t>
  </si>
  <si>
    <t>7;43;17.44880E</t>
  </si>
  <si>
    <t>OI104287_SE_SVX2_SVP_20230620_1326_554768N_0074328E_021</t>
  </si>
  <si>
    <t>55;47;41.24683N</t>
  </si>
  <si>
    <t>7;43;16.80354E</t>
  </si>
  <si>
    <t>55;47;41.42244N</t>
  </si>
  <si>
    <t>7;43;17.61144E</t>
  </si>
  <si>
    <t>SVP_021</t>
  </si>
  <si>
    <t>55;47;40.35875N</t>
  </si>
  <si>
    <t>7;43;16.82658E</t>
  </si>
  <si>
    <t>55;47;40.36435N</t>
  </si>
  <si>
    <t>7;43;18.05381E</t>
  </si>
  <si>
    <t>0186_OI104287_SE_CPT_180_S50_20230620133151 - 0001.db</t>
  </si>
  <si>
    <t>230620133110.SBD</t>
  </si>
  <si>
    <t>OI104287_SEROV1_ET2200SSS_CPT_180_S50.001.jsf</t>
  </si>
  <si>
    <t>003224_20230620_13.24_OI103996SEROV1SPRINTNAV500.bin</t>
  </si>
  <si>
    <t>55;47;34.71822N</t>
  </si>
  <si>
    <t>7;43;17.00148E</t>
  </si>
  <si>
    <t>55;47;34.75545N</t>
  </si>
  <si>
    <t>7;43;18.23365E</t>
  </si>
  <si>
    <t>55;47;35.24058N</t>
  </si>
  <si>
    <t>7;43;16.46728E</t>
  </si>
  <si>
    <t>55;47;35.07606N</t>
  </si>
  <si>
    <t>7;43;17.69865E</t>
  </si>
  <si>
    <t>0187_OI104287_SE_CPT_180_S41_20230620134150 - 0001.db</t>
  </si>
  <si>
    <t>230620134143.SBD</t>
  </si>
  <si>
    <t>OI104287_SEROV1_ET2200SSS_CPT_180_S41.001.jsf</t>
  </si>
  <si>
    <t>003225_20230620_13.39_OI103996SEROV1SPRINTNAV500.bin</t>
  </si>
  <si>
    <t>55;47;40.85568N</t>
  </si>
  <si>
    <t>7;43;16.27813E</t>
  </si>
  <si>
    <t>55;47;40.69658N</t>
  </si>
  <si>
    <t>7;43;17.52545E</t>
  </si>
  <si>
    <t>55;47;40.70132N</t>
  </si>
  <si>
    <t>7;43;15.83948E</t>
  </si>
  <si>
    <t>55;47;40.66384N</t>
  </si>
  <si>
    <t>7;43;17.00704E</t>
  </si>
  <si>
    <t>0188_OI104287_SE_CPT_180_S32_20230620135022 - 0001.db</t>
  </si>
  <si>
    <t>230620135007.SBD</t>
  </si>
  <si>
    <t>OI104287_SEROV1_ET2200SSS_CPT_180_S32.001.jsf</t>
  </si>
  <si>
    <t>55;47;34.90331N</t>
  </si>
  <si>
    <t>7;43;16.02091E</t>
  </si>
  <si>
    <t>55;47;34.85020N</t>
  </si>
  <si>
    <t>7;43;17.19473E</t>
  </si>
  <si>
    <t>003226_20230620_13.54_OI103996SEROV1SPRINTNAV500.bin</t>
  </si>
  <si>
    <t>55;47;34.43762N</t>
  </si>
  <si>
    <t>7;43;15.52257E</t>
  </si>
  <si>
    <t>55;47;34.62736N</t>
  </si>
  <si>
    <t>7;43;16.68991E</t>
  </si>
  <si>
    <t>0189_OI104287_SE_CPT_180_S23_20230620140006 - 0001.db</t>
  </si>
  <si>
    <t>230620135954.SBD</t>
  </si>
  <si>
    <t>OI104287_SEROV1_ET2200SSS_CPT_180_S23.001.jsf</t>
  </si>
  <si>
    <t>55;47;40.43102N</t>
  </si>
  <si>
    <t>7;43;15.30963E</t>
  </si>
  <si>
    <t>55;47;40.43904N</t>
  </si>
  <si>
    <t>7;43;16.49890E</t>
  </si>
  <si>
    <t>55;47;40.73975N</t>
  </si>
  <si>
    <t>7;43;14.80418E</t>
  </si>
  <si>
    <t>55;47;40.61269N</t>
  </si>
  <si>
    <t>7;43;15.97295E</t>
  </si>
  <si>
    <t>0190_OI104287_SE_CPT_180_S14_20230620140953 - 0001.db</t>
  </si>
  <si>
    <t>230620140924.SBD</t>
  </si>
  <si>
    <t>OI104287_SEROV1_ET2200SSS_CPT_180_S14.001.jsf</t>
  </si>
  <si>
    <t>003227_20230620_14.09_OI103996SEROV1SPRINTNAV500.bin</t>
  </si>
  <si>
    <t>55;47;34.90941N</t>
  </si>
  <si>
    <t>7;43;15.01009E</t>
  </si>
  <si>
    <t>55;47;34.76677N</t>
  </si>
  <si>
    <t>7;43;16.16396E</t>
  </si>
  <si>
    <t>55;47;34.57384N</t>
  </si>
  <si>
    <t>7;43;14.49012E</t>
  </si>
  <si>
    <t>55;47;34.53382N</t>
  </si>
  <si>
    <t>7;43;15.65249E</t>
  </si>
  <si>
    <t>0191_OI104287_SE_CPT_180_S05_20230620142041 - 0001.db</t>
  </si>
  <si>
    <t>230620142030.SBD</t>
  </si>
  <si>
    <t>OI104287_SEROV1_ET2200SSS_CPT_180_S05.001.jsf</t>
  </si>
  <si>
    <t>55;47;40.59199N</t>
  </si>
  <si>
    <t>7;43;14.29128E</t>
  </si>
  <si>
    <t>55;47;40.43451N</t>
  </si>
  <si>
    <t>7;43;15.46632E</t>
  </si>
  <si>
    <t>003228_20230620_14.24_OI103996SEROV1SPRINTNAV500.bin</t>
  </si>
  <si>
    <t>55;47;40.78142N</t>
  </si>
  <si>
    <t>7;43;13.78326E</t>
  </si>
  <si>
    <t>55;47;40.62446N</t>
  </si>
  <si>
    <t>7;43;14.93584E</t>
  </si>
  <si>
    <t>0192_OI104287_SE_CPT_180_P05_20230620143101 - 0001.db</t>
  </si>
  <si>
    <t>230620143026.SBD</t>
  </si>
  <si>
    <t>OI104287_SEROV1_ET2200SSS_CPT_180_P05.001.jsf</t>
  </si>
  <si>
    <t>55;47;34.86366N</t>
  </si>
  <si>
    <t>7;43;13.95072E</t>
  </si>
  <si>
    <t>55;47;34.71698N</t>
  </si>
  <si>
    <t>7;43;15.12805E</t>
  </si>
  <si>
    <t>55;47;34.65981N</t>
  </si>
  <si>
    <t>7;43;13.43886E</t>
  </si>
  <si>
    <t>55;47;34.61137N</t>
  </si>
  <si>
    <t>7;43;14.61689E</t>
  </si>
  <si>
    <t>0193_OI104287_SE_CPT_180_P14_20230620144107 - 0001.db</t>
  </si>
  <si>
    <t>230620144058.SBD</t>
  </si>
  <si>
    <t>OI104287_SEROV1_ET2200SSS_CPT_180_P14.001.jsf</t>
  </si>
  <si>
    <t>003229_20230620_14.39_OI103996SEROV1SPRINTNAV500.bin</t>
  </si>
  <si>
    <t>55;47;40.54319N</t>
  </si>
  <si>
    <t>7;43;13.26796E</t>
  </si>
  <si>
    <t>55;47;40.40418N</t>
  </si>
  <si>
    <t>7;43;14.42951E</t>
  </si>
  <si>
    <t>55;47;40.64732N</t>
  </si>
  <si>
    <t>7;43;12.74783E</t>
  </si>
  <si>
    <t>55;47;40.71861N</t>
  </si>
  <si>
    <t>7;43;13.91080E</t>
  </si>
  <si>
    <t>0194_OI104287_SE_CPT_180_P23_20230620145056 - 0001.db</t>
  </si>
  <si>
    <t>230620145045.SBD</t>
  </si>
  <si>
    <t>OI104287_SEROV1_ET2200SSS_CPT_180_P23.001.jsf</t>
  </si>
  <si>
    <t>55;47;34.79813N</t>
  </si>
  <si>
    <t>7;43;12.91425E</t>
  </si>
  <si>
    <t>55;47;34.77673N</t>
  </si>
  <si>
    <t>7;43;14.09638E</t>
  </si>
  <si>
    <t>003230_20230620_14.54_OI103996SEROV1SPRINTNAV500.bin</t>
  </si>
  <si>
    <t>55;47;34.50566N</t>
  </si>
  <si>
    <t>7;43;12.40363E</t>
  </si>
  <si>
    <t>55;47;34.51300N</t>
  </si>
  <si>
    <t>7;43;13.58582E</t>
  </si>
  <si>
    <t>0195_OI104287_SE_CPT_180_P32_20230620150036 - 0001.db</t>
  </si>
  <si>
    <t>230620150014.SBD</t>
  </si>
  <si>
    <t>OI104287_SEROV1_ET2200SSS_CPT_180_P32.001.jsf</t>
  </si>
  <si>
    <t>55;47;40.42270N</t>
  </si>
  <si>
    <t>7;43;12.23201E</t>
  </si>
  <si>
    <t>55;47;40.41203N</t>
  </si>
  <si>
    <t>7;43;13.40024E</t>
  </si>
  <si>
    <t>55;47;40.50723N</t>
  </si>
  <si>
    <t>7;43;11.72048E</t>
  </si>
  <si>
    <t>55;47;40.60469N</t>
  </si>
  <si>
    <t>7;43;12.87641E</t>
  </si>
  <si>
    <t>0196_OI104287_SE_CPT_180_P41_20230620151108 - 0001.db</t>
  </si>
  <si>
    <t>230620151010.SBD</t>
  </si>
  <si>
    <t>OI104287_SEROV1_ET2200SSS_CPT_180_P41.001.jsf</t>
  </si>
  <si>
    <t>003231_20230620_15.09_OI103996SEROV1SPRINTNAV500.bin</t>
  </si>
  <si>
    <t>55;47;34.56530N</t>
  </si>
  <si>
    <t>7;43;11.90409E</t>
  </si>
  <si>
    <t>55;47;34.63309N</t>
  </si>
  <si>
    <t>7;43;13.06772E</t>
  </si>
  <si>
    <t>55;47;34.38685N</t>
  </si>
  <si>
    <t>7;43;11.38071E</t>
  </si>
  <si>
    <t>55;47;34.48131N</t>
  </si>
  <si>
    <t>7;43;12.55987E</t>
  </si>
  <si>
    <t>0197_OI104287_SE_CPT_180_P50_20230620152140 - 0001.db</t>
  </si>
  <si>
    <t>230620152118.SBD</t>
  </si>
  <si>
    <t>OI104287_SEROV1_ET2200SSS_CPT_180_P50.001.jsf</t>
  </si>
  <si>
    <t>55;47;40.24116N</t>
  </si>
  <si>
    <t>7;43;11.19546E</t>
  </si>
  <si>
    <t>55;47;40.39332N</t>
  </si>
  <si>
    <t>7;43;12.36796E</t>
  </si>
  <si>
    <t>003232_20230620_15.24_OI103996SEROV1SPRINTNAV500.bin</t>
  </si>
  <si>
    <t>55;47;34.55076N</t>
  </si>
  <si>
    <t>7;43;16.76503E</t>
  </si>
  <si>
    <t>55;47;34.58240N</t>
  </si>
  <si>
    <t>7;43;17.72008E</t>
  </si>
  <si>
    <t>0198_OI104287_SE_CPT_180_S41_20230620154032 - 0001.db</t>
  </si>
  <si>
    <t>003233_20230620_15.39_OI103996SEROV1SPRINTNAV500.bin</t>
  </si>
  <si>
    <t>55;47;35.42916N</t>
  </si>
  <si>
    <t>7;43;16.71526E</t>
  </si>
  <si>
    <t>55;47;35.58330N</t>
  </si>
  <si>
    <t>7;43;17.68718E</t>
  </si>
  <si>
    <t>BM06</t>
  </si>
  <si>
    <t>55;47;35.81882N</t>
  </si>
  <si>
    <t>7;43;16.72977E</t>
  </si>
  <si>
    <t>55;47;35.74051N</t>
  </si>
  <si>
    <t>7;43;17.80094E</t>
  </si>
  <si>
    <t>Log on. Infill for grad data</t>
  </si>
  <si>
    <t>55;47;41.24234N</t>
  </si>
  <si>
    <t>7;42;48.33018E</t>
  </si>
  <si>
    <t>55;47;40.89452N</t>
  </si>
  <si>
    <t>7;42;48.14661E</t>
  </si>
  <si>
    <t>55;47;41.26624N</t>
  </si>
  <si>
    <t>7;42;48.14994E</t>
  </si>
  <si>
    <t>Vessel on the move to CPT_224</t>
  </si>
  <si>
    <t>OI104287_SE_SVX2_SVP_20230620_1640_554815N_0073935E_022</t>
  </si>
  <si>
    <t>55;48;09.28169N</t>
  </si>
  <si>
    <t>7;39;21.24356E</t>
  </si>
  <si>
    <t>55;48;09.24863N</t>
  </si>
  <si>
    <t>7;39;22.25032E</t>
  </si>
  <si>
    <t>SVP_022</t>
  </si>
  <si>
    <t>55;48;09.60436N</t>
  </si>
  <si>
    <t>7;39;21.23178E</t>
  </si>
  <si>
    <t>55;48;09.56380N</t>
  </si>
  <si>
    <t>7;39;22.26752E</t>
  </si>
  <si>
    <t>0199_OI104287_SE_CPT_224_S50_20230620164804 - 0001.db</t>
  </si>
  <si>
    <t>230620164756.SBD</t>
  </si>
  <si>
    <t>OI104287_SEROV1_ET2200SSS_CPT_224_S50.001.jsf</t>
  </si>
  <si>
    <t>003237_20230620_16.39_OI103996SEROV1SPRINTNAV500.bin</t>
  </si>
  <si>
    <t>55;48;15.50669N</t>
  </si>
  <si>
    <t>7;39;20.94109E</t>
  </si>
  <si>
    <t>55;48;15.46661N</t>
  </si>
  <si>
    <t>7;39;22.06082E</t>
  </si>
  <si>
    <t>55;48;15.83003N</t>
  </si>
  <si>
    <t>7;39;20.41206E</t>
  </si>
  <si>
    <t>55;48;15.71238N</t>
  </si>
  <si>
    <t>7;39;21.53880E</t>
  </si>
  <si>
    <t>0200_OI104287_SE_CPT_224_S41_20230620165811 - 0001.db</t>
  </si>
  <si>
    <t>230620165740.SBD</t>
  </si>
  <si>
    <t>OI104287_SEROV1_ET2200SSS_CPT_224_S41.001.jsf</t>
  </si>
  <si>
    <t>003238_20230620_16.54_OI103996SEROV1SPRINTNAV500.bin</t>
  </si>
  <si>
    <t>55;48;09.97886N</t>
  </si>
  <si>
    <t>7;39;20.61216E</t>
  </si>
  <si>
    <t>55;48;09.73987N</t>
  </si>
  <si>
    <t>7;39;21.74097E</t>
  </si>
  <si>
    <t>55;48;09.29638N</t>
  </si>
  <si>
    <t>7;39;20.13666E</t>
  </si>
  <si>
    <t>55;48;09.50723N</t>
  </si>
  <si>
    <t>7;39;21.23222E</t>
  </si>
  <si>
    <t>0201_OI104287_SE_CPT_224_S32_20230620170739 - 0001.db</t>
  </si>
  <si>
    <t>230620170732.SBD</t>
  </si>
  <si>
    <t>OI104287_SEROV1_ET2200SSS_CPT_224_S32.001.jsf</t>
  </si>
  <si>
    <t>55;48;15.28713N</t>
  </si>
  <si>
    <t>7;39;19.88363E</t>
  </si>
  <si>
    <t>55;48;15.53571N</t>
  </si>
  <si>
    <t>7;39;21.01647E</t>
  </si>
  <si>
    <t>003239_20230620_17.09_OI103996SEROV1SPRINTNAV500.bin</t>
  </si>
  <si>
    <t>55;48;15.96052N</t>
  </si>
  <si>
    <t>7;39;19.39824E</t>
  </si>
  <si>
    <t>55;48;15.78012N</t>
  </si>
  <si>
    <t>7;39;20.49988E</t>
  </si>
  <si>
    <t>0202_OI104287_SE_CPT_224_S23_20230620171736 - 0001.db</t>
  </si>
  <si>
    <t>230620171730.SBD</t>
  </si>
  <si>
    <t>OI104287_SEROV1_ET2200SSS_CPT_224_S23.001.jsf</t>
  </si>
  <si>
    <t>55;48;09.91255N</t>
  </si>
  <si>
    <t>7;39;19.59436E</t>
  </si>
  <si>
    <t>55;48;09.70487N</t>
  </si>
  <si>
    <t>7;39;20.70235E</t>
  </si>
  <si>
    <t>55;48;09.49347N</t>
  </si>
  <si>
    <t>7;39;19.05932E</t>
  </si>
  <si>
    <t>55;48;09.45170N</t>
  </si>
  <si>
    <t>7;39;20.19873E</t>
  </si>
  <si>
    <t>0203_OI104287_SE_CPT_224_S14_20230620172746 - 0001.db</t>
  </si>
  <si>
    <t>230620172723.SBD</t>
  </si>
  <si>
    <t>OI104287_SEROV1_ET2200SSS_CPT_224_S14.001.jsf</t>
  </si>
  <si>
    <t>003240_20230620_17.24_OI103996SEROV1SPRINTNAV500.bin</t>
  </si>
  <si>
    <t>55;48;15.55646N</t>
  </si>
  <si>
    <t>7;39;18.79463E</t>
  </si>
  <si>
    <t>55;48;15.58127N</t>
  </si>
  <si>
    <t>7;39;19.98298E</t>
  </si>
  <si>
    <t>55;48;16.02173N</t>
  </si>
  <si>
    <t>7;39;18.36954E</t>
  </si>
  <si>
    <t>55;48;15.83851N</t>
  </si>
  <si>
    <t>7;39;19.47785E</t>
  </si>
  <si>
    <t>0204_OI104287_SE_CPT_224_S05_20230620173738 - 0001.db</t>
  </si>
  <si>
    <t>230620173726.SBD</t>
  </si>
  <si>
    <t>OI104287_SEROV1_ET2200SSS_CPT_224_S05.001.jsf</t>
  </si>
  <si>
    <t>55;48;09.80456N</t>
  </si>
  <si>
    <t>7;39;18.55493E</t>
  </si>
  <si>
    <t>55;48;09.65795N</t>
  </si>
  <si>
    <t>7;39;19.68697E</t>
  </si>
  <si>
    <t>003241_20230620_17.39_OI103996SEROV1SPRINTNAV500.bin</t>
  </si>
  <si>
    <t>55;48;09.54589N</t>
  </si>
  <si>
    <t>7;39;18.07711E</t>
  </si>
  <si>
    <t>55;48;09.45065N</t>
  </si>
  <si>
    <t>7;39;19.15981E</t>
  </si>
  <si>
    <t>0205_OI104287_SE_CPT_224_P05_20230620174756 - 0001.db</t>
  </si>
  <si>
    <t>230620174752.SBD</t>
  </si>
  <si>
    <t>OI104287_SEROV1_ET2200SSS_CPT_224_P05.001.jsf</t>
  </si>
  <si>
    <t>55;48;15.61632N</t>
  </si>
  <si>
    <t>7;39;17.82612E</t>
  </si>
  <si>
    <t>55;48;15.64358N</t>
  </si>
  <si>
    <t>7;39;18.94949E</t>
  </si>
  <si>
    <t>55;48;16.09645N</t>
  </si>
  <si>
    <t>7;39;17.34369E</t>
  </si>
  <si>
    <t>55;48;15.81135N</t>
  </si>
  <si>
    <t>7;39;18.43079E</t>
  </si>
  <si>
    <t>0206_OI104287_SE_CPT_224_P14_20230620175725 - 0001.db</t>
  </si>
  <si>
    <t>230620175709.SBD</t>
  </si>
  <si>
    <t>OI104287_SEROV1_ET2200SSS_CPT_224_P14.001.jsf</t>
  </si>
  <si>
    <t>003242_20230620_17.54_OI103996SEROV1SPRINTNAV500.bin</t>
  </si>
  <si>
    <t>55;48;09.88101N</t>
  </si>
  <si>
    <t>7;39;17.51646E</t>
  </si>
  <si>
    <t>55;48;09.61963N</t>
  </si>
  <si>
    <t>7;39;18.64141E</t>
  </si>
  <si>
    <t>55;48;09.71122N</t>
  </si>
  <si>
    <t>7;39;16.97136E</t>
  </si>
  <si>
    <t>55;48;09.47313N</t>
  </si>
  <si>
    <t>7;39;18.12753E</t>
  </si>
  <si>
    <t>0207_OI104287_SE_CPT_224_P23_20230620180830 - 0001.db</t>
  </si>
  <si>
    <t>230620180823.SBD</t>
  </si>
  <si>
    <t>OI104287_SEROV1_ET2200SSS_CPT_224_P23.001.jsf</t>
  </si>
  <si>
    <t>55;48;15.80507N</t>
  </si>
  <si>
    <t>7;39;16.70765E</t>
  </si>
  <si>
    <t>55;48;15.63559N</t>
  </si>
  <si>
    <t>7;39;17.91389E</t>
  </si>
  <si>
    <t>003243_20230620_18.09_OI103996SEROV1SPRINTNAV500.bin</t>
  </si>
  <si>
    <t>55;48;15.97500N</t>
  </si>
  <si>
    <t>7;39;16.22693E</t>
  </si>
  <si>
    <t>55;48;15.77514N</t>
  </si>
  <si>
    <t>7;39;17.40032E</t>
  </si>
  <si>
    <t>0208_OI104287_SE_CPT_224_P32_20230620181826 - 0001.db</t>
  </si>
  <si>
    <t>230620181818.SBD</t>
  </si>
  <si>
    <t>OI104287_SEROV1_ET2200SSS_CPT_224_P32.001.jsf</t>
  </si>
  <si>
    <t>55;48;09.75813N</t>
  </si>
  <si>
    <t>7;39;16.42986E</t>
  </si>
  <si>
    <t>55;48;09.63864N</t>
  </si>
  <si>
    <t>7;39;17.60913E</t>
  </si>
  <si>
    <t>003244_20230620_18.24_OI103996SEROV1SPRINTNAV500.bin</t>
  </si>
  <si>
    <t>55;48;09.52443N</t>
  </si>
  <si>
    <t>7;39;15.97154E</t>
  </si>
  <si>
    <t>55;48;09.46830N</t>
  </si>
  <si>
    <t>7;39;17.09223E</t>
  </si>
  <si>
    <t>0209_OI104287_SE_CPT_224_P41_20230620182747 - 0001.db</t>
  </si>
  <si>
    <t>230620182740.SBD</t>
  </si>
  <si>
    <t>OI104287_SEROV1_ET2200SSS_CPT_224_P41.001.jsf</t>
  </si>
  <si>
    <t>55;48;15.56649N</t>
  </si>
  <si>
    <t>7;39;15.69698E</t>
  </si>
  <si>
    <t>55;48;15.58338N</t>
  </si>
  <si>
    <t>7;39;16.88282E</t>
  </si>
  <si>
    <t>55;48;15.88326N</t>
  </si>
  <si>
    <t>7;39;15.22836E</t>
  </si>
  <si>
    <t>55;48;15.78058N</t>
  </si>
  <si>
    <t>7;39;16.36472E</t>
  </si>
  <si>
    <t>0210_OI104287_SE_CPT_224_P50_20230620183750 - 0001.db</t>
  </si>
  <si>
    <t>230620183744.SBD</t>
  </si>
  <si>
    <t>OI104287_SEROV1_ET2200SSS_CPT_224_P50.001.jsf</t>
  </si>
  <si>
    <t>55;48;09.76305N</t>
  </si>
  <si>
    <t>7;39;15.40923E</t>
  </si>
  <si>
    <t>55;48;09.64226N</t>
  </si>
  <si>
    <t>7;39;16.57564E</t>
  </si>
  <si>
    <t>003245_20230620_18.39_OI103996SEROV1SPRINTNAV500.bin</t>
  </si>
  <si>
    <t>55;48;09.23930N</t>
  </si>
  <si>
    <t>7;39;15.42053E</t>
  </si>
  <si>
    <t>55;48;09.14045N</t>
  </si>
  <si>
    <t>7;39;16.16737E</t>
  </si>
  <si>
    <t>55;48;09.24489N</t>
  </si>
  <si>
    <t>7;39;16.14158E</t>
  </si>
  <si>
    <t>55;48;09.13849N</t>
  </si>
  <si>
    <t>7;39;16.87558E</t>
  </si>
  <si>
    <t>Vessel on the move 80 to E, S32 infill</t>
  </si>
  <si>
    <t>55;48;09.23205N</t>
  </si>
  <si>
    <t>7;39;20.08409E</t>
  </si>
  <si>
    <t>55;48;09.31169N</t>
  </si>
  <si>
    <t>7;39;21.22951E</t>
  </si>
  <si>
    <t>Primary USBL beacon droped out. Switched over to port transponder</t>
  </si>
  <si>
    <t>55;48;09.43733N</t>
  </si>
  <si>
    <t>7;39;20.06564E</t>
  </si>
  <si>
    <t>55;48;09.41489N</t>
  </si>
  <si>
    <t>7;39;21.23886E</t>
  </si>
  <si>
    <t>0211_OI104287_SE_CPT_224_S32_20230620195236 - 0001.db</t>
  </si>
  <si>
    <t>OI104287_SEROV1_ET2200SSS_CPT_224_S32.002.jsf</t>
  </si>
  <si>
    <t>003249_20230620_19.39_OI103996SEROV1SPRINTNAV500.bin</t>
  </si>
  <si>
    <t>55;48;15.40883N</t>
  </si>
  <si>
    <t>7;39;19.85377E</t>
  </si>
  <si>
    <t>55;48;15.41531N</t>
  </si>
  <si>
    <t>7;39;21.02975E</t>
  </si>
  <si>
    <t>230620195241.SBD</t>
  </si>
  <si>
    <t>003250_20230620_19.54_OI103996SEROV1SPRINTNAV500.bin</t>
  </si>
  <si>
    <t>55;48;15.81943N</t>
  </si>
  <si>
    <t>7;39;19.83526E</t>
  </si>
  <si>
    <t>55;48;15.62940N</t>
  </si>
  <si>
    <t>7;39;20.82637E</t>
  </si>
  <si>
    <t>Recover ROV to deck to check beacon</t>
  </si>
  <si>
    <t>55;48;15.84707N</t>
  </si>
  <si>
    <t>7;39;19.83549E</t>
  </si>
  <si>
    <t>55;48;15.79144N</t>
  </si>
  <si>
    <t>7;39;20.46638E</t>
  </si>
  <si>
    <t>WROV on deck EOD # 10</t>
  </si>
  <si>
    <t>55;48;15.10547N</t>
  </si>
  <si>
    <t>7;39;19.65916E</t>
  </si>
  <si>
    <t>55;48;15.40490N</t>
  </si>
  <si>
    <t>7;39;20.01346E</t>
  </si>
  <si>
    <t>Vessel on the move to CPT_180 to gain infill</t>
  </si>
  <si>
    <t>55;47;56.04239N</t>
  </si>
  <si>
    <t>7;41;19.46295E</t>
  </si>
  <si>
    <t>55;47;56.36668N</t>
  </si>
  <si>
    <t>7;41;19.74757E</t>
  </si>
  <si>
    <t>55;47;33.59571N</t>
  </si>
  <si>
    <t>7;43;13.96620E</t>
  </si>
  <si>
    <t>55;47;33.64562N</t>
  </si>
  <si>
    <t>7;43;13.32450E</t>
  </si>
  <si>
    <t>WROV off deck SOD #11</t>
  </si>
  <si>
    <t>M05 installed as repsonder,M23 beacon put on charge</t>
  </si>
  <si>
    <t>OI104287_SE_SVX2_SVP_20230620_2048_554756N_0074323E_023</t>
  </si>
  <si>
    <t>55;47;33.61509N</t>
  </si>
  <si>
    <t>7;43;13.95921E</t>
  </si>
  <si>
    <t>55;47;33.52311N</t>
  </si>
  <si>
    <t>7;43;12.80218E</t>
  </si>
  <si>
    <t>SVP_023</t>
  </si>
  <si>
    <t>55;47;34.42940N</t>
  </si>
  <si>
    <t>7;43;13.85813E</t>
  </si>
  <si>
    <t>55;47;34.47347N</t>
  </si>
  <si>
    <t>7;43;12.55776E</t>
  </si>
  <si>
    <t>0212_OI104287_SE_CPT_180_P50_20230620205647 - 0001.db</t>
  </si>
  <si>
    <t>230620205624.SBD</t>
  </si>
  <si>
    <t>OI104287_SEROV1_ET2200SSS_CPT_180_P50.002.jsf</t>
  </si>
  <si>
    <t>003254_20230620_20.54_OI103996SEROV1SPRINTNAV500.bin</t>
  </si>
  <si>
    <t>55;47;40.27452N</t>
  </si>
  <si>
    <t>7;43;13.55429E</t>
  </si>
  <si>
    <t>55;47;40.31788N</t>
  </si>
  <si>
    <t>7;43;12.36464E</t>
  </si>
  <si>
    <t>Vessel on the move to CPT_163</t>
  </si>
  <si>
    <t>55;47;40.86887N</t>
  </si>
  <si>
    <t>7;43;13.56213E</t>
  </si>
  <si>
    <t>55;47;40.88562N</t>
  </si>
  <si>
    <t>7;43;12.91865E</t>
  </si>
  <si>
    <t>Log on - infill</t>
  </si>
  <si>
    <t>Log off - infill</t>
  </si>
  <si>
    <t>OI104287_SE_SVX2_SVP_20230620_2131_554898N_0074149E_024</t>
  </si>
  <si>
    <t>55;48;58.88928N</t>
  </si>
  <si>
    <t>7;41;29.77675E</t>
  </si>
  <si>
    <t>55;48;58.70687N</t>
  </si>
  <si>
    <t>7;41;29.20558E</t>
  </si>
  <si>
    <t>SVP_024</t>
  </si>
  <si>
    <t>55;48;59.35974N</t>
  </si>
  <si>
    <t>7;41;29.92016E</t>
  </si>
  <si>
    <t>55;48;59.43106N</t>
  </si>
  <si>
    <t>7;41;28.75386E</t>
  </si>
  <si>
    <t>0213_OI104287_SE_CPT_163_S50_20230620213905 - 0001.db</t>
  </si>
  <si>
    <t>230620213848.SBD</t>
  </si>
  <si>
    <t>OI104287_SEROV1_ET2200SSS_CPT_163_S50.001.jsf</t>
  </si>
  <si>
    <t>003256_20230620_21.24_OI103996SEROV1SPRINTNAV500.bin</t>
  </si>
  <si>
    <t>55;49;05.58840N</t>
  </si>
  <si>
    <t>7;41;29.71564E</t>
  </si>
  <si>
    <t>55;49;05.66081N</t>
  </si>
  <si>
    <t>7;41;28.54626E</t>
  </si>
  <si>
    <t>003257_20230620_21.39_OI103996SEROV1SPRINTNAV500.bin</t>
  </si>
  <si>
    <t>55;49;05.86847N</t>
  </si>
  <si>
    <t>7;41;29.21394E</t>
  </si>
  <si>
    <t>55;49;05.93706N</t>
  </si>
  <si>
    <t>7;41;28.02212E</t>
  </si>
  <si>
    <t>0214_OI104287_SE_CPT_163_S41_20230620215139 - 0001.db</t>
  </si>
  <si>
    <t>230620215130.SBD</t>
  </si>
  <si>
    <t>OI104287_SEROV1_ET2200SSS_CPT_163_S41.001.jsf</t>
  </si>
  <si>
    <t>55;48;59.68886N</t>
  </si>
  <si>
    <t>7;41;29.35236E</t>
  </si>
  <si>
    <t>55;48;59.74760N</t>
  </si>
  <si>
    <t>7;41;28.22519E</t>
  </si>
  <si>
    <t>003258_20230620_21.54_OI103996SEROV1SPRINTNAV500.bin</t>
  </si>
  <si>
    <t>55;48;59.48229N</t>
  </si>
  <si>
    <t>7;41;28.93682E</t>
  </si>
  <si>
    <t>55;48;59.57666N</t>
  </si>
  <si>
    <t>7;41;27.71192E</t>
  </si>
  <si>
    <t>0215_OI104287_SE_CPT_163_S32_20230620220254 - 0001.db</t>
  </si>
  <si>
    <t>230620220230.SBD</t>
  </si>
  <si>
    <t>OI104287_SEROV1_ET2200SSS_CPT_163_S32.001.jsf</t>
  </si>
  <si>
    <t>55;49;05.59003N</t>
  </si>
  <si>
    <t>7;41;28.78966E</t>
  </si>
  <si>
    <t>55;49;05.66232N</t>
  </si>
  <si>
    <t>7;41;27.50915E</t>
  </si>
  <si>
    <t>55;49;05.67698N</t>
  </si>
  <si>
    <t>7;41;28.05245E</t>
  </si>
  <si>
    <t>55;49;05.67545N</t>
  </si>
  <si>
    <t>7;41;26.99074E</t>
  </si>
  <si>
    <t>0216_OI104287_SE_CPT_163_S23_20230620221442 - 0001.db</t>
  </si>
  <si>
    <t>230620221418.SBD</t>
  </si>
  <si>
    <t>OI104287_SEROV1_ET2200SSS_CPT_163_S23.001.jsf</t>
  </si>
  <si>
    <t>003259_20230620_22.09_OI103996SEROV1SPRINTNAV500.bin</t>
  </si>
  <si>
    <t>55;48;59.68343N</t>
  </si>
  <si>
    <t>7;41;28.20413E</t>
  </si>
  <si>
    <t>55;48;59.77325N</t>
  </si>
  <si>
    <t>7;41;27.18809E</t>
  </si>
  <si>
    <t>55;48;59.72661N</t>
  </si>
  <si>
    <t>7;41;27.70008E</t>
  </si>
  <si>
    <t>55;48;59.82047N</t>
  </si>
  <si>
    <t>7;41;26.67240E</t>
  </si>
  <si>
    <t>0217_OI104287_SE_CPT_163_S14_20230620222552 - 0001.db</t>
  </si>
  <si>
    <t>230620222541.SBD</t>
  </si>
  <si>
    <t>OI104287_SEROV1_ET2200SSS_CPT_163_S14.001.jsf</t>
  </si>
  <si>
    <t>003260_20230620_22.24_OI103996SEROV1SPRINTNAV500.bin</t>
  </si>
  <si>
    <t>55;49;05.55153N</t>
  </si>
  <si>
    <t>7;41;27.53267E</t>
  </si>
  <si>
    <t>55;49;05.61314N</t>
  </si>
  <si>
    <t>7;41;26.47928E</t>
  </si>
  <si>
    <t>55;49;05.75086N</t>
  </si>
  <si>
    <t>7;41;27.02751E</t>
  </si>
  <si>
    <t>55;49;05.74078N</t>
  </si>
  <si>
    <t>7;41;25.95393E</t>
  </si>
  <si>
    <t>0218_OI104287_SE_CPT_163_S05_20230620223635 - 0001.db</t>
  </si>
  <si>
    <t>230620223614.SBD</t>
  </si>
  <si>
    <t>OI104287_SEROV1_ET2200SSS_CPT_163_S05.001.jsf</t>
  </si>
  <si>
    <t>55;48;59.81172N</t>
  </si>
  <si>
    <t>7;41;27.17002E</t>
  </si>
  <si>
    <t>55;48;59.82515N</t>
  </si>
  <si>
    <t>7;41;26.15128E</t>
  </si>
  <si>
    <t>003261_20230620_22.39_OI103996SEROV1SPRINTNAV500.bin</t>
  </si>
  <si>
    <t>55;48;59.68820N</t>
  </si>
  <si>
    <t>7;41;26.65121E</t>
  </si>
  <si>
    <t>55;48;59.72889N</t>
  </si>
  <si>
    <t>7;41;25.64374E</t>
  </si>
  <si>
    <t>0219_OI104287_SE_CPT_163_P05_20230620224707 - 0001.db</t>
  </si>
  <si>
    <t>230620224658.SBD</t>
  </si>
  <si>
    <t>OI104287_SEROV1_ET2200SSS_CPT_163_P05.001.jsf</t>
  </si>
  <si>
    <t>55;49;05.58886N</t>
  </si>
  <si>
    <t>7;41;26.48843E</t>
  </si>
  <si>
    <t>55;49;05.58990N</t>
  </si>
  <si>
    <t>7;41;25.44398E</t>
  </si>
  <si>
    <t>55;49;05.61996N</t>
  </si>
  <si>
    <t>7;41;25.97959E</t>
  </si>
  <si>
    <t>55;49;05.80067N</t>
  </si>
  <si>
    <t>7;41;24.92165E</t>
  </si>
  <si>
    <t>0220_OI104287_SE_CPT_163_P14_20230620225904 - 0001.db</t>
  </si>
  <si>
    <t>230620225852.SBD</t>
  </si>
  <si>
    <t>OI104287_SEROV1_ET2200SSS_CPT_163_P14.001.jsf</t>
  </si>
  <si>
    <t>003262_20230620_22.54_OI103996SEROV1SPRINTNAV500.bin</t>
  </si>
  <si>
    <t>55;48;59.64935N</t>
  </si>
  <si>
    <t>7;41;26.17311E</t>
  </si>
  <si>
    <t>55;48;59.79316N</t>
  </si>
  <si>
    <t>7;41;25.12443E</t>
  </si>
  <si>
    <t>55;48;59.66445N</t>
  </si>
  <si>
    <t>7;41;25.70163E</t>
  </si>
  <si>
    <t>55;48;59.80387N</t>
  </si>
  <si>
    <t>7;41;24.60723E</t>
  </si>
  <si>
    <t>0221_OI104287_SE_CPT_163_P23_20230620231114 - 0001.db</t>
  </si>
  <si>
    <t>230620231107.SBD</t>
  </si>
  <si>
    <t>OI104287_SEROV1_ET2200SSS_CPT_163_P23.001.jsf</t>
  </si>
  <si>
    <t>003263_20230620_23.09_OI103996SEROV1SPRINTNAV500.bin</t>
  </si>
  <si>
    <t>55;49;05.48905N</t>
  </si>
  <si>
    <t>7;41;25.57850E</t>
  </si>
  <si>
    <t>55;49;05.61510N</t>
  </si>
  <si>
    <t>7;41;24.40958E</t>
  </si>
  <si>
    <t>55;49;05.77856N</t>
  </si>
  <si>
    <t>7;41;24.87746E</t>
  </si>
  <si>
    <t>55;49;05.76386N</t>
  </si>
  <si>
    <t>7;41;23.89058E</t>
  </si>
  <si>
    <t>0222_OI104287_SE_CPT_163_P32_20230620232404 - 0001.db</t>
  </si>
  <si>
    <t>230620232352.SBD</t>
  </si>
  <si>
    <t>OI104287_SEROV1_ET2200SSS_CPT_163_P32.001.jsf</t>
  </si>
  <si>
    <t>55;48;59.91092N</t>
  </si>
  <si>
    <t>7;41;25.03650E</t>
  </si>
  <si>
    <t>55;48;59.92231N</t>
  </si>
  <si>
    <t>7;41;24.07826E</t>
  </si>
  <si>
    <t>003264_20230620_23.24_OI103996SEROV1SPRINTNAV500.bin</t>
  </si>
  <si>
    <t>55;48;59.49617N</t>
  </si>
  <si>
    <t>7;41;24.55494E</t>
  </si>
  <si>
    <t>55;48;59.66763N</t>
  </si>
  <si>
    <t>7;41;23.57103E</t>
  </si>
  <si>
    <t>0223_OI104287_SE_CPT_163_P41_20230620233436 - 0001.db</t>
  </si>
  <si>
    <t>230620233431.SBD</t>
  </si>
  <si>
    <t>OI104287_SEROV1_ET2200SSS_CPT_163_P41.001.jsf</t>
  </si>
  <si>
    <t>55;49;05.46274N</t>
  </si>
  <si>
    <t>7;41;24.42171E</t>
  </si>
  <si>
    <t>55;49;05.58854N</t>
  </si>
  <si>
    <t>7;41;23.37519E</t>
  </si>
  <si>
    <t>003265_20230620_23.39_OI103996SEROV1SPRINTNAV500.bin</t>
  </si>
  <si>
    <t>55;49;05.62512N</t>
  </si>
  <si>
    <t>7;41;23.88238E</t>
  </si>
  <si>
    <t>55;49;05.70321N</t>
  </si>
  <si>
    <t>7;41;22.85196E</t>
  </si>
  <si>
    <t>0224_OI104287_SE_CPT_163_P50_20230620234527 - 0001.db</t>
  </si>
  <si>
    <t>230620234503.SBD</t>
  </si>
  <si>
    <t>OI104287_SEROV1_ET2200SSS_CPT_163_P50.001.jsf</t>
  </si>
  <si>
    <t>55;48;59.78569N</t>
  </si>
  <si>
    <t>7;41;24.01392E</t>
  </si>
  <si>
    <t>55;48;59.83375N</t>
  </si>
  <si>
    <t>7;41;23.05111E</t>
  </si>
  <si>
    <t>55;48;59.34107N</t>
  </si>
  <si>
    <t>7;41;23.96664E</t>
  </si>
  <si>
    <t>55;48;59.42397N</t>
  </si>
  <si>
    <t>7;41;23.22945E</t>
  </si>
  <si>
    <t xml:space="preserve">Recover WROV to latch </t>
  </si>
  <si>
    <t>WROV in latch, transit to CPT_096</t>
  </si>
  <si>
    <t>55;48;59.33474N</t>
  </si>
  <si>
    <t>7;41;23.99160E</t>
  </si>
  <si>
    <t>55;48;59.43816N</t>
  </si>
  <si>
    <t>7;41;23.31303E</t>
  </si>
  <si>
    <t>55;49;04.16328N</t>
  </si>
  <si>
    <t>7;41;24.14853E</t>
  </si>
  <si>
    <t>55;49;04.30144N</t>
  </si>
  <si>
    <t>7;41;23.59275E</t>
  </si>
  <si>
    <t>55;50;09.60679N</t>
  </si>
  <si>
    <t>7;41;51.33691E</t>
  </si>
  <si>
    <t>55;50;09.55772N</t>
  </si>
  <si>
    <t>7;41;51.94715E</t>
  </si>
  <si>
    <t>55;50;09.62421N</t>
  </si>
  <si>
    <t>7;41;51.35592E</t>
  </si>
  <si>
    <t>55;50;09.57733N</t>
  </si>
  <si>
    <t>7;41;51.94957E</t>
  </si>
  <si>
    <t>OI104287_SE_SVX2_SVP_20230621_0022_555016N_0074185E_025</t>
  </si>
  <si>
    <t>55;50;09.62512N</t>
  </si>
  <si>
    <t>7;41;51.38149E</t>
  </si>
  <si>
    <t>55;50;09.37924N</t>
  </si>
  <si>
    <t>7;41;52.20726E</t>
  </si>
  <si>
    <t>SVP_025</t>
  </si>
  <si>
    <t>55;50;10.20792N</t>
  </si>
  <si>
    <t>7;41;51.43426E</t>
  </si>
  <si>
    <t>55;50;10.17721N</t>
  </si>
  <si>
    <t>7;41;52.50991E</t>
  </si>
  <si>
    <t>0225_OI104287_SE_CPT_096_P50_20230621002751 - 0001.db</t>
  </si>
  <si>
    <t>230621002736.SBD</t>
  </si>
  <si>
    <t>OI104287_SEROV1_ET2200SSS_CPT_096_P50.001.jsf</t>
  </si>
  <si>
    <t>003268_20230621_00.24_OI103996SEROV1SPRINTNAV500.bin</t>
  </si>
  <si>
    <t>55;50;16.07261N</t>
  </si>
  <si>
    <t>7;41;51.34531E</t>
  </si>
  <si>
    <t>55;50;16.02268N</t>
  </si>
  <si>
    <t>7;41;52.31680E</t>
  </si>
  <si>
    <t>55;50;16.54122N</t>
  </si>
  <si>
    <t>7;41;51.87261E</t>
  </si>
  <si>
    <t>55;50;16.31870N</t>
  </si>
  <si>
    <t>7;41;52.81921E</t>
  </si>
  <si>
    <t>0226_OI104287_SE_CPT_096_P41_20230621003854 - 0001.db</t>
  </si>
  <si>
    <t>230621003832.SBD</t>
  </si>
  <si>
    <t>OI104287_SEROV1_ET2200SSS_CPT_096_P41.001.jsf</t>
  </si>
  <si>
    <t>55;50;14.96037N</t>
  </si>
  <si>
    <t>7;41;51.87373E</t>
  </si>
  <si>
    <t>55;50;14.72939N</t>
  </si>
  <si>
    <t>7;41;52.87171E</t>
  </si>
  <si>
    <t>003269_20230621_00.39_OI103996SEROV1SPRINTNAV500.bin</t>
  </si>
  <si>
    <t>55;50;14.89045N</t>
  </si>
  <si>
    <t>7;41;51.81865E</t>
  </si>
  <si>
    <t>55;50;14.62408N</t>
  </si>
  <si>
    <t>7;41;52.78601E</t>
  </si>
  <si>
    <t>Log off DNP</t>
  </si>
  <si>
    <t>Vessel offset changed from line causing grad data to be out of spec, re-start line</t>
  </si>
  <si>
    <t>55;50;16.42603N</t>
  </si>
  <si>
    <t>7;41;51.83501E</t>
  </si>
  <si>
    <t>55;50;16.32081N</t>
  </si>
  <si>
    <t>7;41;52.82615E</t>
  </si>
  <si>
    <t>0227_OI104287_SE_CPT_096_P41_20230621004910 - 0001.db</t>
  </si>
  <si>
    <t>230621004848.SBD</t>
  </si>
  <si>
    <t>OI104287_SEROV1_ET2200SSS_CPT_096_P41.002.jsf</t>
  </si>
  <si>
    <t>55;50;10.39943N</t>
  </si>
  <si>
    <t>7;41;51.93241E</t>
  </si>
  <si>
    <t>55;50;10.29534N</t>
  </si>
  <si>
    <t>7;41;53.02168E</t>
  </si>
  <si>
    <t>003270_20230621_00.54_OI103996SEROV1SPRINTNAV500.bin</t>
  </si>
  <si>
    <t>55;50;10.15753N</t>
  </si>
  <si>
    <t>7;41;52.54290E</t>
  </si>
  <si>
    <t>55;50;10.08638N</t>
  </si>
  <si>
    <t>7;41;53.54763E</t>
  </si>
  <si>
    <t>0228_OI104287_SE_CPT_096_P32_20230621010634 - 0001.db</t>
  </si>
  <si>
    <t>230621010611.SBD</t>
  </si>
  <si>
    <t>OI104287_SEROV1_ET2200SSS_CPT_096_P32.001.jsf</t>
  </si>
  <si>
    <t>55;50;16.21467N</t>
  </si>
  <si>
    <t>7;41;52.44918E</t>
  </si>
  <si>
    <t>55;50;16.13523N</t>
  </si>
  <si>
    <t>7;41;53.34636E</t>
  </si>
  <si>
    <t>003271_20230621_01.09_OI103996SEROV1SPRINTNAV500.bin</t>
  </si>
  <si>
    <t>55;50;16.48315N</t>
  </si>
  <si>
    <t>7;41;52.80847E</t>
  </si>
  <si>
    <t>55;50;16.31508N</t>
  </si>
  <si>
    <t>7;41;53.85903E</t>
  </si>
  <si>
    <t>0229_OI104287_SE_CPT_096_P23_20230621011941 - 0001.db</t>
  </si>
  <si>
    <t>230621011929.SBD</t>
  </si>
  <si>
    <t>OI104287_SEROV1_ET2200SSS_CPT_096_P23.001.jsf</t>
  </si>
  <si>
    <t>55;50;10.52452N</t>
  </si>
  <si>
    <t>7;41;53.02710E</t>
  </si>
  <si>
    <t>55;50;10.25521N</t>
  </si>
  <si>
    <t>7;41;54.05758E</t>
  </si>
  <si>
    <t>003272_20230621_01.24_OI103996SEROV1SPRINTNAV500.bin</t>
  </si>
  <si>
    <t>55;50;10.14752N</t>
  </si>
  <si>
    <t>7;41;53.54744E</t>
  </si>
  <si>
    <t>55;50;10.09317N</t>
  </si>
  <si>
    <t>7;41;54.58564E</t>
  </si>
  <si>
    <t>0230_OI104287_SE_CPT_096_P14_20230621013154 - 0001.db</t>
  </si>
  <si>
    <t>230621013148.SBD</t>
  </si>
  <si>
    <t>OI104287_SEROV1_ET2200SSS_CPT_096_P14.001.jsf</t>
  </si>
  <si>
    <t>55;50;16.19132N</t>
  </si>
  <si>
    <t>7;41;53.38288E</t>
  </si>
  <si>
    <t>55;50;16.16269N</t>
  </si>
  <si>
    <t>7;41;54.37804E</t>
  </si>
  <si>
    <t>55;50;16.44957N</t>
  </si>
  <si>
    <t>7;41;53.84867E</t>
  </si>
  <si>
    <t>55;50;16.28792N</t>
  </si>
  <si>
    <t>7;41;54.89132E</t>
  </si>
  <si>
    <t>0231_OI104287_SE_CPT_096_P05_20230621014311 - 0001.db</t>
  </si>
  <si>
    <t>230621014309.SBD</t>
  </si>
  <si>
    <t>OI104287_SEROV1_ET2200SSS_CPT_096_P05.001.jsf</t>
  </si>
  <si>
    <t>003273_20230621_01.39_OI103996SEROV1SPRINTNAV500.bin</t>
  </si>
  <si>
    <t>55;50;10.34281N</t>
  </si>
  <si>
    <t>7;41;54.06134E</t>
  </si>
  <si>
    <t>55;50;10.24767N</t>
  </si>
  <si>
    <t>7;41;55.09047E</t>
  </si>
  <si>
    <t>55;50;10.10079N</t>
  </si>
  <si>
    <t>7;41;54.52493E</t>
  </si>
  <si>
    <t>55;50;10.02106N</t>
  </si>
  <si>
    <t>7;41;55.61732E</t>
  </si>
  <si>
    <t>0232_OI104287_SE_CPT_096_S05_20230621015659 - 0001.db</t>
  </si>
  <si>
    <t>230621015647.SBD</t>
  </si>
  <si>
    <t>OI104287_SEROV1_ET2200SSS_CPT_096_S05.001.jsf</t>
  </si>
  <si>
    <t>003274_20230621_01.54_OI103996SEROV1SPRINTNAV500.bin</t>
  </si>
  <si>
    <t>55;50;16.23552N</t>
  </si>
  <si>
    <t>7;41;54.36917E</t>
  </si>
  <si>
    <t>55;50;16.17929N</t>
  </si>
  <si>
    <t>7;41;55.41937E</t>
  </si>
  <si>
    <t>55;50;16.26151N</t>
  </si>
  <si>
    <t>7;41;54.89540E</t>
  </si>
  <si>
    <t>55;50;16.18623N</t>
  </si>
  <si>
    <t>7;41;55.93114E</t>
  </si>
  <si>
    <t>0233_OI104287_SE_CPT_096_S14_20230621020956 - 0001.db</t>
  </si>
  <si>
    <t>230621020933.SBD</t>
  </si>
  <si>
    <t>OI104287_SEROV1_ET2200SSS_CPT_096_S14.001.jsf</t>
  </si>
  <si>
    <t>003275_20230621_02.09_OI103996SEROV1SPRINTNAV500.bin</t>
  </si>
  <si>
    <t>55;50;10.29526N</t>
  </si>
  <si>
    <t>7;41;55.06349E</t>
  </si>
  <si>
    <t>55;50;10.26230N</t>
  </si>
  <si>
    <t>7;41;56.13060E</t>
  </si>
  <si>
    <t>55;50;10.00243N</t>
  </si>
  <si>
    <t>7;41;55.61763E</t>
  </si>
  <si>
    <t>55;50;09.93717N</t>
  </si>
  <si>
    <t>7;41;56.65202E</t>
  </si>
  <si>
    <t>0234_OI104287_SE_CPT_096_S23_20230621022416 - 0001.db</t>
  </si>
  <si>
    <t>230621022356.SBD</t>
  </si>
  <si>
    <t>OI104287_SEROV1_ET2200SSS_CPT_096_S23.001.jsf</t>
  </si>
  <si>
    <t>55;50;16.24111N</t>
  </si>
  <si>
    <t>7;41;55.46577E</t>
  </si>
  <si>
    <t>55;50;16.21822N</t>
  </si>
  <si>
    <t>7;41;56.44894E</t>
  </si>
  <si>
    <t>003276_20230621_02.24_OI103996SEROV1SPRINTNAV500.bin</t>
  </si>
  <si>
    <t>55;50;16.53157N</t>
  </si>
  <si>
    <t>7;41;56.02197E</t>
  </si>
  <si>
    <t>55;50;16.40439N</t>
  </si>
  <si>
    <t>7;41;56.95527E</t>
  </si>
  <si>
    <t>0235_OI104287_SE_CPT_096_S32_20230621023629 - 0001.db</t>
  </si>
  <si>
    <t>230621023607.SBD</t>
  </si>
  <si>
    <t>OI104287_SEROV1_ET2200SSS_CPT_096_S32.001.jsf</t>
  </si>
  <si>
    <t>55;50;10.22439N</t>
  </si>
  <si>
    <t>7;41;56.26299E</t>
  </si>
  <si>
    <t>55;50;10.13572N</t>
  </si>
  <si>
    <t>7;41;57.16952E</t>
  </si>
  <si>
    <t>003277_20230621_02.39_OI103996SEROV1SPRINTNAV500.bin</t>
  </si>
  <si>
    <t>55;50;10.08630N</t>
  </si>
  <si>
    <t>7;41;56.62379E</t>
  </si>
  <si>
    <t>55;50;10.13693N</t>
  </si>
  <si>
    <t>7;41;57.68732E</t>
  </si>
  <si>
    <t>0236_OI104287_SE_CPT_096_S41_20230621024851 - 0001.db</t>
  </si>
  <si>
    <t>230621024817.SBD</t>
  </si>
  <si>
    <t>OI104287_SEROV1_ET2200SSS_CPT_096_S41.001.jsf</t>
  </si>
  <si>
    <t>55;50;16.15772N</t>
  </si>
  <si>
    <t>7;41;56.49852E</t>
  </si>
  <si>
    <t>55;50;16.16948N</t>
  </si>
  <si>
    <t>7;41;57.48605E</t>
  </si>
  <si>
    <t>230621025501.SBD</t>
  </si>
  <si>
    <t>003278_20230621_02.54_OI103996SEROV1SPRINTNAV500.bin</t>
  </si>
  <si>
    <t>55;50;16.53868N</t>
  </si>
  <si>
    <t>7;41;57.03494E</t>
  </si>
  <si>
    <t>55;50;16.48300N</t>
  </si>
  <si>
    <t>7;41;57.99208E</t>
  </si>
  <si>
    <t>0237_OI104287_SE_CPT_096_S50_20230621030141 - 0001.db</t>
  </si>
  <si>
    <t>230621030122.SBD</t>
  </si>
  <si>
    <t>OI104287_SEROV1_ET2200SSS_CPT_096_S50.001.jsf</t>
  </si>
  <si>
    <t>55;50;10.13133N</t>
  </si>
  <si>
    <t>7;41;57.18407E</t>
  </si>
  <si>
    <t>55;50;10.07462N</t>
  </si>
  <si>
    <t>7;41;58.20210E</t>
  </si>
  <si>
    <t>55;50;08.99400N</t>
  </si>
  <si>
    <t>7;41;57.19587E</t>
  </si>
  <si>
    <t>55;50;08.96916N</t>
  </si>
  <si>
    <t>7;41;57.89341E</t>
  </si>
  <si>
    <t>55;50;08.99332N</t>
  </si>
  <si>
    <t>7;41;57.19580E</t>
  </si>
  <si>
    <t>55;50;08.96931N</t>
  </si>
  <si>
    <t>7;41;57.89281E</t>
  </si>
  <si>
    <t>ROV back to TMS</t>
  </si>
  <si>
    <t>55;50;08.99133N</t>
  </si>
  <si>
    <t>7;41;57.19136E</t>
  </si>
  <si>
    <t>55;50;08.96373N</t>
  </si>
  <si>
    <t>7;41;57.90820E</t>
  </si>
  <si>
    <t>55;50;08.99126N</t>
  </si>
  <si>
    <t>7;41;57.20897E</t>
  </si>
  <si>
    <t>55;50;08.97625N</t>
  </si>
  <si>
    <t>7;41;57.74435E</t>
  </si>
  <si>
    <t>WROV in latch, transit to CPT_136</t>
  </si>
  <si>
    <t>55;50;29.43846N</t>
  </si>
  <si>
    <t>7;44;25.40782E</t>
  </si>
  <si>
    <t>55;50;29.42876N</t>
  </si>
  <si>
    <t>7;44;26.05042E</t>
  </si>
  <si>
    <t>55;50;29.43858N</t>
  </si>
  <si>
    <t>7;44;25.41276E</t>
  </si>
  <si>
    <t>7;44;26.06310E</t>
  </si>
  <si>
    <t>OI104287_SE_SVX2_SVP_20230621_0351_555049N_0074442E_026</t>
  </si>
  <si>
    <t>55;50;29.70341N</t>
  </si>
  <si>
    <t>7;44;25.34345E</t>
  </si>
  <si>
    <t>55;50;30.03483N</t>
  </si>
  <si>
    <t>7;44;26.36092E</t>
  </si>
  <si>
    <t>SVP_026</t>
  </si>
  <si>
    <t>55;50;30.34505N</t>
  </si>
  <si>
    <t>7;44;25.34946E</t>
  </si>
  <si>
    <t>55;50;30.57511N</t>
  </si>
  <si>
    <t>7;44;26.34221E</t>
  </si>
  <si>
    <t>0238_OI104287_SE_CPT_136_P50_20230621035907 - 0001.db</t>
  </si>
  <si>
    <t>230621035859.SBD</t>
  </si>
  <si>
    <t>OI104287_SEROV1_ET2200SSS_CPT_136_P50.001.jsf</t>
  </si>
  <si>
    <t>003282_20230621_03.54_OI103996SEROV1SPRINTNAV500.bin</t>
  </si>
  <si>
    <t>55;50;36.04446N</t>
  </si>
  <si>
    <t>7;44;25.17101E</t>
  </si>
  <si>
    <t>55;50;36.32040N</t>
  </si>
  <si>
    <t>7;44;26.15905E</t>
  </si>
  <si>
    <t>55;50;36.47881N</t>
  </si>
  <si>
    <t>7;44;25.44804E</t>
  </si>
  <si>
    <t>55;50;36.33458N</t>
  </si>
  <si>
    <t>7;44;26.68741E</t>
  </si>
  <si>
    <t>0239_OI104287_SE_CPT_136_P41_20230621041003 - 0001.db</t>
  </si>
  <si>
    <t>OI104287_SEROV1_ET2200SSS_CPT_136_P41.001.jsf</t>
  </si>
  <si>
    <t>003283_20230621_04.09_OI103996SEROV1SPRINTNAV500.bin</t>
  </si>
  <si>
    <t>55;50;30.92058N</t>
  </si>
  <si>
    <t>7;44;25.70512E</t>
  </si>
  <si>
    <t>55;50;30.77999N</t>
  </si>
  <si>
    <t>7;44;26.86213E</t>
  </si>
  <si>
    <t>55;50;30.50002N</t>
  </si>
  <si>
    <t>7;44;26.14497E</t>
  </si>
  <si>
    <t>55;50;30.54554N</t>
  </si>
  <si>
    <t>7;44;27.38083E</t>
  </si>
  <si>
    <t>0240_OI104287_SE_CPT_136_P32_20230621041911 - 0001.db</t>
  </si>
  <si>
    <t>230621041904.SBD</t>
  </si>
  <si>
    <t>OI104287_SEROV1_ET2200SSS_CPT_136_P32.001.jsf</t>
  </si>
  <si>
    <t>55;50;36.14970N</t>
  </si>
  <si>
    <t>7;44;26.01730E</t>
  </si>
  <si>
    <t>55;50;36.35042N</t>
  </si>
  <si>
    <t>7;44;27.19737E</t>
  </si>
  <si>
    <t>003284_20230621_04.24_OI103996SEROV1SPRINTNAV500.bin</t>
  </si>
  <si>
    <t>55;50;36.46044N</t>
  </si>
  <si>
    <t>7;44;25.53084E</t>
  </si>
  <si>
    <t>55;50;36.46539N</t>
  </si>
  <si>
    <t>7;44;26.66448E</t>
  </si>
  <si>
    <t>0241_OI104287_SE_CPT_136_P41_20230621042845 - 0001.db</t>
  </si>
  <si>
    <t>230621042841.SBD</t>
  </si>
  <si>
    <t>55;50;30.72148N</t>
  </si>
  <si>
    <t>7;44;25.69500E</t>
  </si>
  <si>
    <t>55;50;30.60921N</t>
  </si>
  <si>
    <t>7;44;26.84825E</t>
  </si>
  <si>
    <t>Log on. MBES and grads data</t>
  </si>
  <si>
    <t>55;50;30.44438N</t>
  </si>
  <si>
    <t>7;44;26.62416E</t>
  </si>
  <si>
    <t>55;50;30.47025N</t>
  </si>
  <si>
    <t>7;44;27.90467E</t>
  </si>
  <si>
    <t>0242_OI104287_SE_CPT_136_P23_20230621044014 - 0001.db</t>
  </si>
  <si>
    <t>230621044011.SBD</t>
  </si>
  <si>
    <t>OI104287_SEROV1_ET2200SSS_CPT_136_P23.001.jsf</t>
  </si>
  <si>
    <t>003285_20230621_04.39_OI103996SEROV1SPRINTNAV500.bin</t>
  </si>
  <si>
    <t>55;50;36.13922N</t>
  </si>
  <si>
    <t>7;44;26.46105E</t>
  </si>
  <si>
    <t>55;50;36.30350N</t>
  </si>
  <si>
    <t>7;44;27.71638E</t>
  </si>
  <si>
    <t>55;50;36.64549N</t>
  </si>
  <si>
    <t>7;44;27.00389E</t>
  </si>
  <si>
    <t>55;50;36.42360N</t>
  </si>
  <si>
    <t>7;44;28.23357E</t>
  </si>
  <si>
    <t>0243_OI104287_SE_CPT_136_P14_20230621044954 - 0001.db</t>
  </si>
  <si>
    <t>230621044948.SBD</t>
  </si>
  <si>
    <t>OI104287_SEROV1_ET2200SSS_CPT_136_P14.001.jsf</t>
  </si>
  <si>
    <t>55;50;30.54287N</t>
  </si>
  <si>
    <t>7;44;27.21082E</t>
  </si>
  <si>
    <t>55;50;30.46874N</t>
  </si>
  <si>
    <t>7;44;28.42035E</t>
  </si>
  <si>
    <t>230621045510.SBD</t>
  </si>
  <si>
    <t>003286_20230621_04.54_OI103996SEROV1SPRINTNAV500.bin</t>
  </si>
  <si>
    <t>55;50;30.36669N</t>
  </si>
  <si>
    <t>7;44;27.66379E</t>
  </si>
  <si>
    <t>55;50;30.49529N</t>
  </si>
  <si>
    <t>7;44;28.93634E</t>
  </si>
  <si>
    <t>0244_OI104287_SE_CPT_136_P05_20230621045959 - 0001.db</t>
  </si>
  <si>
    <t>230621045945.SBD</t>
  </si>
  <si>
    <t>OI104287_SEROV1_ET2200SSS_CPT_136_P05.001.jsf</t>
  </si>
  <si>
    <t>55;50;36.27015N</t>
  </si>
  <si>
    <t>7;44;27.50111E</t>
  </si>
  <si>
    <t>55;50;36.33895N</t>
  </si>
  <si>
    <t>7;44;28.74594E</t>
  </si>
  <si>
    <t>55;50;36.71906N</t>
  </si>
  <si>
    <t>7;44;28.01224E</t>
  </si>
  <si>
    <t>55;50;36.58624N</t>
  </si>
  <si>
    <t>7;44;29.26042E</t>
  </si>
  <si>
    <t>0245_OI104287_SE_CPT_136_S05_20230621050913 - 0001.db</t>
  </si>
  <si>
    <t>230621050903.SBD</t>
  </si>
  <si>
    <t>OI104287_SEROV1_ET2200SSS_CPT_136_S05.001.jsf</t>
  </si>
  <si>
    <t>55;50;30.96731N</t>
  </si>
  <si>
    <t>7;44;28.23907E</t>
  </si>
  <si>
    <t>55;50;30.74333N</t>
  </si>
  <si>
    <t>7;44;29.44751E</t>
  </si>
  <si>
    <t>003287_20230621_05.09_OI103996SEROV1SPRINTNAV500.bin</t>
  </si>
  <si>
    <t>55;50;30.75130N</t>
  </si>
  <si>
    <t>7;44;28.70567E</t>
  </si>
  <si>
    <t>55;50;30.50872N</t>
  </si>
  <si>
    <t>7;44;29.96138E</t>
  </si>
  <si>
    <t>0246_OI104287_SE_CPT_136_S14_20230621051842 - 0001.db</t>
  </si>
  <si>
    <t>230621051829.SBD</t>
  </si>
  <si>
    <t>OI104287_SEROV1_ET2200SSS_CPT_136_S14.001.jsf</t>
  </si>
  <si>
    <t>55;50;36.49834N</t>
  </si>
  <si>
    <t>7;44;28.52394E</t>
  </si>
  <si>
    <t>55;50;36.34544N</t>
  </si>
  <si>
    <t>7;44;29.77460E</t>
  </si>
  <si>
    <t>55;50;36.60306N</t>
  </si>
  <si>
    <t>7;44;29.06420E</t>
  </si>
  <si>
    <t>55;50;36.50356N</t>
  </si>
  <si>
    <t>7;44;30.28938E</t>
  </si>
  <si>
    <t>0247_OI104287_SE_CPT_136_S23_20230621052917 - 0001.db</t>
  </si>
  <si>
    <t>230621052858.SBD</t>
  </si>
  <si>
    <t>OI104287_SEROV1_ET2200SSS_CPT_136_S23.001.jsf</t>
  </si>
  <si>
    <t>003288_20230621_05.24_OI103996SEROV1SPRINTNAV500.bin</t>
  </si>
  <si>
    <t>55;50;30.57612N</t>
  </si>
  <si>
    <t>7;44;29.30065E</t>
  </si>
  <si>
    <t>55;50;30.71482N</t>
  </si>
  <si>
    <t>7;44;30.47587E</t>
  </si>
  <si>
    <t>55;50;30.56101N</t>
  </si>
  <si>
    <t>7;44;29.79319E</t>
  </si>
  <si>
    <t>55;50;30.49137N</t>
  </si>
  <si>
    <t>7;44;31.00513E</t>
  </si>
  <si>
    <t>0248_OI104287_SE_CPT_136_S32_20230621053910 - 0001.db</t>
  </si>
  <si>
    <t>230621053851.SBD</t>
  </si>
  <si>
    <t>OI104287_SEROV1_ET2200SSS_CPT_136_S32.001.jsf</t>
  </si>
  <si>
    <t>55;50;36.55088N</t>
  </si>
  <si>
    <t>7;44;29.65780E</t>
  </si>
  <si>
    <t>55;50;36.35676N</t>
  </si>
  <si>
    <t>7;44;30.81564E</t>
  </si>
  <si>
    <t>003289_20230621_05.39_OI103996SEROV1SPRINTNAV500.bin</t>
  </si>
  <si>
    <t>55;50;36.74380N</t>
  </si>
  <si>
    <t>7;44;30.13060E</t>
  </si>
  <si>
    <t>55;50;36.60736N</t>
  </si>
  <si>
    <t>7;44;31.32016E</t>
  </si>
  <si>
    <t>0249_OI104287_SE_CPT_136_S41_20230621054923 - 0001.db</t>
  </si>
  <si>
    <t>230621054906.SBD</t>
  </si>
  <si>
    <t>OI104287_SEROV1_ET2200SSS_CPT_136_S41.001.jsf</t>
  </si>
  <si>
    <t>55;50;30.61325N</t>
  </si>
  <si>
    <t>7;44;30.34514E</t>
  </si>
  <si>
    <t>55;50;30.71376N</t>
  </si>
  <si>
    <t>7;44;31.51147E</t>
  </si>
  <si>
    <t>55;50;30.80384N</t>
  </si>
  <si>
    <t>7;44;30.75090E</t>
  </si>
  <si>
    <t>55;50;30.50495N</t>
  </si>
  <si>
    <t>7;44;32.03349E</t>
  </si>
  <si>
    <t>0250_OI104287_SE_CPT_136_S50_20230621055925 - 0001.db</t>
  </si>
  <si>
    <t>230621055911.SBD</t>
  </si>
  <si>
    <t>OI104287_SEROV1_ET2200SSS_CPT_136_S50.001.jsf</t>
  </si>
  <si>
    <t>003290_20230621_05.54_OI103996SEROV1SPRINTNAV500.bin</t>
  </si>
  <si>
    <t>55;50;36.66818N</t>
  </si>
  <si>
    <t>7;44;30.68682E</t>
  </si>
  <si>
    <t>55;50;36.34333N</t>
  </si>
  <si>
    <t>7;44;31.85124E</t>
  </si>
  <si>
    <t>55;50;41.67235N</t>
  </si>
  <si>
    <t>7;44;51.52851E</t>
  </si>
  <si>
    <t>55;50;41.56599N</t>
  </si>
  <si>
    <t>7;44;52.78474E</t>
  </si>
  <si>
    <t>55;50;41.67233N</t>
  </si>
  <si>
    <t>7;44;51.52895E</t>
  </si>
  <si>
    <t>55;50;41.56524N</t>
  </si>
  <si>
    <t>7;44;52.78504E</t>
  </si>
  <si>
    <t>Vessel on the move to BH_120</t>
  </si>
  <si>
    <t>55;50;41.07692N</t>
  </si>
  <si>
    <t>7;44;51.52562E</t>
  </si>
  <si>
    <t>55;50;41.10115N</t>
  </si>
  <si>
    <t>7;44;52.80103E</t>
  </si>
  <si>
    <t>0251_OI104287_SE_BH_120_P72_20230621062852 - 0001.db</t>
  </si>
  <si>
    <t>230621062846.SBD</t>
  </si>
  <si>
    <t>OI104287_SEROV1_ET2200SSS_BH_120_P72.001.jsf</t>
  </si>
  <si>
    <t>003292_20230621_06.24_OI103996SEROV1SPRINTNAV500.bin</t>
  </si>
  <si>
    <t>55;50;33.62161N</t>
  </si>
  <si>
    <t>7;44;51.73410E</t>
  </si>
  <si>
    <t>55;50;33.60557N</t>
  </si>
  <si>
    <t>7;44;53.04786E</t>
  </si>
  <si>
    <t>55;50;33.59699N</t>
  </si>
  <si>
    <t>7;44;52.21327E</t>
  </si>
  <si>
    <t>55;50;33.43085N</t>
  </si>
  <si>
    <t>7;44;53.56778E</t>
  </si>
  <si>
    <t>0252_OI104287_SE_BH_120_P63_20230621064128 - 0001.db</t>
  </si>
  <si>
    <t>230621064118.SBD</t>
  </si>
  <si>
    <t>OI104287_SEROV1_ET2200SSS_BH_120_P63.001.jsf</t>
  </si>
  <si>
    <t>003293_20230621_06.39_OI103996SEROV1SPRINTNAV500.bin</t>
  </si>
  <si>
    <t>55;50;41.01334N</t>
  </si>
  <si>
    <t>7;44;52.03038E</t>
  </si>
  <si>
    <t>55;50;40.87062N</t>
  </si>
  <si>
    <t>7;44;53.33302E</t>
  </si>
  <si>
    <t>55;50;40.97417N</t>
  </si>
  <si>
    <t>7;44;52.70573E</t>
  </si>
  <si>
    <t>55;50;41.00308N</t>
  </si>
  <si>
    <t>7;44;53.83905E</t>
  </si>
  <si>
    <t>0253_OI104287_SE_BH_120_P54_20230621065307 - 0001.db</t>
  </si>
  <si>
    <t>230621065254.SBD</t>
  </si>
  <si>
    <t>OI104287_SEROV1_ET2200SSS_BH_120_P54.001.jsf</t>
  </si>
  <si>
    <t>55;50;33.53295N</t>
  </si>
  <si>
    <t>7;44;52.92780E</t>
  </si>
  <si>
    <t>55;50;33.58052N</t>
  </si>
  <si>
    <t>7;44;54.08195E</t>
  </si>
  <si>
    <t>003294_20230621_06.54_OI103996SEROV1SPRINTNAV500.bin</t>
  </si>
  <si>
    <t>55;50;33.54577N</t>
  </si>
  <si>
    <t>7;44;53.36111E</t>
  </si>
  <si>
    <t>55;50;33.38937N</t>
  </si>
  <si>
    <t>7;44;54.60187E</t>
  </si>
  <si>
    <t>0254_OI104287_SE_BH_120_P45_20230621070407 - 0001.db</t>
  </si>
  <si>
    <t>230621070359.SBD</t>
  </si>
  <si>
    <t>OI104287_SEROV1_ET2200SSS_BH_120_P45.001.jsf</t>
  </si>
  <si>
    <t>55;50;41.16042N</t>
  </si>
  <si>
    <t>7;44;53.14970E</t>
  </si>
  <si>
    <t>55;50;41.04759N</t>
  </si>
  <si>
    <t>7;44;54.35956E</t>
  </si>
  <si>
    <t>003295_20230621_07.09_OI103996SEROV1SPRINTNAV500.bin</t>
  </si>
  <si>
    <t>55;50;41.09147N</t>
  </si>
  <si>
    <t>7;44;53.70768E</t>
  </si>
  <si>
    <t>55;50;41.06042N</t>
  </si>
  <si>
    <t>7;44;54.87827E</t>
  </si>
  <si>
    <t>0255_OI104287_SE_BH_120_P36_20230621071517 - 0001.db</t>
  </si>
  <si>
    <t>230621071504.SBD</t>
  </si>
  <si>
    <t>OI104287_SEROV1_ET2200SSS_BH_120_P36.001.jsf</t>
  </si>
  <si>
    <t>55;50;33.61836N</t>
  </si>
  <si>
    <t>7;44;53.87848E</t>
  </si>
  <si>
    <t>55;50;33.62051N</t>
  </si>
  <si>
    <t>7;44;55.12148E</t>
  </si>
  <si>
    <t>55;50;33.42004N</t>
  </si>
  <si>
    <t>7;44;54.38918E</t>
  </si>
  <si>
    <t>55;50;33.39661N</t>
  </si>
  <si>
    <t>7;44;55.63898E</t>
  </si>
  <si>
    <t>0256_OI104287_SE_BH_120_P27_20230621072553 - 0001.db</t>
  </si>
  <si>
    <t>230621072544.SBD</t>
  </si>
  <si>
    <t>OI104287_SEROV1_ET2200SSS_BH_120_P27.001.jsf</t>
  </si>
  <si>
    <t>003296_20230621_07.24_OI103996SEROV1SPRINTNAV500.bin</t>
  </si>
  <si>
    <t>55;50;40.76803N</t>
  </si>
  <si>
    <t>7;44;54.20148E</t>
  </si>
  <si>
    <t>55;50;40.77723N</t>
  </si>
  <si>
    <t>7;44;55.40965E</t>
  </si>
  <si>
    <t>55;50;41.75526N</t>
  </si>
  <si>
    <t>7;44;54.66522E</t>
  </si>
  <si>
    <t>55;50;41.53160N</t>
  </si>
  <si>
    <t>7;44;55.88490E</t>
  </si>
  <si>
    <t>20Hz</t>
  </si>
  <si>
    <t>Reduce R2Sonic pingrate to 20hz</t>
  </si>
  <si>
    <t>55;50;41.10449N</t>
  </si>
  <si>
    <t>7;44;54.75798E</t>
  </si>
  <si>
    <t>55;50;41.05317N</t>
  </si>
  <si>
    <t>7;44;55.91809E</t>
  </si>
  <si>
    <t>0257_OI104287_SE_BH_120_P18_20230621073632 - 0001.db</t>
  </si>
  <si>
    <t>230621073625.SBD</t>
  </si>
  <si>
    <t>OI104287_SEROV1_ET2200SSS_BH_120_P18.001.jsf</t>
  </si>
  <si>
    <t>55;50;33.17946N</t>
  </si>
  <si>
    <t>7;44;54.97339E</t>
  </si>
  <si>
    <t>55;50;33.18055N</t>
  </si>
  <si>
    <t>7;44;56.16915E</t>
  </si>
  <si>
    <t>003297_20230621_07.39_OI103996SEROV1SPRINTNAV500.bin</t>
  </si>
  <si>
    <t>55;50;33.30724N</t>
  </si>
  <si>
    <t>7;44;55.44374E</t>
  </si>
  <si>
    <t>55;50;33.37458N</t>
  </si>
  <si>
    <t>7;44;56.67609E</t>
  </si>
  <si>
    <t>0258_OI104287_SE_BH_120_P09_20230621074729 - 0001.db</t>
  </si>
  <si>
    <t>230621074700.SBD</t>
  </si>
  <si>
    <t>OI104287_SEROV1_ET2200SSS_BH_120_P09.001.jsf</t>
  </si>
  <si>
    <t>55;50;41.06988N</t>
  </si>
  <si>
    <t>7;44;55.24823E</t>
  </si>
  <si>
    <t>55;50;41.16995N</t>
  </si>
  <si>
    <t>7;44;56.43439E</t>
  </si>
  <si>
    <t>55;50;41.21585N</t>
  </si>
  <si>
    <t>7;44;55.87426E</t>
  </si>
  <si>
    <t>55;50;41.12424N</t>
  </si>
  <si>
    <t>7;44;56.94404E</t>
  </si>
  <si>
    <t>0259_OI104287_SE_BH_120_C00_20230621075827 - 0001.db</t>
  </si>
  <si>
    <t>230621075816.SBD</t>
  </si>
  <si>
    <t>OI104287_SEROV1_ET2200SSS_BH_120_C00.001.jsf</t>
  </si>
  <si>
    <t>003298_20230621_07.54_OI103996SEROV1SPRINTNAV500.bin</t>
  </si>
  <si>
    <t>55;50;33.62922N</t>
  </si>
  <si>
    <t>7;44;56.07717E</t>
  </si>
  <si>
    <t>55;50;33.56423N</t>
  </si>
  <si>
    <t>7;44;57.19027E</t>
  </si>
  <si>
    <t>55;50;33.43479N</t>
  </si>
  <si>
    <t>7;44;56.53802E</t>
  </si>
  <si>
    <t>55;50;33.37805N</t>
  </si>
  <si>
    <t>7;44;57.71289E</t>
  </si>
  <si>
    <t>0260_OI104287_SE_BH_120_S09_20230621080907 - 0001.db</t>
  </si>
  <si>
    <t>230621080852.SBD</t>
  </si>
  <si>
    <t>OI104287_SEROV1_ET2200SSS_BH_120_S09.001.jsf</t>
  </si>
  <si>
    <t>55;50;40.85585N</t>
  </si>
  <si>
    <t>7;44;56.32631E</t>
  </si>
  <si>
    <t>55;50;40.85553N</t>
  </si>
  <si>
    <t>7;44;57.47964E</t>
  </si>
  <si>
    <t>003299_20230621_08.09_OI103996SEROV1SPRINTNAV500.bin</t>
  </si>
  <si>
    <t>55;50;41.11586N</t>
  </si>
  <si>
    <t>7;44;56.88623E</t>
  </si>
  <si>
    <t>55;50;41.04880N</t>
  </si>
  <si>
    <t>7;44;57.98326E</t>
  </si>
  <si>
    <t>0261_OI104287_SE_BH_120_S18_20230621082007 - 0001.db</t>
  </si>
  <si>
    <t>230621081955.SBD</t>
  </si>
  <si>
    <t>OI104287_SEROV1_ET2200SSS_BH_120_S18.001.jsf</t>
  </si>
  <si>
    <t>55;50;33.66237N</t>
  </si>
  <si>
    <t>7;44;57.10852E</t>
  </si>
  <si>
    <t>55;50;33.59561N</t>
  </si>
  <si>
    <t>7;44;58.22104E</t>
  </si>
  <si>
    <t>003300_20230621_08.24_OI103996SEROV1SPRINTNAV500.bin</t>
  </si>
  <si>
    <t>55;50;33.41118N</t>
  </si>
  <si>
    <t>7;44;57.56205E</t>
  </si>
  <si>
    <t>55;50;33.41728N</t>
  </si>
  <si>
    <t>7;44;58.75031E</t>
  </si>
  <si>
    <t>0262_OI104287_SE_BH_120_S27_20230621083043 - 0001.db</t>
  </si>
  <si>
    <t>230621083031.SBD</t>
  </si>
  <si>
    <t>OI104287_SEROV1_ET2200SSS_BH_120_S27.001.jsf</t>
  </si>
  <si>
    <t>55;50;40.79602N</t>
  </si>
  <si>
    <t>7;44;57.37463E</t>
  </si>
  <si>
    <t>55;50;40.85794N</t>
  </si>
  <si>
    <t>7;44;58.51072E</t>
  </si>
  <si>
    <t>55;50;41.23627N</t>
  </si>
  <si>
    <t>7;44;57.85806E</t>
  </si>
  <si>
    <t>55;50;41.04322N</t>
  </si>
  <si>
    <t>7;44;59.02007E</t>
  </si>
  <si>
    <t>0263_OI104287_SE_BH_120_S36_20230621084049 - 0001.db</t>
  </si>
  <si>
    <t>230621084044.SBD</t>
  </si>
  <si>
    <t>OI104287_SEROV1_ET2200SSS_BH_120_S36.001.jsf</t>
  </si>
  <si>
    <t>003301_20230621_08.39_OI103996SEROV1SPRINTNAV500.bin</t>
  </si>
  <si>
    <t>55;50;33.78673N</t>
  </si>
  <si>
    <t>7;44;58.10753E</t>
  </si>
  <si>
    <t>55;50;33.61024N</t>
  </si>
  <si>
    <t>7;44;59.25875E</t>
  </si>
  <si>
    <t>55;50;33.44618N</t>
  </si>
  <si>
    <t>7;44;58.59179E</t>
  </si>
  <si>
    <t>55;50;33.43327N</t>
  </si>
  <si>
    <t>7;44;59.77866E</t>
  </si>
  <si>
    <t>0264_OI104287_SE_BH_120_S45_20230621085118 - 0001.db</t>
  </si>
  <si>
    <t>230621085100.SBD</t>
  </si>
  <si>
    <t>OI104287_SEROV1_ET2200SSS_BH_120_S45.001.jsf</t>
  </si>
  <si>
    <t>55;50;40.83480N</t>
  </si>
  <si>
    <t>7;44;58.40025E</t>
  </si>
  <si>
    <t>55;50;40.85130N</t>
  </si>
  <si>
    <t>7;44;59.54330E</t>
  </si>
  <si>
    <t>003302_20230621_08.54_OI103996SEROV1SPRINTNAV500.bin</t>
  </si>
  <si>
    <t>55;50;41.24093N</t>
  </si>
  <si>
    <t>7;44;58.91437E</t>
  </si>
  <si>
    <t>55;50;41.09904N</t>
  </si>
  <si>
    <t>7;45;00.05537E</t>
  </si>
  <si>
    <t>0265_OI104287_SE_BH_120_S54_20230621090219 - 0001.db</t>
  </si>
  <si>
    <t>230621090204.SBD</t>
  </si>
  <si>
    <t>OI104287_SEROV1_ET2200SSS_BH_120_S54.001.jsf</t>
  </si>
  <si>
    <t>55;50;33.60722N</t>
  </si>
  <si>
    <t>7;44;59.14211E</t>
  </si>
  <si>
    <t>55;50;33.44308N</t>
  </si>
  <si>
    <t>7;45;00.29556E</t>
  </si>
  <si>
    <t>55;50;33.67071N</t>
  </si>
  <si>
    <t>7;44;59.66022E</t>
  </si>
  <si>
    <t>55;50;33.65913N</t>
  </si>
  <si>
    <t>7;45;00.80732E</t>
  </si>
  <si>
    <t>0266_OI104287_SE_BH_120_S63_20230621091345 - 0001.db</t>
  </si>
  <si>
    <t>230621091324.SBD</t>
  </si>
  <si>
    <t>OI104287_SEROV1_ET2200SSS_BH_120_S63.001.jsf</t>
  </si>
  <si>
    <t>003303_20230621_09.09_OI103996SEROV1SPRINTNAV500.bin</t>
  </si>
  <si>
    <t>55;50;41.52469N</t>
  </si>
  <si>
    <t>7;44;59.40513E</t>
  </si>
  <si>
    <t>55;50;41.38072N</t>
  </si>
  <si>
    <t>7;45;00.55627E</t>
  </si>
  <si>
    <t>55;50;41.11605N</t>
  </si>
  <si>
    <t>7;44;59.98600E</t>
  </si>
  <si>
    <t>55;50;40.99796N</t>
  </si>
  <si>
    <t>7;45;01.08735E</t>
  </si>
  <si>
    <t>0267_OI104287_SE_BH_120_S72_20230621092513 - 0001.db</t>
  </si>
  <si>
    <t>230621092509.SBD</t>
  </si>
  <si>
    <t>OI104287_SEROV1_ET2200SSS_BH_120_S72.001.jsf</t>
  </si>
  <si>
    <t>003304_20230621_09.24_OI103996SEROV1SPRINTNAV500.bin</t>
  </si>
  <si>
    <t>55;50;33.78979N</t>
  </si>
  <si>
    <t>7;45;00.16954E</t>
  </si>
  <si>
    <t>55;50;33.64993N</t>
  </si>
  <si>
    <t>7;45;01.32392E</t>
  </si>
  <si>
    <t>55;50;32.99269N</t>
  </si>
  <si>
    <t>7;45;00.17476E</t>
  </si>
  <si>
    <t>55;50;32.89963N</t>
  </si>
  <si>
    <t>7;45;00.84172E</t>
  </si>
  <si>
    <t>55;50;32.99117N</t>
  </si>
  <si>
    <t>7;45;00.17337E</t>
  </si>
  <si>
    <t>55;50;32.88530N</t>
  </si>
  <si>
    <t>7;45;00.84625E</t>
  </si>
  <si>
    <t>WROV on deck EOD #011</t>
  </si>
  <si>
    <t>55;50;46.53981N</t>
  </si>
  <si>
    <t>7;45;08.29748E</t>
  </si>
  <si>
    <t>55;50;46.41796N</t>
  </si>
  <si>
    <t>7;45;08.87880E</t>
  </si>
  <si>
    <t>Transit to CPT_116</t>
  </si>
  <si>
    <t>55;50;47.54057N</t>
  </si>
  <si>
    <t>7;45;08.94366E</t>
  </si>
  <si>
    <t>55;50;47.41343N</t>
  </si>
  <si>
    <t>7;45;09.52182E</t>
  </si>
  <si>
    <t>Patch test result values applied in Naviscan / QINSy</t>
  </si>
  <si>
    <t>Rev3</t>
  </si>
  <si>
    <t>Updated R2S with patch test result values</t>
  </si>
  <si>
    <t>55;52;19.20904N</t>
  </si>
  <si>
    <t>7;45;43.12132E</t>
  </si>
  <si>
    <t>55;52;19.16218N</t>
  </si>
  <si>
    <t>7;45;43.76093E</t>
  </si>
  <si>
    <t>55;52;19.26073N</t>
  </si>
  <si>
    <t>7;45;43.06410E</t>
  </si>
  <si>
    <t>55;52;19.17063N</t>
  </si>
  <si>
    <t>7;45;43.68126E</t>
  </si>
  <si>
    <t>55;52;19.25532N</t>
  </si>
  <si>
    <t>7;45;43.11022E</t>
  </si>
  <si>
    <t>55;52;19.13366N</t>
  </si>
  <si>
    <t>7;45;43.85658E</t>
  </si>
  <si>
    <t>OI104287_SE_SVX2_SVP_20230621_1016_555232N_0074571E_027</t>
  </si>
  <si>
    <t>55;52;19.25678N</t>
  </si>
  <si>
    <t>7;45;43.08521E</t>
  </si>
  <si>
    <t>55;52;18.90132N</t>
  </si>
  <si>
    <t>7;45;43.83153E</t>
  </si>
  <si>
    <t>SVP_027</t>
  </si>
  <si>
    <t>WROV off deck SOD #012</t>
  </si>
  <si>
    <t>55;52;19.92709N</t>
  </si>
  <si>
    <t>7;45;43.05896E</t>
  </si>
  <si>
    <t>55;52;19.83990N</t>
  </si>
  <si>
    <t>7;45;44.39580E</t>
  </si>
  <si>
    <t>0268_OI104287_SE_CPT_116_S50_20230621102402 - 0001.db</t>
  </si>
  <si>
    <t>230621102342.SBD</t>
  </si>
  <si>
    <t>OI104287_SEROV1_ET2200SSS_CPT_116_S50.001.jsf</t>
  </si>
  <si>
    <t>003307_20230621_10.09_OI103996SEROV1SPRINTNAV500.bin</t>
  </si>
  <si>
    <t>55;52;23.52843N</t>
  </si>
  <si>
    <t>7;45;42.94711E</t>
  </si>
  <si>
    <t>55;52;23.42619N</t>
  </si>
  <si>
    <t>7;45;44.28386E</t>
  </si>
  <si>
    <t>55;52;25.76281N</t>
  </si>
  <si>
    <t>7;45;42.86839E</t>
  </si>
  <si>
    <t>55;52;25.63182N</t>
  </si>
  <si>
    <t>7;45;44.21536E</t>
  </si>
  <si>
    <t>003308_20230621_10.24_OI103996SEROV1SPRINTNAV500.bin</t>
  </si>
  <si>
    <t>55;52;26.63544N</t>
  </si>
  <si>
    <t>7;45;42.87547E</t>
  </si>
  <si>
    <t>55;52;26.33534N</t>
  </si>
  <si>
    <t>7;45;44.06690E</t>
  </si>
  <si>
    <t>Re-run line, updated USBL quality values in SprintNAV</t>
  </si>
  <si>
    <t xml:space="preserve">Incorrect USBL quality vaules in sprint. </t>
  </si>
  <si>
    <t>55;52;26.13879N</t>
  </si>
  <si>
    <t>7;45;42.92737E</t>
  </si>
  <si>
    <t>55;52;26.07795N</t>
  </si>
  <si>
    <t>7;45;44.20329E</t>
  </si>
  <si>
    <t>0269_OI104287_SE_CPT_116_S50_20230621103302 - 0001.db</t>
  </si>
  <si>
    <t>OI104287_SEROV1_ET2200SSS_CPT_116_S50.002.jsf</t>
  </si>
  <si>
    <t>55;52;20.06693N</t>
  </si>
  <si>
    <t>7;45;43.10353E</t>
  </si>
  <si>
    <t>55;52;19.97252N</t>
  </si>
  <si>
    <t>7;45;44.39943E</t>
  </si>
  <si>
    <t>55;52;20.15993N</t>
  </si>
  <si>
    <t>7;45;42.54737E</t>
  </si>
  <si>
    <t>55;52;20.04977N</t>
  </si>
  <si>
    <t>7;45;43.87076E</t>
  </si>
  <si>
    <t>0270_OI104287_SE_CPT_116_S41_20230621104338 - 0001.db</t>
  </si>
  <si>
    <t>230621104336.SBD</t>
  </si>
  <si>
    <t>OI104287_SEROV1_ET2200SSS_CPT_116_S41.001.jsf</t>
  </si>
  <si>
    <t>003309_20230621_10.39_OI103996SEROV1SPRINTNAV500.bin</t>
  </si>
  <si>
    <t>55;52;25.98359N</t>
  </si>
  <si>
    <t>7;45;42.37350E</t>
  </si>
  <si>
    <t>55;52;25.88815N</t>
  </si>
  <si>
    <t>7;45;43.69273E</t>
  </si>
  <si>
    <t>55;52;26.06884N</t>
  </si>
  <si>
    <t>7;45;41.98723E</t>
  </si>
  <si>
    <t>55;52;25.99754N</t>
  </si>
  <si>
    <t>7;45;43.16799E</t>
  </si>
  <si>
    <t>0271_OI104287_SE_CPT_116_S32_20230621105247 - 0001.db</t>
  </si>
  <si>
    <t>230621105241.SBD</t>
  </si>
  <si>
    <t>OI104287_SEROV1_ET2200SSS_CPT_116_S32.001.jsf</t>
  </si>
  <si>
    <t>55;52;20.12864N</t>
  </si>
  <si>
    <t>7;45;42.16351E</t>
  </si>
  <si>
    <t>55;52;19.98610N</t>
  </si>
  <si>
    <t>7;45;43.35688E</t>
  </si>
  <si>
    <t>003310_20230621_10.54_OI103996SEROV1SPRINTNAV500.bin</t>
  </si>
  <si>
    <t>55;52;19.95984N</t>
  </si>
  <si>
    <t>7;45;41.63267E</t>
  </si>
  <si>
    <t>55;52;19.78529N</t>
  </si>
  <si>
    <t>7;45;42.84964E</t>
  </si>
  <si>
    <t>0272_OI104287_SE_CPT_116_S23_20230621110255 - 0001.db</t>
  </si>
  <si>
    <t>230621110240.SBD</t>
  </si>
  <si>
    <t>OI104287_SEROV1_ET2200SSS_CPT_116_S23.001.jsf</t>
  </si>
  <si>
    <t>55;52;25.98977N</t>
  </si>
  <si>
    <t>7;45;41.44446E</t>
  </si>
  <si>
    <t>55;52;25.79763N</t>
  </si>
  <si>
    <t>7;45;42.66045E</t>
  </si>
  <si>
    <t>55;52;26.01978N</t>
  </si>
  <si>
    <t>7;45;40.99174E</t>
  </si>
  <si>
    <t>55;52;25.94081N</t>
  </si>
  <si>
    <t>7;45;42.13752E</t>
  </si>
  <si>
    <t>0273_OI104287_SE_CPT_116_S14_20230621111157 - 0001.db</t>
  </si>
  <si>
    <t>230621111140.SBD</t>
  </si>
  <si>
    <t>OI104287_SEROV1_ET2200SSS_CPT_116_S14.001.jsf</t>
  </si>
  <si>
    <t>003311_20230621_11.09_OI103996SEROV1SPRINTNAV500.bin</t>
  </si>
  <si>
    <t>55;52;20.15681N</t>
  </si>
  <si>
    <t>7;45;41.15250E</t>
  </si>
  <si>
    <t>55;52;19.98550N</t>
  </si>
  <si>
    <t>7;45;42.32611E</t>
  </si>
  <si>
    <t>55;52;19.99688N</t>
  </si>
  <si>
    <t>7;45;40.57811E</t>
  </si>
  <si>
    <t>55;52;19.78348N</t>
  </si>
  <si>
    <t>7;45;41.81585E</t>
  </si>
  <si>
    <t>0274_OI104287_SE_CPT_116_S05_20230621112142 - 0001.db</t>
  </si>
  <si>
    <t>230621112133.SBD</t>
  </si>
  <si>
    <t>OI104287_SEROV1_ET2200SSS_CPT_116_S05.001.jsf</t>
  </si>
  <si>
    <t>55;52;25.97498N</t>
  </si>
  <si>
    <t>7;45;40.44110E</t>
  </si>
  <si>
    <t>55;52;25.78194N</t>
  </si>
  <si>
    <t>7;45;41.62786E</t>
  </si>
  <si>
    <t>003312_20230621_11.24_OI103996SEROV1SPRINTNAV500.bin</t>
  </si>
  <si>
    <t>55;52;26.18615N</t>
  </si>
  <si>
    <t>7;45;39.94608E</t>
  </si>
  <si>
    <t>55;52;26.00282N</t>
  </si>
  <si>
    <t>7;45;41.10614E</t>
  </si>
  <si>
    <t>0275_OI104287_SE_CPT_116_P05_20230621113143 - 0001.db</t>
  </si>
  <si>
    <t>230621113136.SBD</t>
  </si>
  <si>
    <t>OI104287_SEROV1_ET2200SSS_CPT_116_P05.001.jsf</t>
  </si>
  <si>
    <t>55;52;20.24346N</t>
  </si>
  <si>
    <t>7;45;40.14560E</t>
  </si>
  <si>
    <t>55;52;20.00481N</t>
  </si>
  <si>
    <t>7;45;41.29322E</t>
  </si>
  <si>
    <t>55;52;19.80993N</t>
  </si>
  <si>
    <t>7;45;39.62105E</t>
  </si>
  <si>
    <t>55;52;19.68405N</t>
  </si>
  <si>
    <t>7;45;40.77180E</t>
  </si>
  <si>
    <t>0276_OI104287_SE_CPT_116_P14_20230621114341 - 0001.db</t>
  </si>
  <si>
    <t>230621114335.SBD</t>
  </si>
  <si>
    <t>OI104287_SEROV1_ET2200SSS_CPT_116_P14.001.jsf</t>
  </si>
  <si>
    <t>003313_20230621_11.39_OI103996SEROV1SPRINTNAV500.bin</t>
  </si>
  <si>
    <t>55;52;25.85321N</t>
  </si>
  <si>
    <t>7;45;39.38327E</t>
  </si>
  <si>
    <t>55;52;25.77439N</t>
  </si>
  <si>
    <t>7;45;40.59045E</t>
  </si>
  <si>
    <t>55;52;26.28679N</t>
  </si>
  <si>
    <t>7;45;38.98307E</t>
  </si>
  <si>
    <t>55;52;25.93854N</t>
  </si>
  <si>
    <t>7;45;40.06843E</t>
  </si>
  <si>
    <t>0277_OI104287_SE_CPT_116_P23_20230621115320 - 0001.db</t>
  </si>
  <si>
    <t>230621115311.SBD</t>
  </si>
  <si>
    <t>OI104287_SEROV1_ET2200SSS_CPT_116_P23.001.jsf</t>
  </si>
  <si>
    <t>55;52;20.03677N</t>
  </si>
  <si>
    <t>7;45;39.10348E</t>
  </si>
  <si>
    <t>55;52;19.93345N</t>
  </si>
  <si>
    <t>7;45;40.26034E</t>
  </si>
  <si>
    <t>003314_20230621_11.54_OI103996SEROV1SPRINTNAV500.bin</t>
  </si>
  <si>
    <t>55;52;19.74232N</t>
  </si>
  <si>
    <t>7;45;38.62116E</t>
  </si>
  <si>
    <t>55;52;19.77005N</t>
  </si>
  <si>
    <t>7;45;39.73500E</t>
  </si>
  <si>
    <t>0278_OI104287_SE_CPT_116_P32_20230621120530 - 0001.db</t>
  </si>
  <si>
    <t>230621120517.SBD</t>
  </si>
  <si>
    <t>OI104287_SEROV1_ET2200SSS_CPT_116_P32.001.jsf</t>
  </si>
  <si>
    <t>55;52;25.96762N</t>
  </si>
  <si>
    <t>7;45;38.31166E</t>
  </si>
  <si>
    <t>55;52;25.89328N</t>
  </si>
  <si>
    <t>7;45;39.54459E</t>
  </si>
  <si>
    <t>230621121049.SBD</t>
  </si>
  <si>
    <t>003315_20230621_12.09_OI103996SEROV1SPRINTNAV500.bin</t>
  </si>
  <si>
    <t>55;52;25.80116N</t>
  </si>
  <si>
    <t>7;45;37.95687E</t>
  </si>
  <si>
    <t>55;52;25.62759N</t>
  </si>
  <si>
    <t>7;45;39.03554E</t>
  </si>
  <si>
    <t>0279_OI104287_SE_CPT_116_P41_20230621121631 - 0001.db</t>
  </si>
  <si>
    <t>230621121617.SBD</t>
  </si>
  <si>
    <t>OI104287_SEROV1_ET2200SSS_CPT_116_P41.001.jsf</t>
  </si>
  <si>
    <t>55;52;20.18826N</t>
  </si>
  <si>
    <t>7;45;38.10871E</t>
  </si>
  <si>
    <t>55;52;19.99123N</t>
  </si>
  <si>
    <t>7;45;39.21840E</t>
  </si>
  <si>
    <t>55;52;19.71619N</t>
  </si>
  <si>
    <t>7;45;37.47099E</t>
  </si>
  <si>
    <t>55;52;19.74576N</t>
  </si>
  <si>
    <t>7;45;38.70090E</t>
  </si>
  <si>
    <t>0280_OI104287_SE_CPT_116_P50_20230621122613 - 0001.db</t>
  </si>
  <si>
    <t>230621122554.SBD</t>
  </si>
  <si>
    <t>OI104287_SEROV1_ET2200SSS_CPT_116_P50.001.jsf</t>
  </si>
  <si>
    <t>003316_20230621_12.24_OI103996SEROV1SPRINTNAV500.bin</t>
  </si>
  <si>
    <t>55;52;25.91176N</t>
  </si>
  <si>
    <t>7;45;37.28610E</t>
  </si>
  <si>
    <t>55;52;25.81075N</t>
  </si>
  <si>
    <t>7;45;38.51472E</t>
  </si>
  <si>
    <t>Veesel on the move to CPT_265</t>
  </si>
  <si>
    <t>55;52;26.67389N</t>
  </si>
  <si>
    <t>7;45;37.38280E</t>
  </si>
  <si>
    <t>55;52;26.56497N</t>
  </si>
  <si>
    <t>7;45;38.01533E</t>
  </si>
  <si>
    <t>WROV on deck EOD #012</t>
  </si>
  <si>
    <t>55;52;26.73184N</t>
  </si>
  <si>
    <t>7;45;37.48248E</t>
  </si>
  <si>
    <t>55;52;26.61627N</t>
  </si>
  <si>
    <t>7;45;38.11189E</t>
  </si>
  <si>
    <t>WROV on latch</t>
  </si>
  <si>
    <t>55;53;25.81621N</t>
  </si>
  <si>
    <t>7;45;44.75924E</t>
  </si>
  <si>
    <t>55;53;25.73273N</t>
  </si>
  <si>
    <t>7;45;45.39520E</t>
  </si>
  <si>
    <t>55;53;26.26911N</t>
  </si>
  <si>
    <t>7;45;44.58331E</t>
  </si>
  <si>
    <t>55;53;26.34694N</t>
  </si>
  <si>
    <t>7;45;46.02404E</t>
  </si>
  <si>
    <t>0281_OI104287_SE_CPT_265_S50_20230621130510 - 0001.db</t>
  </si>
  <si>
    <t>230621130452.SBD</t>
  </si>
  <si>
    <t>OI104287_SEROV1_ET2200SSS_CPT_265_S50.001.jsf</t>
  </si>
  <si>
    <t>003318_20230621_12.54_OI103996SEROV1SPRINTNAV500.bin</t>
  </si>
  <si>
    <t>Vessel in location, ROV out of latch</t>
  </si>
  <si>
    <t>OI104287_SE_SVX2_SVP_20230621_1300_555343N_0074574E_028</t>
  </si>
  <si>
    <t>55;53;30.87808N</t>
  </si>
  <si>
    <t>7;45;44.55751E</t>
  </si>
  <si>
    <t>55;53;30.77479N</t>
  </si>
  <si>
    <t>7;45;45.88372E</t>
  </si>
  <si>
    <t>SVP_028</t>
  </si>
  <si>
    <t>55;53;32.57724N</t>
  </si>
  <si>
    <t>7;45;44.56793E</t>
  </si>
  <si>
    <t>55;53;32.44814N</t>
  </si>
  <si>
    <t>7;45;45.82820E</t>
  </si>
  <si>
    <t>003319_20230621_13.09_OI103996SEROV1SPRINTNAV500.bin</t>
  </si>
  <si>
    <t>55;53;32.86525N</t>
  </si>
  <si>
    <t>7;45;44.30453E</t>
  </si>
  <si>
    <t>55;53;32.67838N</t>
  </si>
  <si>
    <t>7;45;45.30376E</t>
  </si>
  <si>
    <t>0282_OI104287_SE_CPT_265_S41_20230621131522 - 0001.db</t>
  </si>
  <si>
    <t>230621131510.SBD</t>
  </si>
  <si>
    <t>OI104287_SEROV1_ET2200SSS_CPT_265_S41.001.jsf</t>
  </si>
  <si>
    <t>55;53;26.86580N</t>
  </si>
  <si>
    <t>7;45;44.39228E</t>
  </si>
  <si>
    <t>55;53;26.55590N</t>
  </si>
  <si>
    <t>7;45;45.50080E</t>
  </si>
  <si>
    <t>55;53;26.45914N</t>
  </si>
  <si>
    <t>7;45;43.88034E</t>
  </si>
  <si>
    <t>55;53;26.53945N</t>
  </si>
  <si>
    <t>7;45;44.98482E</t>
  </si>
  <si>
    <t>0283_OI104287_SE_CPT_265_S32_20230621132448 - 0001.db</t>
  </si>
  <si>
    <t>230621132444.SBD</t>
  </si>
  <si>
    <t>OI104287_SEROV1_ET2200SSS_CPT_265_S32.001.jsf</t>
  </si>
  <si>
    <t>003320_20230621_13.24_OI103996SEROV1SPRINTNAV500.bin</t>
  </si>
  <si>
    <t>55;53;32.53008N</t>
  </si>
  <si>
    <t>7;45;43.72262E</t>
  </si>
  <si>
    <t>55;53;32.46474N</t>
  </si>
  <si>
    <t>7;45;44.79260E</t>
  </si>
  <si>
    <t>55;53;32.85366N</t>
  </si>
  <si>
    <t>7;45;43.06092E</t>
  </si>
  <si>
    <t>55;53;32.70961N</t>
  </si>
  <si>
    <t>7;45;44.26816E</t>
  </si>
  <si>
    <t>230621133345.SBD</t>
  </si>
  <si>
    <t>OI104287_SEROV1_ET2200SSS_CPT_265_S23.001.jsf</t>
  </si>
  <si>
    <t>55;53;26.79104N</t>
  </si>
  <si>
    <t>7;45;43.16231E</t>
  </si>
  <si>
    <t>55;53;26.58909N</t>
  </si>
  <si>
    <t>7;45;44.46339E</t>
  </si>
  <si>
    <t>0284_OI104287_SE_CPT_265_S23_20230621133420 - 0001.db</t>
  </si>
  <si>
    <t>003321_20230621_13.39_OI103996SEROV1SPRINTNAV500.bin</t>
  </si>
  <si>
    <t>55;53;26.42800N</t>
  </si>
  <si>
    <t>7;45;42.73701E</t>
  </si>
  <si>
    <t>55;53;26.43656N</t>
  </si>
  <si>
    <t>7;45;43.94740E</t>
  </si>
  <si>
    <t>230621134323.SBD</t>
  </si>
  <si>
    <t>OI104287_SEROV1_ET2200SSS_CPT_265_S14.001.jsf</t>
  </si>
  <si>
    <t>55;53;32.41459N</t>
  </si>
  <si>
    <t>7;45;42.51628E</t>
  </si>
  <si>
    <t>55;53;32.41072N</t>
  </si>
  <si>
    <t>7;45;43.75911E</t>
  </si>
  <si>
    <t>0285_OI104287_SE_CPT_265_S14_20230621134337 - 0001.db</t>
  </si>
  <si>
    <t>55;53;32.80277N</t>
  </si>
  <si>
    <t>7;45;42.08348E</t>
  </si>
  <si>
    <t>55;53;32.61848N</t>
  </si>
  <si>
    <t>7;45;43.23528E</t>
  </si>
  <si>
    <t>0286_OI104287_SE_CPT_265_S05_20230621135252 - 0001.db</t>
  </si>
  <si>
    <t>230621135238.SBD</t>
  </si>
  <si>
    <t>OI104287_SEROV1_ET2200SSS_CPT_265_S05.001.jsf</t>
  </si>
  <si>
    <t>55;53;26.74113N</t>
  </si>
  <si>
    <t>7;45;42.13000E</t>
  </si>
  <si>
    <t>55;53;26.58502N</t>
  </si>
  <si>
    <t>7;45;43.42417E</t>
  </si>
  <si>
    <t>003322_20230621_13.54_OI103996SEROV1SPRINTNAV500.bin</t>
  </si>
  <si>
    <t>55;53;26.32130N</t>
  </si>
  <si>
    <t>7;45;41.61621E</t>
  </si>
  <si>
    <t>55;53;26.32219N</t>
  </si>
  <si>
    <t>7;45;42.91754E</t>
  </si>
  <si>
    <t>0287_OI104287_SE_CPT_265_P05_20230621140352 - 0001.db</t>
  </si>
  <si>
    <t>230621140336.SBD</t>
  </si>
  <si>
    <t>OI104287_SEROV1_ET2200SSS_CPT_265_P05.001.jsf</t>
  </si>
  <si>
    <t>55;53;32.60144N</t>
  </si>
  <si>
    <t>7;45;41.38807E</t>
  </si>
  <si>
    <t>55;53;32.36848N</t>
  </si>
  <si>
    <t>7;45;42.72351E</t>
  </si>
  <si>
    <t>55;53;32.74035N</t>
  </si>
  <si>
    <t>7;45;40.86464E</t>
  </si>
  <si>
    <t>55;53;32.59117N</t>
  </si>
  <si>
    <t>7;45;42.20028E</t>
  </si>
  <si>
    <t>0288_OI104287_SE_CPT_265_P14_20230621141404 - 0001.db</t>
  </si>
  <si>
    <t>230621141335.SBD</t>
  </si>
  <si>
    <t>OI104287_SEROV1_ET2200SSS_CPT_265_P14.001.jsf</t>
  </si>
  <si>
    <t>003323_20230621_14.09_OI103996SEROV1SPRINTNAV500.bin</t>
  </si>
  <si>
    <t>55;53;26.78752N</t>
  </si>
  <si>
    <t>7;45;40.96664E</t>
  </si>
  <si>
    <t>55;53;26.59995N</t>
  </si>
  <si>
    <t>7;45;42.38797E</t>
  </si>
  <si>
    <t>55;53;26.28506N</t>
  </si>
  <si>
    <t>7;45;40.57467E</t>
  </si>
  <si>
    <t>55;53;26.33532N</t>
  </si>
  <si>
    <t>7;45;41.87952E</t>
  </si>
  <si>
    <t>230621142313.SBD</t>
  </si>
  <si>
    <t>OI104287_SEROV1_ET2200SSS_CPT_265_P23.001.jsf</t>
  </si>
  <si>
    <t>55;53;32.63321N</t>
  </si>
  <si>
    <t>7;45;40.26061E</t>
  </si>
  <si>
    <t>55;53;32.43713N</t>
  </si>
  <si>
    <t>7;45;41.68308E</t>
  </si>
  <si>
    <t>0289_OI104287_SE_CPT_265_P23_20230621142325 - 0001.db</t>
  </si>
  <si>
    <t>003324_20230621_14.24_OI103996SEROV1SPRINTNAV500.bin</t>
  </si>
  <si>
    <t>55;53;33.65557N</t>
  </si>
  <si>
    <t>7;45;40.59458E</t>
  </si>
  <si>
    <t>55;53;33.40016N</t>
  </si>
  <si>
    <t>7;45;41.17222E</t>
  </si>
  <si>
    <t>Disabled echo on C1 and T1</t>
  </si>
  <si>
    <t>55;53;32.76596N</t>
  </si>
  <si>
    <t>7;45;39.90960E</t>
  </si>
  <si>
    <t>55;53;32.65393N</t>
  </si>
  <si>
    <t>7;45;41.15804E</t>
  </si>
  <si>
    <t>0290_OI104287_SE_CPT_265_P32_20230621143602 - 0001.db</t>
  </si>
  <si>
    <t>230621143546.SBD</t>
  </si>
  <si>
    <t>OI104287_SEROV1_ET2200SSS_CPT_265_P32.001.jsf</t>
  </si>
  <si>
    <t>55;53;26.70242N</t>
  </si>
  <si>
    <t>7;45;39.97076E</t>
  </si>
  <si>
    <t>55;53;26.59950N</t>
  </si>
  <si>
    <t>7;45;41.35388E</t>
  </si>
  <si>
    <t>003325_20230621_14.39_OI103996SEROV1SPRINTNAV500.bin</t>
  </si>
  <si>
    <t>55;53;26.61019N</t>
  </si>
  <si>
    <t>7;45;39.47413E</t>
  </si>
  <si>
    <t>55;53;26.34135N</t>
  </si>
  <si>
    <t>7;45;40.84271E</t>
  </si>
  <si>
    <t>230621144744.SBD</t>
  </si>
  <si>
    <t>OI104287_SEROV1_ET2200SSS_CPT_265_P41.001.jsf</t>
  </si>
  <si>
    <t>55;53;32.64683N</t>
  </si>
  <si>
    <t>7;45;39.22288E</t>
  </si>
  <si>
    <t>55;53;32.42355N</t>
  </si>
  <si>
    <t>7;45;40.64809E</t>
  </si>
  <si>
    <t>0291_OI104287_SE_CPT_265_P41_20230621144808 - 0001.db</t>
  </si>
  <si>
    <t>55;53;32.86330N</t>
  </si>
  <si>
    <t>7;45;38.91629E</t>
  </si>
  <si>
    <t>55;53;32.67762N</t>
  </si>
  <si>
    <t>7;45;40.11822E</t>
  </si>
  <si>
    <t>0292_OI104287_SE_CPT_265_P50_20230621145822 - 0001.db</t>
  </si>
  <si>
    <t>230621145812.SBD</t>
  </si>
  <si>
    <t>OI104287_SEROV1_ET2200SSS_CPT_265_P50.001.jsf</t>
  </si>
  <si>
    <t>003326_20230621_14.54_OI103996SEROV1SPRINTNAV500.bin</t>
  </si>
  <si>
    <t>55;53;26.67107N</t>
  </si>
  <si>
    <t>7;45;38.98556E</t>
  </si>
  <si>
    <t>55;53;26.50324N</t>
  </si>
  <si>
    <t>7;45;40.31858E</t>
  </si>
  <si>
    <t>55;53;25.94745N</t>
  </si>
  <si>
    <t>7;45;39.14658E</t>
  </si>
  <si>
    <t>55;53;25.83577N</t>
  </si>
  <si>
    <t>7;45;39.77151E</t>
  </si>
  <si>
    <t>Vessel on the move to BH_028</t>
  </si>
  <si>
    <t>55;53;26.03621N</t>
  </si>
  <si>
    <t>7;45;38.41620E</t>
  </si>
  <si>
    <t>55;53;25.64507N</t>
  </si>
  <si>
    <t>7;45;38.34967E</t>
  </si>
  <si>
    <t>55;53;24.58532N</t>
  </si>
  <si>
    <t>7;44;36.04059E</t>
  </si>
  <si>
    <t>55;53;24.45482N</t>
  </si>
  <si>
    <t>7;44;36.64300E</t>
  </si>
  <si>
    <t>55;53;24.74073N</t>
  </si>
  <si>
    <t>7;44;35.85521E</t>
  </si>
  <si>
    <t>55;53;24.58005N</t>
  </si>
  <si>
    <t>7;44;36.45200E</t>
  </si>
  <si>
    <t>55;53;24.21213N</t>
  </si>
  <si>
    <t>7;44;35.87121E</t>
  </si>
  <si>
    <t>55;53;24.15579N</t>
  </si>
  <si>
    <t>7;44;37.07088E</t>
  </si>
  <si>
    <t>0293_OI104287_SE_BH_028_S72_20230621153334 - 0001.db</t>
  </si>
  <si>
    <t>230621153317.SBD</t>
  </si>
  <si>
    <t>OI104287_SEROV1_ET2200SSS_BH_028_S72.001.jsf</t>
  </si>
  <si>
    <t>003328_20230621_15.24_OI103996SEROV1SPRINTNAV500.bin</t>
  </si>
  <si>
    <t>55;53;16.46101N</t>
  </si>
  <si>
    <t>7;44;35.98172E</t>
  </si>
  <si>
    <t>55;53;16.42771N</t>
  </si>
  <si>
    <t>7;44;37.31711E</t>
  </si>
  <si>
    <t>0293_OI104287_SE_BH_028_S72_20230621153512 - 0002.db</t>
  </si>
  <si>
    <t>003329_20230621_15.39_OI103996SEROV1SPRINTNAV500.bin</t>
  </si>
  <si>
    <t>55;53;16.35669N</t>
  </si>
  <si>
    <t>7;44;35.51324E</t>
  </si>
  <si>
    <t>55;53;16.16202N</t>
  </si>
  <si>
    <t>7;44;36.81620E</t>
  </si>
  <si>
    <t>0294_OI104287_SE_BH_028_S63_20230621154648 - 0001.db</t>
  </si>
  <si>
    <t>230621154610.SBD</t>
  </si>
  <si>
    <t>OI104287_SEROV1_ET2200SSS_BH_028_S63.001.jsf</t>
  </si>
  <si>
    <t>55;53;24.03559N</t>
  </si>
  <si>
    <t>7;44;35.29576E</t>
  </si>
  <si>
    <t>55;53;23.90730N</t>
  </si>
  <si>
    <t>7;44;36.55700E</t>
  </si>
  <si>
    <t>55;53;24.35709N</t>
  </si>
  <si>
    <t>7;44;34.55895E</t>
  </si>
  <si>
    <t>55;53;24.16394N</t>
  </si>
  <si>
    <t>7;44;36.03739E</t>
  </si>
  <si>
    <t>230621160116.SBD</t>
  </si>
  <si>
    <t>OI104287_SEROV1_ET2200SSS_BH_028_S54.001.jsf</t>
  </si>
  <si>
    <t>003330_20230621_15.54_OI103996SEROV1SPRINTNAV500.bin</t>
  </si>
  <si>
    <t>55;53;16.55330N</t>
  </si>
  <si>
    <t>7;44;34.64560E</t>
  </si>
  <si>
    <t>55;53;16.38758N</t>
  </si>
  <si>
    <t>7;44;36.28694E</t>
  </si>
  <si>
    <t>0295_OI104287_SE_BH_028_S54_20230621160136 - 0001.db</t>
  </si>
  <si>
    <t>55;53;16.47980N</t>
  </si>
  <si>
    <t>7;44;34.18255E</t>
  </si>
  <si>
    <t>55;53;16.20396N</t>
  </si>
  <si>
    <t>7;44;35.80927E</t>
  </si>
  <si>
    <t>0296_OI104287_SE_BH_028_S45_20230621161455 - 0001.db</t>
  </si>
  <si>
    <t>230621161439.SBD</t>
  </si>
  <si>
    <t>OI104287_SEROV1_ET2200SSS_BH_028_S45.001.jsf</t>
  </si>
  <si>
    <t>003331_20230621_16.09_OI103996SEROV1SPRINTNAV500.bin</t>
  </si>
  <si>
    <t>55;53;17.25282N</t>
  </si>
  <si>
    <t>7;44;34.17880E</t>
  </si>
  <si>
    <t>55;53;17.12143N</t>
  </si>
  <si>
    <t>7;44;35.76793E</t>
  </si>
  <si>
    <t>55;53;17.36554N</t>
  </si>
  <si>
    <t>7;44;34.22706E</t>
  </si>
  <si>
    <t>55;53;17.24137N</t>
  </si>
  <si>
    <t>7;44;35.61283E</t>
  </si>
  <si>
    <t>ROV autopilot issue</t>
  </si>
  <si>
    <t>55;53;16.29394N</t>
  </si>
  <si>
    <t>7;44;34.34258E</t>
  </si>
  <si>
    <t>55;53;16.22554N</t>
  </si>
  <si>
    <t>7;44;35.77699E</t>
  </si>
  <si>
    <t>230621162507.SBD</t>
  </si>
  <si>
    <t>OI104287_SEROV1_ET2200SSS_BH_028_S45.002.jsf</t>
  </si>
  <si>
    <t>003332_20230621_16.24_OI103996SEROV1SPRINTNAV500.bin</t>
  </si>
  <si>
    <t>55;53;24.00952N</t>
  </si>
  <si>
    <t>7;44;34.14679E</t>
  </si>
  <si>
    <t>55;53;23.95377N</t>
  </si>
  <si>
    <t>7;44;35.51899E</t>
  </si>
  <si>
    <t>0297_OI104287_SE_BH_028_S45_20230621162522 - 0001.db</t>
  </si>
  <si>
    <t>55;53;24.43904N</t>
  </si>
  <si>
    <t>7;44;33.64266E</t>
  </si>
  <si>
    <t>55;53;24.18159N</t>
  </si>
  <si>
    <t>7;44;34.99546E</t>
  </si>
  <si>
    <t>0298_OI104287_SE_BH_028_S36_20230621163840 - 0001.db</t>
  </si>
  <si>
    <t>230621163821.SBD</t>
  </si>
  <si>
    <t>OI104287_SEROV1_ET2200SSS_BH_028_S36.001.jsf</t>
  </si>
  <si>
    <t>55;53;16.57966N</t>
  </si>
  <si>
    <t>7;44;33.77245E</t>
  </si>
  <si>
    <t>55;53;16.28242N</t>
  </si>
  <si>
    <t>7;44;35.24923E</t>
  </si>
  <si>
    <t>003333_20230621_16.39_OI103996SEROV1SPRINTNAV500.bin</t>
  </si>
  <si>
    <t>55;53;16.16473N</t>
  </si>
  <si>
    <t>7;44;33.34351E</t>
  </si>
  <si>
    <t>55;53;16.09594N</t>
  </si>
  <si>
    <t>7;44;34.74561E</t>
  </si>
  <si>
    <t>0299_OI104287_SE_BH_028_S27_20230621165130 - 0001.db</t>
  </si>
  <si>
    <t>230621165118.SBD</t>
  </si>
  <si>
    <t>OI104287_SEROV1_ET2200SSS_BH_028_S27.001.jsf</t>
  </si>
  <si>
    <t>55;53;24.08803N</t>
  </si>
  <si>
    <t>7;44;33.08428E</t>
  </si>
  <si>
    <t>55;53;23.98560N</t>
  </si>
  <si>
    <t>7;44;34.48490E</t>
  </si>
  <si>
    <t>003334_20230621_16.54_OI103996SEROV1SPRINTNAV500.bin</t>
  </si>
  <si>
    <t>55;53;24.52251N</t>
  </si>
  <si>
    <t>7;44;32.63918E</t>
  </si>
  <si>
    <t>55;53;24.19532N</t>
  </si>
  <si>
    <t>7;44;33.96408E</t>
  </si>
  <si>
    <t>0300_OI104287_SE_BH_028_S18_20230621170418 - 0001.db</t>
  </si>
  <si>
    <t>230621170407.SBD</t>
  </si>
  <si>
    <t>OI104287_SEROV1_ET2200SSS_BH_028_S18.001.jsf</t>
  </si>
  <si>
    <t>55;53;16.56154N</t>
  </si>
  <si>
    <t>7;44;32.76629E</t>
  </si>
  <si>
    <t>55;53;16.29720N</t>
  </si>
  <si>
    <t>7;44;34.21393E</t>
  </si>
  <si>
    <t>003335_20230621_17.09_OI103996SEROV1SPRINTNAV500.bin</t>
  </si>
  <si>
    <t>55;53;16.20391N</t>
  </si>
  <si>
    <t>7;44;32.41325E</t>
  </si>
  <si>
    <t>55;53;16.09503N</t>
  </si>
  <si>
    <t>7;44;33.71061E</t>
  </si>
  <si>
    <t>0301_OI104287_SE_BH_028_S09_20230621171650 - 0001.db</t>
  </si>
  <si>
    <t>230621171635.SBD</t>
  </si>
  <si>
    <t>OI104287_SEROV1_ET2200SSS_BH_028_S09.001.jsf</t>
  </si>
  <si>
    <t>55;53;24.01206N</t>
  </si>
  <si>
    <t>7;44;32.07166E</t>
  </si>
  <si>
    <t>55;53;23.99088N</t>
  </si>
  <si>
    <t>7;44;33.44960E</t>
  </si>
  <si>
    <t>003336_20230621_17.24_OI103996SEROV1SPRINTNAV500.bin</t>
  </si>
  <si>
    <t>55;53;24.39052N</t>
  </si>
  <si>
    <t>7;44;31.70619E</t>
  </si>
  <si>
    <t>55;53;24.20271N</t>
  </si>
  <si>
    <t>7;44;32.92123E</t>
  </si>
  <si>
    <t>0302_OI104287_SE_BH_028_C00_20230621172952 - 0001.db</t>
  </si>
  <si>
    <t>230621172936.SBD</t>
  </si>
  <si>
    <t>OI104287_SEROV1_ET2200SSS_BH_028_C00.001.jsf</t>
  </si>
  <si>
    <t>55;53;16.59247N</t>
  </si>
  <si>
    <t>7;44;31.78180E</t>
  </si>
  <si>
    <t>55;53;16.29705N</t>
  </si>
  <si>
    <t>7;44;33.17742E</t>
  </si>
  <si>
    <t>55;53;16.15247N</t>
  </si>
  <si>
    <t>7;44;31.43096E</t>
  </si>
  <si>
    <t>55;53;16.10816N</t>
  </si>
  <si>
    <t>7;44;32.67440E</t>
  </si>
  <si>
    <t>0303_OI104287_SE_BH_028_P09_20230621174300 - 0001.db</t>
  </si>
  <si>
    <t>230621174246.SBD</t>
  </si>
  <si>
    <t>OI104287_SEROV1_ET2200SSS_BH_028_P09.001.jsf</t>
  </si>
  <si>
    <t>003337_20230621_17.39_OI103996SEROV1SPRINTNAV500.bin</t>
  </si>
  <si>
    <t>55;53;24.01226N</t>
  </si>
  <si>
    <t>7;44;31.11320E</t>
  </si>
  <si>
    <t>55;53;24.01125N</t>
  </si>
  <si>
    <t>7;44;32.40675E</t>
  </si>
  <si>
    <t>55;53;24.49382N</t>
  </si>
  <si>
    <t>7;44;30.59508E</t>
  </si>
  <si>
    <t>55;53;24.20799N</t>
  </si>
  <si>
    <t>7;44;31.89016E</t>
  </si>
  <si>
    <t>0304_OI104287_SE_BH_028_P18_20230621175620 - 0001.db</t>
  </si>
  <si>
    <t>230621175601.SBD</t>
  </si>
  <si>
    <t>OI104287_SEROV1_ET2200SSS_BH_028_P18.001.jsf</t>
  </si>
  <si>
    <t>003338_20230621_17.54_OI103996SEROV1SPRINTNAV500.bin</t>
  </si>
  <si>
    <t>55;53;16.53109N</t>
  </si>
  <si>
    <t>7;44;30.72879E</t>
  </si>
  <si>
    <t>55;53;16.30490N</t>
  </si>
  <si>
    <t>7;44;32.14333E</t>
  </si>
  <si>
    <t>55;53;16.22995N</t>
  </si>
  <si>
    <t>7;44;30.36532E</t>
  </si>
  <si>
    <t>55;53;16.13592N</t>
  </si>
  <si>
    <t>7;44;31.63730E</t>
  </si>
  <si>
    <t>0305_OI104287_SE_BH_028_P27_20230621180907 - 0001.db</t>
  </si>
  <si>
    <t>230621180858.SBD</t>
  </si>
  <si>
    <t>OI104287_SEROV1_ET2200SSS_BH_028_P27.001.jsf</t>
  </si>
  <si>
    <t>55;53;24.14243N</t>
  </si>
  <si>
    <t>7;44;30.00194E</t>
  </si>
  <si>
    <t>55;53;24.00205N</t>
  </si>
  <si>
    <t>7;44;31.37447E</t>
  </si>
  <si>
    <t>003339_20230621_18.09_OI103996SEROV1SPRINTNAV500.bin</t>
  </si>
  <si>
    <t>55;53;24.40257N</t>
  </si>
  <si>
    <t>7;44;29.49427E</t>
  </si>
  <si>
    <t>55;53;24.21297N</t>
  </si>
  <si>
    <t>7;44;30.84521E</t>
  </si>
  <si>
    <t>0306_OI104287_SE_BH_028_P36_20230621182218 - 0001.db</t>
  </si>
  <si>
    <t>230621182205.SBD</t>
  </si>
  <si>
    <t>OI104287_SEROV1_ET2200SSS_BH_028_P36.001.jsf</t>
  </si>
  <si>
    <t>55;53;16.46194N</t>
  </si>
  <si>
    <t>7;44;29.67015E</t>
  </si>
  <si>
    <t>55;53;16.30882N</t>
  </si>
  <si>
    <t>7;44;31.10139E</t>
  </si>
  <si>
    <t>003340_20230621_18.24_OI103996SEROV1SPRINTNAV500.bin</t>
  </si>
  <si>
    <t>55;53;16.18359N</t>
  </si>
  <si>
    <t>7;44;29.20674E</t>
  </si>
  <si>
    <t>55;53;16.12008N</t>
  </si>
  <si>
    <t>7;44;30.59687E</t>
  </si>
  <si>
    <t>0307_OI104287_SE_BH_028_P45_20230621183502 - 0001.db</t>
  </si>
  <si>
    <t>230621183448.SBD</t>
  </si>
  <si>
    <t>OI104287_SEROV1_ET2200SSS_BH_028_P45.001.jsf</t>
  </si>
  <si>
    <t>55;53;23.90582N</t>
  </si>
  <si>
    <t>7;44;28.98565E</t>
  </si>
  <si>
    <t>55;53;24.04686N</t>
  </si>
  <si>
    <t>7;44;30.33736E</t>
  </si>
  <si>
    <t>003341_20230621_18.39_OI103996SEROV1SPRINTNAV500.bin</t>
  </si>
  <si>
    <t>55;53;24.45026N</t>
  </si>
  <si>
    <t>7;44;28.48695E</t>
  </si>
  <si>
    <t>55;53;24.16167N</t>
  </si>
  <si>
    <t>7;44;29.81443E</t>
  </si>
  <si>
    <t>0308_OI104287_SE_BH_028_P54_20230621184731 - 0001.db</t>
  </si>
  <si>
    <t>230621184720.SBD</t>
  </si>
  <si>
    <t>OI104287_SEROV1_ET2200SSS_BH_028_P54.001.jsf</t>
  </si>
  <si>
    <t>55;53;16.53420N</t>
  </si>
  <si>
    <t>7;44;28.64395E</t>
  </si>
  <si>
    <t>55;53;16.32179N</t>
  </si>
  <si>
    <t>7;44;30.06519E</t>
  </si>
  <si>
    <t>003342_20230621_18.54_OI103996SEROV1SPRINTNAV500.bin</t>
  </si>
  <si>
    <t>55;53;16.29486N</t>
  </si>
  <si>
    <t>7;44;28.19700E</t>
  </si>
  <si>
    <t>55;53;16.08869N</t>
  </si>
  <si>
    <t>7;44;29.56609E</t>
  </si>
  <si>
    <t>0309_OI104287_SE_BH_028_P63_20230621190025 - 0001.db</t>
  </si>
  <si>
    <t>230621190006.SBD</t>
  </si>
  <si>
    <t>OI104287_SEROV1_ET2200SSS_BH_028_P63.001.jsf</t>
  </si>
  <si>
    <t>55;53;24.13729N</t>
  </si>
  <si>
    <t>7;44;27.90207E</t>
  </si>
  <si>
    <t>55;53;23.97187N</t>
  </si>
  <si>
    <t>7;44;29.30237E</t>
  </si>
  <si>
    <t>55;53;24.20768N</t>
  </si>
  <si>
    <t>7;44;27.49195E</t>
  </si>
  <si>
    <t>55;53;24.14266N</t>
  </si>
  <si>
    <t>7;44;28.78185E</t>
  </si>
  <si>
    <t>0310_OI104287_SE_BH_028_P72_20230621191320 - 0001.db</t>
  </si>
  <si>
    <t>230621191305.SBD</t>
  </si>
  <si>
    <t>OI104287_SEROV1_ET2200SSS_BH_028_P72.001.jsf</t>
  </si>
  <si>
    <t>003343_20230621_19.09_OI103996SEROV1SPRINTNAV500.bin</t>
  </si>
  <si>
    <t>55;53;16.46779N</t>
  </si>
  <si>
    <t>7;44;27.71634E</t>
  </si>
  <si>
    <t>55;53;16.26884N</t>
  </si>
  <si>
    <t>7;44;29.03472E</t>
  </si>
  <si>
    <t>55;53;15.73577N</t>
  </si>
  <si>
    <t>7;44;27.98083E</t>
  </si>
  <si>
    <t>55;53;15.39663N</t>
  </si>
  <si>
    <t>7;44;28.00093E</t>
  </si>
  <si>
    <t>Vessel transit to CPT_241, ROV subsea transit 2 kn</t>
  </si>
  <si>
    <t>OI104287_SE_SVX2_SVP_20230621_1953_555373N_0074389E_029</t>
  </si>
  <si>
    <t>55;53;44.34513N</t>
  </si>
  <si>
    <t>7;43;54.13806E</t>
  </si>
  <si>
    <t>55;53;44.21513N</t>
  </si>
  <si>
    <t>7;43;54.97093E</t>
  </si>
  <si>
    <t>SVP_029</t>
  </si>
  <si>
    <t>55;53;45.14254N</t>
  </si>
  <si>
    <t>7;43;53.35614E</t>
  </si>
  <si>
    <t>55;53;44.98911N</t>
  </si>
  <si>
    <t>7;43;54.76997E</t>
  </si>
  <si>
    <t>0311_OI104287_SE_CPT_241_S50_20230621195954 - 0001.db</t>
  </si>
  <si>
    <t>230621195947.SBD</t>
  </si>
  <si>
    <t>OI104287_SEROV1_ET2200SSS_CPT_241_S50.001.jsf</t>
  </si>
  <si>
    <t>003346_20230621_19.54_OI103996SEROV1SPRINTNAV500.bin</t>
  </si>
  <si>
    <t>55;53;50.96758N</t>
  </si>
  <si>
    <t>7;43;53.18311E</t>
  </si>
  <si>
    <t>55;53;50.89086N</t>
  </si>
  <si>
    <t>7;43;54.57232E</t>
  </si>
  <si>
    <t>55;53;51.63483N</t>
  </si>
  <si>
    <t>7;43;52.77186E</t>
  </si>
  <si>
    <t>55;53;51.36249N</t>
  </si>
  <si>
    <t>7;43;54.04215E</t>
  </si>
  <si>
    <t>0312_OI104287_SE_CPT_241_S41_20230621201035 - 0001.db</t>
  </si>
  <si>
    <t>230621201026.SBD</t>
  </si>
  <si>
    <t>OI104287_SEROV1_ET2200SSS_CPT_241_S41.001.jsf</t>
  </si>
  <si>
    <t>003347_20230621_20.09_OI103996SEROV1SPRINTNAV500.bin</t>
  </si>
  <si>
    <t>55;53;45.38345N</t>
  </si>
  <si>
    <t>7;43;52.82518E</t>
  </si>
  <si>
    <t>55;53;45.13968N</t>
  </si>
  <si>
    <t>7;43;54.24371E</t>
  </si>
  <si>
    <t>55;53;45.03628N</t>
  </si>
  <si>
    <t>7;43;52.35117E</t>
  </si>
  <si>
    <t>55;53;44.90311N</t>
  </si>
  <si>
    <t>7;43;53.73527E</t>
  </si>
  <si>
    <t>0313_OI104287_SE_CPT_241_S32_20230621202043 - 0001.db</t>
  </si>
  <si>
    <t>230621202037.SBD</t>
  </si>
  <si>
    <t>OI104287_SEROV1_ET2200SSS_CPT_241_S32.001.jsf</t>
  </si>
  <si>
    <t>55;53;51.16509N</t>
  </si>
  <si>
    <t>7;43;52.16160E</t>
  </si>
  <si>
    <t>55;53;51.03419N</t>
  </si>
  <si>
    <t>7;43;53.53823E</t>
  </si>
  <si>
    <t>003348_20230621_20.24_OI103996SEROV1SPRINTNAV500.bin</t>
  </si>
  <si>
    <t>55;53;51.48867N</t>
  </si>
  <si>
    <t>7;43;51.70325E</t>
  </si>
  <si>
    <t>55;53;51.18869N</t>
  </si>
  <si>
    <t>7;43;53.01771E</t>
  </si>
  <si>
    <t>0314_OI104287_SE_CPT_241_S23_20230621203500 - 0001.db</t>
  </si>
  <si>
    <t>230621203445.SBD</t>
  </si>
  <si>
    <t>OI104287_SEROV1_ET2200SSS_CPT_241_S23.001.jsf</t>
  </si>
  <si>
    <t>55;53;45.24779N</t>
  </si>
  <si>
    <t>7;43;51.83754E</t>
  </si>
  <si>
    <t>55;53;44.95169N</t>
  </si>
  <si>
    <t>7;43;53.21928E</t>
  </si>
  <si>
    <t>003349_20230621_20.39_OI103996SEROV1SPRINTNAV500.bin</t>
  </si>
  <si>
    <t>55;53;45.04166N</t>
  </si>
  <si>
    <t>7;43;51.20203E</t>
  </si>
  <si>
    <t>55;53;44.92227N</t>
  </si>
  <si>
    <t>7;43;52.70480E</t>
  </si>
  <si>
    <t>0315_OI104287_SE_CPT_241_S14_20230621204635 - 0001.db</t>
  </si>
  <si>
    <t>230621204619.SBD</t>
  </si>
  <si>
    <t>OI104287_SEROV1_ET2200SSS_CPT_241_S14.001.jsf</t>
  </si>
  <si>
    <t>55;53;51.15557N</t>
  </si>
  <si>
    <t>7;43;51.08774E</t>
  </si>
  <si>
    <t>55;53;51.01654N</t>
  </si>
  <si>
    <t>7;43;52.50896E</t>
  </si>
  <si>
    <t>55;53;51.45045N</t>
  </si>
  <si>
    <t>7;43;50.75923E</t>
  </si>
  <si>
    <t>55;53;51.18838N</t>
  </si>
  <si>
    <t>7;43;51.97638E</t>
  </si>
  <si>
    <t>0316_OI104287_SE_CPT_241_S05_20230621205813 - 0001.db</t>
  </si>
  <si>
    <t>230621205803.SBD</t>
  </si>
  <si>
    <t>OI104287_SEROV1_ET2200SSS_CPT_241_S05.001.jsf</t>
  </si>
  <si>
    <t>003350_20230621_20.54_OI103996SEROV1SPRINTNAV500.bin</t>
  </si>
  <si>
    <t>55;53;45.24433N</t>
  </si>
  <si>
    <t>7;43;50.73519E</t>
  </si>
  <si>
    <t>55;53;45.03830N</t>
  </si>
  <si>
    <t>7;43;52.17644E</t>
  </si>
  <si>
    <t>55;53;45.04412N</t>
  </si>
  <si>
    <t>7;43;50.26973E</t>
  </si>
  <si>
    <t>55;53;44.80565N</t>
  </si>
  <si>
    <t>7;43;51.66769E</t>
  </si>
  <si>
    <t>0317_OI104287_SE_CPT_241_P05_20230621211108 - 0001.db</t>
  </si>
  <si>
    <t>230621211059.SBD</t>
  </si>
  <si>
    <t>OI104287_SEROV1_ET2200SSS_CPT_241_P05.001.jsf</t>
  </si>
  <si>
    <t>003351_20230621_21.09_OI103996SEROV1SPRINTNAV500.bin</t>
  </si>
  <si>
    <t>55;53;51.14030N</t>
  </si>
  <si>
    <t>7;43;50.09265E</t>
  </si>
  <si>
    <t>55;53;51.03555N</t>
  </si>
  <si>
    <t>7;43;51.46371E</t>
  </si>
  <si>
    <t>55;53;51.50455N</t>
  </si>
  <si>
    <t>7;43;49.70240E</t>
  </si>
  <si>
    <t>55;53;51.28720N</t>
  </si>
  <si>
    <t>7;43;50.93806E</t>
  </si>
  <si>
    <t>0318_OI104287_SE_CPT_241_P14_20230621212300 - 0001.db</t>
  </si>
  <si>
    <t>230621212247.SBD</t>
  </si>
  <si>
    <t>OI104287_SEROV1_ET2200SSS_CPT_241_P14.001.jsf</t>
  </si>
  <si>
    <t>55;53;45.21487N</t>
  </si>
  <si>
    <t>7;43;49.68516E</t>
  </si>
  <si>
    <t>55;53;44.97357N</t>
  </si>
  <si>
    <t>7;43;51.13631E</t>
  </si>
  <si>
    <t>003352_20230621_21.24_OI103996SEROV1SPRINTNAV500.bin</t>
  </si>
  <si>
    <t>55;53;44.85419N</t>
  </si>
  <si>
    <t>7;43;49.25978E</t>
  </si>
  <si>
    <t>55;53;44.77894N</t>
  </si>
  <si>
    <t>7;43;50.63209E</t>
  </si>
  <si>
    <t>0319_OI104287_SE_CPT_241_P23_20230621213503 - 0001.db</t>
  </si>
  <si>
    <t>230621213450.SBD</t>
  </si>
  <si>
    <t>OI104287_SEROV1_ET2200SSS_CPT_241_P23.001.jsf</t>
  </si>
  <si>
    <t>55;53;51.20271N</t>
  </si>
  <si>
    <t>7;43;49.09878E</t>
  </si>
  <si>
    <t>55;53;51.13844N</t>
  </si>
  <si>
    <t>7;43;50.42539E</t>
  </si>
  <si>
    <t>003353_20230621_21.39_OI103996SEROV1SPRINTNAV500.bin</t>
  </si>
  <si>
    <t>55;53;51.64195N</t>
  </si>
  <si>
    <t>7;43;48.62867E</t>
  </si>
  <si>
    <t>55;53;51.29143N</t>
  </si>
  <si>
    <t>7;43;49.91815E</t>
  </si>
  <si>
    <t>0320_OI104287_SE_CPT_241_P32_20230621214630 - 0001.db</t>
  </si>
  <si>
    <t>230621214611.SBD</t>
  </si>
  <si>
    <t>OI104287_SEROV1_ET2200SSS_CPT_241_P32.001.jsf</t>
  </si>
  <si>
    <t>55;53;45.33052N</t>
  </si>
  <si>
    <t>7;43;48.65355E</t>
  </si>
  <si>
    <t>55;53;44.94807N</t>
  </si>
  <si>
    <t>7;43;50.11911E</t>
  </si>
  <si>
    <t>55;53;44.91664N</t>
  </si>
  <si>
    <t>7;43;48.08257E</t>
  </si>
  <si>
    <t>55;53;44.81636N</t>
  </si>
  <si>
    <t>7;43;49.59438E</t>
  </si>
  <si>
    <t>0321_OI104287_SE_CPT_241_P41_20230621215901 - 0001.db</t>
  </si>
  <si>
    <t>230621215849.SBD</t>
  </si>
  <si>
    <t>OI104287_SEROV1_ET2200SSS_CPT_241_P41.001.jsf</t>
  </si>
  <si>
    <t>003354_20230621_21.54_OI103996SEROV1SPRINTNAV500.bin</t>
  </si>
  <si>
    <t>55;53;51.11219N</t>
  </si>
  <si>
    <t>7;43;47.95630E</t>
  </si>
  <si>
    <t>55;53;50.99858N</t>
  </si>
  <si>
    <t>7;43;49.39431E</t>
  </si>
  <si>
    <t>55;53;51.20576N</t>
  </si>
  <si>
    <t>7;43;47.56142E</t>
  </si>
  <si>
    <t>55;53;50.96147N</t>
  </si>
  <si>
    <t>7;43;48.87742E</t>
  </si>
  <si>
    <t>0322_OI104287_SE_CPT_241_P50_20230621221148 - 0001.db</t>
  </si>
  <si>
    <t>230621221131.SBD</t>
  </si>
  <si>
    <t>OI104287_SEROV1_ET2200SSS_CPT_241_P50.001.jsf</t>
  </si>
  <si>
    <t>003355_20230621_22.09_OI103996SEROV1SPRINTNAV500.bin</t>
  </si>
  <si>
    <t>55;53;45.29572N</t>
  </si>
  <si>
    <t>7;43;47.55538E</t>
  </si>
  <si>
    <t>55;53;44.99228N</t>
  </si>
  <si>
    <t>7;43;49.06541E</t>
  </si>
  <si>
    <t>55;53;44.58597N</t>
  </si>
  <si>
    <t>7;43;47.46568E</t>
  </si>
  <si>
    <t>55;53;44.09563N</t>
  </si>
  <si>
    <t>7;43;48.05093E</t>
  </si>
  <si>
    <t>Transit to CPT_310</t>
  </si>
  <si>
    <t>55;53;14.19709N</t>
  </si>
  <si>
    <t>7;43;24.69450E</t>
  </si>
  <si>
    <t>55;53;13.79329N</t>
  </si>
  <si>
    <t>7;43;25.79305E</t>
  </si>
  <si>
    <t>0323_OI104287_SE_CPT_310_S50_20230621224734 - 0001.db</t>
  </si>
  <si>
    <t>230621224727.SBD</t>
  </si>
  <si>
    <t>OI104287_SEROV1_ET2200SSS_CPT_310_S50.001.jsf</t>
  </si>
  <si>
    <t>003357_20230621_22.39_OI103996SEROV1SPRINTNAV500.bin</t>
  </si>
  <si>
    <t>55;53;08.45648N</t>
  </si>
  <si>
    <t>7;43;24.75591E</t>
  </si>
  <si>
    <t>55;53;07.99203N</t>
  </si>
  <si>
    <t>7;43;25.98255E</t>
  </si>
  <si>
    <t>55;53;08.03695N</t>
  </si>
  <si>
    <t>7;43;24.23270E</t>
  </si>
  <si>
    <t>55;53;07.77250N</t>
  </si>
  <si>
    <t>7;43;25.46747E</t>
  </si>
  <si>
    <t>0324_OI104287_SE_CPT_310_S41_20230621225907 - 0001.db</t>
  </si>
  <si>
    <t>230621225852.SBD</t>
  </si>
  <si>
    <t>OI104287_SEROV1_ET2200SSS_CPT_310_S41.001.jsf</t>
  </si>
  <si>
    <t>003358_20230621_22.54_OI103996SEROV1SPRINTNAV500.bin</t>
  </si>
  <si>
    <t>55;53;13.96234N</t>
  </si>
  <si>
    <t>7;43;24.01075E</t>
  </si>
  <si>
    <t>55;53;13.74003N</t>
  </si>
  <si>
    <t>7;43;25.27344E</t>
  </si>
  <si>
    <t>55;53;14.39487N</t>
  </si>
  <si>
    <t>7;43;23.45172E</t>
  </si>
  <si>
    <t>55;53;14.01764N</t>
  </si>
  <si>
    <t>7;43;24.74659E</t>
  </si>
  <si>
    <t>0325_OI104287_SE_CPT_310_S32_20230621231323 - 0001.db</t>
  </si>
  <si>
    <t>230621231319.SBD</t>
  </si>
  <si>
    <t>OI104287_SEROV1_ET2200SSS_CPT_310_S32.001.jsf</t>
  </si>
  <si>
    <t>003359_20230621_23.09_OI103996SEROV1SPRINTNAV500.bin</t>
  </si>
  <si>
    <t>55;53;08.17228N</t>
  </si>
  <si>
    <t>7;43;23.55269E</t>
  </si>
  <si>
    <t>55;53;07.80736N</t>
  </si>
  <si>
    <t>7;43;24.94937E</t>
  </si>
  <si>
    <t>55;53;07.78002N</t>
  </si>
  <si>
    <t>7;43;23.03465E</t>
  </si>
  <si>
    <t>55;53;07.59990N</t>
  </si>
  <si>
    <t>7;43;24.43307E</t>
  </si>
  <si>
    <t>0326_OI104287_SE_CPT_310_S23_20230621232400 - 0001.db</t>
  </si>
  <si>
    <t>230621232350.SBD</t>
  </si>
  <si>
    <t>OI104287_SEROV1_ET2200SSS_CPT_310_S23.001.jsf</t>
  </si>
  <si>
    <t>55;53;14.13486N</t>
  </si>
  <si>
    <t>7;43;22.89804E</t>
  </si>
  <si>
    <t>55;53;13.79722N</t>
  </si>
  <si>
    <t>7;43;24.23664E</t>
  </si>
  <si>
    <t>003360_20230621_23.24_OI103996SEROV1SPRINTNAV500.bin</t>
  </si>
  <si>
    <t>55;53;14.28947N</t>
  </si>
  <si>
    <t>7;43;22.46585E</t>
  </si>
  <si>
    <t>55;53;14.01583N</t>
  </si>
  <si>
    <t>7;43;23.71371E</t>
  </si>
  <si>
    <t>0327_OI104287_SE_CPT_310_S14_20230621233609 - 0001.db</t>
  </si>
  <si>
    <t>230621233552.SBD</t>
  </si>
  <si>
    <t>OI104287_SEROV1_ET2200SSS_CPT_310_S14.001.jsf</t>
  </si>
  <si>
    <t>55;53;08.21629N</t>
  </si>
  <si>
    <t>7;43;22.53363E</t>
  </si>
  <si>
    <t>55;53;07.98267N</t>
  </si>
  <si>
    <t>7;43;23.91075E</t>
  </si>
  <si>
    <t>003361_20230621_23.39_OI103996SEROV1SPRINTNAV500.bin</t>
  </si>
  <si>
    <t>55;53;08.17502N</t>
  </si>
  <si>
    <t>7;43;21.94697E</t>
  </si>
  <si>
    <t>55;53;07.83783N</t>
  </si>
  <si>
    <t>7;43;23.39868E</t>
  </si>
  <si>
    <t>0328_OI104287_SE_CPT_310_S05_20230621234726 - 0001.db</t>
  </si>
  <si>
    <t>230621234709.SBD</t>
  </si>
  <si>
    <t>OI104287_SEROV1_ET2200SSS_CPT_310_S05.001.jsf</t>
  </si>
  <si>
    <t>55;53;14.21181N</t>
  </si>
  <si>
    <t>7;43;21.80029E</t>
  </si>
  <si>
    <t>55;53;13.87431N</t>
  </si>
  <si>
    <t>7;43;23.19832E</t>
  </si>
  <si>
    <t>55;53;16.63706N</t>
  </si>
  <si>
    <t>7;43;21.34191E</t>
  </si>
  <si>
    <t>55;53;16.19778N</t>
  </si>
  <si>
    <t>7;43;22.60599E</t>
  </si>
  <si>
    <t>55;53;14.39317N</t>
  </si>
  <si>
    <t>7;43;21.44324E</t>
  </si>
  <si>
    <t>55;53;14.06502N</t>
  </si>
  <si>
    <t>7;43;22.67599E</t>
  </si>
  <si>
    <t>0329_OI104287_SE_CPT_310_P05_20230622000259 - 0001.db</t>
  </si>
  <si>
    <t>230622000241.SBD</t>
  </si>
  <si>
    <t>OI104287_SEROV1_ET2200SSS_CPT_310_P05.001.jsf</t>
  </si>
  <si>
    <t>003362_20230621_23.54_OI103996SEROV1SPRINTNAV500.bin</t>
  </si>
  <si>
    <t>55;53;08.10237N</t>
  </si>
  <si>
    <t>7;43;21.62462E</t>
  </si>
  <si>
    <t>55;53;07.98705N</t>
  </si>
  <si>
    <t>7;43;22.87364E</t>
  </si>
  <si>
    <t>55;53;08.01565N</t>
  </si>
  <si>
    <t>7;43;21.02349E</t>
  </si>
  <si>
    <t>55;53;07.73901N</t>
  </si>
  <si>
    <t>7;43;22.36187E</t>
  </si>
  <si>
    <t>0330_OI104287_SE_CPT_310_P14_20230622001506 - 0001.db</t>
  </si>
  <si>
    <t>230622001453.SBD</t>
  </si>
  <si>
    <t>OI104287_SEROV1_ET2200SSS_CPT_310_P14.001.jsf</t>
  </si>
  <si>
    <t>003363_20230622_00.09_OI103996SEROV1SPRINTNAV500.bin</t>
  </si>
  <si>
    <t>55;53;14.13831N</t>
  </si>
  <si>
    <t>7;43;20.86946E</t>
  </si>
  <si>
    <t>55;53;13.85681N</t>
  </si>
  <si>
    <t>7;43;22.16242E</t>
  </si>
  <si>
    <t>55;53;14.36285N</t>
  </si>
  <si>
    <t>7;43;20.47914E</t>
  </si>
  <si>
    <t>55;53;14.08946N</t>
  </si>
  <si>
    <t>7;43;21.63315E</t>
  </si>
  <si>
    <t>0331_OI104287_SE_CPT_310_P23_20230622002713 - 0001.db</t>
  </si>
  <si>
    <t>230622002700.SBD</t>
  </si>
  <si>
    <t>OI104287_SEROV1_ET2200SSS_CPT_310_P23.001.jsf</t>
  </si>
  <si>
    <t>003364_20230622_00.24_OI103996SEROV1SPRINTNAV500.bin</t>
  </si>
  <si>
    <t>55;53;08.31698N</t>
  </si>
  <si>
    <t>7;43;20.53034E</t>
  </si>
  <si>
    <t>55;53;08.05917N</t>
  </si>
  <si>
    <t>7;43;21.82536E</t>
  </si>
  <si>
    <t>55;53;08.35275N</t>
  </si>
  <si>
    <t>7;43;19.98387E</t>
  </si>
  <si>
    <t>55;53;07.94797N</t>
  </si>
  <si>
    <t>7;43;21.32205E</t>
  </si>
  <si>
    <t>0332_OI104287_SE_CPT_310_P32_20230622003940 - 0001.db</t>
  </si>
  <si>
    <t>230622003926.SBD</t>
  </si>
  <si>
    <t>OI104287_SEROV1_ET2200SSS_CPT_310_P32.001.jsf</t>
  </si>
  <si>
    <t>003365_20230622_00.39_OI103996SEROV1SPRINTNAV500.bin</t>
  </si>
  <si>
    <t>55;53;14.06839N</t>
  </si>
  <si>
    <t>7;43;19.85865E</t>
  </si>
  <si>
    <t>55;53;13.78469N</t>
  </si>
  <si>
    <t>7;43;21.13194E</t>
  </si>
  <si>
    <t>55;53;14.24665N</t>
  </si>
  <si>
    <t>7;43;19.39879E</t>
  </si>
  <si>
    <t>55;53;14.03575N</t>
  </si>
  <si>
    <t>7;43;20.61052E</t>
  </si>
  <si>
    <t>0333_OI104287_SE_CPT_310_P41_20230622005114 - 0001.db</t>
  </si>
  <si>
    <t>230622005058.SBD</t>
  </si>
  <si>
    <t>OI104287_SEROV1_ET2200SSS_CPT_310_P41.001.jsf</t>
  </si>
  <si>
    <t>55;53;08.22528N</t>
  </si>
  <si>
    <t>7;43;19.48036E</t>
  </si>
  <si>
    <t>55;53;07.98946N</t>
  </si>
  <si>
    <t>7;43;20.79972E</t>
  </si>
  <si>
    <t>003366_20230622_00.54_OI103996SEROV1SPRINTNAV500.bin</t>
  </si>
  <si>
    <t>55;53;08.11891N</t>
  </si>
  <si>
    <t>7;43;18.96549E</t>
  </si>
  <si>
    <t>55;53;07.84492N</t>
  </si>
  <si>
    <t>7;43;20.27649E</t>
  </si>
  <si>
    <t>0334_OI104287_SE_CPT_310_P50_20230622010308 - 0001.db</t>
  </si>
  <si>
    <t>230622010240.SBD</t>
  </si>
  <si>
    <t>OI104287_SEROV1_ET2200SSS_CPT_310_P50.001.jsf</t>
  </si>
  <si>
    <t>55;53;14.13511N</t>
  </si>
  <si>
    <t>7;43;18.83331E</t>
  </si>
  <si>
    <t>55;53;13.86134N</t>
  </si>
  <si>
    <t>7;43;20.08639E</t>
  </si>
  <si>
    <t>55;53;14.76677N</t>
  </si>
  <si>
    <t>7;43;18.92830E</t>
  </si>
  <si>
    <t>55;53;14.53228N</t>
  </si>
  <si>
    <t>7;43;19.45754E</t>
  </si>
  <si>
    <t>WROV in latch, transit to CPT_184</t>
  </si>
  <si>
    <t>55;53;14.77076N</t>
  </si>
  <si>
    <t>7;43;18.95376E</t>
  </si>
  <si>
    <t>55;53;14.55400N</t>
  </si>
  <si>
    <t>7;43;19.49888E</t>
  </si>
  <si>
    <t>OI104287_SE_SVX2_SVP_20230622_0133_555220N_0074375E_030</t>
  </si>
  <si>
    <t>55;52;12.05974N</t>
  </si>
  <si>
    <t>7;43;45.35290E</t>
  </si>
  <si>
    <t>55;52;11.73056N</t>
  </si>
  <si>
    <t>7;43;46.24376E</t>
  </si>
  <si>
    <t>SVP_030</t>
  </si>
  <si>
    <t>55;52;11.36297N</t>
  </si>
  <si>
    <t>7;43;45.20120E</t>
  </si>
  <si>
    <t>55;52;11.00335N</t>
  </si>
  <si>
    <t>7;43;46.53495E</t>
  </si>
  <si>
    <t>0335_OI104287_SE_CPT_184_P50_20230622014119 - 0001.db</t>
  </si>
  <si>
    <t>230622014106.SBD</t>
  </si>
  <si>
    <t>OI104287_SEROV1_ET2200SSS_CPT_184_P50.001.jsf</t>
  </si>
  <si>
    <t>003369_20230622_01.39_OI103996SEROV1SPRINTNAV500.bin</t>
  </si>
  <si>
    <t>55;52;05.15375N</t>
  </si>
  <si>
    <t>7;43;45.37077E</t>
  </si>
  <si>
    <t>55;52;04.95721N</t>
  </si>
  <si>
    <t>7;43;46.72505E</t>
  </si>
  <si>
    <t>55;52;05.09615N</t>
  </si>
  <si>
    <t>7;43;45.99753E</t>
  </si>
  <si>
    <t>55;52;04.76349N</t>
  </si>
  <si>
    <t>7;43;47.25401E</t>
  </si>
  <si>
    <t>0336_OI104287_SE_CPT_184_P41_20230622015518 - 0001.db</t>
  </si>
  <si>
    <t>230622015506.SBD</t>
  </si>
  <si>
    <t>OI104287_SEROV1_ET2200SSS_CPT_184_P41.001.jsf</t>
  </si>
  <si>
    <t>003370_20230622_01.54_OI103996SEROV1SPRINTNAV500.bin</t>
  </si>
  <si>
    <t>55;52;11.16339N</t>
  </si>
  <si>
    <t>7;43;45.84202E</t>
  </si>
  <si>
    <t>55;52;10.81657N</t>
  </si>
  <si>
    <t>7;43;47.05968E</t>
  </si>
  <si>
    <t>55;52;11.41072N</t>
  </si>
  <si>
    <t>7;43;46.39335E</t>
  </si>
  <si>
    <t>7;43;47.56481E</t>
  </si>
  <si>
    <t>0337_OI104287_SE_CPT_184_P32_20230622020730 - 0001.db</t>
  </si>
  <si>
    <t>230622020721.SBD</t>
  </si>
  <si>
    <t>OI104287_SEROV1_ET2200SSS_CPT_184_P32.001.jsf</t>
  </si>
  <si>
    <t>55;52;05.33633N</t>
  </si>
  <si>
    <t>7;43;46.52308E</t>
  </si>
  <si>
    <t>55;52;04.96068N</t>
  </si>
  <si>
    <t>7;43;47.76004E</t>
  </si>
  <si>
    <t>003371_20230622_02.09_OI103996SEROV1SPRINTNAV500.bin</t>
  </si>
  <si>
    <t>55;52;05.00617N</t>
  </si>
  <si>
    <t>7;43;47.00592E</t>
  </si>
  <si>
    <t>55;52;04.73317N</t>
  </si>
  <si>
    <t>7;43;48.28569E</t>
  </si>
  <si>
    <t>0338_OI104287_SE_CPT_184_P23_20230622021914 - 0001.db</t>
  </si>
  <si>
    <t>230622021907.SBD</t>
  </si>
  <si>
    <t>OI104287_SEROV1_ET2200SSS_CPT_184_P23.001.jsf</t>
  </si>
  <si>
    <t>55;52;11.08357N</t>
  </si>
  <si>
    <t>7;43;46.87584E</t>
  </si>
  <si>
    <t>55;52;10.80948N</t>
  </si>
  <si>
    <t>7;43;48.08986E</t>
  </si>
  <si>
    <t>003372_20230622_02.24_OI103996SEROV1SPRINTNAV500.bin</t>
  </si>
  <si>
    <t>55;52;11.35277N</t>
  </si>
  <si>
    <t>7;43;47.36853E</t>
  </si>
  <si>
    <t>55;52;11.03654N</t>
  </si>
  <si>
    <t>7;43;48.60192E</t>
  </si>
  <si>
    <t>0339_OI104287_SE_CPT_184_P14_20230622023123 - 0001.db</t>
  </si>
  <si>
    <t>230622023111.SBD</t>
  </si>
  <si>
    <t>OI104287_SEROV1_ET2200SSS_CPT_184_P14.001.jsf</t>
  </si>
  <si>
    <t>55;52;05.17513N</t>
  </si>
  <si>
    <t>7;43;47.59389E</t>
  </si>
  <si>
    <t>55;52;04.92840N</t>
  </si>
  <si>
    <t>7;43;48.80168E</t>
  </si>
  <si>
    <t>55;52;04.90360N</t>
  </si>
  <si>
    <t>7;43;48.05765E</t>
  </si>
  <si>
    <t>55;52;04.72110N</t>
  </si>
  <si>
    <t>7;43;49.32099E</t>
  </si>
  <si>
    <t>0340_OI104287_SE_CPT_184_P05_20230622024224 - 0001.db</t>
  </si>
  <si>
    <t>230622024215.SBD</t>
  </si>
  <si>
    <t>OI104287_SEROV1_ET2200SSS_CPT_184_P05.001.jsf</t>
  </si>
  <si>
    <t>003373_20230622_02.39_OI103996SEROV1SPRINTNAV500.bin</t>
  </si>
  <si>
    <t>55;52;11.07217N</t>
  </si>
  <si>
    <t>7;43;47.93135E</t>
  </si>
  <si>
    <t>55;52;10.83316N</t>
  </si>
  <si>
    <t>7;43;49.12666E</t>
  </si>
  <si>
    <t>55;52;10.89319N</t>
  </si>
  <si>
    <t>7;43;48.46890E</t>
  </si>
  <si>
    <t>55;52;11.05480N</t>
  </si>
  <si>
    <t>7;43;49.63541E</t>
  </si>
  <si>
    <t>0341_OI104287_SE_CPT_184_S05_20230622025507 - 0001.db</t>
  </si>
  <si>
    <t>230622025459.SBD</t>
  </si>
  <si>
    <t>OI104287_SEROV1_ET2200SSS_CPT_184_S05.001.jsf</t>
  </si>
  <si>
    <t>003374_20230622_02.54_OI103996SEROV1SPRINTNAV500.bin</t>
  </si>
  <si>
    <t>55;52;10.36162N</t>
  </si>
  <si>
    <t>7;43;48.50349E</t>
  </si>
  <si>
    <t>55;52;10.69391N</t>
  </si>
  <si>
    <t>7;43;49.62093E</t>
  </si>
  <si>
    <t>55;52;10.47320N</t>
  </si>
  <si>
    <t>7;43;48.51385E</t>
  </si>
  <si>
    <t>55;52;10.40151N</t>
  </si>
  <si>
    <t>7;43;49.61278E</t>
  </si>
  <si>
    <t>Moving back to re-start line, WROV issues when moving off on start of line</t>
  </si>
  <si>
    <t>55;52;11.43800N</t>
  </si>
  <si>
    <t>7;43;48.37453E</t>
  </si>
  <si>
    <t>55;52;11.09463N</t>
  </si>
  <si>
    <t>7;43;49.63571E</t>
  </si>
  <si>
    <t>0342_OI104287_SE_CPT_184_S05_20230622030523 - 0001.db</t>
  </si>
  <si>
    <t>230622030519.SBD</t>
  </si>
  <si>
    <t>OI104287_SEROV1_ET2200SSS_CPT_184_S05.002.jsf</t>
  </si>
  <si>
    <t>55;52;05.11743N</t>
  </si>
  <si>
    <t>7;43;48.44875E</t>
  </si>
  <si>
    <t>55;52;04.90728N</t>
  </si>
  <si>
    <t>7;43;49.84121E</t>
  </si>
  <si>
    <t>003375_20230622_03.09_OI103996SEROV1SPRINTNAV500.bin</t>
  </si>
  <si>
    <t>55;52;05.15763N</t>
  </si>
  <si>
    <t>7;43;48.98675E</t>
  </si>
  <si>
    <t>55;52;04.82671N</t>
  </si>
  <si>
    <t>7;43;50.35176E</t>
  </si>
  <si>
    <t>0343_OI104287_SE_CPT_184_S14_20230622031721 - 0001.db</t>
  </si>
  <si>
    <t>230622031717.SBD</t>
  </si>
  <si>
    <t>OI104287_SEROV1_ET2200SSS_CPT_184_S14.001.jsf</t>
  </si>
  <si>
    <t>55;52;11.19838N</t>
  </si>
  <si>
    <t>7;43;48.79935E</t>
  </si>
  <si>
    <t>55;52;10.84825N</t>
  </si>
  <si>
    <t>7;43;50.15895E</t>
  </si>
  <si>
    <t>55;52;11.33009N</t>
  </si>
  <si>
    <t>7;43;49.31849E</t>
  </si>
  <si>
    <t>55;52;11.09931N</t>
  </si>
  <si>
    <t>7;43;50.67041E</t>
  </si>
  <si>
    <t>0344_OI104287_SE_CPT_184_S23_20230622032819 - 0001.db</t>
  </si>
  <si>
    <t>230622032810.SBD</t>
  </si>
  <si>
    <t>OI104287_SEROV1_ET2200SSS_CPT_184_S23.001.jsf</t>
  </si>
  <si>
    <t>003376_20230622_03.24_OI103996SEROV1SPRINTNAV500.bin</t>
  </si>
  <si>
    <t>55;52;05.20959N</t>
  </si>
  <si>
    <t>7;43;49.49334E</t>
  </si>
  <si>
    <t>55;52;05.02888N</t>
  </si>
  <si>
    <t>7;43;50.86655E</t>
  </si>
  <si>
    <t>55;52;05.30675N</t>
  </si>
  <si>
    <t>7;43;49.97922E</t>
  </si>
  <si>
    <t>55;52;04.90758N</t>
  </si>
  <si>
    <t>7;43;51.38344E</t>
  </si>
  <si>
    <t>0345_OI104287_SE_CPT_184_S32_20230622033940 - 0001.db</t>
  </si>
  <si>
    <t>230622033932.SBD</t>
  </si>
  <si>
    <t>OI104287_SEROV1_ET2200SSS_CPT_184_S32.001.jsf</t>
  </si>
  <si>
    <t>003377_20230622_03.39_OI103996SEROV1SPRINTNAV500.bin</t>
  </si>
  <si>
    <t>55;52;11.28071N</t>
  </si>
  <si>
    <t>7;43;49.81907E</t>
  </si>
  <si>
    <t>55;52;10.89744N</t>
  </si>
  <si>
    <t>7;43;51.19726E</t>
  </si>
  <si>
    <t>55;52;11.45928N</t>
  </si>
  <si>
    <t>7;43;50.39122E</t>
  </si>
  <si>
    <t>55;52;11.11334N</t>
  </si>
  <si>
    <t>7;43;51.69877E</t>
  </si>
  <si>
    <t>0346_OI104287_SE_CPT_184_S41_20230622035105 - 0001.db</t>
  </si>
  <si>
    <t>230622035053.SBD</t>
  </si>
  <si>
    <t>OI104287_SEROV1_ET2200SSS_CPT_184_S41.001.jsf</t>
  </si>
  <si>
    <t>55;52;05.42299N</t>
  </si>
  <si>
    <t>7;43;50.50796E</t>
  </si>
  <si>
    <t>55;52;05.09843N</t>
  </si>
  <si>
    <t>7;43;51.90094E</t>
  </si>
  <si>
    <t>003378_20230622_03.54_OI103996SEROV1SPRINTNAV500.bin</t>
  </si>
  <si>
    <t>55;52;05.07315N</t>
  </si>
  <si>
    <t>7;43;51.05400E</t>
  </si>
  <si>
    <t>55;52;04.86639N</t>
  </si>
  <si>
    <t>7;43;52.41663E</t>
  </si>
  <si>
    <t>0347_OI104287_SE_CPT_184_S50_20230622040239 - 0001.db</t>
  </si>
  <si>
    <t>230622040225.SBD</t>
  </si>
  <si>
    <t>OI104287_SEROV1_ET2200SSS_CPT_184_S50.001.jsf</t>
  </si>
  <si>
    <t>55;52;10.98810N</t>
  </si>
  <si>
    <t>7;43;50.92206E</t>
  </si>
  <si>
    <t>55;52;10.84388N</t>
  </si>
  <si>
    <t>7;43;52.22562E</t>
  </si>
  <si>
    <t>55;52;11.90792N</t>
  </si>
  <si>
    <t>7;43;50.90781E</t>
  </si>
  <si>
    <t>55;52;11.66870N</t>
  </si>
  <si>
    <t>7;43;51.48573E</t>
  </si>
  <si>
    <t>ROV in latch</t>
  </si>
  <si>
    <t>WROV in latch, transit to BH_046</t>
  </si>
  <si>
    <t>55;52;11.91633N</t>
  </si>
  <si>
    <t>7;43;50.91597E</t>
  </si>
  <si>
    <t>55;52;11.72815N</t>
  </si>
  <si>
    <t>7;43;51.47487E</t>
  </si>
  <si>
    <t>55;52;03.42217N</t>
  </si>
  <si>
    <t>7;42;42.28319E</t>
  </si>
  <si>
    <t>55;52;03.23167N</t>
  </si>
  <si>
    <t>7;42;42.82286E</t>
  </si>
  <si>
    <t>55;52;03.36829N</t>
  </si>
  <si>
    <t>7;42;42.15457E</t>
  </si>
  <si>
    <t>55;52;03.17705N</t>
  </si>
  <si>
    <t>7;42;42.69069E</t>
  </si>
  <si>
    <t>OI104287_SE_SVX2_SVP_20230622_0428_555205N_0074270E_031</t>
  </si>
  <si>
    <t>55;52;03.34563N</t>
  </si>
  <si>
    <t>7;42;42.20663E</t>
  </si>
  <si>
    <t>55;52;03.18716N</t>
  </si>
  <si>
    <t>7;42;43.20487E</t>
  </si>
  <si>
    <t>SVP_031</t>
  </si>
  <si>
    <t>55;52;02.90927N</t>
  </si>
  <si>
    <t>7;42;42.20752E</t>
  </si>
  <si>
    <t>55;52;02.61942N</t>
  </si>
  <si>
    <t>7;42;43.51326E</t>
  </si>
  <si>
    <t>0348_OI104287_SE_BH_046_S72_20230622043531 - 0001.db</t>
  </si>
  <si>
    <t>230622043519.SBD</t>
  </si>
  <si>
    <t>OI104287_SEROV1_ET2200SSS_BH_046_S72.001.jsf</t>
  </si>
  <si>
    <t>003380_20230622_04.24_OI103996SEROV1SPRINTNAV500.bin</t>
  </si>
  <si>
    <t>55;51;55.26391N</t>
  </si>
  <si>
    <t>7;42;42.45786E</t>
  </si>
  <si>
    <t>55;51;54.92634N</t>
  </si>
  <si>
    <t>7;42;43.76431E</t>
  </si>
  <si>
    <t>003381_20230622_04.39_OI103996SEROV1SPRINTNAV500.bin</t>
  </si>
  <si>
    <t>55;51;54.80946N</t>
  </si>
  <si>
    <t>7;42;41.93789E</t>
  </si>
  <si>
    <t>55;51;54.70908N</t>
  </si>
  <si>
    <t>7;42;43.25798E</t>
  </si>
  <si>
    <t>0349_OI104287_SE_BH_046_S63_20230622044755 - 0001.db</t>
  </si>
  <si>
    <t>230622044745.SBD</t>
  </si>
  <si>
    <t>OI104287_SEROV1_ET2200SSS_BH_046_S63.001.jsf</t>
  </si>
  <si>
    <t>55;52;02.60567N</t>
  </si>
  <si>
    <t>7;42;41.63354E</t>
  </si>
  <si>
    <t>55;52;02.60388N</t>
  </si>
  <si>
    <t>7;42;42.99848E</t>
  </si>
  <si>
    <t>003382_20230622_04.54_OI103996SEROV1SPRINTNAV500.bin</t>
  </si>
  <si>
    <t>55;52;02.71606N</t>
  </si>
  <si>
    <t>7;42;41.19398E</t>
  </si>
  <si>
    <t>55;52;02.51773N</t>
  </si>
  <si>
    <t>7;42;42.48430E</t>
  </si>
  <si>
    <t>0350_OI104287_SE_BH_046_S54_20230622050051 - 0001.db</t>
  </si>
  <si>
    <t>230622050036.SBD</t>
  </si>
  <si>
    <t>OI104287_SEROV1_ET2200SSS_BH_046_S54.001.jsf</t>
  </si>
  <si>
    <t>55;51;55.04559N</t>
  </si>
  <si>
    <t>7;42;41.37478E</t>
  </si>
  <si>
    <t>55;51;54.93222N</t>
  </si>
  <si>
    <t>7;42;42.73113E</t>
  </si>
  <si>
    <t>55;51;54.72091N</t>
  </si>
  <si>
    <t>7;42;40.94825E</t>
  </si>
  <si>
    <t>55;51;54.68630N</t>
  </si>
  <si>
    <t>7;42;42.22359E</t>
  </si>
  <si>
    <t>0351_OI104287_SE_BH_046_S45_20230622051223 - 0001.db</t>
  </si>
  <si>
    <t>230622051135.SBD</t>
  </si>
  <si>
    <t>OI104287_SEROV1_ET2200SSS_BH_046_S45.001.jsf</t>
  </si>
  <si>
    <t>003383_20230622_05.09_OI103996SEROV1SPRINTNAV500.bin</t>
  </si>
  <si>
    <t>55;52;02.46293N</t>
  </si>
  <si>
    <t>7;42;40.58948E</t>
  </si>
  <si>
    <t>55;52;02.39778N</t>
  </si>
  <si>
    <t>7;42;41.96710E</t>
  </si>
  <si>
    <t>55;52;02.86527N</t>
  </si>
  <si>
    <t>7;42;40.09236E</t>
  </si>
  <si>
    <t>55;52;02.65457N</t>
  </si>
  <si>
    <t>7;42;41.44326E</t>
  </si>
  <si>
    <t>0352_OI104287_SE_BH_046_S36_20230622052311 - 0001.db</t>
  </si>
  <si>
    <t>230622052242.SBD</t>
  </si>
  <si>
    <t>OI104287_SEROV1_ET2200SSS_BH_046_S36.001.jsf</t>
  </si>
  <si>
    <t>55;51;55.20865N</t>
  </si>
  <si>
    <t>7;42;40.30769E</t>
  </si>
  <si>
    <t>55;51;54.92860N</t>
  </si>
  <si>
    <t>7;42;41.69854E</t>
  </si>
  <si>
    <t>003384_20230622_05.24_OI103996SEROV1SPRINTNAV500.bin</t>
  </si>
  <si>
    <t>55;51;54.60778N</t>
  </si>
  <si>
    <t>7;42;39.93478E</t>
  </si>
  <si>
    <t>55;51;54.68328N</t>
  </si>
  <si>
    <t>7;42;41.19342E</t>
  </si>
  <si>
    <t>0353_OI104287_SE_BH_046_S27_20230622053444 - 0001.db</t>
  </si>
  <si>
    <t>230622053413.SBD</t>
  </si>
  <si>
    <t>OI104287_SEROV1_ET2200SSS_BH_046_S27.001.jsf</t>
  </si>
  <si>
    <t>55;52;02.41088N</t>
  </si>
  <si>
    <t>7;42;39.60297E</t>
  </si>
  <si>
    <t>55;52;02.46900N</t>
  </si>
  <si>
    <t>7;42;40.92275E</t>
  </si>
  <si>
    <t>003385_20230622_05.39_OI103996SEROV1SPRINTNAV500.bin</t>
  </si>
  <si>
    <t>55;52;02.90164N</t>
  </si>
  <si>
    <t>7;42;39.05931E</t>
  </si>
  <si>
    <t>55;52;02.60554N</t>
  </si>
  <si>
    <t>7;42;40.40947E</t>
  </si>
  <si>
    <t>0354_OI104287_SE_BH_046_S18_20230622054627 - 0001.db</t>
  </si>
  <si>
    <t>230622054605.SBD</t>
  </si>
  <si>
    <t>OI104287_SEROV1_ET2200SSS_BH_046_S18.001.jsf</t>
  </si>
  <si>
    <t>55;51;54.40158N</t>
  </si>
  <si>
    <t>7;42;39.36023E</t>
  </si>
  <si>
    <t>55;51;54.19883N</t>
  </si>
  <si>
    <t>7;42;40.68587E</t>
  </si>
  <si>
    <t>55;51;55.09194N</t>
  </si>
  <si>
    <t>7;42;38.88497E</t>
  </si>
  <si>
    <t>55;51;54.87323N</t>
  </si>
  <si>
    <t>7;42;40.15178E</t>
  </si>
  <si>
    <t>0355_OI104287_SE_BH_046_S09_20230622055756 - 0001.db</t>
  </si>
  <si>
    <t>230622055735.SBD</t>
  </si>
  <si>
    <t>OI104287_SEROV1_ET2200SSS_BH_046_S09.001.jsf</t>
  </si>
  <si>
    <t>003386_20230622_05.54_OI103996SEROV1SPRINTNAV500.bin</t>
  </si>
  <si>
    <t>55;52;02.65561N</t>
  </si>
  <si>
    <t>7;42;38.58639E</t>
  </si>
  <si>
    <t>55;52;02.40488N</t>
  </si>
  <si>
    <t>7;42;39.89952E</t>
  </si>
  <si>
    <t>55;52;02.81989N</t>
  </si>
  <si>
    <t>7;42;38.03982E</t>
  </si>
  <si>
    <t>55;52;02.59407N</t>
  </si>
  <si>
    <t>7;42;39.36995E</t>
  </si>
  <si>
    <t>0356_OI104287_SE_BH_046_C00_20230622060859 - 0001.db</t>
  </si>
  <si>
    <t>230622060846.SBD</t>
  </si>
  <si>
    <t>OI104287_SEROV1_ET2200SSS_BH_046_C00.001.jsf</t>
  </si>
  <si>
    <t>55;51;55.05799N</t>
  </si>
  <si>
    <t>7;42;38.32570E</t>
  </si>
  <si>
    <t>55;51;54.94927N</t>
  </si>
  <si>
    <t>7;42;39.62523E</t>
  </si>
  <si>
    <t>003387_20230622_06.09_OI103996SEROV1SPRINTNAV500.bin</t>
  </si>
  <si>
    <t>55;51;54.77580N</t>
  </si>
  <si>
    <t>7;42;37.84935E</t>
  </si>
  <si>
    <t>55;51;54.68449N</t>
  </si>
  <si>
    <t>7;42;39.11045E</t>
  </si>
  <si>
    <t>0357_OI104287_SE_BH_046_P09_20230622062114 - 0001.db</t>
  </si>
  <si>
    <t>230622062101.SBD</t>
  </si>
  <si>
    <t>OI104287_SEROV1_ET2200SSS_BH_046_P09.001.jsf</t>
  </si>
  <si>
    <t>55;52;02.49012N</t>
  </si>
  <si>
    <t>7;42;37.55363E</t>
  </si>
  <si>
    <t>55;52;02.37908N</t>
  </si>
  <si>
    <t>7;42;38.86090E</t>
  </si>
  <si>
    <t>003388_20230622_06.24_OI103996SEROV1SPRINTNAV500.bin</t>
  </si>
  <si>
    <t>55;52;02.81536N</t>
  </si>
  <si>
    <t>7;42;37.03470E</t>
  </si>
  <si>
    <t>55;52;02.57461N</t>
  </si>
  <si>
    <t>7;42;38.33918E</t>
  </si>
  <si>
    <t>0358_OI104287_SE_BH_046_P18_20230622063103 - 0001.db</t>
  </si>
  <si>
    <t>230622063050.SBD</t>
  </si>
  <si>
    <t>OI104287_SEROV1_ET2200SSS_BH_046_P18.001.jsf</t>
  </si>
  <si>
    <t>55;51;54.96638N</t>
  </si>
  <si>
    <t>7;42;37.26820E</t>
  </si>
  <si>
    <t>55;51;54.85935N</t>
  </si>
  <si>
    <t>7;42;38.59355E</t>
  </si>
  <si>
    <t>55;51;54.60376N</t>
  </si>
  <si>
    <t>7;42;36.85845E</t>
  </si>
  <si>
    <t>55;51;54.61207N</t>
  </si>
  <si>
    <t>7;42;38.08269E</t>
  </si>
  <si>
    <t>0359_OI104287_SE_BH_046_P27_20230622064051 - 0001.db</t>
  </si>
  <si>
    <t>230622064032.SBD</t>
  </si>
  <si>
    <t>OI104287_SEROV1_ET2200SSS_BH_046_P27.001.jsf</t>
  </si>
  <si>
    <t>003389_20230622_06.39_OI103996SEROV1SPRINTNAV500.bin</t>
  </si>
  <si>
    <t>55;52;02.42729N</t>
  </si>
  <si>
    <t>7;42;36.60651E</t>
  </si>
  <si>
    <t>55;52;02.38164N</t>
  </si>
  <si>
    <t>7;42;37.82771E</t>
  </si>
  <si>
    <t>55;52;02.86251N</t>
  </si>
  <si>
    <t>7;42;36.04257E</t>
  </si>
  <si>
    <t>55;52;02.61746N</t>
  </si>
  <si>
    <t>7;42;37.30901E</t>
  </si>
  <si>
    <t>0360_OI104287_SE_BH_046_P36_20230622065052 - 0001.db</t>
  </si>
  <si>
    <t>230622065038.SBD</t>
  </si>
  <si>
    <t>OI104287_SEROV1_ET2200SSS_BH_046_P36.001.jsf</t>
  </si>
  <si>
    <t>55;51;55.03888N</t>
  </si>
  <si>
    <t>7;42;36.20801E</t>
  </si>
  <si>
    <t>55;51;54.87942N</t>
  </si>
  <si>
    <t>7;42;37.55433E</t>
  </si>
  <si>
    <t>003390_20230622_06.54_OI103996SEROV1SPRINTNAV500.bin</t>
  </si>
  <si>
    <t>55;51;54.41618N</t>
  </si>
  <si>
    <t>7;42;35.76852E</t>
  </si>
  <si>
    <t>55;51;54.59291N</t>
  </si>
  <si>
    <t>7;42;37.04166E</t>
  </si>
  <si>
    <t>0361_OI104287_SE_BH_046_P45_20230622070119 - 0001.db</t>
  </si>
  <si>
    <t>230622070101.SBD</t>
  </si>
  <si>
    <t>OI104287_SEROV1_ET2200SSS_BH_046_P45.001.jsf</t>
  </si>
  <si>
    <t>55;52;02.46381N</t>
  </si>
  <si>
    <t>7;42;35.52030E</t>
  </si>
  <si>
    <t>55;52;02.34800N</t>
  </si>
  <si>
    <t>7;42;36.79151E</t>
  </si>
  <si>
    <t>55;52;02.89878N</t>
  </si>
  <si>
    <t>7;42;35.01539E</t>
  </si>
  <si>
    <t>55;52;02.62772N</t>
  </si>
  <si>
    <t>7;42;36.27341E</t>
  </si>
  <si>
    <t>0362_OI104287_SE_BH_046_P54_20230622071130 - 0001.db</t>
  </si>
  <si>
    <t>230622071105.SBD</t>
  </si>
  <si>
    <t>OI104287_SEROV1_ET2200SSS_BH_046_P54.001.jsf</t>
  </si>
  <si>
    <t>003391_20230622_07.09_OI103996SEROV1SPRINTNAV500.bin</t>
  </si>
  <si>
    <t>55;51;54.94537N</t>
  </si>
  <si>
    <t>7;42;35.20250E</t>
  </si>
  <si>
    <t>55;51;54.78648N</t>
  </si>
  <si>
    <t>7;42;36.52748E</t>
  </si>
  <si>
    <t>55;51;54.69388N</t>
  </si>
  <si>
    <t>7;42;34.71987E</t>
  </si>
  <si>
    <t>55;51;54.54267N</t>
  </si>
  <si>
    <t>7;42;36.00636E</t>
  </si>
  <si>
    <t>0363_OI104287_SE_BH_046_P63_20230622072135 - 0001.db</t>
  </si>
  <si>
    <t>230622072059.SBD</t>
  </si>
  <si>
    <t>OI104287_SEROV1_ET2200SSS_BH_046_P63.001.jsf</t>
  </si>
  <si>
    <t>55;52;02.56890N</t>
  </si>
  <si>
    <t>7;42;34.41624E</t>
  </si>
  <si>
    <t>55;52;02.41710N</t>
  </si>
  <si>
    <t>7;42;35.75018E</t>
  </si>
  <si>
    <t>003392_20230622_07.24_OI103996SEROV1SPRINTNAV500.bin</t>
  </si>
  <si>
    <t>55;52;02.86354N</t>
  </si>
  <si>
    <t>7;42;34.00015E</t>
  </si>
  <si>
    <t>55;52;02.65155N</t>
  </si>
  <si>
    <t>7;42;35.23811E</t>
  </si>
  <si>
    <t>0364_OI104287_SE_BH_046_P72_20230622073132 - 0001.db</t>
  </si>
  <si>
    <t>230622073115.SBD</t>
  </si>
  <si>
    <t>OI104287_SEROV1_ET2200SSS_BH_046_P72.001.jsf</t>
  </si>
  <si>
    <t>55;51;54.90784N</t>
  </si>
  <si>
    <t>7;42;34.15317E</t>
  </si>
  <si>
    <t>55;51;54.78165N</t>
  </si>
  <si>
    <t>7;42;35.49067E</t>
  </si>
  <si>
    <t>55;51;54.17005N</t>
  </si>
  <si>
    <t>7;42;34.19694E</t>
  </si>
  <si>
    <t>55;51;53.95003N</t>
  </si>
  <si>
    <t>7;42;35.04258E</t>
  </si>
  <si>
    <t>WROV in latch, transit to CPT_172</t>
  </si>
  <si>
    <t>55;51;54.12955N</t>
  </si>
  <si>
    <t>7;42;34.19080E</t>
  </si>
  <si>
    <t>55;51;53.95712N</t>
  </si>
  <si>
    <t>7;42;34.79725E</t>
  </si>
  <si>
    <t>55;51;27.45626N</t>
  </si>
  <si>
    <t>7;42;26.48911E</t>
  </si>
  <si>
    <t>55;51;27.19610N</t>
  </si>
  <si>
    <t>7;42;26.89627E</t>
  </si>
  <si>
    <t>55;51;27.44001N</t>
  </si>
  <si>
    <t>7;42;26.36313E</t>
  </si>
  <si>
    <t>55;51;27.33385N</t>
  </si>
  <si>
    <t>7;42;26.98529E</t>
  </si>
  <si>
    <t>OI104287_SE_SVX2_SVP_20230622_0801_555145N_0074243E_032</t>
  </si>
  <si>
    <t>55;51;27.43985N</t>
  </si>
  <si>
    <t>7;42;26.32879E</t>
  </si>
  <si>
    <t>55;51;27.06469N</t>
  </si>
  <si>
    <t>7;42;27.47201E</t>
  </si>
  <si>
    <t>SVP_032</t>
  </si>
  <si>
    <t>55;51;26.87013N</t>
  </si>
  <si>
    <t>7;42;26.33748E</t>
  </si>
  <si>
    <t>55;51;26.36886N</t>
  </si>
  <si>
    <t>7;42;27.50610E</t>
  </si>
  <si>
    <t>0365_OI104287_SE_CPT_172_S50_20230622080638 - 0001.db</t>
  </si>
  <si>
    <t>230622080628.SBD</t>
  </si>
  <si>
    <t>OI104287_SEROV1_ET2200SSS_CPT_172_S50.001.jsf</t>
  </si>
  <si>
    <t>003394_20230622_07.54_OI103996SEROV1SPRINTNAV500.bin</t>
  </si>
  <si>
    <t>55;51;20.73867N</t>
  </si>
  <si>
    <t>7;42;26.51415E</t>
  </si>
  <si>
    <t>55;51;20.51916N</t>
  </si>
  <si>
    <t>7;42;27.69651E</t>
  </si>
  <si>
    <t>003395_20230622_08.09_OI103996SEROV1SPRINTNAV500.bin</t>
  </si>
  <si>
    <t>55;51;20.30863N</t>
  </si>
  <si>
    <t>7;42;25.92854E</t>
  </si>
  <si>
    <t>55;51;20.43845N</t>
  </si>
  <si>
    <t>7;42;27.17116E</t>
  </si>
  <si>
    <t>0366_OI104287_SE_CPT_172_S41_20230622081544 - 0001.db</t>
  </si>
  <si>
    <t>230622081531.SBD</t>
  </si>
  <si>
    <t>OI104287_SEROV1_ET2200SSS_CPT_172_S41.001.jsf</t>
  </si>
  <si>
    <t>55;51;26.52327N</t>
  </si>
  <si>
    <t>7;42;25.77106E</t>
  </si>
  <si>
    <t>55;51;26.53890N</t>
  </si>
  <si>
    <t>7;42;26.96899E</t>
  </si>
  <si>
    <t>55;51;26.62823N</t>
  </si>
  <si>
    <t>7;42;25.17314E</t>
  </si>
  <si>
    <t>55;51;26.49952N</t>
  </si>
  <si>
    <t>7;42;26.44516E</t>
  </si>
  <si>
    <t>0367_OI104287_SE_CPT_172_S32_20230622082448 - 0001.db</t>
  </si>
  <si>
    <t>230622082433.SBD</t>
  </si>
  <si>
    <t>OI104287_SEROV1_ET2200SSS_CPT_172_S32.001.jsf</t>
  </si>
  <si>
    <t>003396_20230622_08.24_OI103996SEROV1SPRINTNAV500.bin</t>
  </si>
  <si>
    <t>55;51;20.86308N</t>
  </si>
  <si>
    <t>7;42;25.16287E</t>
  </si>
  <si>
    <t>55;51;20.58374N</t>
  </si>
  <si>
    <t>7;42;26.65789E</t>
  </si>
  <si>
    <t>55;51;20.33262N</t>
  </si>
  <si>
    <t>7;42;24.64586E</t>
  </si>
  <si>
    <t>55;51;20.33208N</t>
  </si>
  <si>
    <t>7;42;26.14069E</t>
  </si>
  <si>
    <t>0368_OI104287_SE_CPT_172_S23_20230622083408 - 0001.db</t>
  </si>
  <si>
    <t>230622083346.SBD</t>
  </si>
  <si>
    <t>OI104287_SEROV1_ET2200SSS_CPT_172_S23.001.jsf</t>
  </si>
  <si>
    <t>55;51;26.52569N</t>
  </si>
  <si>
    <t>7;42;24.51957E</t>
  </si>
  <si>
    <t>55;51;26.47145N</t>
  </si>
  <si>
    <t>7;42;25.93430E</t>
  </si>
  <si>
    <t>55;51;26.97879N</t>
  </si>
  <si>
    <t>7;42;24.01553E</t>
  </si>
  <si>
    <t>55;51;26.61584N</t>
  </si>
  <si>
    <t>7;42;25.41710E</t>
  </si>
  <si>
    <t>0369_OI104287_SE_CPT_172_S14_20230622084411 - 0001.db</t>
  </si>
  <si>
    <t>230622084400.SBD</t>
  </si>
  <si>
    <t>OI104287_SEROV1_ET2200SSS_CPT_172_S14.001.jsf</t>
  </si>
  <si>
    <t>003397_20230622_08.39_OI103996SEROV1SPRINTNAV500.bin</t>
  </si>
  <si>
    <t>55;51;20.90956N</t>
  </si>
  <si>
    <t>7;42;24.17814E</t>
  </si>
  <si>
    <t>55;51;20.54873N</t>
  </si>
  <si>
    <t>7;42;25.62138E</t>
  </si>
  <si>
    <t>55;51;20.41690N</t>
  </si>
  <si>
    <t>7;42;23.62902E</t>
  </si>
  <si>
    <t>55;51;20.37357N</t>
  </si>
  <si>
    <t>7;42;25.10871E</t>
  </si>
  <si>
    <t>0370_OI104287_SE_CPT_172_S05_20230622085333 - 0001.db</t>
  </si>
  <si>
    <t>230622085322.SBD</t>
  </si>
  <si>
    <t>OI104287_SEROV1_ET2200SSS_CPT_172_S05.001.jsf</t>
  </si>
  <si>
    <t>55;51;26.43106N</t>
  </si>
  <si>
    <t>7;42;23.49059E</t>
  </si>
  <si>
    <t>55;51;26.41593N</t>
  </si>
  <si>
    <t>7;42;24.90865E</t>
  </si>
  <si>
    <t>003398_20230622_08.54_OI103996SEROV1SPRINTNAV500.bin</t>
  </si>
  <si>
    <t>55;51;26.75908N</t>
  </si>
  <si>
    <t>7;42;23.05254E</t>
  </si>
  <si>
    <t>55;51;26.50736N</t>
  </si>
  <si>
    <t>7;42;24.39085E</t>
  </si>
  <si>
    <t>0371_OI104287_SE_CPT_172_P05_20230622090207 - 0001.db</t>
  </si>
  <si>
    <t>230622090150.SBD</t>
  </si>
  <si>
    <t>OI104287_SEROV1_ET2200SSS_CPT_172_P05.001.jsf</t>
  </si>
  <si>
    <t>55;51;20.74037N</t>
  </si>
  <si>
    <t>7;42;23.12892E</t>
  </si>
  <si>
    <t>55;51;20.48763N</t>
  </si>
  <si>
    <t>7;42;24.58669E</t>
  </si>
  <si>
    <t>55;51;20.39709N</t>
  </si>
  <si>
    <t>7;42;22.61634E</t>
  </si>
  <si>
    <t>55;51;20.26087N</t>
  </si>
  <si>
    <t>7;42;24.07884E</t>
  </si>
  <si>
    <t>0372_OI104287_SE_CPT_172_P14_20230622091104 - 0001.db</t>
  </si>
  <si>
    <t>230622091044.SBD</t>
  </si>
  <si>
    <t>OI104287_SEROV1_ET2200SSS_CPT_172_P14.001.jsf</t>
  </si>
  <si>
    <t>003399_20230622_09.09_OI103996SEROV1SPRINTNAV500.bin</t>
  </si>
  <si>
    <t>55;51;26.75499N</t>
  </si>
  <si>
    <t>7;42;22.47422E</t>
  </si>
  <si>
    <t>55;51;26.63017N</t>
  </si>
  <si>
    <t>7;42;23.87064E</t>
  </si>
  <si>
    <t>55;51;27.03782N</t>
  </si>
  <si>
    <t>7;42;21.97219E</t>
  </si>
  <si>
    <t>55;51;26.76928N</t>
  </si>
  <si>
    <t>7;42;23.35073E</t>
  </si>
  <si>
    <t>WROV in latch, transit to CPT_096 Infills</t>
  </si>
  <si>
    <t>0376_OI104287_SE_CPT_172_P50_20230622094628 - 0001.db</t>
  </si>
  <si>
    <t>230622094557.SBD</t>
  </si>
  <si>
    <t>OI104287_SEROV1_ET2200SSS_CPT_172_P50.001.jsf</t>
  </si>
  <si>
    <t>003403_20230622_10.09_OI103996SEROV1SPRINTNAV500.bin</t>
  </si>
  <si>
    <t>CPT_096_S32_RR0001</t>
  </si>
  <si>
    <t>55;50;16.90413N</t>
  </si>
  <si>
    <t>7;41;55.65105E</t>
  </si>
  <si>
    <t>55;50;16.67220N</t>
  </si>
  <si>
    <t>7;41;56.24526E</t>
  </si>
  <si>
    <t>OI104287_SE_SVX2_SVP_20230622_1015_555028N_0074192E_033</t>
  </si>
  <si>
    <t>55;50;16.91005N</t>
  </si>
  <si>
    <t>7;41;55.63998E</t>
  </si>
  <si>
    <t>55;50;16.64247N</t>
  </si>
  <si>
    <t>7;41;56.99420E</t>
  </si>
  <si>
    <t>55;50;16.63937N</t>
  </si>
  <si>
    <t>7;41;55.60474E</t>
  </si>
  <si>
    <t>55;50;16.42718N</t>
  </si>
  <si>
    <t>7;41;56.96342E</t>
  </si>
  <si>
    <t>0377_OI104287_SE_CPT_096_S32_RR0001_20230622102314 - 0001.db</t>
  </si>
  <si>
    <t>230622091927.SBD</t>
  </si>
  <si>
    <t>230622092833.SBD</t>
  </si>
  <si>
    <t>230622093644.SBD</t>
  </si>
  <si>
    <t>0373_OI104287_SE_CPT_172_P23_20230622091941 - 0001.db</t>
  </si>
  <si>
    <t>0374_OI104287_SE_CPT_172_P32_20230622092846 - 0001.db</t>
  </si>
  <si>
    <t>0375_OI104287_SE_CPT_172_P41_20230622093713 - 0001.db</t>
  </si>
  <si>
    <t>55;50;10.45665N</t>
  </si>
  <si>
    <t>7;41;55.82568E</t>
  </si>
  <si>
    <t>55;50;10.16725N</t>
  </si>
  <si>
    <t>7;41;57.16710E</t>
  </si>
  <si>
    <t>003404_20230622_10.24_OI103996SEROV1SPRINTNAV500.bin</t>
  </si>
  <si>
    <t>CPT_096_S14_RR0001</t>
  </si>
  <si>
    <t>55;50;10.26684N</t>
  </si>
  <si>
    <t>7;41;54.71275E</t>
  </si>
  <si>
    <t>55;50;09.99028N</t>
  </si>
  <si>
    <t>7;41;56.13512E</t>
  </si>
  <si>
    <t>0378_OI104287_SE_CPT_096_S14_RR0001_20230622103347 - 0001.db</t>
  </si>
  <si>
    <t>OI104287_SEROV1_ET2200SSS_CPT_172_P23.001.jsf</t>
  </si>
  <si>
    <t>OI104287_SEROV1_ET2200SSS_CPT_172_P32.001.jsf</t>
  </si>
  <si>
    <t>OI104287_SEROV1_ET2200SSS_CPT_172_P41.001.jsf</t>
  </si>
  <si>
    <t>003401_20230622_09.39_OI103996SEROV1SPRINTNAV500.bin</t>
  </si>
  <si>
    <t>55;50;16.36169N</t>
  </si>
  <si>
    <t>7;41;54.51552E</t>
  </si>
  <si>
    <t>55;50;16.10129N</t>
  </si>
  <si>
    <t>7;41;55.93778E</t>
  </si>
  <si>
    <t>003405_20230622_10.39_OI103996SEROV1SPRINTNAV500.bin</t>
  </si>
  <si>
    <t>55;50;17.01075N</t>
  </si>
  <si>
    <t>7;41;54.57148E</t>
  </si>
  <si>
    <t>55;50;16.85641N</t>
  </si>
  <si>
    <t>7;41;55.18009E</t>
  </si>
  <si>
    <t>WROV in latch</t>
  </si>
  <si>
    <t>Vessel in position, WROV out of latch</t>
  </si>
  <si>
    <t>003400_20230622_09.24_OI103996SEROV1SPRINTNAV500.bin</t>
  </si>
  <si>
    <t>003402_20230622_09.54_OI103996SEROV1SPRINTNAV500.bin</t>
  </si>
  <si>
    <t>55;50;06.53590N</t>
  </si>
  <si>
    <t>7;40;34.12281E</t>
  </si>
  <si>
    <t>55;50;06.34832N</t>
  </si>
  <si>
    <t>7;40;34.66936E</t>
  </si>
  <si>
    <t>OI104287_SE_SVX2_SVP_20230622_1103_555010N_0074056E_034</t>
  </si>
  <si>
    <t>55;50;06.55209N</t>
  </si>
  <si>
    <t>7;40;34.01499E</t>
  </si>
  <si>
    <t>55;50;06.17844N</t>
  </si>
  <si>
    <t>7;40;34.51667E</t>
  </si>
  <si>
    <t>OI104287_SE_SVX2_SVP_20230622_1112_555010N_0074056E_035</t>
  </si>
  <si>
    <t>55;50;06.55526N</t>
  </si>
  <si>
    <t>7;40;33.99725E</t>
  </si>
  <si>
    <t>55;50;06.18357N</t>
  </si>
  <si>
    <t>7;40;35.08487E</t>
  </si>
  <si>
    <t>OI104287_SE_SVX2_SVP_20230622_1112_555010N_0074056E_036</t>
  </si>
  <si>
    <t>55;50;06.54801N</t>
  </si>
  <si>
    <t>7;40;34.00809E</t>
  </si>
  <si>
    <t>55;50;06.20575N</t>
  </si>
  <si>
    <t>7;40;35.35584E</t>
  </si>
  <si>
    <t>SVP_036</t>
  </si>
  <si>
    <t>SVP_035 - DNP</t>
  </si>
  <si>
    <t>SVP_034 - DNP</t>
  </si>
  <si>
    <t>55;50;05.89372N</t>
  </si>
  <si>
    <t>7;40;34.04981E</t>
  </si>
  <si>
    <t>55;50;05.79386N</t>
  </si>
  <si>
    <t>7;40;35.37394E</t>
  </si>
  <si>
    <t>0379_OI104287_SE_BH_065_S72_20230622112453 - 0001.db</t>
  </si>
  <si>
    <t>230622112442.SBD</t>
  </si>
  <si>
    <t>OI104287_SEROV1_ET2200SSS_BH_065_S72.002.jsf</t>
  </si>
  <si>
    <t>003408_20230622_11.14_OI104287SEROV1SPRINTNAV500.bin</t>
  </si>
  <si>
    <t>55;49;57.94697N</t>
  </si>
  <si>
    <t>7;40;34.20077E</t>
  </si>
  <si>
    <t>55;49;57.71817N</t>
  </si>
  <si>
    <t>7;40;35.65004E</t>
  </si>
  <si>
    <t>003409_20230622_11.29_OI104287SEROV1SPRINTNAV500.bin</t>
  </si>
  <si>
    <t>55;49;58.25034N</t>
  </si>
  <si>
    <t>7;40;33.67325E</t>
  </si>
  <si>
    <t>55;49;58.03847N</t>
  </si>
  <si>
    <t>7;40;35.11685E</t>
  </si>
  <si>
    <t>0380_OI104287_SE_BH_065_S63_20230622113600 - 0001.db</t>
  </si>
  <si>
    <t>230622113531.SBD</t>
  </si>
  <si>
    <t>OI104287_SEROV1_ET2200SSS_BH_065_S63.001.jsf</t>
  </si>
  <si>
    <t>55;50;05.88381N</t>
  </si>
  <si>
    <t>7;40;33.49121E</t>
  </si>
  <si>
    <t>55;50;05.57871N</t>
  </si>
  <si>
    <t>7;40;34.86580E</t>
  </si>
  <si>
    <t>55;50;06.08265N</t>
  </si>
  <si>
    <t>7;40;33.02423E</t>
  </si>
  <si>
    <t>55;50;05.82343N</t>
  </si>
  <si>
    <t>7;40;34.33744E</t>
  </si>
  <si>
    <t>0381_OI104287_SE_BH_065_S54_20230622114723 - 0001.db</t>
  </si>
  <si>
    <t>230622114712.SBD</t>
  </si>
  <si>
    <t>OI104287_SEROV1_ET2200SSS_BH_065_S54.001.jsf</t>
  </si>
  <si>
    <t>003410_20230622_11.44_OI104287SEROV1SPRINTNAV500.bin</t>
  </si>
  <si>
    <t>55;49;58.52826N</t>
  </si>
  <si>
    <t>7;40;33.19991E</t>
  </si>
  <si>
    <t>55;49;58.25120N</t>
  </si>
  <si>
    <t>7;40;34.59513E</t>
  </si>
  <si>
    <t>55;49;58.12493N</t>
  </si>
  <si>
    <t>7;40;32.60421E</t>
  </si>
  <si>
    <t>55;49;58.00045N</t>
  </si>
  <si>
    <t>7;40;34.08669E</t>
  </si>
  <si>
    <t>0382_OI104287_SE_BH_065_S45_20230622115754 - 0001.db</t>
  </si>
  <si>
    <t>230622115739.SBD</t>
  </si>
  <si>
    <t>OI104287_SEROV1_ET2200SSS_BH_065_S45.001.jsf</t>
  </si>
  <si>
    <t>55;50;05.78734N</t>
  </si>
  <si>
    <t>7;40;32.41015E</t>
  </si>
  <si>
    <t>55;50;05.60693N</t>
  </si>
  <si>
    <t>7;40;33.82386E</t>
  </si>
  <si>
    <t>003411_20230622_11.59_OI104287SEROV1SPRINTNAV500.bin</t>
  </si>
  <si>
    <t>55;50;06.11360N</t>
  </si>
  <si>
    <t>7;40;32.02803E</t>
  </si>
  <si>
    <t>55;50;05.73713N</t>
  </si>
  <si>
    <t>7;40;33.30334E</t>
  </si>
  <si>
    <t>0383_OI104287_SE_BH_065_S36_20230622121018 - 0001.db</t>
  </si>
  <si>
    <t>230622120918.SBD</t>
  </si>
  <si>
    <t>OI104287_SEROV1_ET2200SSS_BH_065_S36.001.jsf</t>
  </si>
  <si>
    <t>55;49;58.54303N</t>
  </si>
  <si>
    <t>7;40;32.15524E</t>
  </si>
  <si>
    <t>55;49;58.18527N</t>
  </si>
  <si>
    <t>7;40;33.56224E</t>
  </si>
  <si>
    <t>003412_20230622_12.14_OI104287SEROV1SPRINTNAV500.bin</t>
  </si>
  <si>
    <t>55;49;58.11590N</t>
  </si>
  <si>
    <t>7;40;31.64410E</t>
  </si>
  <si>
    <t>55;49;57.95142N</t>
  </si>
  <si>
    <t>7;40;33.04867E</t>
  </si>
  <si>
    <t>0384_OI104287_SE_BH_065_S27_20230622122113 - 0001.db</t>
  </si>
  <si>
    <t>230622122013.SBD</t>
  </si>
  <si>
    <t>OI104287_SEROV1_ET2200SSS_BH_065_S27.001.jsf</t>
  </si>
  <si>
    <t>55;50;05.74739N</t>
  </si>
  <si>
    <t>7;40;31.42372E</t>
  </si>
  <si>
    <t>55;50;05.51987N</t>
  </si>
  <si>
    <t>7;40;32.79942E</t>
  </si>
  <si>
    <t>55;50;06.11522N</t>
  </si>
  <si>
    <t>7;40;31.01062E</t>
  </si>
  <si>
    <t>55;50;05.77425N</t>
  </si>
  <si>
    <t>7;40;32.27016E</t>
  </si>
  <si>
    <t>0385_OI104287_SE_BH_065_S18_20230622123344 - 0001.db</t>
  </si>
  <si>
    <t>230622123324.SBD</t>
  </si>
  <si>
    <t>OI104287_SEROV1_ET2200SSS_BH_065_S18.001.jsf</t>
  </si>
  <si>
    <t>003413_20230622_12.29_OI104287SEROV1SPRINTNAV500.bin</t>
  </si>
  <si>
    <t>55;49;58.46401N</t>
  </si>
  <si>
    <t>7;40;31.20747E</t>
  </si>
  <si>
    <t>55;49;58.13714N</t>
  </si>
  <si>
    <t>7;40;32.52483E</t>
  </si>
  <si>
    <t>55;49;58.08996N</t>
  </si>
  <si>
    <t>7;40;30.58959E</t>
  </si>
  <si>
    <t>55;49;57.98446N</t>
  </si>
  <si>
    <t>7;40;32.01186E</t>
  </si>
  <si>
    <t>0386_OI104287_SE_BH_065_S09_20230622124528 - 0001.db</t>
  </si>
  <si>
    <t>230622124518.SBD</t>
  </si>
  <si>
    <t>OI104287_SEROV1_ET2200SSS_BH_065_S09.001.jsf</t>
  </si>
  <si>
    <t>003414_20230622_12.44_OI104287SEROV1SPRINTNAV500.bin</t>
  </si>
  <si>
    <t>55;50;05.64234N</t>
  </si>
  <si>
    <t>7;40;30.38125E</t>
  </si>
  <si>
    <t>55;50;05.52259N</t>
  </si>
  <si>
    <t>7;40;31.76533E</t>
  </si>
  <si>
    <t>55;50;05.90349N</t>
  </si>
  <si>
    <t>7;40;29.89680E</t>
  </si>
  <si>
    <t>55;50;05.73939N</t>
  </si>
  <si>
    <t>7;40;31.24210E</t>
  </si>
  <si>
    <t>0387_OI104287_SE_BH_065_C00_20230622125620 - 0001.db</t>
  </si>
  <si>
    <t>230622125559.SBD</t>
  </si>
  <si>
    <t>OI104287_SEROV1_ET2200SSS_BH_065_C00.001.jsf</t>
  </si>
  <si>
    <t>55;49;58.27833N</t>
  </si>
  <si>
    <t>7;40;30.02440E</t>
  </si>
  <si>
    <t>55;49;58.12115N</t>
  </si>
  <si>
    <t>7;40;31.49165E</t>
  </si>
  <si>
    <t>003415_20230622_12.59_OI104287SEROV1SPRINTNAV500.bin</t>
  </si>
  <si>
    <t>55;49;58.07248N</t>
  </si>
  <si>
    <t>7;40;29.51284E</t>
  </si>
  <si>
    <t>55;49;57.89046N</t>
  </si>
  <si>
    <t>7;40;30.98954E</t>
  </si>
  <si>
    <t>0388_OI104287_SE_BH_065_P09_20230622130729 - 0001.db</t>
  </si>
  <si>
    <t>230622130657.SBD</t>
  </si>
  <si>
    <t>OI104287_SEROV1_ET2200SSS_BH_065_P09.001.jsf</t>
  </si>
  <si>
    <t>55;50;05.79408N</t>
  </si>
  <si>
    <t>7;40;29.29645E</t>
  </si>
  <si>
    <t>55;50;05.56061N</t>
  </si>
  <si>
    <t>7;40;30.72701E</t>
  </si>
  <si>
    <t>003416_20230622_13.14_OI104287SEROV1SPRINTNAV500.bin</t>
  </si>
  <si>
    <t>55;50;05.99689N</t>
  </si>
  <si>
    <t>7;40;28.85193E</t>
  </si>
  <si>
    <t>55;50;05.77666N</t>
  </si>
  <si>
    <t>7;40;30.20107E</t>
  </si>
  <si>
    <t>0389_OI104287_SE_BH_065_P18_20230622131918 - 0001.db</t>
  </si>
  <si>
    <t>230622131902.SBD</t>
  </si>
  <si>
    <t>OI104287_SEROV1_ET2200SSS_BH_065_P18.001.jsf</t>
  </si>
  <si>
    <t>55;49;58.21192N</t>
  </si>
  <si>
    <t>7;40;28.99976E</t>
  </si>
  <si>
    <t>7;40;30.46238E</t>
  </si>
  <si>
    <t>55;49;58.12907N</t>
  </si>
  <si>
    <t>7;40;28.45461E</t>
  </si>
  <si>
    <t>55;49;57.84731N</t>
  </si>
  <si>
    <t>7;40;29.96389E</t>
  </si>
  <si>
    <t>0390_OI104287_SE_BH_065_P27_20230622133114 - 0001.db</t>
  </si>
  <si>
    <t>230622133052.SBD</t>
  </si>
  <si>
    <t>OI104287_SEROV1_ET2200SSS_BH_065_P27.001.jsf</t>
  </si>
  <si>
    <t>003417_20230622_13.29_OI104287SEROV1SPRINTNAV500.bin</t>
  </si>
  <si>
    <t>55;50;05.81563N</t>
  </si>
  <si>
    <t>7;40;28.28321E</t>
  </si>
  <si>
    <t>55;50;05.54794N</t>
  </si>
  <si>
    <t>7;40;29.69685E</t>
  </si>
  <si>
    <t>55;50;06.02688N</t>
  </si>
  <si>
    <t>7;40;27.75552E</t>
  </si>
  <si>
    <t>55;50;05.75690N</t>
  </si>
  <si>
    <t>7;40;29.15973E</t>
  </si>
  <si>
    <t>0391_OI104287_SE_BH_065_P36_20230622134240 - 0001.db</t>
  </si>
  <si>
    <t>230622134227.SBD</t>
  </si>
  <si>
    <t>OI104287_SEROV1_ET2200SSS_BH_065_P36.001.jsf</t>
  </si>
  <si>
    <t>55;49;58.28015N</t>
  </si>
  <si>
    <t>7;40;27.97456E</t>
  </si>
  <si>
    <t>55;49;58.02670N</t>
  </si>
  <si>
    <t>7;40;29.42286E</t>
  </si>
  <si>
    <t>003418_20230622_13.44_OI104287SEROV1SPRINTNAV500.bin</t>
  </si>
  <si>
    <t>55;49;56.90064N</t>
  </si>
  <si>
    <t>7;40;27.59196E</t>
  </si>
  <si>
    <t>55;49;57.15963N</t>
  </si>
  <si>
    <t>7;40;28.93825E</t>
  </si>
  <si>
    <t>Removed PD4 from dvl output</t>
  </si>
  <si>
    <t>55;49;57.99455N</t>
  </si>
  <si>
    <t>7;40;27.43625E</t>
  </si>
  <si>
    <t>55;49;57.79798N</t>
  </si>
  <si>
    <t>7;40;28.91954E</t>
  </si>
  <si>
    <t>0392_OI104287_SE_BH_065_P45_20230622135547 - 0001.db</t>
  </si>
  <si>
    <t>230622135522.SBD</t>
  </si>
  <si>
    <t>OI104287_SEROV1_ET2200SSS_BH_065_P45.001.jsf</t>
  </si>
  <si>
    <t>55;50;05.81899N</t>
  </si>
  <si>
    <t>7;40;27.22135E</t>
  </si>
  <si>
    <t>55;50;05.54975N</t>
  </si>
  <si>
    <t>7;40;28.65491E</t>
  </si>
  <si>
    <t>003419_20230622_13.59_OI104287SEROV1SPRINTNAV500.bin</t>
  </si>
  <si>
    <t>55;50;05.96767N</t>
  </si>
  <si>
    <t>7;40;26.67013E</t>
  </si>
  <si>
    <t>55;50;05.77772N</t>
  </si>
  <si>
    <t>7;40;28.13107E</t>
  </si>
  <si>
    <t>0393_OI104287_SE_BH_065_P54_20230622140713 - 0001.db</t>
  </si>
  <si>
    <t>230622140655.SBD</t>
  </si>
  <si>
    <t>OI104287_SEROV1_ET2200SSS_BH_065_P54.001.jsf</t>
  </si>
  <si>
    <t>55;49;57.92605N</t>
  </si>
  <si>
    <t>7;40;26.98498E</t>
  </si>
  <si>
    <t>55;49;57.80929N</t>
  </si>
  <si>
    <t>7;40;28.39752E</t>
  </si>
  <si>
    <t>55;49;57.69224N</t>
  </si>
  <si>
    <t>7;40;26.47514E</t>
  </si>
  <si>
    <t>55;49;57.61059N</t>
  </si>
  <si>
    <t>7;40;27.89299E</t>
  </si>
  <si>
    <t>0394_OI104287_SE_BH_065_P63_20230622141800 - 0001.db</t>
  </si>
  <si>
    <t>230622141749.SBD</t>
  </si>
  <si>
    <t>OI104287_SEROV1_ET2200SSS_BH_065_P63.001.jsf</t>
  </si>
  <si>
    <t>003420_20230622_14.14_OI104287SEROV1SPRINTNAV500.bin</t>
  </si>
  <si>
    <t>55;50;05.67345N</t>
  </si>
  <si>
    <t>7;40;26.21537E</t>
  </si>
  <si>
    <t>55;50;05.54386N</t>
  </si>
  <si>
    <t>7;40;27.62142E</t>
  </si>
  <si>
    <t>55;50;05.95554N</t>
  </si>
  <si>
    <t>7;40;25.64861E</t>
  </si>
  <si>
    <t>55;50;05.76384N</t>
  </si>
  <si>
    <t>7;40;27.09638E</t>
  </si>
  <si>
    <t>0395_OI104287_SE_BH_065_P72_20230622142921 - 0001.db</t>
  </si>
  <si>
    <t>230622142858.SBD</t>
  </si>
  <si>
    <t>OI104287_SEROV1_ET2200SSS_BH_065_P72.001.jsf</t>
  </si>
  <si>
    <t>003421_20230622_14.29_OI104287SEROV1SPRINTNAV500.bin</t>
  </si>
  <si>
    <t>55;49;58.13173N</t>
  </si>
  <si>
    <t>7;40;26.00236E</t>
  </si>
  <si>
    <t>55;49;58.00980N</t>
  </si>
  <si>
    <t>7;40;27.35890E</t>
  </si>
  <si>
    <t>55;49;57.28664N</t>
  </si>
  <si>
    <t>7;40;25.98060E</t>
  </si>
  <si>
    <t>55;49;57.14122N</t>
  </si>
  <si>
    <t>7;40;26.54991E</t>
  </si>
  <si>
    <t>55;49;57.28839N</t>
  </si>
  <si>
    <t>7;40;26.00735E</t>
  </si>
  <si>
    <t>55;49;57.14092N</t>
  </si>
  <si>
    <t>7;40;26.56228E</t>
  </si>
  <si>
    <t>Vessel on the move to CPT_214</t>
  </si>
  <si>
    <t>55;50;16.75578N</t>
  </si>
  <si>
    <t>7;38;44.73085E</t>
  </si>
  <si>
    <t>55;50;16.81281N</t>
  </si>
  <si>
    <t>7;38;44.09845E</t>
  </si>
  <si>
    <t>55;50;16.76294N</t>
  </si>
  <si>
    <t>7;38;44.71431E</t>
  </si>
  <si>
    <t>55;50;16.82458N</t>
  </si>
  <si>
    <t>7;38;44.05741E</t>
  </si>
  <si>
    <t>WROV off deck SOD #013</t>
  </si>
  <si>
    <t>OI104287_SE_SVX2_SVP_20230622_1514_555027N_0073874E_037</t>
  </si>
  <si>
    <t>55;50;16.77308N</t>
  </si>
  <si>
    <t>7;38;44.71552E</t>
  </si>
  <si>
    <t>55;50;17.07322N</t>
  </si>
  <si>
    <t>7;38;43.78674E</t>
  </si>
  <si>
    <t>SVP_037</t>
  </si>
  <si>
    <t>55;50;17.10760N</t>
  </si>
  <si>
    <t>7;38;44.63425E</t>
  </si>
  <si>
    <t>55;50;17.28852N</t>
  </si>
  <si>
    <t>7;38;43.20014E</t>
  </si>
  <si>
    <t>0396_OI104287_SE_CPT_214_S50_20230622152642 - 0001.db</t>
  </si>
  <si>
    <t>230622152624.SBD</t>
  </si>
  <si>
    <t>OI104287_SEROV1_ET2200SSS_CPT_214_S50.001.jsf</t>
  </si>
  <si>
    <t>003424_20230622_15.14_OI104287SEROV1SPRINTNAV500.bin</t>
  </si>
  <si>
    <t>55;50;18.93084N</t>
  </si>
  <si>
    <t>7;38;44.58744E</t>
  </si>
  <si>
    <t>55;50;19.12752N</t>
  </si>
  <si>
    <t>7;38;43.13345E</t>
  </si>
  <si>
    <t>Log on. DNP</t>
  </si>
  <si>
    <t>55;50;18.99447N</t>
  </si>
  <si>
    <t>7;38;44.59690E</t>
  </si>
  <si>
    <t>55;50;19.38748N</t>
  </si>
  <si>
    <t>7;38;43.13285E</t>
  </si>
  <si>
    <t>ROV`s roll is exceeded 5°, bad data from grads. Line was stopped</t>
  </si>
  <si>
    <t>55;50;16.95765N</t>
  </si>
  <si>
    <t>7;38;44.66280E</t>
  </si>
  <si>
    <t>55;50;17.25397N</t>
  </si>
  <si>
    <t>7;38;43.18023E</t>
  </si>
  <si>
    <t>0397_OI104287_SE_CPT_214_S50_20230622153733 - 0001.db</t>
  </si>
  <si>
    <t>230622153657.SBD</t>
  </si>
  <si>
    <t>OI104287_SEROV1_ET2200SSS_CPT_214_S50.002.jsf</t>
  </si>
  <si>
    <t>003425_20230622_15.29_OI104287SEROV1SPRINTNAV500.bin</t>
  </si>
  <si>
    <t>55;50;23.26172N</t>
  </si>
  <si>
    <t>7;38;44.51298E</t>
  </si>
  <si>
    <t>55;50;23.37690N</t>
  </si>
  <si>
    <t>7;38;42.98077E</t>
  </si>
  <si>
    <t>003426_20230622_15.44_OI104287SEROV1SPRINTNAV500.bin</t>
  </si>
  <si>
    <t>55;50;24.08482N</t>
  </si>
  <si>
    <t>7;38;44.49269E</t>
  </si>
  <si>
    <t>55;50;24.64982N</t>
  </si>
  <si>
    <t>7;38;43.17358E</t>
  </si>
  <si>
    <t>55;50;23.15279N</t>
  </si>
  <si>
    <t>7;38;44.46782E</t>
  </si>
  <si>
    <t>55;50;23.42457N</t>
  </si>
  <si>
    <t>7;38;42.96749E</t>
  </si>
  <si>
    <t>0398_OI104287_SE_CPT_214_S50_20230622154938 - 0001.db</t>
  </si>
  <si>
    <t>230622154911.SBD</t>
  </si>
  <si>
    <t>OI104287_SEROV1_ET2200SSS_CPT_214_S50.003.jsf</t>
  </si>
  <si>
    <t>Stbd frame pressure low, frame folding in during line. re-run this line</t>
  </si>
  <si>
    <t>55;50;17.27479N</t>
  </si>
  <si>
    <t>7;38;44.65050E</t>
  </si>
  <si>
    <t>55;50;17.63010N</t>
  </si>
  <si>
    <t>7;38;43.17328E</t>
  </si>
  <si>
    <t>55;50;17.18826N</t>
  </si>
  <si>
    <t>7;38;44.11186E</t>
  </si>
  <si>
    <t>55;50;17.36411N</t>
  </si>
  <si>
    <t>7;38;42.66363E</t>
  </si>
  <si>
    <t>0399_OI104287_SE_CPT_214_S41_20230622155951 - 0001.db</t>
  </si>
  <si>
    <t>230622155934.SBD</t>
  </si>
  <si>
    <t>OI104287_SEROV1_ET2200SSS_CPT_214_S41.001.jsf</t>
  </si>
  <si>
    <t>003427_20230622_15.59_OI104287SEROV1SPRINTNAV500.bin</t>
  </si>
  <si>
    <t>55;50;23.04464N</t>
  </si>
  <si>
    <t>7;38;44.01602E</t>
  </si>
  <si>
    <t>55;50;23.26480N</t>
  </si>
  <si>
    <t>7;38;42.46206E</t>
  </si>
  <si>
    <t>55;50;23.42312N</t>
  </si>
  <si>
    <t>7;38;43.28075E</t>
  </si>
  <si>
    <t>55;50;23.46772N</t>
  </si>
  <si>
    <t>7;38;41.94004E</t>
  </si>
  <si>
    <t>0400_OI104287_SE_CPT_214_S32_20230622161158 - 0001.db</t>
  </si>
  <si>
    <t>230622161146.SBD</t>
  </si>
  <si>
    <t>OI104287_SEROV1_ET2200SSS_CPT_214_S32.001.jsf</t>
  </si>
  <si>
    <t>55;50;17.43279N</t>
  </si>
  <si>
    <t>7;38;43.51135E</t>
  </si>
  <si>
    <t>55;50;17.54093N</t>
  </si>
  <si>
    <t>7;38;42.14613E</t>
  </si>
  <si>
    <t>003428_20230622_16.14_OI104287SEROV1SPRINTNAV500.bin</t>
  </si>
  <si>
    <t>55;50;17.19392N</t>
  </si>
  <si>
    <t>7;38;43.07178E</t>
  </si>
  <si>
    <t>55;50;17.33785N</t>
  </si>
  <si>
    <t>7;38;41.63980E</t>
  </si>
  <si>
    <t>0401_OI104287_SE_CPT_214_S23_20230622162150 - 0001.db</t>
  </si>
  <si>
    <t>230622162133.SBD</t>
  </si>
  <si>
    <t>OI104287_SEROV1_ET2200SSS_CPT_214_S23.001.jsf</t>
  </si>
  <si>
    <t>55;50;23.11399N</t>
  </si>
  <si>
    <t>7;38;42.86988E</t>
  </si>
  <si>
    <t>55;50;23.27143N</t>
  </si>
  <si>
    <t>7;38;41.44215E</t>
  </si>
  <si>
    <t>55;50;23.33090N</t>
  </si>
  <si>
    <t>7;38;42.28967E</t>
  </si>
  <si>
    <t>55;50;23.51630N</t>
  </si>
  <si>
    <t>7;38;40.90776E</t>
  </si>
  <si>
    <t>0402_OI104287_SE_CPT_214_S14_20230622163306 - 0001.db</t>
  </si>
  <si>
    <t>230622163251.SBD</t>
  </si>
  <si>
    <t>OI104287_SEROV1_ET2200SSS_CPT_214_S14.001.jsf</t>
  </si>
  <si>
    <t>003429_20230622_16.29_OI104287SEROV1SPRINTNAV500.bin</t>
  </si>
  <si>
    <t>55;50;17.32655N</t>
  </si>
  <si>
    <t>7;38;42.47469E</t>
  </si>
  <si>
    <t>55;50;17.52690N</t>
  </si>
  <si>
    <t>7;38;41.11143E</t>
  </si>
  <si>
    <t>55;50;17.13624N</t>
  </si>
  <si>
    <t>7;38;42.01568E</t>
  </si>
  <si>
    <t>55;50;17.33815N</t>
  </si>
  <si>
    <t>7;38;40.60359E</t>
  </si>
  <si>
    <t>0403_OI104287_SE_CPT_214_S05_20230622164403 - 0001.db</t>
  </si>
  <si>
    <t>230622164350.SBD</t>
  </si>
  <si>
    <t>OI104287_SEROV1_ET2200SSS_CPT_214_S05.001.jsf</t>
  </si>
  <si>
    <t>55;50;23.17274N</t>
  </si>
  <si>
    <t>7;38;41.83445E</t>
  </si>
  <si>
    <t>55;50;23.29588N</t>
  </si>
  <si>
    <t>7;38;40.40082E</t>
  </si>
  <si>
    <t>003430_20230622_16.44_OI104287SEROV1SPRINTNAV500.bin</t>
  </si>
  <si>
    <t>55;50;23.57853N</t>
  </si>
  <si>
    <t>7;38;41.29399E</t>
  </si>
  <si>
    <t>55;50;23.50755N</t>
  </si>
  <si>
    <t>7;38;39.87759E</t>
  </si>
  <si>
    <t>0404_OI104287_SE_CPT_214_P05_20230622165431 - 0001.db</t>
  </si>
  <si>
    <t>230622165419.SBD</t>
  </si>
  <si>
    <t>OI104287_SEROV1_ET2200SSS_CPT_214_P05.001.jsf</t>
  </si>
  <si>
    <t>55;50;17.53875N</t>
  </si>
  <si>
    <t>7;38;41.44176E</t>
  </si>
  <si>
    <t>55;50;17.54138N</t>
  </si>
  <si>
    <t>7;38;40.07825E</t>
  </si>
  <si>
    <t>003431_20230622_16.59_OI104287SEROV1SPRINTNAV500.bin</t>
  </si>
  <si>
    <t>55;50;17.23283N</t>
  </si>
  <si>
    <t>7;38;40.93974E</t>
  </si>
  <si>
    <t>55;50;17.34087N</t>
  </si>
  <si>
    <t>7;38;39.56739E</t>
  </si>
  <si>
    <t>0405_OI104287_SE_CPT_214_P14_20230622170432 - 0001.db</t>
  </si>
  <si>
    <t>230622170424.SBD</t>
  </si>
  <si>
    <t>OI104287_SEROV1_ET2200SSS_CPT_214_P14.001.jsf</t>
  </si>
  <si>
    <t>55;50;23.16267N</t>
  </si>
  <si>
    <t>7;38;40.74421E</t>
  </si>
  <si>
    <t>55;50;23.28833N</t>
  </si>
  <si>
    <t>7;38;39.36673E</t>
  </si>
  <si>
    <t>55;50;23.50481N</t>
  </si>
  <si>
    <t>7;38;40.26090E</t>
  </si>
  <si>
    <t>55;50;23.50499N</t>
  </si>
  <si>
    <t>7;38;38.83324E</t>
  </si>
  <si>
    <t>0406_OI104287_SE_CPT_214_P23_20230622171420 - 0001.db</t>
  </si>
  <si>
    <t>230622171407.SBD</t>
  </si>
  <si>
    <t>OI104287_SEROV1_ET2200SSS_CPT_214_P23.001.jsf</t>
  </si>
  <si>
    <t>003432_20230622_17.14_OI104287SEROV1SPRINTNAV500.bin</t>
  </si>
  <si>
    <t>55;50;17.50329N</t>
  </si>
  <si>
    <t>7;38;40.40509E</t>
  </si>
  <si>
    <t>55;50;17.55556N</t>
  </si>
  <si>
    <t>7;38;39.04084E</t>
  </si>
  <si>
    <t>55;50;17.30026N</t>
  </si>
  <si>
    <t>7;38;39.88852E</t>
  </si>
  <si>
    <t>55;50;17.34012N</t>
  </si>
  <si>
    <t>7;38;38.53209E</t>
  </si>
  <si>
    <t>0407_OI104287_SE_CPT_214_P32_20230622172425 - 0001.db</t>
  </si>
  <si>
    <t>230622172405.SBD</t>
  </si>
  <si>
    <t>OI104287_SEROV1_ET2200SSS_CPT_214_P32.001.jsf</t>
  </si>
  <si>
    <t>55;50;23.15290N</t>
  </si>
  <si>
    <t>7;38;39.71661E</t>
  </si>
  <si>
    <t>55;50;23.28245N</t>
  </si>
  <si>
    <t>7;38;38.32630E</t>
  </si>
  <si>
    <t>003433_20230622_17.29_OI104287SEROV1SPRINTNAV500.bin</t>
  </si>
  <si>
    <t>55;50;23.37868N</t>
  </si>
  <si>
    <t>7;38;39.22515E</t>
  </si>
  <si>
    <t>55;50;23.51510N</t>
  </si>
  <si>
    <t>7;38;37.80307E</t>
  </si>
  <si>
    <t>0408_OI104287_SE_CPT_214_P41_20230622173439 - 0001.db</t>
  </si>
  <si>
    <t>230622173422.SBD</t>
  </si>
  <si>
    <t>OI104287_SEROV1_ET2200SSS_CPT_214_P41.001.jsf</t>
  </si>
  <si>
    <t>55;50;17.35283N</t>
  </si>
  <si>
    <t>7;38;39.36720E</t>
  </si>
  <si>
    <t>55;50;17.54531N</t>
  </si>
  <si>
    <t>7;38;38.00765E</t>
  </si>
  <si>
    <t>55;50;17.13982N</t>
  </si>
  <si>
    <t>7;38;38.89524E</t>
  </si>
  <si>
    <t>55;50;17.34208N</t>
  </si>
  <si>
    <t>7;38;37.49317E</t>
  </si>
  <si>
    <t>0409_OI104287_SE_CPT_214_P50_20230622174426 - 0001.db</t>
  </si>
  <si>
    <t>230622174406.SBD</t>
  </si>
  <si>
    <t>OI104287_SEROV1_ET2200SSS_CPT_214_P50.001.jsf</t>
  </si>
  <si>
    <t>003434_20230622_17.44_OI104287SEROV1SPRINTNAV500.bin</t>
  </si>
  <si>
    <t>55;50;23.09588N</t>
  </si>
  <si>
    <t>7;38;38.67179E</t>
  </si>
  <si>
    <t>55;50;23.31277N</t>
  </si>
  <si>
    <t>7;38;37.29552E</t>
  </si>
  <si>
    <t>55;50;23.63797N</t>
  </si>
  <si>
    <t>7;38;38.72004E</t>
  </si>
  <si>
    <t>55;50;23.70595N</t>
  </si>
  <si>
    <t>7;38;37.62141E</t>
  </si>
  <si>
    <t>Vessel transit to BH_040, ROV subsea transit 1.5-2.0 kn</t>
  </si>
  <si>
    <t>OI104287_SE_SVX2_SVP_20230622_1816_555029N_0073782E_038</t>
  </si>
  <si>
    <t>55;50;17.78405N</t>
  </si>
  <si>
    <t>7;37;49.65005E</t>
  </si>
  <si>
    <t>55;50;18.15061N</t>
  </si>
  <si>
    <t>7;37;48.23936E</t>
  </si>
  <si>
    <t>SVP_038</t>
  </si>
  <si>
    <t>55;50;16.57998N</t>
  </si>
  <si>
    <t>7;37;49.65925E</t>
  </si>
  <si>
    <t>55;50;16.70297N</t>
  </si>
  <si>
    <t>7;37;48.32084E</t>
  </si>
  <si>
    <t>0410_OI104287_SE_BH_040_S72_20230622182208 - 0001.db</t>
  </si>
  <si>
    <t>230622182158.SBD</t>
  </si>
  <si>
    <t>OI104287_SEROV1_ET2200SSS_BH_040_S72.001.jsf</t>
  </si>
  <si>
    <t>003436_20230622_18.14_OI104287SEROV1SPRINTNAV500.bin</t>
  </si>
  <si>
    <t>55;50;08.96116N</t>
  </si>
  <si>
    <t>7;37;49.93442E</t>
  </si>
  <si>
    <t>55;50;09.15504N</t>
  </si>
  <si>
    <t>7;37;48.57159E</t>
  </si>
  <si>
    <t>003437_20230622_18.29_OI104287SEROV1SPRINTNAV500.bin</t>
  </si>
  <si>
    <t>55;50;08.90253N</t>
  </si>
  <si>
    <t>7;37;49.49698E</t>
  </si>
  <si>
    <t>55;50;08.95573N</t>
  </si>
  <si>
    <t>7;37;48.07461E</t>
  </si>
  <si>
    <t>0411_OI104287_SE_BH_040_S63_20230622183330 - 0001.db</t>
  </si>
  <si>
    <t>230622183314.SBD</t>
  </si>
  <si>
    <t>OI104287_SEROV1_ET2200SSS_BH_040_S63.001.jsf</t>
  </si>
  <si>
    <t>55;50;16.47598N</t>
  </si>
  <si>
    <t>7;37;49.21743E</t>
  </si>
  <si>
    <t>55;50;16.52449N</t>
  </si>
  <si>
    <t>7;37;47.80877E</t>
  </si>
  <si>
    <t>55;50;16.45892N</t>
  </si>
  <si>
    <t>7;37;48.66179E</t>
  </si>
  <si>
    <t>55;50;16.71173N</t>
  </si>
  <si>
    <t>7;37;47.28886E</t>
  </si>
  <si>
    <t>0412_OI104287_SE_BH_040_S54_20230622184547 - 0001.db</t>
  </si>
  <si>
    <t>230622184536.SBD</t>
  </si>
  <si>
    <t>OI104287_SEROV1_ET2200SSS_BH_040_S54.001.jsf</t>
  </si>
  <si>
    <t>003438_20230622_18.44_OI104287SEROV1SPRINTNAV500.bin</t>
  </si>
  <si>
    <t>55;50;08.87789N</t>
  </si>
  <si>
    <t>7;37;48.88066E</t>
  </si>
  <si>
    <t>55;50;09.15639N</t>
  </si>
  <si>
    <t>7;37;47.55077E</t>
  </si>
  <si>
    <t>55;50;08.73556N</t>
  </si>
  <si>
    <t>7;37;48.45701E</t>
  </si>
  <si>
    <t>55;50;08.94638N</t>
  </si>
  <si>
    <t>7;37;47.04082E</t>
  </si>
  <si>
    <t>0413_OI104287_SE_BH_040_S45_20230622185717 - 0001.db</t>
  </si>
  <si>
    <t>230622185701.SBD</t>
  </si>
  <si>
    <t>OI104287_SEROV1_ET2200SSS_BH_040_S45.001.jsf</t>
  </si>
  <si>
    <t>55;50;16.28241N</t>
  </si>
  <si>
    <t>7;37;48.19233E</t>
  </si>
  <si>
    <t>55;50;16.48934N</t>
  </si>
  <si>
    <t>7;37;46.78222E</t>
  </si>
  <si>
    <t>003439_20230622_18.59_OI104287SEROV1SPRINTNAV500.bin</t>
  </si>
  <si>
    <t>55;50;16.73989N</t>
  </si>
  <si>
    <t>7;37;47.63975E</t>
  </si>
  <si>
    <t>55;50;16.69799N</t>
  </si>
  <si>
    <t>7;37;46.25145E</t>
  </si>
  <si>
    <t>0414_OI104287_SE_BH_040_S36_20230622191048 - 0001.db</t>
  </si>
  <si>
    <t>230622191029.SBD</t>
  </si>
  <si>
    <t>OI104287_SEROV1_ET2200SSS_BH_040_S36.001.jsf</t>
  </si>
  <si>
    <t>55;50;09.11458N</t>
  </si>
  <si>
    <t>7;37;47.83191E</t>
  </si>
  <si>
    <t>55;50;09.15036N</t>
  </si>
  <si>
    <t>7;37;46.51457E</t>
  </si>
  <si>
    <t>003440_20230622_19.14_OI104287SEROV1SPRINTNAV500.bin</t>
  </si>
  <si>
    <t>55;50;09.09521N</t>
  </si>
  <si>
    <t>7;37;47.38495E</t>
  </si>
  <si>
    <t>55;50;08.95498N</t>
  </si>
  <si>
    <t>7;37;46.00371E</t>
  </si>
  <si>
    <t>0415_OI104287_SE_BH_040_S27_20230622192249 - 0001.db</t>
  </si>
  <si>
    <t>230622192236.SBD</t>
  </si>
  <si>
    <t>OI104287_SEROV1_ET2200SSS_BH_040_S27.001.jsf</t>
  </si>
  <si>
    <t>55;50;16.67605N</t>
  </si>
  <si>
    <t>7;37;47.11428E</t>
  </si>
  <si>
    <t>55;50;16.50503N</t>
  </si>
  <si>
    <t>7;37;45.74994E</t>
  </si>
  <si>
    <t>003441_20230622_19.29_OI104287SEROV1SPRINTNAV500.bin</t>
  </si>
  <si>
    <t>55;50;16.48690N</t>
  </si>
  <si>
    <t>7;37;46.64730E</t>
  </si>
  <si>
    <t>55;50;16.69256N</t>
  </si>
  <si>
    <t>7;37;45.21071E</t>
  </si>
  <si>
    <t>0416_OI104287_SE_BH_040_S18_20230622193608 - 0001.db</t>
  </si>
  <si>
    <t>230622193552.SBD</t>
  </si>
  <si>
    <t>OI104287_SEROV1_ET2200SSS_BH_040_S18.001.jsf</t>
  </si>
  <si>
    <t>55;50;08.87311N</t>
  </si>
  <si>
    <t>7;37;46.85507E</t>
  </si>
  <si>
    <t>55;50;09.14930N</t>
  </si>
  <si>
    <t>7;37;45.48018E</t>
  </si>
  <si>
    <t>55;50;08.78901N</t>
  </si>
  <si>
    <t>7;37;46.39618E</t>
  </si>
  <si>
    <t>55;50;08.99888N</t>
  </si>
  <si>
    <t>7;37;44.97354E</t>
  </si>
  <si>
    <t>0417_OI104287_SE_BH_040_S09_20230622194815 - 0001.db</t>
  </si>
  <si>
    <t>230622194758.SBD</t>
  </si>
  <si>
    <t>OI104287_SEROV1_ET2200SSS_BH_040_S09.001.jsf</t>
  </si>
  <si>
    <t>003442_20230622_19.44_OI104287SEROV1SPRINTNAV500.bin</t>
  </si>
  <si>
    <t>55;50;16.30481N</t>
  </si>
  <si>
    <t>7;37;46.10112E</t>
  </si>
  <si>
    <t>55;50;16.50276N</t>
  </si>
  <si>
    <t>7;37;44.71675E</t>
  </si>
  <si>
    <t>55;50;16.54319N</t>
  </si>
  <si>
    <t>7;37;45.63425E</t>
  </si>
  <si>
    <t>55;50;16.70463N</t>
  </si>
  <si>
    <t>7;37;44.18447E</t>
  </si>
  <si>
    <t>0418_OI104287_SE_BH_040_C00_20230622200039 - 0001.db</t>
  </si>
  <si>
    <t>230622200028.SBD</t>
  </si>
  <si>
    <t>OI104287_SEROV1_ET2200SSS_BH_040_C00.001.jsf</t>
  </si>
  <si>
    <t>003443_20230622_19.59_OI104287SEROV1SPRINTNAV500.bin</t>
  </si>
  <si>
    <t>55;50;08.94693N</t>
  </si>
  <si>
    <t>7;37;45.81672E</t>
  </si>
  <si>
    <t>55;50;09.14840N</t>
  </si>
  <si>
    <t>7;37;44.44820E</t>
  </si>
  <si>
    <t>55;50;08.83939N</t>
  </si>
  <si>
    <t>7;37;45.39392E</t>
  </si>
  <si>
    <t>55;50;08.94819N</t>
  </si>
  <si>
    <t>7;37;43.93824E</t>
  </si>
  <si>
    <t>0419_OI104287_SE_BH_040_P09_20230622201255 - 0001.db</t>
  </si>
  <si>
    <t>230622201245.SBD</t>
  </si>
  <si>
    <t>OI104287_SEROV1_ET2200SSS_BH_040_P09.001.jsf</t>
  </si>
  <si>
    <t>55;50;16.38703N</t>
  </si>
  <si>
    <t>7;37;45.13649E</t>
  </si>
  <si>
    <t>55;50;16.48496N</t>
  </si>
  <si>
    <t>7;37;43.67572E</t>
  </si>
  <si>
    <t>003444_20230622_20.14_OI104287SEROV1SPRINTNAV500.bin</t>
  </si>
  <si>
    <t>55;50;16.70337N</t>
  </si>
  <si>
    <t>7;37;44.57139E</t>
  </si>
  <si>
    <t>55;50;16.68894N</t>
  </si>
  <si>
    <t>7;37;43.14645E</t>
  </si>
  <si>
    <t>0420_OI104287_SE_BH_040_P18_20230622202506 - 0001.db</t>
  </si>
  <si>
    <t>230622202455.SBD</t>
  </si>
  <si>
    <t>OI104287_SEROV1_ET2200SSS_BH_040_P18.001.jsf</t>
  </si>
  <si>
    <t>55;50;09.18432N</t>
  </si>
  <si>
    <t>7;37;44.77929E</t>
  </si>
  <si>
    <t>55;50;09.14810N</t>
  </si>
  <si>
    <t>7;37;43.40988E</t>
  </si>
  <si>
    <t>003445_20230622_20.29_OI104287SEROV1SPRINTNAV500.bin</t>
  </si>
  <si>
    <t>55;50;08.89022N</t>
  </si>
  <si>
    <t>7;37;44.35086E</t>
  </si>
  <si>
    <t>55;50;08.95136N</t>
  </si>
  <si>
    <t>7;37;42.90355E</t>
  </si>
  <si>
    <t>0421_OI104287_SE_BH_040_P27_20230622203653 - 0001.db</t>
  </si>
  <si>
    <t>230622203645.SBD</t>
  </si>
  <si>
    <t>OI104287_SEROV1_ET2200SSS_BH_040_P27.001.jsf</t>
  </si>
  <si>
    <t>55;50;16.36456N</t>
  </si>
  <si>
    <t>7;37;44.11066E</t>
  </si>
  <si>
    <t>55;50;16.48059N</t>
  </si>
  <si>
    <t>7;37;42.64615E</t>
  </si>
  <si>
    <t>003446_20230622_20.44_OI104287SEROV1SPRINTNAV500.bin</t>
  </si>
  <si>
    <t>55;50;16.69252N</t>
  </si>
  <si>
    <t>7;37;43.52798E</t>
  </si>
  <si>
    <t>55;50;16.66028N</t>
  </si>
  <si>
    <t>7;37;42.12594E</t>
  </si>
  <si>
    <t>0422_OI104287_SE_BH_040_P36_20230622204840 - 0001.db</t>
  </si>
  <si>
    <t>230622204830.SBD</t>
  </si>
  <si>
    <t>OI104287_SEROV1_ET2200SSS_BH_040_P36.001.jsf</t>
  </si>
  <si>
    <t>55;50;09.20496N</t>
  </si>
  <si>
    <t>7;37;43.73022E</t>
  </si>
  <si>
    <t>55;50;09.14568N</t>
  </si>
  <si>
    <t>7;37;42.37910E</t>
  </si>
  <si>
    <t>55;50;08.80703N</t>
  </si>
  <si>
    <t>7;37;43.25605E</t>
  </si>
  <si>
    <t>55;50;08.95422N</t>
  </si>
  <si>
    <t>7;37;41.86824E</t>
  </si>
  <si>
    <t>0423_OI104287_SE_BH_040_P45_20230622210040 - 0001.db</t>
  </si>
  <si>
    <t>230622210028.SBD</t>
  </si>
  <si>
    <t>OI104287_SEROV1_ET2200SSS_BH_040_P45.001.jsf</t>
  </si>
  <si>
    <t>003447_20230622_20.59_OI104287SEROV1SPRINTNAV500.bin</t>
  </si>
  <si>
    <t>55;50;16.25385N</t>
  </si>
  <si>
    <t>7;37;43.02910E</t>
  </si>
  <si>
    <t>55;50;16.45207N</t>
  </si>
  <si>
    <t>7;37;41.61779E</t>
  </si>
  <si>
    <t>55;50;16.63532N</t>
  </si>
  <si>
    <t>7;37;42.47550E</t>
  </si>
  <si>
    <t>55;50;16.64293N</t>
  </si>
  <si>
    <t>7;37;41.08189E</t>
  </si>
  <si>
    <t>0424_OI104287_SE_BH_040_P54_20230622211226 - 0001.db</t>
  </si>
  <si>
    <t>230622211213.SBD</t>
  </si>
  <si>
    <t>OI104287_SEROV1_ET2200SSS_BH_040_P54.001.jsf</t>
  </si>
  <si>
    <t>55;50;09.20322N</t>
  </si>
  <si>
    <t>7;37;42.70386E</t>
  </si>
  <si>
    <t>55;50;09.16756N</t>
  </si>
  <si>
    <t>7;37;41.34230E</t>
  </si>
  <si>
    <t>003448_20230622_21.14_OI104287SEROV1SPRINTNAV500.bin</t>
  </si>
  <si>
    <t>55;50;08.87791N</t>
  </si>
  <si>
    <t>7;37;42.23793E</t>
  </si>
  <si>
    <t>55;50;08.97836N</t>
  </si>
  <si>
    <t>7;37;40.83506E</t>
  </si>
  <si>
    <t>0425_OI104287_SE_BH_040_P63_20230622212357 - 0001.db</t>
  </si>
  <si>
    <t>230622212346.SBD</t>
  </si>
  <si>
    <t>OI104287_SEROV1_ET2200SSS_BH_040_P63.001.jsf</t>
  </si>
  <si>
    <t>55;50;16.35032N</t>
  </si>
  <si>
    <t>7;37;41.96787E</t>
  </si>
  <si>
    <t>55;50;16.46097N</t>
  </si>
  <si>
    <t>7;37;40.57737E</t>
  </si>
  <si>
    <t>003449_20230622_21.29_OI104287SEROV1SPRINTNAV500.bin</t>
  </si>
  <si>
    <t>55;50;16.71984N</t>
  </si>
  <si>
    <t>7;37;41.46419E</t>
  </si>
  <si>
    <t>55;50;16.65907N</t>
  </si>
  <si>
    <t>7;37;40.05715E</t>
  </si>
  <si>
    <t>0426_OI104287_SE_BH_040_P72_20230622213514 - 0001.db</t>
  </si>
  <si>
    <t>230622213459.SBD</t>
  </si>
  <si>
    <t>OI104287_SEROV1_ET2200SSS_BH_040_P72.001.jsf</t>
  </si>
  <si>
    <t>55;50;09.22212N</t>
  </si>
  <si>
    <t>7;37;41.67826E</t>
  </si>
  <si>
    <t>55;50;09.14614N</t>
  </si>
  <si>
    <t>7;37;40.31364E</t>
  </si>
  <si>
    <t>55;50;08.56044N</t>
  </si>
  <si>
    <t>7;37;41.71597E</t>
  </si>
  <si>
    <t>55;50;08.70815N</t>
  </si>
  <si>
    <t>7;37;40.94580E</t>
  </si>
  <si>
    <t>55;49;35.51797N</t>
  </si>
  <si>
    <t>7;37;57.61908E</t>
  </si>
  <si>
    <t>55;49;35.52456N</t>
  </si>
  <si>
    <t>7;37;56.97589E</t>
  </si>
  <si>
    <t>Vessel transit to CPT_110, ROV latched</t>
  </si>
  <si>
    <t>BM07</t>
  </si>
  <si>
    <t>OI104287_SE_SVX2_SVP_20230622_2215_554920N_0073801E_039</t>
  </si>
  <si>
    <t>55;49;12.07441N</t>
  </si>
  <si>
    <t>7;38;01.06285E</t>
  </si>
  <si>
    <t>55;49;11.99979N</t>
  </si>
  <si>
    <t>7;38;00.14153E</t>
  </si>
  <si>
    <t>SVP_039</t>
  </si>
  <si>
    <t>55;49;11.18042N</t>
  </si>
  <si>
    <t>7;38;01.04353E</t>
  </si>
  <si>
    <t>55;49;11.15535N</t>
  </si>
  <si>
    <t>7;37;59.64093E</t>
  </si>
  <si>
    <t>0427_OI104287_SE_CPT_110_S50_20230622222408 - 0001.db</t>
  </si>
  <si>
    <t>230622222354.SBD</t>
  </si>
  <si>
    <t>OI104287_SEROV1_ET2200SSS_CPT_110_S50.001.jsf</t>
  </si>
  <si>
    <t>003452_20230622_22.14_OI104287SEROV1SPRINTNAV500.bin</t>
  </si>
  <si>
    <t>ROV recover to latch</t>
  </si>
  <si>
    <t>55;49;05.17652N</t>
  </si>
  <si>
    <t>7;38;01.19778E</t>
  </si>
  <si>
    <t>55;49;05.12008N</t>
  </si>
  <si>
    <t>7;37;59.85366E</t>
  </si>
  <si>
    <t>003453_20230622_22.29_OI104287SEROV1SPRINTNAV500.bin</t>
  </si>
  <si>
    <t>55;49;04.77177N</t>
  </si>
  <si>
    <t>7;38;00.75183E</t>
  </si>
  <si>
    <t>55;49;04.90704N</t>
  </si>
  <si>
    <t>7;37;59.33345E</t>
  </si>
  <si>
    <t>0428_OI104287_SE_CPT_110_S41_20230622223419 - 0001.db</t>
  </si>
  <si>
    <t>230622223409.SBD</t>
  </si>
  <si>
    <t>OI104287_SEROV1_ET2200SSS_CPT_110_S41.001.jsf</t>
  </si>
  <si>
    <t>55;49;10.89559N</t>
  </si>
  <si>
    <t>7;38;00.53358E</t>
  </si>
  <si>
    <t>55;49;10.99392N</t>
  </si>
  <si>
    <t>7;37;59.12373E</t>
  </si>
  <si>
    <t>55;49;11.17391N</t>
  </si>
  <si>
    <t>7;38;00.00674E</t>
  </si>
  <si>
    <t>55;49;11.20770N</t>
  </si>
  <si>
    <t>7;37;58.60805E</t>
  </si>
  <si>
    <t>0429_OI104287_SE_CPT_110_S32_20230622224427 - 0001.db</t>
  </si>
  <si>
    <t>230622224414.SBD</t>
  </si>
  <si>
    <t>OI104287_SEROV1_ET2200SSS_CPT_110_S32.001.jsf</t>
  </si>
  <si>
    <t>003454_20230622_22.44_OI104287SEROV1SPRINTNAV500.bin</t>
  </si>
  <si>
    <t>55;49;05.01840N</t>
  </si>
  <si>
    <t>7;38;00.16307E</t>
  </si>
  <si>
    <t>55;49;05.03649N</t>
  </si>
  <si>
    <t>7;37;58.81746E</t>
  </si>
  <si>
    <t>55;49;04.83158N</t>
  </si>
  <si>
    <t>7;37;59.72228E</t>
  </si>
  <si>
    <t>55;49;04.77609N</t>
  </si>
  <si>
    <t>7;37;58.30630E</t>
  </si>
  <si>
    <t>0430_OI104287_SE_CPT_110_S23_20230622225445 - 0001.db</t>
  </si>
  <si>
    <t>230622225430.SBD</t>
  </si>
  <si>
    <t>OI104287_SEROV1_ET2200SSS_CPT_110_S23.001.jsf</t>
  </si>
  <si>
    <t>55;49;11.04036N</t>
  </si>
  <si>
    <t>7;37;59.48563E</t>
  </si>
  <si>
    <t>55;49;11.01579N</t>
  </si>
  <si>
    <t>7;37;58.09024E</t>
  </si>
  <si>
    <t>003455_20230622_22.59_OI104287SEROV1SPRINTNAV500.bin</t>
  </si>
  <si>
    <t>55;49;11.32060N</t>
  </si>
  <si>
    <t>7;37;58.98765E</t>
  </si>
  <si>
    <t>55;49;11.25915N</t>
  </si>
  <si>
    <t>7;37;57.56369E</t>
  </si>
  <si>
    <t>0431_OI104287_SE_CPT_110_S14_20230622230448 - 0001.db</t>
  </si>
  <si>
    <t>230622230433.SBD</t>
  </si>
  <si>
    <t>OI104287_SEROV1_ET2200SSS_CPT_110_S14.001.jsf</t>
  </si>
  <si>
    <t>55;49;05.07058N</t>
  </si>
  <si>
    <t>7;37;59.13463E</t>
  </si>
  <si>
    <t>55;49;05.01990N</t>
  </si>
  <si>
    <t>7;37;57.78578E</t>
  </si>
  <si>
    <t>55;49;04.79958N</t>
  </si>
  <si>
    <t>7;37;58.71288E</t>
  </si>
  <si>
    <t>55;49;04.80762N</t>
  </si>
  <si>
    <t>7;37;57.27100E</t>
  </si>
  <si>
    <t>0432_OI104287_SE_CPT_110_S05_20230622231430 - 0001.db</t>
  </si>
  <si>
    <t>230622231418.SBD</t>
  </si>
  <si>
    <t>OI104287_SEROV1_ET2200SSS_CPT_110_S05.001.jsf</t>
  </si>
  <si>
    <t>003456_20230622_23.14_OI104287SEROV1SPRINTNAV500.bin</t>
  </si>
  <si>
    <t>55;49;10.96405N</t>
  </si>
  <si>
    <t>7;37;58.53568E</t>
  </si>
  <si>
    <t>55;49;11.01187N</t>
  </si>
  <si>
    <t>7;37;57.06158E</t>
  </si>
  <si>
    <t>55;49;11.33101N</t>
  </si>
  <si>
    <t>7;37;57.95193E</t>
  </si>
  <si>
    <t>55;49;11.21253N</t>
  </si>
  <si>
    <t>7;37;56.53202E</t>
  </si>
  <si>
    <t>0433_OI104287_SE_CPT_110_P05_20230622232427 - 0001.db</t>
  </si>
  <si>
    <t>230622232413.SBD</t>
  </si>
  <si>
    <t>OI104287_SEROV1_ET2200SSS_CPT_110_P05.001.jsf</t>
  </si>
  <si>
    <t>55;49;05.07886N</t>
  </si>
  <si>
    <t>55;49;04.99923N</t>
  </si>
  <si>
    <t>7;37;56.75290E</t>
  </si>
  <si>
    <t>003457_20230622_23.29_OI104287SEROV1SPRINTNAV500.bin</t>
  </si>
  <si>
    <t>55;49;04.72471N</t>
  </si>
  <si>
    <t>7;37;57.69199E</t>
  </si>
  <si>
    <t>55;49;04.80158N</t>
  </si>
  <si>
    <t>7;37;56.24203E</t>
  </si>
  <si>
    <t>0434_OI104287_SE_CPT_110_P14_20230622233436 - 0001.db</t>
  </si>
  <si>
    <t>230622233418.SBD</t>
  </si>
  <si>
    <t>OI104287_SEROV1_ET2200SSS_CPT_110_P14.001.jsf</t>
  </si>
  <si>
    <t>55;49;10.98718N</t>
  </si>
  <si>
    <t>7;37;57.48313E</t>
  </si>
  <si>
    <t>55;49;11.02711N</t>
  </si>
  <si>
    <t>7;37;56.02840E</t>
  </si>
  <si>
    <t>55;49;11.16677N</t>
  </si>
  <si>
    <t>7;37;56.91463E</t>
  </si>
  <si>
    <t>55;49;11.20967N</t>
  </si>
  <si>
    <t>7;37;55.50094E</t>
  </si>
  <si>
    <t>0435_OI104287_SE_CPT_110_P23_20230622234456 - 0001.db</t>
  </si>
  <si>
    <t>230622234445.SBD</t>
  </si>
  <si>
    <t>OI104287_SEROV1_ET2200SSS_CPT_110_P23.001.jsf</t>
  </si>
  <si>
    <t>003458_20230622_23.44_OI104287SEROV1SPRINTNAV500.bin</t>
  </si>
  <si>
    <t>55;49;04.98166N</t>
  </si>
  <si>
    <t>7;37;57.05953E</t>
  </si>
  <si>
    <t>55;49;05.02805N</t>
  </si>
  <si>
    <t>7;37;55.71186E</t>
  </si>
  <si>
    <t>55;49;04.72297N</t>
  </si>
  <si>
    <t>7;37;56.65426E</t>
  </si>
  <si>
    <t>55;49;04.83598N</t>
  </si>
  <si>
    <t>7;37;55.20251E</t>
  </si>
  <si>
    <t>0436_OI104287_SE_CPT_110_P32_20230622235447 - 0001.db</t>
  </si>
  <si>
    <t>230622235437.SBD</t>
  </si>
  <si>
    <t>OI104287_SEROV1_ET2200SSS_CPT_110_P32.001.jsf</t>
  </si>
  <si>
    <t>55;49;09.87840N</t>
  </si>
  <si>
    <t>7;37;56.46529E</t>
  </si>
  <si>
    <t>55;49;09.97401N</t>
  </si>
  <si>
    <t>7;37;55.02539E</t>
  </si>
  <si>
    <t>55;49;11.17728N</t>
  </si>
  <si>
    <t>7;37;56.42305E</t>
  </si>
  <si>
    <t>55;49;11.25629N</t>
  </si>
  <si>
    <t>7;37;54.98284E</t>
  </si>
  <si>
    <t>003459_20230622_23.59_OI104287SEROV1SPRINTNAV500.bin</t>
  </si>
  <si>
    <t>55;49;10.93088N</t>
  </si>
  <si>
    <t>7;37;55.91330E</t>
  </si>
  <si>
    <t>55;49;11.23275N</t>
  </si>
  <si>
    <t>7;37;54.47258E</t>
  </si>
  <si>
    <t>0437_OI104287_SE_CPT_110_P41_20230623000459 - 0001.db</t>
  </si>
  <si>
    <t>230623000415.SBD</t>
  </si>
  <si>
    <t>OI104287_SEROV1_ET2200SSS_CPT_110_P41.001.jsf</t>
  </si>
  <si>
    <t>55;49;04.86110N</t>
  </si>
  <si>
    <t>7;37;56.02055E</t>
  </si>
  <si>
    <t>55;49;05.14814N</t>
  </si>
  <si>
    <t>7;37;54.68049E</t>
  </si>
  <si>
    <t>55;49;04.69240N</t>
  </si>
  <si>
    <t>7;37;55.51914E</t>
  </si>
  <si>
    <t>55;49;04.87189N</t>
  </si>
  <si>
    <t>7;37;54.17053E</t>
  </si>
  <si>
    <t>0438_OI104287_SE_CPT_110_P50_20230623001451 - 0001.db</t>
  </si>
  <si>
    <t>230623001441.SBD</t>
  </si>
  <si>
    <t>OI104287_SEROV1_ET2200SSS_CPT_110_P50.001.jsf</t>
  </si>
  <si>
    <t>003460_20230623_00.14_OI104287SEROV1SPRINTNAV500.bin</t>
  </si>
  <si>
    <t>55;49;10.77401N</t>
  </si>
  <si>
    <t>7;37;55.35123E</t>
  </si>
  <si>
    <t>55;49;10.92361N</t>
  </si>
  <si>
    <t>7;37;53.96685E</t>
  </si>
  <si>
    <t>CPT_110_P32_INF001</t>
  </si>
  <si>
    <t>55;49;11.47803N</t>
  </si>
  <si>
    <t>7;37;56.38640E</t>
  </si>
  <si>
    <t>55;49;11.41712N</t>
  </si>
  <si>
    <t>7;37;54.97861E</t>
  </si>
  <si>
    <t>0439_OI104287_SE_CPT_110_P32_INF001_20230623002808 - 0001.db</t>
  </si>
  <si>
    <t>Log on GRAD infill</t>
  </si>
  <si>
    <t>55;49;07.92013N</t>
  </si>
  <si>
    <t>7;37;56.49633E</t>
  </si>
  <si>
    <t>55;49;07.85166N</t>
  </si>
  <si>
    <t>7;37;55.10233E</t>
  </si>
  <si>
    <t>003461_20230623_00.29_OI104287SEROV1SPRINTNAV500.bin</t>
  </si>
  <si>
    <t>55;49;07.57770N</t>
  </si>
  <si>
    <t>7;37;56.47331E</t>
  </si>
  <si>
    <t>55;49;07.67287N</t>
  </si>
  <si>
    <t>7;37;55.83166E</t>
  </si>
  <si>
    <t>CPT_224_P32_RR0001</t>
  </si>
  <si>
    <t>55;49;07.59199N</t>
  </si>
  <si>
    <t>7;37;56.47346E</t>
  </si>
  <si>
    <t>55;49;07.66080N</t>
  </si>
  <si>
    <t>7;37;55.84101E</t>
  </si>
  <si>
    <t>WROV on deck EOD #013</t>
  </si>
  <si>
    <t>55;49;07.58707N</t>
  </si>
  <si>
    <t>7;37;56.46564E</t>
  </si>
  <si>
    <t>55;49;07.65431N</t>
  </si>
  <si>
    <t>7;37;55.84524E</t>
  </si>
  <si>
    <t>55;49;07.90250N</t>
  </si>
  <si>
    <t>7;37;56.72654E</t>
  </si>
  <si>
    <t>55;49;08.25555N</t>
  </si>
  <si>
    <t>7;37;56.92912E</t>
  </si>
  <si>
    <t>Transit to CPT_224 to rerun 5 lines</t>
  </si>
  <si>
    <t>Intermittent noise seen on stbd wing grad pins, visual inspection when WROV  on deck</t>
  </si>
  <si>
    <t>55;48;06.34808N</t>
  </si>
  <si>
    <t>7;39;21.05613E</t>
  </si>
  <si>
    <t>55;48;06.25800N</t>
  </si>
  <si>
    <t>7;39;20.45642E</t>
  </si>
  <si>
    <t>Slow transit, vessel crew to grease thrusters</t>
  </si>
  <si>
    <t>55;48;08.52471N</t>
  </si>
  <si>
    <t>7;39;19.01578E</t>
  </si>
  <si>
    <t>55;48;08.56818N</t>
  </si>
  <si>
    <t>7;39;18.36018E</t>
  </si>
  <si>
    <t>WROV off deck SOD #014</t>
  </si>
  <si>
    <t>OI104287_SE_SVX2_SVP_20230623_0144_554814N_0073931E_040</t>
  </si>
  <si>
    <t>55;48;08.52419N</t>
  </si>
  <si>
    <t>7;39;18.98224E</t>
  </si>
  <si>
    <t>55;48;08.45337N</t>
  </si>
  <si>
    <t>7;39;18.19844E</t>
  </si>
  <si>
    <t>SVP_040</t>
  </si>
  <si>
    <t>55;48;08.53014N</t>
  </si>
  <si>
    <t>7;39;18.98649E</t>
  </si>
  <si>
    <t>55;48;08.60771N</t>
  </si>
  <si>
    <t>7;39;17.64805E</t>
  </si>
  <si>
    <t>Weak link broken on port wing</t>
  </si>
  <si>
    <t>55;48;08.53548N</t>
  </si>
  <si>
    <t>7;39;18.98408E</t>
  </si>
  <si>
    <t>55;48;08.58931N</t>
  </si>
  <si>
    <t>7;39;18.35595E</t>
  </si>
  <si>
    <t>WROV on deck EOD # 014</t>
  </si>
  <si>
    <t>55;48;08.53734N</t>
  </si>
  <si>
    <t>7;39;18.99659E</t>
  </si>
  <si>
    <t>55;48;08.58976N</t>
  </si>
  <si>
    <t>7;39;18.36289E</t>
  </si>
  <si>
    <t>55;48;08.53709N</t>
  </si>
  <si>
    <t>7;39;18.99711E</t>
  </si>
  <si>
    <t>Replace port wing weak link</t>
  </si>
  <si>
    <t>WROV off deck SOD #015</t>
  </si>
  <si>
    <t>55;48;09.32253N</t>
  </si>
  <si>
    <t>7;39;18.94705E</t>
  </si>
  <si>
    <t>55;48;09.39060N</t>
  </si>
  <si>
    <t>7;39;17.61818E</t>
  </si>
  <si>
    <t>0440_OI104287_SE_CPT_224_P32_RR0001_20230623022344 - 0001.db</t>
  </si>
  <si>
    <t>003468_20230623_02.14_OI104287SEROV1SPRINTNAV500.bin</t>
  </si>
  <si>
    <t>55;48;15.57660N</t>
  </si>
  <si>
    <t>7;39;18.76075E</t>
  </si>
  <si>
    <t>55;48;15.61884N</t>
  </si>
  <si>
    <t>7;39;17.41178E</t>
  </si>
  <si>
    <t>003469_20230623_02.29_OI104287SEROV1SPRINTNAV500.bin</t>
  </si>
  <si>
    <t>CPT_224_P14_RR0001</t>
  </si>
  <si>
    <t>55;48;15.77006N</t>
  </si>
  <si>
    <t>7;39;19.78160E</t>
  </si>
  <si>
    <t>55;48;15.80426N</t>
  </si>
  <si>
    <t>7;39;18.44195E</t>
  </si>
  <si>
    <t>0441_OI104287_SE_CPT_224_P14_RR0001_20230623023515 - 0001.db</t>
  </si>
  <si>
    <t>55;48;09.54962N</t>
  </si>
  <si>
    <t>7;39;19.93230E</t>
  </si>
  <si>
    <t>55;48;09.58900N</t>
  </si>
  <si>
    <t>7;39;18.64533E</t>
  </si>
  <si>
    <t>CPT_224_S05_RR0001</t>
  </si>
  <si>
    <t>55;48;09.32438N</t>
  </si>
  <si>
    <t>7;39;20.99370E</t>
  </si>
  <si>
    <t>55;48;09.49712N</t>
  </si>
  <si>
    <t>7;39;19.68214E</t>
  </si>
  <si>
    <t>0442_OI104287_SE_CPT_224_S05_RR0001_20230623024635 - 0001.db</t>
  </si>
  <si>
    <t>003470_20230623_02.44_OI104287SEROV1SPRINTNAV500.bin</t>
  </si>
  <si>
    <t>55;48;15.49710N</t>
  </si>
  <si>
    <t>7;39;20.74764E</t>
  </si>
  <si>
    <t>55;48;15.64253N</t>
  </si>
  <si>
    <t>7;39;19.47816E</t>
  </si>
  <si>
    <t>CPT_224_S23_RR0001</t>
  </si>
  <si>
    <t>55;48;15.65456N</t>
  </si>
  <si>
    <t>7;39;21.79414E</t>
  </si>
  <si>
    <t>55;48;15.78767N</t>
  </si>
  <si>
    <t>7;39;20.50350E</t>
  </si>
  <si>
    <t>0443_OI104287_SE_CPT_224_S23_RR0001_20230623025724 - 0001.db</t>
  </si>
  <si>
    <t>55;48;09.53134N</t>
  </si>
  <si>
    <t>7;39;22.00250E</t>
  </si>
  <si>
    <t>55;48;09.67892N</t>
  </si>
  <si>
    <t>7;39;20.70959E</t>
  </si>
  <si>
    <t>003471_20230623_02.59_OI104287SEROV1SPRINTNAV500.bin</t>
  </si>
  <si>
    <t>CPT_224_S41_RR0001</t>
  </si>
  <si>
    <t>55;48;09.31336N</t>
  </si>
  <si>
    <t>7;39;23.09717E</t>
  </si>
  <si>
    <t>55;48;09.52065N</t>
  </si>
  <si>
    <t>7;39;21.74972E</t>
  </si>
  <si>
    <t>0444_OI104287_SE_CPT_224_S41_RR0001_20230623030938 - 0001.db</t>
  </si>
  <si>
    <t>55;48;15.34004N</t>
  </si>
  <si>
    <t>7;39;22.89449E</t>
  </si>
  <si>
    <t>55;48;15.54974N</t>
  </si>
  <si>
    <t>7;39;21.54996E</t>
  </si>
  <si>
    <t>003472_20230623_03.14_OI104287SEROV1SPRINTNAV500.bin</t>
  </si>
  <si>
    <t>55;48;15.83973N</t>
  </si>
  <si>
    <t>7;39;22.88208E</t>
  </si>
  <si>
    <t>55;48;15.93417N</t>
  </si>
  <si>
    <t>7;39;22.19631E</t>
  </si>
  <si>
    <t>55;48;15.83448N</t>
  </si>
  <si>
    <t>7;39;22.89838E</t>
  </si>
  <si>
    <t>55;48;15.93296N</t>
  </si>
  <si>
    <t>7;39;22.21230E</t>
  </si>
  <si>
    <t>Data confirmed good, recover WROV to latch</t>
  </si>
  <si>
    <t>55;48;16.24682N</t>
  </si>
  <si>
    <t>7;39;22.92472E</t>
  </si>
  <si>
    <t>55;48;16.12336N</t>
  </si>
  <si>
    <t>7;39;22.34839E</t>
  </si>
  <si>
    <t>Transit to CPT_072, ROV latched</t>
  </si>
  <si>
    <t>OI104287_SE_SVX2_SVP_20230623_0347_554829N_0073637E_041</t>
  </si>
  <si>
    <t>55;48;17.76915N</t>
  </si>
  <si>
    <t>7;36;22.69258E</t>
  </si>
  <si>
    <t>55;48;17.93491N</t>
  </si>
  <si>
    <t>7;36;21.89041E</t>
  </si>
  <si>
    <t>SVP_041</t>
  </si>
  <si>
    <t>55;48;18.52396N</t>
  </si>
  <si>
    <t>7;36;22.63970E</t>
  </si>
  <si>
    <t>55;48;18.57205N</t>
  </si>
  <si>
    <t>7;36;21.37351E</t>
  </si>
  <si>
    <t>0445_OI104287_SE_CPT_072_S50_20230623035345 - 0001.db</t>
  </si>
  <si>
    <t>230623035327.SBD</t>
  </si>
  <si>
    <t>OI104287_SEROV1_ET2200SSS_CPT_072_S50.001.jsf</t>
  </si>
  <si>
    <t>003474_20230623_03.44_OI104287SEROV1SPRINTNAV500.bin</t>
  </si>
  <si>
    <t>55;48;24.65292N</t>
  </si>
  <si>
    <t>7;36;22.47288E</t>
  </si>
  <si>
    <t>55;48;24.67748N</t>
  </si>
  <si>
    <t>7;36;21.15836E</t>
  </si>
  <si>
    <t>55;48;24.61018N</t>
  </si>
  <si>
    <t>7;36;21.97243E</t>
  </si>
  <si>
    <t>55;48;24.93382N</t>
  </si>
  <si>
    <t>7;36;20.63845E</t>
  </si>
  <si>
    <t>0446_OI104287_SE_CPT_072_S41_20230623040344 - 0001.db</t>
  </si>
  <si>
    <t>230623040245.SBD</t>
  </si>
  <si>
    <t>OI104287_SEROV1_ET2200SSS_CPT_072_S41.001.jsf</t>
  </si>
  <si>
    <t>003475_20230623_03.59_OI104287SEROV1SPRINTNAV500.bin</t>
  </si>
  <si>
    <t>55;48;18.55916N</t>
  </si>
  <si>
    <t>7;36;22.14914E</t>
  </si>
  <si>
    <t>55;48;18.80953N</t>
  </si>
  <si>
    <t>7;36;20.85692E</t>
  </si>
  <si>
    <t>55;48;17.82714N</t>
  </si>
  <si>
    <t>7;36;22.14961E</t>
  </si>
  <si>
    <t>55;48;18.08126N</t>
  </si>
  <si>
    <t>7;36;20.88739E</t>
  </si>
  <si>
    <t>55;48;18.33357N</t>
  </si>
  <si>
    <t>7;36;21.69506E</t>
  </si>
  <si>
    <t>55;48;18.56873N</t>
  </si>
  <si>
    <t>7;36;20.34304E</t>
  </si>
  <si>
    <t>0447_OI104287_SE_CPT_072_S32_20230623041217 - 0001.db</t>
  </si>
  <si>
    <t>230623041211.SBD</t>
  </si>
  <si>
    <t>OI104287_SEROV1_ET2200SSS_CPT_072_S32.001.jsf</t>
  </si>
  <si>
    <t>55;48;24.40960N</t>
  </si>
  <si>
    <t>7;36;21.50538E</t>
  </si>
  <si>
    <t>55;48;24.68110N</t>
  </si>
  <si>
    <t>7;36;20.12457E</t>
  </si>
  <si>
    <t>003476_20230623_04.14_OI104287SEROV1SPRINTNAV500.bin</t>
  </si>
  <si>
    <t>55;48;24.73021N</t>
  </si>
  <si>
    <t>7;36;21.05022E</t>
  </si>
  <si>
    <t>55;48;24.92567N</t>
  </si>
  <si>
    <t>7;36;19.59893E</t>
  </si>
  <si>
    <t>0448_OI104287_SE_CPT_072_S23_20230623042056 - 0001.db</t>
  </si>
  <si>
    <t>230623042049.SBD</t>
  </si>
  <si>
    <t>OI104287_SEROV1_ET2200SSS_CPT_072_S23.001.jsf</t>
  </si>
  <si>
    <t>Spike of noise seen on stbd wing grad pins</t>
  </si>
  <si>
    <t>55;48;18.59385N</t>
  </si>
  <si>
    <t>7;36;21.22928E</t>
  </si>
  <si>
    <t>55;48;18.76653N</t>
  </si>
  <si>
    <t>7;36;19.81981E</t>
  </si>
  <si>
    <t>55;48;18.47598N</t>
  </si>
  <si>
    <t>7;36;20.76653E</t>
  </si>
  <si>
    <t>55;48;18.53101N</t>
  </si>
  <si>
    <t>7;36;19.29688E</t>
  </si>
  <si>
    <t>0449_OI104287_SE_CPT_072_S14_20230623042920 - 0001.db</t>
  </si>
  <si>
    <t>230623042856.SBD</t>
  </si>
  <si>
    <t>OI104287_SEROV1_ET2200SSS_CPT_072_S14.001.jsf</t>
  </si>
  <si>
    <t>55;48;24.64209N</t>
  </si>
  <si>
    <t>7;36;20.61466E</t>
  </si>
  <si>
    <t>55;48;24.70056N</t>
  </si>
  <si>
    <t>7;36;19.09471E</t>
  </si>
  <si>
    <t>003477_20230623_04.29_OI104287SEROV1SPRINTNAV500.bin</t>
  </si>
  <si>
    <t>55;48;24.63029N</t>
  </si>
  <si>
    <t>7;36;20.06732E</t>
  </si>
  <si>
    <t>55;48;24.95569N</t>
  </si>
  <si>
    <t>7;36;18.56604E</t>
  </si>
  <si>
    <t>0450_OI104287_SE_CPT_072_S05_20230623043817 - 0001.db</t>
  </si>
  <si>
    <t>230623043759.SBD</t>
  </si>
  <si>
    <t>OI104287_SEROV1_ET2200SSS_CPT_072_S05.001.jsf</t>
  </si>
  <si>
    <t>55;48;18.16442N</t>
  </si>
  <si>
    <t>7;36;20.26169E</t>
  </si>
  <si>
    <t>55;48;18.52045N</t>
  </si>
  <si>
    <t>7;36;18.79326E</t>
  </si>
  <si>
    <t>55;48;18.52635N</t>
  </si>
  <si>
    <t>7;36;19.71589E</t>
  </si>
  <si>
    <t>55;48;18.53569N</t>
  </si>
  <si>
    <t>7;36;18.26791E</t>
  </si>
  <si>
    <t>0451_OI104287_SE_CPT_072_P05_20230623044715 - 0001.db</t>
  </si>
  <si>
    <t>230623044656.SBD</t>
  </si>
  <si>
    <t>OI104287_SEROV1_ET2200SSS_CPT_072_P05.001.jsf</t>
  </si>
  <si>
    <t>003478_20230623_04.44_OI104287SEROV1SPRINTNAV500.bin</t>
  </si>
  <si>
    <t>55;48;24.63476N</t>
  </si>
  <si>
    <t>7;36;19.57766E</t>
  </si>
  <si>
    <t>55;48;24.66692N</t>
  </si>
  <si>
    <t>7;36;18.06091E</t>
  </si>
  <si>
    <t>55;48;24.88249N</t>
  </si>
  <si>
    <t>7;36;19.05276E</t>
  </si>
  <si>
    <t>55;48;24.90696N</t>
  </si>
  <si>
    <t>7;36;17.53798E</t>
  </si>
  <si>
    <t>0452_OI104287_SE_CPT_072_P14_20230623045537 - 0001.db</t>
  </si>
  <si>
    <t>230623045537.SBD</t>
  </si>
  <si>
    <t>OI104287_SEROV1_ET2200SSS_CPT_072_P14.001.jsf</t>
  </si>
  <si>
    <t>55;48;18.75839N</t>
  </si>
  <si>
    <t>7;36;19.19755E</t>
  </si>
  <si>
    <t>55;48;18.74465N</t>
  </si>
  <si>
    <t>7;36;17.75434E</t>
  </si>
  <si>
    <t>003479_20230623_04.59_OI104287SEROV1SPRINTNAV500.bin</t>
  </si>
  <si>
    <t>55;48;18.36543N</t>
  </si>
  <si>
    <t>7;36;18.68897E</t>
  </si>
  <si>
    <t>55;48;18.50310N</t>
  </si>
  <si>
    <t>7;36;17.24137E</t>
  </si>
  <si>
    <t>0453_OI104287_SE_CPT_072_P23_20230623050422 - 0001.db</t>
  </si>
  <si>
    <t>230623050410.SBD</t>
  </si>
  <si>
    <t>OI104287_SEROV1_ET2200SSS_CPT_072_P23.001.jsf</t>
  </si>
  <si>
    <t>55;48;24.51341N</t>
  </si>
  <si>
    <t>7;36;18.53971E</t>
  </si>
  <si>
    <t>55;48;24.69589N</t>
  </si>
  <si>
    <t>7;36;17.02924E</t>
  </si>
  <si>
    <t>55;48;24.66829N</t>
  </si>
  <si>
    <t>7;36;17.95183E</t>
  </si>
  <si>
    <t>55;48;24.86668N</t>
  </si>
  <si>
    <t>7;36;16.50721E</t>
  </si>
  <si>
    <t>0454_OI104287_SE_CPT_072_P32_20230623051453 - 0001.db</t>
  </si>
  <si>
    <t>230623051450.SBD</t>
  </si>
  <si>
    <t>OI104287_SEROV1_ET2200SSS_CPT_072_P32.001.jsf</t>
  </si>
  <si>
    <t>003480_20230623_05.14_OI104287SEROV1SPRINTNAV500.bin</t>
  </si>
  <si>
    <t>55;48;18.49781N</t>
  </si>
  <si>
    <t>7;36;18.11489E</t>
  </si>
  <si>
    <t>55;48;18.70708N</t>
  </si>
  <si>
    <t>7;36;16.71904E</t>
  </si>
  <si>
    <t>55;48;18.27635N</t>
  </si>
  <si>
    <t>7;36;17.62230E</t>
  </si>
  <si>
    <t>55;48;18.48289N</t>
  </si>
  <si>
    <t>7;36;16.21150E</t>
  </si>
  <si>
    <t>0455_OI104287_SE_CPT_072_P41_20230623052306 - 0001.db</t>
  </si>
  <si>
    <t>230623052251.SBD</t>
  </si>
  <si>
    <t>OI104287_SEROV1_ET2200SSS_CPT_072_P41.001.jsf</t>
  </si>
  <si>
    <t>55;48;24.46668N</t>
  </si>
  <si>
    <t>7;36;17.43978E</t>
  </si>
  <si>
    <t>55;48;24.66511N</t>
  </si>
  <si>
    <t>7;36;15.99122E</t>
  </si>
  <si>
    <t>55;48;24.72064N</t>
  </si>
  <si>
    <t>7;36;16.91798E</t>
  </si>
  <si>
    <t>55;48;24.88161N</t>
  </si>
  <si>
    <t>7;36;15.46708E</t>
  </si>
  <si>
    <t>0456_OI104287_SE_CPT_072_P50_20230623053146 - 0001.db</t>
  </si>
  <si>
    <t>230623053127.SBD</t>
  </si>
  <si>
    <t>OI104287_SEROV1_ET2200SSS_CPT_072_P50.001.jsf</t>
  </si>
  <si>
    <t>003481_20230623_05.29_OI104287SEROV1SPRINTNAV500.bin</t>
  </si>
  <si>
    <t>55;48;22.43421N</t>
  </si>
  <si>
    <t>7;36;16.96761E</t>
  </si>
  <si>
    <t>55;48;23.10281N</t>
  </si>
  <si>
    <t>7;36;15.51385E</t>
  </si>
  <si>
    <t>55;48;22.23000N</t>
  </si>
  <si>
    <t>7;36;16.97392E</t>
  </si>
  <si>
    <t>55;48;22.88570N</t>
  </si>
  <si>
    <t>7;36;15.52019E</t>
  </si>
  <si>
    <t>Line was aborted due to noisy data from grads caused by WROV motion</t>
  </si>
  <si>
    <t>55;48;24.84231N</t>
  </si>
  <si>
    <t>7;36;16.92063E</t>
  </si>
  <si>
    <t>55;48;24.80195N</t>
  </si>
  <si>
    <t>7;36;15.47221E</t>
  </si>
  <si>
    <t>0457_OI104287_SE_CPT_072_P50_20230623054225 - 0001.db</t>
  </si>
  <si>
    <t>230623054223.SBD</t>
  </si>
  <si>
    <t>OI104287_SEROV1_ET2200SSS_CPT_072_P50.002.jsf</t>
  </si>
  <si>
    <t>55;48;18.74564N</t>
  </si>
  <si>
    <t>7;36;17.07269E</t>
  </si>
  <si>
    <t>55;48;18.68672N</t>
  </si>
  <si>
    <t>7;36;15.68857E</t>
  </si>
  <si>
    <t>003482_20230623_05.44_OI104287SEROV1SPRINTNAV500.bin</t>
  </si>
  <si>
    <t>CPT_072_S41_INF0001</t>
  </si>
  <si>
    <t>55;48;19.61370N</t>
  </si>
  <si>
    <t>7;36;22.14250E</t>
  </si>
  <si>
    <t>55;48;19.63315N</t>
  </si>
  <si>
    <t>7;36;20.82463E</t>
  </si>
  <si>
    <t>0458_OI104287_SE_CPT_072_S41_INF0001_20230623055730 - 0001.db</t>
  </si>
  <si>
    <t>Vessel transit to CPT_101, ROV latched</t>
  </si>
  <si>
    <t>55;48;21.62648N</t>
  </si>
  <si>
    <t>7;36;22.11633E</t>
  </si>
  <si>
    <t>55;48;21.72412N</t>
  </si>
  <si>
    <t>7;36;20.74587E</t>
  </si>
  <si>
    <t>003483_20230623_05.59_OI104287SEROV1SPRINTNAV500.bin</t>
  </si>
  <si>
    <t>55;48;22.06002N</t>
  </si>
  <si>
    <t>7;36;22.07722E</t>
  </si>
  <si>
    <t>55;48;22.23573N</t>
  </si>
  <si>
    <t>7;36;21.02258E</t>
  </si>
  <si>
    <t>BM08</t>
  </si>
  <si>
    <t>55;48;22.06899N</t>
  </si>
  <si>
    <t>7;36;22.07010E</t>
  </si>
  <si>
    <t>55;48;22.22170N</t>
  </si>
  <si>
    <t>7;36;21.02227E</t>
  </si>
  <si>
    <t>55;48;22.06290N</t>
  </si>
  <si>
    <t>7;36;22.07934E</t>
  </si>
  <si>
    <t>55;48;22.13993N</t>
  </si>
  <si>
    <t>7;36;21.45890E</t>
  </si>
  <si>
    <t>55;48;31.72953N</t>
  </si>
  <si>
    <t>7;34;04.84561E</t>
  </si>
  <si>
    <t>55;48;31.77189N</t>
  </si>
  <si>
    <t>7;34;04.21976E</t>
  </si>
  <si>
    <t>OI104287_SE_SVX2_SVP_20230623_0635_554852N_0073408E_042</t>
  </si>
  <si>
    <t>55;48;31.73506N</t>
  </si>
  <si>
    <t>7;34;05.13990E</t>
  </si>
  <si>
    <t>55;48;31.93106N</t>
  </si>
  <si>
    <t>7;34;03.69351E</t>
  </si>
  <si>
    <t>SVP_042</t>
  </si>
  <si>
    <t>55;48;32.34961N</t>
  </si>
  <si>
    <t>7;34;05.17318E</t>
  </si>
  <si>
    <t>55;48;32.45475N</t>
  </si>
  <si>
    <t>7;34;03.68476E</t>
  </si>
  <si>
    <t>0459_OI104287_SE_BH_101_S72_20230623064130 - 0001.db</t>
  </si>
  <si>
    <t>230623064107.SBD</t>
  </si>
  <si>
    <t>OI104287_SEROV1_ET2200SSS_BH_101_S72.001.jsf</t>
  </si>
  <si>
    <t>003485_20230623_06.29_OI104287SEROV1SPRINTNAV500.bin</t>
  </si>
  <si>
    <t>55;48;40.00146N</t>
  </si>
  <si>
    <t>7;34;04.87178E</t>
  </si>
  <si>
    <t>55;48;40.11086N</t>
  </si>
  <si>
    <t>7;34;03.40534E</t>
  </si>
  <si>
    <t>003486_20230623_06.44_OI104287SEROV1SPRINTNAV500.bin</t>
  </si>
  <si>
    <t>55;48;40.13450N</t>
  </si>
  <si>
    <t>7;34;04.34976E</t>
  </si>
  <si>
    <t>55;48;40.16412N</t>
  </si>
  <si>
    <t>7;34;02.88814E</t>
  </si>
  <si>
    <t>0460_OI104287_SE_BH_101_S63_20230623065135 - 0001.db</t>
  </si>
  <si>
    <t>230623065105.SBD</t>
  </si>
  <si>
    <t>OI104287_SEROV1_ET2200SSS_BH_101_S63.001.jsf</t>
  </si>
  <si>
    <t>0461_OI104287_SE_BH_101_S54_20230623070131 - 0001.db</t>
  </si>
  <si>
    <t>230623070113.SBD</t>
  </si>
  <si>
    <t>55;48;40.07217N</t>
  </si>
  <si>
    <t>7;34;03.27961E</t>
  </si>
  <si>
    <t>55;48;40.11327N</t>
  </si>
  <si>
    <t>7;34;01.85978E</t>
  </si>
  <si>
    <t>0462_OI104287_SE_BH_101_S45_20230623071222 - 0001.db</t>
  </si>
  <si>
    <t>230623071220.SBD</t>
  </si>
  <si>
    <t>OI104287_SEROV1_ET2200SSS_BH_101_S45.001.jsf</t>
  </si>
  <si>
    <t>003487_20230623_06.59_OI104287SEROV1SPRINTNAV500.bin</t>
  </si>
  <si>
    <t>OI104287_SEROV1_ET2200SSS_BH_101_S54.001.jsf</t>
  </si>
  <si>
    <t>55;48;32.61153N</t>
  </si>
  <si>
    <t>7;34;03.48335E</t>
  </si>
  <si>
    <t>55;48;32.67517N</t>
  </si>
  <si>
    <t>7;34;02.12955E</t>
  </si>
  <si>
    <t>003488_20230623_07.14_OI104287SEROV1SPRINTNAV500.bin</t>
  </si>
  <si>
    <t>55;48;32.26322N</t>
  </si>
  <si>
    <t>7;34;02.98133E</t>
  </si>
  <si>
    <t>55;48;32.42170N</t>
  </si>
  <si>
    <t>7;34;01.61205E</t>
  </si>
  <si>
    <t>0463_OI104287_SE_BH_101_S36_20230623072212 - 0001.db</t>
  </si>
  <si>
    <t>230623072157.SBD</t>
  </si>
  <si>
    <t>OI104287_SEROV1_ET2200SSS_BH_101_S36.001.jsf</t>
  </si>
  <si>
    <t>55;48;39.74630N</t>
  </si>
  <si>
    <t>7;34;02.77176E</t>
  </si>
  <si>
    <t>55;48;39.92091N</t>
  </si>
  <si>
    <t>7;34;01.34802E</t>
  </si>
  <si>
    <t>55;48;39.85828N</t>
  </si>
  <si>
    <t>7;34;02.25450E</t>
  </si>
  <si>
    <t>55;48;39.90703N</t>
  </si>
  <si>
    <t>7;34;00.82720E</t>
  </si>
  <si>
    <t>0464_OI104287_SE_BH_101_S27_20230623073239 - 0001.db</t>
  </si>
  <si>
    <t>230623073225.SBD</t>
  </si>
  <si>
    <t>OI104287_SEROV1_ET2200SSS_BH_101_S27.001.jsf</t>
  </si>
  <si>
    <t>003489_20230623_07.29_OI104287SEROV1SPRINTNAV500.bin</t>
  </si>
  <si>
    <t>55;48;32.53947N</t>
  </si>
  <si>
    <t>7;34;02.44917E</t>
  </si>
  <si>
    <t>55;48;32.64108N</t>
  </si>
  <si>
    <t>7;34;01.09274E</t>
  </si>
  <si>
    <t>55;48;32.31368N</t>
  </si>
  <si>
    <t>7;34;01.94820E</t>
  </si>
  <si>
    <t>55;48;32.44041N</t>
  </si>
  <si>
    <t>7;34;00.57645E</t>
  </si>
  <si>
    <t>0465_OI104287_SE_BH_101_S18_20230623074207 - 0001.db</t>
  </si>
  <si>
    <t>230623074142.SBD</t>
  </si>
  <si>
    <t>OI104287_SEROV1_ET2200SSS_BH_101_S18.001.jsf</t>
  </si>
  <si>
    <t>55;48;39.73338N</t>
  </si>
  <si>
    <t>7;34;01.71362E</t>
  </si>
  <si>
    <t>55;48;39.91759N</t>
  </si>
  <si>
    <t>7;34;00.31423E</t>
  </si>
  <si>
    <t>003490_20230623_07.44_OI104287SEROV1SPRINTNAV500.bin</t>
  </si>
  <si>
    <t>55;48;40.14119N</t>
  </si>
  <si>
    <t>7;34;01.08692E</t>
  </si>
  <si>
    <t>7;33;59.78918E</t>
  </si>
  <si>
    <t>0466_OI104287_SE_BH_101_S09_20230623075315 - 0001.db</t>
  </si>
  <si>
    <t>OI104287_SEROV1_ET2200SSS_BH_101_S09.001.jsf</t>
  </si>
  <si>
    <t>55;48;32.58031N</t>
  </si>
  <si>
    <t>7;34;01.31486E</t>
  </si>
  <si>
    <t>55;48;32.62387N</t>
  </si>
  <si>
    <t>7;34;00.06046E</t>
  </si>
  <si>
    <t>230623075310.SBD</t>
  </si>
  <si>
    <t>003491_20230623_07.59_OI104287SEROV1SPRINTNAV500.bin</t>
  </si>
  <si>
    <t>55;48;32.23495N</t>
  </si>
  <si>
    <t>7;34;00.96826E</t>
  </si>
  <si>
    <t>55;48;32.36996N</t>
  </si>
  <si>
    <t>7;33;59.54688E</t>
  </si>
  <si>
    <t>0467_OI104287_SE_BH_101_C00_20230623080233 - 0001.db</t>
  </si>
  <si>
    <t>230623080216.SBD</t>
  </si>
  <si>
    <t>OI104287_SEROV1_ET2200SSS_BH_101_C00.001.jsf</t>
  </si>
  <si>
    <t>55;48;39.72686N</t>
  </si>
  <si>
    <t>7;34;00.75452E</t>
  </si>
  <si>
    <t>55;48;39.91895N</t>
  </si>
  <si>
    <t>7;33;59.27681E</t>
  </si>
  <si>
    <t>55;48;39.94984N</t>
  </si>
  <si>
    <t>7;34;00.15494E</t>
  </si>
  <si>
    <t>55;48;40.02713N</t>
  </si>
  <si>
    <t>7;33;58.76565E</t>
  </si>
  <si>
    <t>0468_OI104287_SE_BH_101_P09_20230623081313 - 0001.db</t>
  </si>
  <si>
    <t>230623081249.SBD</t>
  </si>
  <si>
    <t>OI104287_SEROV1_ET2200SSS_BH_101_P09.001.jsf</t>
  </si>
  <si>
    <t>55;48;32.40970N</t>
  </si>
  <si>
    <t>7;34;00.45451E</t>
  </si>
  <si>
    <t>55;48;32.53381N</t>
  </si>
  <si>
    <t>7;33;59.03119E</t>
  </si>
  <si>
    <t>003492_20230623_08.14_OI104287SEROV1SPRINTNAV500.bin</t>
  </si>
  <si>
    <t>55;48;32.16556N</t>
  </si>
  <si>
    <t>7;34;00.03602E</t>
  </si>
  <si>
    <t>55;48;32.39983N</t>
  </si>
  <si>
    <t>7;33;58.51550E</t>
  </si>
  <si>
    <t>0469_OI104287_SE_BH_101_P18_20230623082332 - 0001.db</t>
  </si>
  <si>
    <t>230623082320.SBD</t>
  </si>
  <si>
    <t>OI104287_SEROV1_ET2200SSS_BH_101_P18.001.jsf</t>
  </si>
  <si>
    <t>55;48;39.67434N</t>
  </si>
  <si>
    <t>7;33;59.74985E</t>
  </si>
  <si>
    <t>55;48;39.88349N</t>
  </si>
  <si>
    <t>7;33;58.24333E</t>
  </si>
  <si>
    <t>003493_20230623_08.29_OI104287SEROV1SPRINTNAV500.bin</t>
  </si>
  <si>
    <t>55;48;40.07279N</t>
  </si>
  <si>
    <t>7;33;59.21159E</t>
  </si>
  <si>
    <t>55;48;40.07872N</t>
  </si>
  <si>
    <t>7;33;57.72130E</t>
  </si>
  <si>
    <t>0470_OI104287_SE_BH_101_P27_20230623083324 - 0001.db</t>
  </si>
  <si>
    <t>230623083303.SBD</t>
  </si>
  <si>
    <t>OI104287_SEROV1_ET2200SSS_BH_101_P27.001.jsf</t>
  </si>
  <si>
    <t>55;48;32.52331N</t>
  </si>
  <si>
    <t>7;33;59.46853E</t>
  </si>
  <si>
    <t>55;48;32.57409N</t>
  </si>
  <si>
    <t>7;33;57.99257E</t>
  </si>
  <si>
    <t>55;48;32.21063N</t>
  </si>
  <si>
    <t>7;33;58.99299E</t>
  </si>
  <si>
    <t>55;48;32.32998N</t>
  </si>
  <si>
    <t>7;33;57.48896E</t>
  </si>
  <si>
    <t>0471_OI104287_SE_BH_101_P36_20230623084634 - 0001.db</t>
  </si>
  <si>
    <t>230623084609.SBD</t>
  </si>
  <si>
    <t>OI104287_SEROV1_ET2200SSS_BH_101_P36.001.jsf</t>
  </si>
  <si>
    <t>003494_20230623_08.44_OI104287SEROV1SPRINTNAV500.bin</t>
  </si>
  <si>
    <t>55;48;39.85884N</t>
  </si>
  <si>
    <t>7;33;58.68008E</t>
  </si>
  <si>
    <t>55;48;39.97598N</t>
  </si>
  <si>
    <t>7;33;57.20652E</t>
  </si>
  <si>
    <t>55;48;40.02312N</t>
  </si>
  <si>
    <t>7;33;58.12777E</t>
  </si>
  <si>
    <t>55;48;40.18419N</t>
  </si>
  <si>
    <t>7;33;56.68027E</t>
  </si>
  <si>
    <t>0472_OI104287_SE_BH_101_P45_20230623085651 - 0001.db</t>
  </si>
  <si>
    <t>230623085646.SBD</t>
  </si>
  <si>
    <t>OI104287_SEROV1_ET2200SSS_BH_101_P45.001.jsf</t>
  </si>
  <si>
    <t>55;48;32.44827N</t>
  </si>
  <si>
    <t>7;33;58.25277E</t>
  </si>
  <si>
    <t>55;48;32.58570N</t>
  </si>
  <si>
    <t>7;33;56.96150E</t>
  </si>
  <si>
    <t>003495_20230623_08.59_OI104287SEROV1SPRINTNAV500.bin</t>
  </si>
  <si>
    <t>55;48;32.22274N</t>
  </si>
  <si>
    <t>7;33;57.86672E</t>
  </si>
  <si>
    <t>55;48;32.50197N</t>
  </si>
  <si>
    <t>7;33;56.44732E</t>
  </si>
  <si>
    <t>0473_OI104287_SE_BH_101_P54_20230623090712 - 0001.db</t>
  </si>
  <si>
    <t>230623090710.SBD</t>
  </si>
  <si>
    <t>OI104287_SEROV1_ET2200SSS_BH_101_P54.001.jsf</t>
  </si>
  <si>
    <t>55;48;39.66502N</t>
  </si>
  <si>
    <t>7;33;57.61068E</t>
  </si>
  <si>
    <t>55;48;39.86961N</t>
  </si>
  <si>
    <t>7;33;56.17635E</t>
  </si>
  <si>
    <t>003496_20230623_09.14_OI104287SEROV1SPRINTNAV500.bin</t>
  </si>
  <si>
    <t>55;48;40.20037N</t>
  </si>
  <si>
    <t>7;33;57.08956E</t>
  </si>
  <si>
    <t>55;48;40.12067N</t>
  </si>
  <si>
    <t>7;33;55.65010E</t>
  </si>
  <si>
    <t>0474_OI104287_SE_BH_101_P63_20230623091924 - 0001.db</t>
  </si>
  <si>
    <t>230623091916.SBD</t>
  </si>
  <si>
    <t>OI104287_SEROV1_ET2200SSS_BH_101_P63.001.jsf</t>
  </si>
  <si>
    <t>55;48;32.69808N</t>
  </si>
  <si>
    <t>7;33;57.30171E</t>
  </si>
  <si>
    <t>55;48;32.58601N</t>
  </si>
  <si>
    <t>7;33;55.92348E</t>
  </si>
  <si>
    <t>55;48;32.25102N</t>
  </si>
  <si>
    <t>7;33;56.81659E</t>
  </si>
  <si>
    <t>55;48;32.35381N</t>
  </si>
  <si>
    <t>7;33;55.41594E</t>
  </si>
  <si>
    <t>0475_OI104287_SE_BH_101_P72_20230623093013 - 0001.db</t>
  </si>
  <si>
    <t>230623093005.SBD</t>
  </si>
  <si>
    <t>OI104287_SEROV1_ET2200SSS_BH_101_P72.001.jsf</t>
  </si>
  <si>
    <t>003497_20230623_09.29_OI104287SEROV1SPRINTNAV500.bin</t>
  </si>
  <si>
    <t>55;48;39.73967N</t>
  </si>
  <si>
    <t>7;33;56.57856E</t>
  </si>
  <si>
    <t>55;48;39.87308N</t>
  </si>
  <si>
    <t>7;33;55.14376E</t>
  </si>
  <si>
    <t>BH_101_P36_INF0001</t>
  </si>
  <si>
    <t>55;48;34.57516N</t>
  </si>
  <si>
    <t>7;33;58.87099E</t>
  </si>
  <si>
    <t>55;48;34.67562N</t>
  </si>
  <si>
    <t>7;33;57.40808E</t>
  </si>
  <si>
    <t>0476_OI104287_SE_BH_101_P36_INF0001_20230623094758 - 0001.db</t>
  </si>
  <si>
    <t>003498_20230623_09.44_OI104287SEROV1SPRINTNAV500.bin</t>
  </si>
  <si>
    <t>55;48;33.14097N</t>
  </si>
  <si>
    <t>7;33;58.91080E</t>
  </si>
  <si>
    <t>55;48;33.16401N</t>
  </si>
  <si>
    <t>7;33;57.46512E</t>
  </si>
  <si>
    <t>55;48;32.68987N</t>
  </si>
  <si>
    <t>7;33;58.89714E</t>
  </si>
  <si>
    <t>55;48;32.59310N</t>
  </si>
  <si>
    <t>7;33;57.49046E</t>
  </si>
  <si>
    <t>55;48;32.62716N</t>
  </si>
  <si>
    <t>7;33;58.90380E</t>
  </si>
  <si>
    <t>55;48;32.77777N</t>
  </si>
  <si>
    <t>7;33;58.28527E</t>
  </si>
  <si>
    <t>BM09</t>
  </si>
  <si>
    <t>55;47;52.76291N</t>
  </si>
  <si>
    <t>7;32;14.52212E</t>
  </si>
  <si>
    <t>55;47;52.86896N</t>
  </si>
  <si>
    <t>7;32;13.91197E</t>
  </si>
  <si>
    <t>55;47;52.76434N</t>
  </si>
  <si>
    <t>7;32;14.52196E</t>
  </si>
  <si>
    <t>55;47;52.86881N</t>
  </si>
  <si>
    <t>7;32;13.91167E</t>
  </si>
  <si>
    <t>55;47;52.76400N</t>
  </si>
  <si>
    <t>7;32;14.52240E</t>
  </si>
  <si>
    <t>55;47;52.86851N</t>
  </si>
  <si>
    <t>Vessel on the move to CPT_207</t>
  </si>
  <si>
    <t>WROV on deck EOD # 015</t>
  </si>
  <si>
    <t>Veesel in location. Fishing gear bouy was observed @408499 mE, 6183950 mN</t>
  </si>
  <si>
    <t>Data is good, ROV proceeds to go on deck</t>
  </si>
  <si>
    <t>55;47;52.77328N</t>
  </si>
  <si>
    <t>7;32;14.52927E</t>
  </si>
  <si>
    <t>55;47;52.85840N</t>
  </si>
  <si>
    <t>7;32;13.90292E</t>
  </si>
  <si>
    <t>ROV weekly maintenance</t>
  </si>
  <si>
    <t>55;47;52.77222N</t>
  </si>
  <si>
    <t>7;32;14.52321E</t>
  </si>
  <si>
    <t>55;47;52.87123N</t>
  </si>
  <si>
    <t>7;32;13.91046E</t>
  </si>
  <si>
    <t>WROV off deck SOD #016</t>
  </si>
  <si>
    <t>OI104287_SE_SVX2_SVP_20230623_1148_554787N_0073224E_043</t>
  </si>
  <si>
    <t>55;47;52.76521N</t>
  </si>
  <si>
    <t>7;32;14.53727E</t>
  </si>
  <si>
    <t>55;47;52.70602N</t>
  </si>
  <si>
    <t>7;32;13.46538E</t>
  </si>
  <si>
    <t>SVP_043</t>
  </si>
  <si>
    <t>Subsea transit to CPT_207</t>
  </si>
  <si>
    <t>55;47;52.75756N</t>
  </si>
  <si>
    <t>7;32;14.49896E</t>
  </si>
  <si>
    <t>55;47;52.72684N</t>
  </si>
  <si>
    <t>7;32;13.43973E</t>
  </si>
  <si>
    <t>55;47;51.04272N</t>
  </si>
  <si>
    <t>7;32;11.31251E</t>
  </si>
  <si>
    <t>55;47;50.99284N</t>
  </si>
  <si>
    <t>7;32;09.80789E</t>
  </si>
  <si>
    <t>0477_OI104287_SE_CPT_207_S50_20230623120204 - 0001.db</t>
  </si>
  <si>
    <t>230623120148.SBD</t>
  </si>
  <si>
    <t>OI104287_SEROV1_ET2200SSS_CPT_207_S50.001.jsf</t>
  </si>
  <si>
    <t>003507_20230623_11.59_OI104287SEROV1SPRINTNAV500.bin</t>
  </si>
  <si>
    <t>55;47;44.77618N</t>
  </si>
  <si>
    <t>7;32;11.49182E</t>
  </si>
  <si>
    <t>55;47;44.82827N</t>
  </si>
  <si>
    <t>7;32;10.03963E</t>
  </si>
  <si>
    <t>55;47;44.43820N</t>
  </si>
  <si>
    <t>7;32;11.00475E</t>
  </si>
  <si>
    <t>55;47;44.57073N</t>
  </si>
  <si>
    <t>7;32;09.51821E</t>
  </si>
  <si>
    <t>0478_OI104287_SE_CPT_207_S41_20230623121211 - 0001.db</t>
  </si>
  <si>
    <t>230623121144.SBD</t>
  </si>
  <si>
    <t>OI104287_SEROV1_ET2200SSS_CPT_207_S41.001.jsf</t>
  </si>
  <si>
    <t>55;47;50.66012N</t>
  </si>
  <si>
    <t>7;32;10.73962E</t>
  </si>
  <si>
    <t>55;47;50.75220N</t>
  </si>
  <si>
    <t>7;32;09.29129E</t>
  </si>
  <si>
    <t>003508_20230623_12.14_OI104287SEROV1SPRINTNAV500.bin</t>
  </si>
  <si>
    <t>55;47;50.86458N</t>
  </si>
  <si>
    <t>7;32;10.24669E</t>
  </si>
  <si>
    <t>55;47;50.90307N</t>
  </si>
  <si>
    <t>7;32;08.77078E</t>
  </si>
  <si>
    <t>0479_OI104287_SE_CPT_207_S32_20230623122138 - 0001.db</t>
  </si>
  <si>
    <t>230623122125.SBD</t>
  </si>
  <si>
    <t>OI104287_SEROV1_ET2200SSS_CPT_207_S32.001.jsf</t>
  </si>
  <si>
    <t>55;47;44.69640N</t>
  </si>
  <si>
    <t>7;32;10.46480E</t>
  </si>
  <si>
    <t>55;47;44.80443N</t>
  </si>
  <si>
    <t>7;32;08.99799E</t>
  </si>
  <si>
    <t>55;47;44.62430N</t>
  </si>
  <si>
    <t>7;32;09.98310E</t>
  </si>
  <si>
    <t>55;47;44.63440N</t>
  </si>
  <si>
    <t>7;32;08.48924E</t>
  </si>
  <si>
    <t>0480_OI104287_SE_CPT_207_S23_20230623123050 - 0001.db</t>
  </si>
  <si>
    <t>230623123046.SBD</t>
  </si>
  <si>
    <t>OI104287_SEROV1_ET2200SSS_CPT_207_S23.001.jsf</t>
  </si>
  <si>
    <t>003509_20230623_12.29_OI104287SEROV1SPRINTNAV500.bin</t>
  </si>
  <si>
    <t>55;47;50.61509N</t>
  </si>
  <si>
    <t>7;32;09.71585E</t>
  </si>
  <si>
    <t>55;47;50.75099N</t>
  </si>
  <si>
    <t>7;32;08.25931E</t>
  </si>
  <si>
    <t>55;47;50.98000N</t>
  </si>
  <si>
    <t>7;32;09.18335E</t>
  </si>
  <si>
    <t>55;47;50.99752N</t>
  </si>
  <si>
    <t>7;32;07.73608E</t>
  </si>
  <si>
    <t>0481_OI104287_SE_CPT_207_S14_20230623123937 - 0001.db</t>
  </si>
  <si>
    <t>230623123924.SBD</t>
  </si>
  <si>
    <t>OI104287_SEROV1_ET2200SSS_CPT_207_S14.001.jsf</t>
  </si>
  <si>
    <t>55;47;44.83483N</t>
  </si>
  <si>
    <t>7;32;09.38479E</t>
  </si>
  <si>
    <t>55;47;44.82661N</t>
  </si>
  <si>
    <t>7;32;07.96450E</t>
  </si>
  <si>
    <t>003510_20230623_12.44_OI104287SEROV1SPRINTNAV500.bin</t>
  </si>
  <si>
    <t>55;47;44.47144N</t>
  </si>
  <si>
    <t>7;32;08.86808E</t>
  </si>
  <si>
    <t>55;47;44.67725N</t>
  </si>
  <si>
    <t>7;32;07.44821E</t>
  </si>
  <si>
    <t>0482_OI104287_SE_CPT_207_S05_20230623124750 - 0001.db</t>
  </si>
  <si>
    <t>230623124743.SBD</t>
  </si>
  <si>
    <t>OI104287_SEROV1_ET2200SSS_CPT_207_S05.001.jsf</t>
  </si>
  <si>
    <t>55;47;50.57548N</t>
  </si>
  <si>
    <t>7;32;08.62201E</t>
  </si>
  <si>
    <t>55;47;50.76970N</t>
  </si>
  <si>
    <t>7;32;07.22341E</t>
  </si>
  <si>
    <t>55;47;51.01445N</t>
  </si>
  <si>
    <t>7;32;08.15416E</t>
  </si>
  <si>
    <t>55;47;51.02694N</t>
  </si>
  <si>
    <t>7;32;06.69324E</t>
  </si>
  <si>
    <t>0483_OI104287_SE_CPT_207_P05_20230623125617 - 0001.db</t>
  </si>
  <si>
    <t>230623125605.SBD</t>
  </si>
  <si>
    <t>OI104287_SEROV1_ET2200SSS_CPT_207_P05.001.jsf</t>
  </si>
  <si>
    <t>55;47;44.84591N</t>
  </si>
  <si>
    <t>7;32;08.35590E</t>
  </si>
  <si>
    <t>55;47;44.83099N</t>
  </si>
  <si>
    <t>7;32;06.92347E</t>
  </si>
  <si>
    <t>003511_20230623_12.59_OI104287SEROV1SPRINTNAV500.bin</t>
  </si>
  <si>
    <t>55;47;44.53384N</t>
  </si>
  <si>
    <t>7;32;07.89106E</t>
  </si>
  <si>
    <t>55;47;44.69671N</t>
  </si>
  <si>
    <t>7;32;06.41895E</t>
  </si>
  <si>
    <t>0484_OI104287_SE_CPT_207_P14_20230623130458 - 0001.db</t>
  </si>
  <si>
    <t>230623130436.SBD</t>
  </si>
  <si>
    <t>OI104287_SEROV1_ET2200SSS_CPT_207_P14.001.jsf</t>
  </si>
  <si>
    <t>55;47;50.69660N</t>
  </si>
  <si>
    <t>7;32;07.67120E</t>
  </si>
  <si>
    <t>55;47;50.82145N</t>
  </si>
  <si>
    <t>7;32;06.18992E</t>
  </si>
  <si>
    <t>55;47;50.98970N</t>
  </si>
  <si>
    <t>7;32;07.16421E</t>
  </si>
  <si>
    <t>55;47;51.03162N</t>
  </si>
  <si>
    <t>7;32;05.65945E</t>
  </si>
  <si>
    <t>0485_OI104287_SE_CPT_207_P23_20230623131405 - 0001.db</t>
  </si>
  <si>
    <t>230623131340.SBD</t>
  </si>
  <si>
    <t>OI104287_SEROV1_ET2200SSS_CPT_207_P23.001.jsf</t>
  </si>
  <si>
    <t>55;47;44.86055N</t>
  </si>
  <si>
    <t>7;32;07.34243E</t>
  </si>
  <si>
    <t>55;47;44.88138N</t>
  </si>
  <si>
    <t>7;32;05.89210E</t>
  </si>
  <si>
    <t>003512_20230623_13.14_OI104287SEROV1SPRINTNAV500.bin</t>
  </si>
  <si>
    <t>55;47;44.53172N</t>
  </si>
  <si>
    <t>7;32;06.88614E</t>
  </si>
  <si>
    <t>55;47;44.67151N</t>
  </si>
  <si>
    <t>7;32;05.38516E</t>
  </si>
  <si>
    <t>0486_OI104287_SE_CPT_207_P32_20230623132232 - 0001.db</t>
  </si>
  <si>
    <t>230623132221.SBD</t>
  </si>
  <si>
    <t>OI104287_SEROV1_ET2200SSS_CPT_207_P32.001.jsf</t>
  </si>
  <si>
    <t>55;47;50.66261N</t>
  </si>
  <si>
    <t>7;32;06.59302E</t>
  </si>
  <si>
    <t>55;47;50.78237N</t>
  </si>
  <si>
    <t>7;32;05.15643E</t>
  </si>
  <si>
    <t>55;47;51.03690N</t>
  </si>
  <si>
    <t>7;32;06.13536E</t>
  </si>
  <si>
    <t>55;47;51.01879N</t>
  </si>
  <si>
    <t>7;32;04.62536E</t>
  </si>
  <si>
    <t>0487_OI104287_SE_CPT_207_P41_20230623133039 - 0001.db</t>
  </si>
  <si>
    <t>230623133034.SBD</t>
  </si>
  <si>
    <t>OI104287_SEROV1_ET2200SSS_CPT_207_P41.001.jsf</t>
  </si>
  <si>
    <t>003513_20230623_13.29_OI104287SEROV1SPRINTNAV500.bin</t>
  </si>
  <si>
    <t>55;47;44.87083N</t>
  </si>
  <si>
    <t>7;32;06.31461E</t>
  </si>
  <si>
    <t>55;47;44.88078N</t>
  </si>
  <si>
    <t>7;32;04.85921E</t>
  </si>
  <si>
    <t>55;47;44.49308N</t>
  </si>
  <si>
    <t>7;32;05.86980E</t>
  </si>
  <si>
    <t>55;47;44.63530N</t>
  </si>
  <si>
    <t>7;32;04.35107E</t>
  </si>
  <si>
    <t>0488_OI104287_SE_CPT_207_P50_20230623133901 - 0001.db</t>
  </si>
  <si>
    <t>230623133842.SBD</t>
  </si>
  <si>
    <t>OI104287_SEROV1_ET2200SSS_CPT_207_P50.001.jsf</t>
  </si>
  <si>
    <t>55;47;50.62788N</t>
  </si>
  <si>
    <t>7;32;05.55111E</t>
  </si>
  <si>
    <t>55;47;50.76035N</t>
  </si>
  <si>
    <t>7;32;04.12144E</t>
  </si>
  <si>
    <t>55;47;52.67040N</t>
  </si>
  <si>
    <t>7;32;06.20523E</t>
  </si>
  <si>
    <t>55;47;52.69199N</t>
  </si>
  <si>
    <t>7;32;04.62566E</t>
  </si>
  <si>
    <t>Data is good, subsea transit  outside of cable excluzion zone</t>
  </si>
  <si>
    <t>Vessel transit to CPT_323, ROV latched</t>
  </si>
  <si>
    <t>55;47;54.48326N</t>
  </si>
  <si>
    <t>7;32;07.45617E</t>
  </si>
  <si>
    <t>55;47;54.57640N</t>
  </si>
  <si>
    <t>7;32;06.81062E</t>
  </si>
  <si>
    <t>55;48;39.49694N</t>
  </si>
  <si>
    <t>7;30;49.11473E</t>
  </si>
  <si>
    <t>55;48;39.55247N</t>
  </si>
  <si>
    <t>7;30;48.48485E</t>
  </si>
  <si>
    <t>55;48;39.49881N</t>
  </si>
  <si>
    <t>7;30;49.09581E</t>
  </si>
  <si>
    <t>55;48;39.59351N</t>
  </si>
  <si>
    <t>7;30;47.80199E</t>
  </si>
  <si>
    <t>0489_OI104287_SE_CPT_323_S50_20230623141605 - 0001.db</t>
  </si>
  <si>
    <t>003516_20230623_14.14_OI104287SEROV1SPRINTNAV500.bin</t>
  </si>
  <si>
    <t>55;48;39.49924N</t>
  </si>
  <si>
    <t>7;30;49.09025E</t>
  </si>
  <si>
    <t>55;48;39.59789N</t>
  </si>
  <si>
    <t>7;30;47.74315E</t>
  </si>
  <si>
    <t>OI104287_SE_SVX2_SVP_20230623_1413_554865N_0073081E_044</t>
  </si>
  <si>
    <t>55;48;39.49172N</t>
  </si>
  <si>
    <t>7;30;48.93895E</t>
  </si>
  <si>
    <t>55;48;39.71648N</t>
  </si>
  <si>
    <t>7;30;47.50145E</t>
  </si>
  <si>
    <t>SVP_044</t>
  </si>
  <si>
    <t>55;48;39.94311N</t>
  </si>
  <si>
    <t>7;30;48.91297E</t>
  </si>
  <si>
    <t>55;48;40.14602N</t>
  </si>
  <si>
    <t>7;30;47.46947E</t>
  </si>
  <si>
    <t>0490_OI104287_SE_CPT_323_S50_20230623141950 - 0001.db</t>
  </si>
  <si>
    <t>230623141944.SBD</t>
  </si>
  <si>
    <t>OI104287_SEROV1_ET2200SSS_CPT_323_S50.001.jsf</t>
  </si>
  <si>
    <t>55;48;46.49361N</t>
  </si>
  <si>
    <t>7;30;48.68456E</t>
  </si>
  <si>
    <t>55;48;46.85373N</t>
  </si>
  <si>
    <t>7;30;47.21298E</t>
  </si>
  <si>
    <t>0491_OI104287_SE_CPT_323_S41_20230623142830 - 0001.db</t>
  </si>
  <si>
    <t>OI104287_SEROV1_ET2200SSS_CPT_323_S41.001.jsf</t>
  </si>
  <si>
    <t>003517_20230623_14.29_OI104287SEROV1SPRINTNAV500.bin</t>
  </si>
  <si>
    <t>55;48;39.40549N</t>
  </si>
  <si>
    <t>7;30;48.30033E</t>
  </si>
  <si>
    <t>55;48;39.49771N</t>
  </si>
  <si>
    <t>7;30;47.04430E</t>
  </si>
  <si>
    <t>55;48;39.38377N</t>
  </si>
  <si>
    <t>7;30;48.27648E</t>
  </si>
  <si>
    <t>55;48;39.49424N</t>
  </si>
  <si>
    <t>7;30;47.04249E</t>
  </si>
  <si>
    <t>55;48;43.15316N</t>
  </si>
  <si>
    <t>7;30;47.72111E</t>
  </si>
  <si>
    <t>55;48;43.38664N</t>
  </si>
  <si>
    <t>7;30;46.31105E</t>
  </si>
  <si>
    <t>0492_OI104287_SE_CPT_323_S32_20230623143714 - 0001.db</t>
  </si>
  <si>
    <t>230623143658.SBD</t>
  </si>
  <si>
    <t>OI104287_SEROV1_ET2200SSS_CPT_323_S32.001.jsf</t>
  </si>
  <si>
    <t>55;48;46.39126N</t>
  </si>
  <si>
    <t>7;30;47.63326E</t>
  </si>
  <si>
    <t>55;48;46.59000N</t>
  </si>
  <si>
    <t>7;30;46.18885E</t>
  </si>
  <si>
    <t>55;48;46.52838N</t>
  </si>
  <si>
    <t>7;30;47.13823E</t>
  </si>
  <si>
    <t>55;48;46.44833N</t>
  </si>
  <si>
    <t>7;30;45.67557E</t>
  </si>
  <si>
    <t>0493_OI104287_SE_CPT_323_S23_20230623144616 - 0001.db</t>
  </si>
  <si>
    <t>230623144601.SBD</t>
  </si>
  <si>
    <t>OI104287_SEROV1_ET2200SSS_CPT_323_S23.001.jsf</t>
  </si>
  <si>
    <t>003518_20230623_14.44_OI104287SEROV1SPRINTNAV500.bin</t>
  </si>
  <si>
    <t>Log on. No MBES data</t>
  </si>
  <si>
    <t>55;48;40.47827N</t>
  </si>
  <si>
    <t>7;30;47.26813E</t>
  </si>
  <si>
    <t>55;48;40.35075N</t>
  </si>
  <si>
    <t>7;30;45.90641E</t>
  </si>
  <si>
    <t>55;48;39.87500N</t>
  </si>
  <si>
    <t>7;30;46.90719E</t>
  </si>
  <si>
    <t>55;48;40.07993N</t>
  </si>
  <si>
    <t>7;30;45.39736E</t>
  </si>
  <si>
    <t>0494_OI104287_SE_CPT_323_S14_20230623145504 - 0001.db</t>
  </si>
  <si>
    <t>230623145455.SBD</t>
  </si>
  <si>
    <t>OI104287_SEROV1_ET2200SSS_CPT_323_S14.001.jsf</t>
  </si>
  <si>
    <t>55;48;45.95918N</t>
  </si>
  <si>
    <t>7;30;46.59214E</t>
  </si>
  <si>
    <t>55;48;46.19999N</t>
  </si>
  <si>
    <t>7;30;45.17044E</t>
  </si>
  <si>
    <t>003519_20230623_14.59_OI104287SEROV1SPRINTNAV500.bin</t>
  </si>
  <si>
    <t>55;48;46.40707N</t>
  </si>
  <si>
    <t>7;30;46.21878E</t>
  </si>
  <si>
    <t>55;48;46.44456N</t>
  </si>
  <si>
    <t>7;30;44.64691E</t>
  </si>
  <si>
    <t>0495_OI104287_SE_CPT_323_S05_20230623150343 - 0001.db</t>
  </si>
  <si>
    <t>230623150330.SBD</t>
  </si>
  <si>
    <t>OI104287_SEROV1_ET2200SSS_CPT_323_S05.001.jsf</t>
  </si>
  <si>
    <t>55;48;40.34124N</t>
  </si>
  <si>
    <t>7;30;46.38469E</t>
  </si>
  <si>
    <t>55;48;40.33491N</t>
  </si>
  <si>
    <t>7;30;44.87714E</t>
  </si>
  <si>
    <t>55;48;39.87469N</t>
  </si>
  <si>
    <t>7;30;45.96697E</t>
  </si>
  <si>
    <t>55;48;40.06831N</t>
  </si>
  <si>
    <t>7;30;44.36749E</t>
  </si>
  <si>
    <t>0496_OI104287_SE_CPT_323_P05_20230623151257 - 0001.db</t>
  </si>
  <si>
    <t>230623151241.SBD</t>
  </si>
  <si>
    <t>OI104287_SEROV1_ET2200SSS_CPT_323_P05.001.jsf</t>
  </si>
  <si>
    <t>55;48;46.00592N</t>
  </si>
  <si>
    <t>7;30;45.62659E</t>
  </si>
  <si>
    <t>55;48;46.20286N</t>
  </si>
  <si>
    <t>7;30;44.13635E</t>
  </si>
  <si>
    <t>003520_20230623_15.14_OI104287SEROV1SPRINTNAV500.bin</t>
  </si>
  <si>
    <t>55;48;46.32811N</t>
  </si>
  <si>
    <t>7;30;45.16820E</t>
  </si>
  <si>
    <t>55;48;46.44004N</t>
  </si>
  <si>
    <t>7;30;43.61222E</t>
  </si>
  <si>
    <t>0497_OI104287_SE_CPT_323_P14_20230623152154 - 0001.db</t>
  </si>
  <si>
    <t>230623152145.SBD</t>
  </si>
  <si>
    <t>OI104287_SEROV1_ET2200SSS_CPT_323_P14.001.jsf</t>
  </si>
  <si>
    <t>55;48;40.12649N</t>
  </si>
  <si>
    <t>7;30;45.26876E</t>
  </si>
  <si>
    <t>55;48;40.18826N</t>
  </si>
  <si>
    <t>7;30;43.84728E</t>
  </si>
  <si>
    <t>55;48;39.97948N</t>
  </si>
  <si>
    <t>7;30;44.90385E</t>
  </si>
  <si>
    <t>55;48;40.14933N</t>
  </si>
  <si>
    <t>7;30;43.33099E</t>
  </si>
  <si>
    <t>0498_OI104287_SE_CPT_323_P23_20230623153109 - 0001.db</t>
  </si>
  <si>
    <t>230623153106.SBD</t>
  </si>
  <si>
    <t>OI104287_SEROV1_ET2200SSS_CPT_323_P23.001.jsf</t>
  </si>
  <si>
    <t>003521_20230623_15.29_OI104287SEROV1SPRINTNAV500.bin</t>
  </si>
  <si>
    <t>55;48;46.02896N</t>
  </si>
  <si>
    <t>7;30;44.59042E</t>
  </si>
  <si>
    <t>55;48;46.17631N</t>
  </si>
  <si>
    <t>7;30;43.10166E</t>
  </si>
  <si>
    <t>55;48;46.35685N</t>
  </si>
  <si>
    <t>7;30;44.11808E</t>
  </si>
  <si>
    <t>55;48;46.44396N</t>
  </si>
  <si>
    <t>7;30;42.57481E</t>
  </si>
  <si>
    <t>0499_OI104287_SE_CPT_323_P32_20230623153932 - 0001.db</t>
  </si>
  <si>
    <t>230623153917.SBD</t>
  </si>
  <si>
    <t>OI104287_SEROV1_ET2200SSS_CPT_323_P32.001.jsf</t>
  </si>
  <si>
    <t>55;48;40.29206N</t>
  </si>
  <si>
    <t>7;30;44.27073E</t>
  </si>
  <si>
    <t>55;48;40.29719N</t>
  </si>
  <si>
    <t>7;30;42.80594E</t>
  </si>
  <si>
    <t>003522_20230623_15.44_OI104287SEROV1SPRINTNAV500.bin</t>
  </si>
  <si>
    <t>55;48;39.93692N</t>
  </si>
  <si>
    <t>7;30;43.81437E</t>
  </si>
  <si>
    <t>55;48;40.05157N</t>
  </si>
  <si>
    <t>7;30;42.30112E</t>
  </si>
  <si>
    <t>0500_OI104287_SE_CPT_323_P41_20230623155022 - 0001.db</t>
  </si>
  <si>
    <t>230623155013.SBD</t>
  </si>
  <si>
    <t>OI104287_SEROV1_ET2200SSS_CPT_323_P41.001.jsf</t>
  </si>
  <si>
    <t>55;48;46.10013N</t>
  </si>
  <si>
    <t>7;30;43.56902E</t>
  </si>
  <si>
    <t>55;48;46.20648N</t>
  </si>
  <si>
    <t>7;30;42.06515E</t>
  </si>
  <si>
    <t>55;48;46.41416N</t>
  </si>
  <si>
    <t>7;30;43.04787E</t>
  </si>
  <si>
    <t>55;48;46.40533N</t>
  </si>
  <si>
    <t>7;30;41.54976E</t>
  </si>
  <si>
    <t>0501_OI104287_SE_CPT_323_P50_20230623160105 - 0001.db</t>
  </si>
  <si>
    <t>230623160048.SBD</t>
  </si>
  <si>
    <t>OI104287_SEROV1_ET2200SSS_CPT_323_P50.001.jsf</t>
  </si>
  <si>
    <t>003523_20230623_15.59_OI104287SEROV1SPRINTNAV500.bin</t>
  </si>
  <si>
    <t>55;48;40.18532N</t>
  </si>
  <si>
    <t>7;30;43.16830E</t>
  </si>
  <si>
    <t>55;48;40.22598N</t>
  </si>
  <si>
    <t>7;30;41.77698E</t>
  </si>
  <si>
    <t>55;48;40.00520N</t>
  </si>
  <si>
    <t>7;30;48.40692E</t>
  </si>
  <si>
    <t>55;48;40.11222N</t>
  </si>
  <si>
    <t>7;30;46.94835E</t>
  </si>
  <si>
    <t>0502_OI104287_SE_CPT_323_S41_20230623162350 - 0001.db</t>
  </si>
  <si>
    <t>230623162340.SBD</t>
  </si>
  <si>
    <t>003524_20230623_16.14_OI104287SEROV1SPRINTNAV500.bin</t>
  </si>
  <si>
    <t>55;48;46.26153N</t>
  </si>
  <si>
    <t>7;30;48.16628E</t>
  </si>
  <si>
    <t>55;48;46.33593N</t>
  </si>
  <si>
    <t>7;30;46.71359E</t>
  </si>
  <si>
    <t>003525_20230623_16.29_OI104287SEROV1SPRINTNAV500.bin</t>
  </si>
  <si>
    <t>55;50;14.34270N</t>
  </si>
  <si>
    <t>7;30;56.62400E</t>
  </si>
  <si>
    <t>55;50;14.54819N</t>
  </si>
  <si>
    <t>7;30;56.02675E</t>
  </si>
  <si>
    <t>Vessel transit to BH_048, ROV latched</t>
  </si>
  <si>
    <t xml:space="preserve">Swapping the order of CPT038 and BH048 due to simops with franklin. </t>
  </si>
  <si>
    <t>OI104287_SE_SVX2_SVP_20230623_1701_555027N_0073095E_045</t>
  </si>
  <si>
    <t>55;50;16.61430N</t>
  </si>
  <si>
    <t>7;30;57.52563E</t>
  </si>
  <si>
    <t>55;50;16.71610N</t>
  </si>
  <si>
    <t>7;30;56.22259E</t>
  </si>
  <si>
    <t>SVP_045</t>
  </si>
  <si>
    <t>55;50;17.78539N</t>
  </si>
  <si>
    <t>7;30;57.45837E</t>
  </si>
  <si>
    <t>55;50;17.80994N</t>
  </si>
  <si>
    <t>7;30;56.13900E</t>
  </si>
  <si>
    <t>0503_OI104287_SE_BH_048_P72_20230623170905 - 0001.db</t>
  </si>
  <si>
    <t>230623170854.SBD</t>
  </si>
  <si>
    <t>OI104287_SEROV1_ET2200SSS_BH_048_P72.001.jsf</t>
  </si>
  <si>
    <t>003527_20230623_16.59_OI104287SEROV1SPRINTNAV500.bin</t>
  </si>
  <si>
    <t>Log on - SSS data not recorded</t>
  </si>
  <si>
    <t>Log off - SSS data not recorded</t>
  </si>
  <si>
    <t>55;50;25.09210N</t>
  </si>
  <si>
    <t>7;30;57.19389E</t>
  </si>
  <si>
    <t>55;50;25.18135N</t>
  </si>
  <si>
    <t>7;30;55.85928E</t>
  </si>
  <si>
    <t>003528_20230623_17.14_OI104287SEROV1SPRINTNAV500.bin</t>
  </si>
  <si>
    <t>55;50;25.52450N</t>
  </si>
  <si>
    <t>7;30;57.66728E</t>
  </si>
  <si>
    <t>55;50;25.40525N</t>
  </si>
  <si>
    <t>7;30;56.36984E</t>
  </si>
  <si>
    <t>0504_OI104287_SE_BH_048_P63_20230623172207 - 0001.db</t>
  </si>
  <si>
    <t>230623172140.SBD</t>
  </si>
  <si>
    <t>OI104287_SEROV1_ET2200SSS_BH_048_P63.001.jsf</t>
  </si>
  <si>
    <t>55;50;17.99032N</t>
  </si>
  <si>
    <t>7;30;57.81915E</t>
  </si>
  <si>
    <t>55;50;17.96866N</t>
  </si>
  <si>
    <t>7;30;56.65439E</t>
  </si>
  <si>
    <t>003529_20230623_17.29_OI104287SEROV1SPRINTNAV500.bin</t>
  </si>
  <si>
    <t>55;50;16.86575N</t>
  </si>
  <si>
    <t>7;30;58.64877E</t>
  </si>
  <si>
    <t>55;50;17.11471N</t>
  </si>
  <si>
    <t>7;30;57.20417E</t>
  </si>
  <si>
    <t>Restarting naviscan pc</t>
  </si>
  <si>
    <t>55;50;17.68388N</t>
  </si>
  <si>
    <t>7;30;58.60198E</t>
  </si>
  <si>
    <t>55;50;17.77086N</t>
  </si>
  <si>
    <t>7;30;57.17038E</t>
  </si>
  <si>
    <t>0505_OI104287_SE_BH_048_P54_20230623174249 - 0001.db</t>
  </si>
  <si>
    <t>230623174157.SBD</t>
  </si>
  <si>
    <t>OI104287_SEROV1_ET2200SSS_BH_048_P54.001.jsf</t>
  </si>
  <si>
    <t>55;50;25.13440N</t>
  </si>
  <si>
    <t>7;30;58.32950E</t>
  </si>
  <si>
    <t>55;50;25.20745N</t>
  </si>
  <si>
    <t>7;30;56.89217E</t>
  </si>
  <si>
    <t>003530_20230623_17.44_OI104287SEROV1SPRINTNAV500.bin</t>
  </si>
  <si>
    <t>55;50;25.26986N</t>
  </si>
  <si>
    <t>7;30;58.91661E</t>
  </si>
  <si>
    <t>55;50;25.41475N</t>
  </si>
  <si>
    <t>7;30;57.40182E</t>
  </si>
  <si>
    <t>0506_OI104287_SE_BH_048_P45_20230623175437 - 0001.db</t>
  </si>
  <si>
    <t>230623175413.SBD</t>
  </si>
  <si>
    <t>OI104287_SEROV1_ET2200SSS_BH_048_P45.001.jsf</t>
  </si>
  <si>
    <t>55;50;17.84134N</t>
  </si>
  <si>
    <t>7;30;59.06791E</t>
  </si>
  <si>
    <t>55;50;17.93984N</t>
  </si>
  <si>
    <t>7;30;57.68848E</t>
  </si>
  <si>
    <t>003531_20230623_17.59_OI104287SEROV1SPRINTNAV500.bin</t>
  </si>
  <si>
    <t>55;50;17.77137N</t>
  </si>
  <si>
    <t>7;30;59.46736E</t>
  </si>
  <si>
    <t>55;50;17.74521N</t>
  </si>
  <si>
    <t>7;30;58.21352E</t>
  </si>
  <si>
    <t>0507_OI104287_SE_BH_048_P36_20230623180613 - 0001.db</t>
  </si>
  <si>
    <t>230623180547.SBD</t>
  </si>
  <si>
    <t>OI104287_SEROV1_ET2200SSS_BH_048_P36.001.jsf</t>
  </si>
  <si>
    <t>55;50;25.16453N</t>
  </si>
  <si>
    <t>7;30;59.29703E</t>
  </si>
  <si>
    <t>55;50;25.19931N</t>
  </si>
  <si>
    <t>7;30;57.92656E</t>
  </si>
  <si>
    <t>55;50;25.34299N</t>
  </si>
  <si>
    <t>7;30;59.68758E</t>
  </si>
  <si>
    <t>55;50;25.40555N</t>
  </si>
  <si>
    <t>7;30;58.43621E</t>
  </si>
  <si>
    <t>0508_OI104287_SE_BH_048_P27_20230623181700 - 0001.db</t>
  </si>
  <si>
    <t>230623181638.SBD</t>
  </si>
  <si>
    <t>OI104287_SEROV1_ET2200SSS_BH_048_P27.001.jsf</t>
  </si>
  <si>
    <t>003532_20230623_18.14_OI104287SEROV1SPRINTNAV500.bin</t>
  </si>
  <si>
    <t>55;50;17.83840N</t>
  </si>
  <si>
    <t>7;30;59.84898E</t>
  </si>
  <si>
    <t>55;50;17.93909N</t>
  </si>
  <si>
    <t>7;30;58.72016E</t>
  </si>
  <si>
    <t>55;50;17.69031N</t>
  </si>
  <si>
    <t>7;31;00.39528E</t>
  </si>
  <si>
    <t>55;50;17.78338N</t>
  </si>
  <si>
    <t>7;30;59.24279E</t>
  </si>
  <si>
    <t>0509_OI104287_SE_BH_048_P18_20230623182810 - 0001.db</t>
  </si>
  <si>
    <t>230623182803.SBD</t>
  </si>
  <si>
    <t>OI104287_SEROV1_ET2200SSS_BH_048_P18.001.jsf</t>
  </si>
  <si>
    <t>55;50;25.19115N</t>
  </si>
  <si>
    <t>7;31;00.22373E</t>
  </si>
  <si>
    <t>55;50;25.20278N</t>
  </si>
  <si>
    <t>7;30;58.95945E</t>
  </si>
  <si>
    <t>003533_20230623_18.29_OI104287SEROV1SPRINTNAV500.bin</t>
  </si>
  <si>
    <t>55;50;25.37629N</t>
  </si>
  <si>
    <t>7;31;00.62804E</t>
  </si>
  <si>
    <t>55;50;25.27520N</t>
  </si>
  <si>
    <t>7;30;59.47936E</t>
  </si>
  <si>
    <t>0510_OI104287_SE_BH_048_P09_20230623183923 - 0001.db</t>
  </si>
  <si>
    <t>230623183915.SBD</t>
  </si>
  <si>
    <t>OI104287_SEROV1_ET2200SSS_BH_048_P09.001.jsf</t>
  </si>
  <si>
    <t>55;50;17.91342N</t>
  </si>
  <si>
    <t>7;31;00.83540E</t>
  </si>
  <si>
    <t>55;50;17.97786N</t>
  </si>
  <si>
    <t>7;30;59.75697E</t>
  </si>
  <si>
    <t>003534_20230623_18.44_OI104287SEROV1SPRINTNAV500.bin</t>
  </si>
  <si>
    <t>55;50;17.57298N</t>
  </si>
  <si>
    <t>7;31;01.40854E</t>
  </si>
  <si>
    <t>55;50;17.76468N</t>
  </si>
  <si>
    <t>7;31;00.28201E</t>
  </si>
  <si>
    <t>0511_OI104287_SE_BH_048_C00_20230623185050 - 0001.db</t>
  </si>
  <si>
    <t>230623185036.SBD</t>
  </si>
  <si>
    <t>OI104287_SEROV1_ET2200SSS_BH_048_CO0.001.jsf</t>
  </si>
  <si>
    <t>55;50;25.08033N</t>
  </si>
  <si>
    <t>7;31;01.23921E</t>
  </si>
  <si>
    <t>55;50;25.22797N</t>
  </si>
  <si>
    <t>7;30;59.99535E</t>
  </si>
  <si>
    <t>55;50;25.14698N</t>
  </si>
  <si>
    <t>7;31;01.73065E</t>
  </si>
  <si>
    <t>55;50;25.43271N</t>
  </si>
  <si>
    <t>7;31;00.51556E</t>
  </si>
  <si>
    <t>0512_OI104287_SE_BH_048_S09_20230623190211 - 0001.db</t>
  </si>
  <si>
    <t>230623190142.SBD</t>
  </si>
  <si>
    <t>OI104287_SEROV1_ET2200SSS_BH_048_S09.001.jsf</t>
  </si>
  <si>
    <t>003535_20230623_18.59_OI104287SEROV1SPRINTNAV500.bin</t>
  </si>
  <si>
    <t>55;50;17.63795N</t>
  </si>
  <si>
    <t>7;31;01.90653E</t>
  </si>
  <si>
    <t>55;50;17.97273N</t>
  </si>
  <si>
    <t>7;31;00.79860E</t>
  </si>
  <si>
    <t>55;50;17.64814N</t>
  </si>
  <si>
    <t>7;31;02.65620E</t>
  </si>
  <si>
    <t>55;50;17.75442N</t>
  </si>
  <si>
    <t>7;31;01.31309E</t>
  </si>
  <si>
    <t>0513_OI104287_SE_BH_048_S18_20230623191400 - 0001.db</t>
  </si>
  <si>
    <t>230623191333.SBD</t>
  </si>
  <si>
    <t>OI104287_SEROV1_ET2200SSS_BH_048_S18.001.jsf</t>
  </si>
  <si>
    <t>55;50;25.08708N</t>
  </si>
  <si>
    <t>7;31;02.47140E</t>
  </si>
  <si>
    <t>55;50;25.21047N</t>
  </si>
  <si>
    <t>7;31;01.03970E</t>
  </si>
  <si>
    <t>003536_20230623_19.14_OI104287SEROV1SPRINTNAV500.bin</t>
  </si>
  <si>
    <t>55;50;25.32353N</t>
  </si>
  <si>
    <t>7;31;02.95829E</t>
  </si>
  <si>
    <t>55;50;25.41008N</t>
  </si>
  <si>
    <t>7;31;01.55177E</t>
  </si>
  <si>
    <t>0514_OI104287_SE_BH_048_S27_20230623192441 - 0001.db</t>
  </si>
  <si>
    <t>230623192418.SBD</t>
  </si>
  <si>
    <t>OI104287_SEROV1_ET2200SSS_BH_048_S27.001.jsf</t>
  </si>
  <si>
    <t>55;50;17.83821N</t>
  </si>
  <si>
    <t>7;31;03.11143E</t>
  </si>
  <si>
    <t>55;50;17.95568N</t>
  </si>
  <si>
    <t>7;31;01.82757E</t>
  </si>
  <si>
    <t>003537_20230623_19.29_OI104287SEROV1SPRINTNAV500.bin</t>
  </si>
  <si>
    <t>55;50;17.69515N</t>
  </si>
  <si>
    <t>7;31;03.76449E</t>
  </si>
  <si>
    <t>7;31;02.34446E</t>
  </si>
  <si>
    <t>0515_OI104287_SE_BH_048_S36_20230623193610 - 0001.db</t>
  </si>
  <si>
    <t>230623193540.SBD</t>
  </si>
  <si>
    <t>OI104287_SEROV1_ET2200SSS_BH_048_S36.001.jsf</t>
  </si>
  <si>
    <t>55;50;25.14742N</t>
  </si>
  <si>
    <t>7;31;03.52827E</t>
  </si>
  <si>
    <t>55;50;25.19523N</t>
  </si>
  <si>
    <t>7;31;02.06715E</t>
  </si>
  <si>
    <t>55;50;25.17125N</t>
  </si>
  <si>
    <t>7;31;03.97800E</t>
  </si>
  <si>
    <t>55;50;25.24910N</t>
  </si>
  <si>
    <t>7;31;02.58164E</t>
  </si>
  <si>
    <t>0516_OI104287_SE_BH_048_S45_20230623194746 - 0001.db</t>
  </si>
  <si>
    <t>230623194741.SBD</t>
  </si>
  <si>
    <t>OI104287_SEROV1_ET2200SSS_BH_048_S45.001.jsf</t>
  </si>
  <si>
    <t>003538_20230623_19.44_OI104287SEROV1SPRINTNAV500.bin</t>
  </si>
  <si>
    <t>55;50;17.90848N</t>
  </si>
  <si>
    <t>7;31;04.13449E</t>
  </si>
  <si>
    <t>55;50;18.01814N</t>
  </si>
  <si>
    <t>7;31;02.85321E</t>
  </si>
  <si>
    <t>55;50;17.55075N</t>
  </si>
  <si>
    <t>7;31;04.78861E</t>
  </si>
  <si>
    <t>55;50;17.79666N</t>
  </si>
  <si>
    <t>7;31;03.38549E</t>
  </si>
  <si>
    <t>0517_OI104287_SE_BH_048_S54_20230623195848 - 0001.db</t>
  </si>
  <si>
    <t>230623195820.SBD</t>
  </si>
  <si>
    <t>OI104287_SEROV1_ET2200SSS_BH_048_S54.001.jsf</t>
  </si>
  <si>
    <t>55;50;25.13174N</t>
  </si>
  <si>
    <t>7;31;04.57106E</t>
  </si>
  <si>
    <t>55;50;25.24276N</t>
  </si>
  <si>
    <t>7;31;03.10698E</t>
  </si>
  <si>
    <t>003539_20230623_19.59_OI104287SEROV1SPRINTNAV500.bin</t>
  </si>
  <si>
    <t>55;50;25.46237N</t>
  </si>
  <si>
    <t>7;31;05.11521E</t>
  </si>
  <si>
    <t>55;50;25.44946N</t>
  </si>
  <si>
    <t>7;31;03.60728E</t>
  </si>
  <si>
    <t>0518_OI104287_SE_BH_048_S63_20230623201105 - 0001.db</t>
  </si>
  <si>
    <t>230623201051.SBD</t>
  </si>
  <si>
    <t>OI104287_SEROV1_ET2200SSS_BH_048_S63.001.jsf</t>
  </si>
  <si>
    <t>55;50;18.03495N</t>
  </si>
  <si>
    <t>7;31;05.22554E</t>
  </si>
  <si>
    <t>55;50;17.98887N</t>
  </si>
  <si>
    <t>7;31;03.89304E</t>
  </si>
  <si>
    <t>003540_20230623_20.14_OI104287SEROV1SPRINTNAV500.bin</t>
  </si>
  <si>
    <t>55;50;17.47112N</t>
  </si>
  <si>
    <t>7;31;05.68829E</t>
  </si>
  <si>
    <t>55;50;17.79440N</t>
  </si>
  <si>
    <t>7;31;04.41687E</t>
  </si>
  <si>
    <t>0519_OI104287_SE_BH_048_S72_20230623202151 - 0001.db</t>
  </si>
  <si>
    <t>230623202141.SBD</t>
  </si>
  <si>
    <t>OI104287_SEROV1_ET2200SSS_BH_048_S72.001.jsf</t>
  </si>
  <si>
    <t>55;50;25.02531N</t>
  </si>
  <si>
    <t>7;31;05.50741E</t>
  </si>
  <si>
    <t>55;50;25.24804N</t>
  </si>
  <si>
    <t>7;31;04.14288E</t>
  </si>
  <si>
    <t>003541_20230623_20.29_OI104287SEROV1SPRINTNAV500.bin</t>
  </si>
  <si>
    <t>BH_048_C00_INF0001</t>
  </si>
  <si>
    <t>55;50;25.32556N</t>
  </si>
  <si>
    <t>7;31;01.24583E</t>
  </si>
  <si>
    <t>55;50;25.43920N</t>
  </si>
  <si>
    <t>7;30;59.99233E</t>
  </si>
  <si>
    <t>0520_OI104287_SE_BH_048_C00_INF0001_20230623204600 - 0001.db</t>
  </si>
  <si>
    <t>003542_20230623_20.44_OI104287SEROV1SPRINTNAV500.bin</t>
  </si>
  <si>
    <t>55;50;17.76896N</t>
  </si>
  <si>
    <t>7;31;01.40708E</t>
  </si>
  <si>
    <t>55;50;17.84781N</t>
  </si>
  <si>
    <t>7;31;00.27718E</t>
  </si>
  <si>
    <t>BH_048_P45_INF0001</t>
  </si>
  <si>
    <t>55;50;17.61575N</t>
  </si>
  <si>
    <t>7;30;58.84831E</t>
  </si>
  <si>
    <t>55;50;17.73963N</t>
  </si>
  <si>
    <t>7;30;57.69090E</t>
  </si>
  <si>
    <t>0521_OI104287_SE_BH_048_P45_INF0001_20230623210112 - 0001.db</t>
  </si>
  <si>
    <t>003543_20230623_20.59_OI104287SEROV1SPRINTNAV500.bin</t>
  </si>
  <si>
    <t>55;50;25.10201N</t>
  </si>
  <si>
    <t>7;30;58.57907E</t>
  </si>
  <si>
    <t>55;50;25.22450N</t>
  </si>
  <si>
    <t>7;30;57.41631E</t>
  </si>
  <si>
    <t>BH_048_P63_INF0001</t>
  </si>
  <si>
    <t>55;50;25.47995N</t>
  </si>
  <si>
    <t>7;30;57.59143E</t>
  </si>
  <si>
    <t>55;50;25.46002N</t>
  </si>
  <si>
    <t>7;30;56.36411E</t>
  </si>
  <si>
    <t>0522_OI104287_SE_BH_048_P63_INF0001_20230623211404 - 0001.db</t>
  </si>
  <si>
    <t>55;50;17.95457N</t>
  </si>
  <si>
    <t>7;30;57.79102E</t>
  </si>
  <si>
    <t>55;50;17.91917N</t>
  </si>
  <si>
    <t>7;30;56.64956E</t>
  </si>
  <si>
    <t>003544_20230623_21.14_OI104287SEROV1SPRINTNAV500.bin</t>
  </si>
  <si>
    <t>BH_048_P72_INF0001</t>
  </si>
  <si>
    <t>55;50;17.70276N</t>
  </si>
  <si>
    <t>7;30;57.49030E</t>
  </si>
  <si>
    <t>55;50;17.76709N</t>
  </si>
  <si>
    <t>7;30;56.14082E</t>
  </si>
  <si>
    <t>0523_OI104287_SE_BH_048_P72_INF0001_20230623212728 - 0001.db</t>
  </si>
  <si>
    <t>55;50;25.31750N</t>
  </si>
  <si>
    <t>7;30;57.21814E</t>
  </si>
  <si>
    <t>55;50;25.32046N</t>
  </si>
  <si>
    <t>7;30;55.85777E</t>
  </si>
  <si>
    <t>003545_20230623_21.29_OI104287SEROV1SPRINTNAV500.bin</t>
  </si>
  <si>
    <t>55;50;25.74541N</t>
  </si>
  <si>
    <t>7;30;57.67241E</t>
  </si>
  <si>
    <t>55;50;25.93286N</t>
  </si>
  <si>
    <t>7;30;57.15137E</t>
  </si>
  <si>
    <t>Transit to CPT_038, ROV latched</t>
  </si>
  <si>
    <t>OI104287_SE_SVX2_SVP_20230623_2209_554962N_0073281E_046</t>
  </si>
  <si>
    <t>55;49;37.49537N</t>
  </si>
  <si>
    <t>7;32;49.02769E</t>
  </si>
  <si>
    <t>55;49;37.42513N</t>
  </si>
  <si>
    <t>7;32;48.17672E</t>
  </si>
  <si>
    <t>SVP_046</t>
  </si>
  <si>
    <t>55;49;36.47924N</t>
  </si>
  <si>
    <t>7;32;49.07315E</t>
  </si>
  <si>
    <t>55;49;36.45063N</t>
  </si>
  <si>
    <t>7;32;47.87527E</t>
  </si>
  <si>
    <t>0524_OI104287_SE_CPT_038_P50_20230623221735 - 0001.db</t>
  </si>
  <si>
    <t>230623221725.SBD</t>
  </si>
  <si>
    <t>OI104287_SEROV1_ET2200SSS_CPT_038_P50.001.jsf</t>
  </si>
  <si>
    <t>003548_20230623_22.14_OI104287SEROV1SPRINTNAV500.bin</t>
  </si>
  <si>
    <t>55;49;30.49964N</t>
  </si>
  <si>
    <t>7;32;49.32099E</t>
  </si>
  <si>
    <t>55;49;30.59837N</t>
  </si>
  <si>
    <t>7;32;48.09585E</t>
  </si>
  <si>
    <t>55;49;30.28441N</t>
  </si>
  <si>
    <t>7;32;49.84088E</t>
  </si>
  <si>
    <t>55;49;30.40510N</t>
  </si>
  <si>
    <t>7;32;48.61576E</t>
  </si>
  <si>
    <t>0525_OI104287_SE_CPT_038_P41_20230623222715 - 0001.db</t>
  </si>
  <si>
    <t>230623222700.SBD</t>
  </si>
  <si>
    <t>OI104287_SEROV1_ET2200SSS_CPT_038_P41.001.jsf</t>
  </si>
  <si>
    <t>55;49;36.21709N</t>
  </si>
  <si>
    <t>7;32;49.60525E</t>
  </si>
  <si>
    <t>55;49;36.34155N</t>
  </si>
  <si>
    <t>7;32;48.39700E</t>
  </si>
  <si>
    <t>003549_20230623_22.29_OI104287SEROV1SPRINTNAV500.bin</t>
  </si>
  <si>
    <t>55;49;36.58453N</t>
  </si>
  <si>
    <t>7;32;50.13582E</t>
  </si>
  <si>
    <t>55;49;36.56831N</t>
  </si>
  <si>
    <t>7;32;48.90091E</t>
  </si>
  <si>
    <t>0526_OI104287_SE_CPT_038_P32_20230623223732 - 0001.db</t>
  </si>
  <si>
    <t>230623223706.SBD</t>
  </si>
  <si>
    <t>OI104287_SEROV1_ET2200SSS_CPT_038_P32.001.jsf</t>
  </si>
  <si>
    <t>55;49;30.58654N</t>
  </si>
  <si>
    <t>7;32;50.34163E</t>
  </si>
  <si>
    <t>55;49;30.62658N</t>
  </si>
  <si>
    <t>7;32;49.12873E</t>
  </si>
  <si>
    <t>55;49;30.36074N</t>
  </si>
  <si>
    <t>7;32;50.87824E</t>
  </si>
  <si>
    <t>55;49;30.43180N</t>
  </si>
  <si>
    <t>7;32;49.64593E</t>
  </si>
  <si>
    <t>0527_OI104287_SE_CPT_038_P23_20230623224716 - 0001.db</t>
  </si>
  <si>
    <t>230623224701.SBD</t>
  </si>
  <si>
    <t>OI104287_SEROV1_ET2200SSS_CPT_038_P23.001.jsf</t>
  </si>
  <si>
    <t>003550_20230623_22.44_OI104287SEROV1SPRINTNAV500.bin</t>
  </si>
  <si>
    <t>55;49;35.23338N</t>
  </si>
  <si>
    <t>7;32;50.65953E</t>
  </si>
  <si>
    <t>55;49;35.35211N</t>
  </si>
  <si>
    <t>7;32;49.46398E</t>
  </si>
  <si>
    <t>55;49;36.21756N</t>
  </si>
  <si>
    <t>7;32;50.64900E</t>
  </si>
  <si>
    <t>55;49;36.34396N</t>
  </si>
  <si>
    <t>7;32;49.42867E</t>
  </si>
  <si>
    <t>Weather Update: WS 15knots, WG 18knots, WH 1-1.5m</t>
  </si>
  <si>
    <t>55;49;36.47831N</t>
  </si>
  <si>
    <t>7;32;51.35523E</t>
  </si>
  <si>
    <t>55;49;36.55322N</t>
  </si>
  <si>
    <t>7;32;49.93983E</t>
  </si>
  <si>
    <t>0528_OI104287_SE_CPT_038_P14_20230623225844 - 0001.db</t>
  </si>
  <si>
    <t>230623225817.SBD</t>
  </si>
  <si>
    <t>OI104287_SEROV1_ET2200SSS_CPT_038_P14.001.jsf</t>
  </si>
  <si>
    <t>55;49;30.69104N</t>
  </si>
  <si>
    <t>7;32;51.50286E</t>
  </si>
  <si>
    <t>55;49;30.65555N</t>
  </si>
  <si>
    <t>7;32;50.16796E</t>
  </si>
  <si>
    <t>003551_20230623_22.59_OI104287SEROV1SPRINTNAV500.bin</t>
  </si>
  <si>
    <t>55;49;30.31280N</t>
  </si>
  <si>
    <t>7;32;52.11341E</t>
  </si>
  <si>
    <t>55;49;30.51493N</t>
  </si>
  <si>
    <t>7;32;50.65528E</t>
  </si>
  <si>
    <t>0529_OI104287_SE_CPT_038_P05_20230623230954 - 0001.db</t>
  </si>
  <si>
    <t>230623230927.SBD</t>
  </si>
  <si>
    <t>OI104287_SEROV1_ET2200SSS_CPT_038_P05.001.jsf</t>
  </si>
  <si>
    <t>55;49;31.04341N</t>
  </si>
  <si>
    <t>7;32;52.07076E</t>
  </si>
  <si>
    <t>55;49;31.04495N</t>
  </si>
  <si>
    <t>7;32;50.69783E</t>
  </si>
  <si>
    <t>55;49;31.25742N</t>
  </si>
  <si>
    <t>7;32;52.05383E</t>
  </si>
  <si>
    <t>55;49;30.92607N</t>
  </si>
  <si>
    <t>7;32;50.82335E</t>
  </si>
  <si>
    <t>Motion and low altitude on WROV beginning of line, re-start line</t>
  </si>
  <si>
    <t>55;49;30.40823N</t>
  </si>
  <si>
    <t>7;32;52.09973E</t>
  </si>
  <si>
    <t>55;49;30.44100N</t>
  </si>
  <si>
    <t>7;32;50.66916E</t>
  </si>
  <si>
    <t>0530_OI104287_SE_CPT_038_P05_20230623231658 - 0001.db</t>
  </si>
  <si>
    <t>230623231649.SBD</t>
  </si>
  <si>
    <t>OI104287_SEROV1_ET2200SSS_CPT_038_P05.002.jsf</t>
  </si>
  <si>
    <t>003552_20230623_23.14_OI104287SEROV1SPRINTNAV500.bin</t>
  </si>
  <si>
    <t>55;49;36.42423N</t>
  </si>
  <si>
    <t>7;32;51.89370E</t>
  </si>
  <si>
    <t>55;49;36.33898N</t>
  </si>
  <si>
    <t>7;32;50.46095E</t>
  </si>
  <si>
    <t>55;49;36.63329N</t>
  </si>
  <si>
    <t>7;32;52.43412E</t>
  </si>
  <si>
    <t>55;49;36.55745N</t>
  </si>
  <si>
    <t>7;32;50.97302E</t>
  </si>
  <si>
    <t>0531_OI104287_SE_CPT_038_S05_20230623232707 - 0001.db</t>
  </si>
  <si>
    <t>230623232701.SBD</t>
  </si>
  <si>
    <t>OI104287_SEROV1_ET2200SSS_CPT_038_S05.001.jsf</t>
  </si>
  <si>
    <t>55;49;30.71399N</t>
  </si>
  <si>
    <t>7;32;52.62792E</t>
  </si>
  <si>
    <t>55;49;30.66068N</t>
  </si>
  <si>
    <t>7;32;51.19994E</t>
  </si>
  <si>
    <t>003553_20230623_23.29_OI104287SEROV1SPRINTNAV500.bin</t>
  </si>
  <si>
    <t>55;49;30.33910N</t>
  </si>
  <si>
    <t>7;32;53.16644E</t>
  </si>
  <si>
    <t>55;49;30.47027N</t>
  </si>
  <si>
    <t>7;32;51.71170E</t>
  </si>
  <si>
    <t>0532_OI104287_SE_CPT_038_S14_20230623233707 - 0001.db</t>
  </si>
  <si>
    <t>230623233658.SBD</t>
  </si>
  <si>
    <t>OI104287_SEROV1_ET2200SSS_CPT_038_S14.001.jsf</t>
  </si>
  <si>
    <t>55;49;36.26828N</t>
  </si>
  <si>
    <t>7;32;52.93130E</t>
  </si>
  <si>
    <t>55;49;36.32148N</t>
  </si>
  <si>
    <t>7;32;51.50048E</t>
  </si>
  <si>
    <t>55;49;36.61901N</t>
  </si>
  <si>
    <t>7;32;53.47788E</t>
  </si>
  <si>
    <t>55;49;36.53014N</t>
  </si>
  <si>
    <t>7;32;52.01345E</t>
  </si>
  <si>
    <t>0533_OI104287_SE_CPT_038_S23_20230623234649 - 0001.db</t>
  </si>
  <si>
    <t>230623234641.SBD</t>
  </si>
  <si>
    <t>OI104287_SEROV1_ET2200SSS_CPT_038_S23.001.jsf</t>
  </si>
  <si>
    <t>003554_20230623_23.44_OI104287SEROV1SPRINTNAV500.bin</t>
  </si>
  <si>
    <t>55;49;30.77704N</t>
  </si>
  <si>
    <t>7;32;53.63291E</t>
  </si>
  <si>
    <t>55;49;30.67109N</t>
  </si>
  <si>
    <t>7;32;52.23161E</t>
  </si>
  <si>
    <t>55;49;30.82214N</t>
  </si>
  <si>
    <t>7;32;54.17599E</t>
  </si>
  <si>
    <t>55;49;30.47088N</t>
  </si>
  <si>
    <t>7;32;52.75787E</t>
  </si>
  <si>
    <t>0534_OI104287_SE_CPT_038_S32_20230623235705 - 0001.db</t>
  </si>
  <si>
    <t>230623235656.SBD</t>
  </si>
  <si>
    <t>OI104287_SEROV1_ET2200SSS_CPT_038_S32.001.jsf</t>
  </si>
  <si>
    <t>55;49;33.74377N</t>
  </si>
  <si>
    <t>7;32;54.06957E</t>
  </si>
  <si>
    <t>55;49;33.83205N</t>
  </si>
  <si>
    <t>7;32;52.62660E</t>
  </si>
  <si>
    <t>55;49;36.19973N</t>
  </si>
  <si>
    <t>7;32;54.02328E</t>
  </si>
  <si>
    <t>55;49;36.34637N</t>
  </si>
  <si>
    <t>7;32;52.53638E</t>
  </si>
  <si>
    <t>003555_20230623_23.59_OI104287SEROV1SPRINTNAV500.bin</t>
  </si>
  <si>
    <t>55;49;35.97625N</t>
  </si>
  <si>
    <t>7;32;54.58507E</t>
  </si>
  <si>
    <t>55;49;36.42091N</t>
  </si>
  <si>
    <t>7;32;53.01284E</t>
  </si>
  <si>
    <t>0535_OI104287_SE_CPT_038_S41_20230624000706 - 0001.db</t>
  </si>
  <si>
    <t>230624000703.SBD</t>
  </si>
  <si>
    <t>OI104287_SEROV1_ET2200SSS_CPT_038_S41.001.jsf</t>
  </si>
  <si>
    <t>55;49;30.94842N</t>
  </si>
  <si>
    <t>7;32;54.72212E</t>
  </si>
  <si>
    <t>55;49;30.68331N</t>
  </si>
  <si>
    <t>7;32;53.27627E</t>
  </si>
  <si>
    <t>55;49;30.44681N</t>
  </si>
  <si>
    <t>7;32;55.23500E</t>
  </si>
  <si>
    <t>55;49;30.45337N</t>
  </si>
  <si>
    <t>7;32;53.79045E</t>
  </si>
  <si>
    <t>0536_OI104287_SE_CPT_038_S50_20230624001550 - 0001.db</t>
  </si>
  <si>
    <t>230624001537.SBD</t>
  </si>
  <si>
    <t>OI104287_SEROV1_ET2200SSS_CPT_038_S50.001.jsf</t>
  </si>
  <si>
    <t>003556_20230624_00.14_OI104287SEROV1SPRINTNAV500.bin</t>
  </si>
  <si>
    <t>55;49;36.41266N</t>
  </si>
  <si>
    <t>7;32;55.04229E</t>
  </si>
  <si>
    <t>55;49;36.32676N</t>
  </si>
  <si>
    <t>7;32;53.56987E</t>
  </si>
  <si>
    <t>55;49;36.62915N</t>
  </si>
  <si>
    <t>7;32;55.04159E</t>
  </si>
  <si>
    <t>55;49;36.51897N</t>
  </si>
  <si>
    <t>7;32;53.56444E</t>
  </si>
  <si>
    <t>55;49;37.09410N</t>
  </si>
  <si>
    <t>7;32;55.04803E</t>
  </si>
  <si>
    <t>55;49;37.02018N</t>
  </si>
  <si>
    <t>7;32;54.03064E</t>
  </si>
  <si>
    <t>Recover WROV to deck</t>
  </si>
  <si>
    <t>Reduced quality of of grad data due to motion cause by the current weather conditions.</t>
  </si>
  <si>
    <t>55;49;37.09873N</t>
  </si>
  <si>
    <t>7;32;55.02431E</t>
  </si>
  <si>
    <t>55;49;37.06982N</t>
  </si>
  <si>
    <t>7;32;54.40541E</t>
  </si>
  <si>
    <t>Weather Update: WS 14knots, WG knots, WH  1.5-2m</t>
  </si>
  <si>
    <t>55;49;37.11013N</t>
  </si>
  <si>
    <t>7;32;54.99454E</t>
  </si>
  <si>
    <t>55;49;37.10889N</t>
  </si>
  <si>
    <t>7;32;54.36890E</t>
  </si>
  <si>
    <t>WROV on deck EOD #016</t>
  </si>
  <si>
    <t>55;49;37.22846N</t>
  </si>
  <si>
    <t>7;32;55.15255E</t>
  </si>
  <si>
    <t>55;49;37.25826N</t>
  </si>
  <si>
    <t>7;32;54.56926E</t>
  </si>
  <si>
    <t>Deviate from the planned order to go to deeper area to reduce vessel motion impact of grad data, transit to CPT_206 to asess if workable conditions.</t>
  </si>
  <si>
    <t>55;51;34.24457N</t>
  </si>
  <si>
    <t>7;40;01.35033E</t>
  </si>
  <si>
    <t>55;51;34.21538N</t>
  </si>
  <si>
    <t>7;40;02.02922E</t>
  </si>
  <si>
    <t>WROV off deck SOD #017</t>
  </si>
  <si>
    <t>OI104287_SE_SVX2_SVP_20230624_0130_555157N_0074002E_047</t>
  </si>
  <si>
    <t>55;51;34.25919N</t>
  </si>
  <si>
    <t>7;40;01.36713E</t>
  </si>
  <si>
    <t>55;51;33.95738N</t>
  </si>
  <si>
    <t>7;40;02.10255E</t>
  </si>
  <si>
    <t>SVP_047</t>
  </si>
  <si>
    <t>55;51;35.23983N</t>
  </si>
  <si>
    <t>7;40;01.35642E</t>
  </si>
  <si>
    <t>55;51;35.24042N</t>
  </si>
  <si>
    <t>7;40;02.83791E</t>
  </si>
  <si>
    <t>0537_OI104287_SE_CPT_206_P50_20230624013701 - 0001.db</t>
  </si>
  <si>
    <t>230624013629.SBD</t>
  </si>
  <si>
    <t>OI104287_SEROV1_ET2200SSS_CPT_206_P50.001.jsf</t>
  </si>
  <si>
    <t>003561_20230624_01.29_OI104287SEROV1SPRINTNAV500.bin</t>
  </si>
  <si>
    <t>55;51;41.25042N</t>
  </si>
  <si>
    <t>7;40;01.21670E</t>
  </si>
  <si>
    <t>55;51;41.11983N</t>
  </si>
  <si>
    <t>7;40;02.64147E</t>
  </si>
  <si>
    <t>55;51;42.14573N</t>
  </si>
  <si>
    <t>7;40;01.24362E</t>
  </si>
  <si>
    <t>55;51;41.88039N</t>
  </si>
  <si>
    <t>7;40;02.28541E</t>
  </si>
  <si>
    <t>Change heading of vessel 180° due to swell</t>
  </si>
  <si>
    <t>55;51;41.55580N</t>
  </si>
  <si>
    <t>7;40;04.60959E</t>
  </si>
  <si>
    <t>55;51;41.32487N</t>
  </si>
  <si>
    <t>7;40;03.15082E</t>
  </si>
  <si>
    <t>0538_OI104287_SE_CPT_206_P41_20230624015722 - 0001.db</t>
  </si>
  <si>
    <t>230624015542.SBD</t>
  </si>
  <si>
    <t>OI104287_SEROV1_ET2200SSS_CPT_206_P41.001.jsf</t>
  </si>
  <si>
    <t>003562_20230624_01.44_OI104287SEROV1SPRINTNAV500.bin</t>
  </si>
  <si>
    <t>55;51;35.40693N</t>
  </si>
  <si>
    <t>7;40;04.69866E</t>
  </si>
  <si>
    <t>55;51;35.44470N</t>
  </si>
  <si>
    <t>7;40;03.35631E</t>
  </si>
  <si>
    <t>003563_20230624_01.59_OI104287SEROV1SPRINTNAV500.bin</t>
  </si>
  <si>
    <t>55;51;35.18674N</t>
  </si>
  <si>
    <t>7;40;05.30247E</t>
  </si>
  <si>
    <t>55;51;35.23695N</t>
  </si>
  <si>
    <t>7;40;03.87472E</t>
  </si>
  <si>
    <t>0539_OI104287_SE_CPT_206_P32_20230624020949 - 0001.db</t>
  </si>
  <si>
    <t>230624020928.SBD</t>
  </si>
  <si>
    <t>OI104287_SEROV1_ET2200SSS_CPT_206_P32.001.jsf</t>
  </si>
  <si>
    <t>55;51;41.10510N</t>
  </si>
  <si>
    <t>7;40;05.18816E</t>
  </si>
  <si>
    <t>55;51;41.13070N</t>
  </si>
  <si>
    <t>7;40;03.68431E</t>
  </si>
  <si>
    <t>003564_20230624_02.14_OI104287SEROV1SPRINTNAV500.bin</t>
  </si>
  <si>
    <t>55;51;41.35495N</t>
  </si>
  <si>
    <t>7;40;05.76255E</t>
  </si>
  <si>
    <t>55;51;41.32789N</t>
  </si>
  <si>
    <t>7;40;04.17435E</t>
  </si>
  <si>
    <t>0540_OI104287_SE_CPT_206_P23_20230624022111 - 0001.db</t>
  </si>
  <si>
    <t>230624022059.SBD</t>
  </si>
  <si>
    <t>OI104287_SEROV1_ET2200SSS_CPT_206_P23.001.jsf</t>
  </si>
  <si>
    <t>55;51;35.53071N</t>
  </si>
  <si>
    <t>7;40;05.93326E</t>
  </si>
  <si>
    <t>55;51;35.43158N</t>
  </si>
  <si>
    <t>7;40;04.38226E</t>
  </si>
  <si>
    <t>55;51;35.09455N</t>
  </si>
  <si>
    <t>7;40;06.38008E</t>
  </si>
  <si>
    <t>55;51;35.25898N</t>
  </si>
  <si>
    <t>7;40;04.90881E</t>
  </si>
  <si>
    <t>0541_OI104287_SE_CPT_206_P14_20230624023305 - 0001.db</t>
  </si>
  <si>
    <t>230624023300.SBD</t>
  </si>
  <si>
    <t>OI104287_SEROV1_ET2200SSS_CPT_206_P14.001.jsf</t>
  </si>
  <si>
    <t>003565_20230624_02.29_OI104287SEROV1SPRINTNAV500.bin</t>
  </si>
  <si>
    <t>55;51;40.98746N</t>
  </si>
  <si>
    <t>7;40;06.23611E</t>
  </si>
  <si>
    <t>55;51;41.14820N</t>
  </si>
  <si>
    <t>7;40;04.71358E</t>
  </si>
  <si>
    <t>55;51;41.55206N</t>
  </si>
  <si>
    <t>7;40;06.78193E</t>
  </si>
  <si>
    <t>55;51;41.37255N</t>
  </si>
  <si>
    <t>7;40;05.22987E</t>
  </si>
  <si>
    <t>0542_OI104287_SE_CPT_206_P05_20230624024250 - 0001.db</t>
  </si>
  <si>
    <t>230624024238.SBD</t>
  </si>
  <si>
    <t>OI104287_SEROV1_ET2200SSS_CPT_206_P05.001.jsf</t>
  </si>
  <si>
    <t>55;51;35.66121N</t>
  </si>
  <si>
    <t>7;40;06.91793E</t>
  </si>
  <si>
    <t>55;51;35.46190N</t>
  </si>
  <si>
    <t>7;40;05.41907E</t>
  </si>
  <si>
    <t>003566_20230624_02.44_OI104287SEROV1SPRINTNAV500.bin</t>
  </si>
  <si>
    <t>55;51;35.09384N</t>
  </si>
  <si>
    <t>7;40;07.37642E</t>
  </si>
  <si>
    <t>55;51;35.23816N</t>
  </si>
  <si>
    <t>7;40;05.94260E</t>
  </si>
  <si>
    <t>0543_OI104287_SE_CPT_206_S05_20230624025219 - 0001.db</t>
  </si>
  <si>
    <t>230624025158.SBD</t>
  </si>
  <si>
    <t>OI104287_SEROV1_ET2200SSS_CPT_206_S05.001.jsf</t>
  </si>
  <si>
    <t>55;51;41.03251N</t>
  </si>
  <si>
    <t>7;40;07.21622E</t>
  </si>
  <si>
    <t>55;51;41.14534N</t>
  </si>
  <si>
    <t>7;40;05.75069E</t>
  </si>
  <si>
    <t>55;51;41.42112N</t>
  </si>
  <si>
    <t>7;40;07.76470E</t>
  </si>
  <si>
    <t>55;51;41.33740N</t>
  </si>
  <si>
    <t>7;40;06.26185E</t>
  </si>
  <si>
    <t>0544_OI104287_SE_CPT_206_S14_20230624030140 - 0001.db</t>
  </si>
  <si>
    <t>230624030123.SBD</t>
  </si>
  <si>
    <t>OI104287_SEROV1_ET2200SSS_CPT_206_S14.001.jsf</t>
  </si>
  <si>
    <t>003567_20230624_02.59_OI104287SEROV1SPRINTNAV500.bin</t>
  </si>
  <si>
    <t>55;51;35.48253N</t>
  </si>
  <si>
    <t>7;40;07.91783E</t>
  </si>
  <si>
    <t>55;51;35.44772N</t>
  </si>
  <si>
    <t>7;40;06.46402E</t>
  </si>
  <si>
    <t>55;51;35.23952N</t>
  </si>
  <si>
    <t>7;40;08.48756E</t>
  </si>
  <si>
    <t>55;51;35.25158N</t>
  </si>
  <si>
    <t>7;40;06.97699E</t>
  </si>
  <si>
    <t>0545_OI104287_SE_CPT_206_S23_20230624031130 - 0001.db</t>
  </si>
  <si>
    <t>230624031106.SBD</t>
  </si>
  <si>
    <t>OI104287_SEROV1_ET2200SSS_CPT_206_S23.001.jsf</t>
  </si>
  <si>
    <t>55;51;41.07896N</t>
  </si>
  <si>
    <t>7;40;08.31469E</t>
  </si>
  <si>
    <t>55;51;41.14217N</t>
  </si>
  <si>
    <t>7;40;06.78056E</t>
  </si>
  <si>
    <t>003568_20230624_03.14_OI104287SEROV1SPRINTNAV500.bin</t>
  </si>
  <si>
    <t>55;51;41.31459N</t>
  </si>
  <si>
    <t>7;40;08.86761E</t>
  </si>
  <si>
    <t>55;51;41.34585N</t>
  </si>
  <si>
    <t>7;40;07.29383E</t>
  </si>
  <si>
    <t>0546_OI104287_SE_CPT_206_S32_20230624032141 - 0001.db</t>
  </si>
  <si>
    <t>230624032122.SBD</t>
  </si>
  <si>
    <t>OI104287_SEROV1_ET2200SSS_CPT_206_S32.001.jsf</t>
  </si>
  <si>
    <t>55;51;35.49160N</t>
  </si>
  <si>
    <t>7;40;08.95527E</t>
  </si>
  <si>
    <t>55;51;35.47442N</t>
  </si>
  <si>
    <t>7;40;07.49117E</t>
  </si>
  <si>
    <t>55;51;35.14731N</t>
  </si>
  <si>
    <t>7;40;09.50512E</t>
  </si>
  <si>
    <t>55;51;35.35931N</t>
  </si>
  <si>
    <t>7;40;08.01380E</t>
  </si>
  <si>
    <t>0547_OI104287_SE_CPT_206_S41_20230624033121 - 0001.db</t>
  </si>
  <si>
    <t>230624033115.SBD</t>
  </si>
  <si>
    <t>OI104287_SEROV1_ET2200SSS_CPT_206_S41.001.jsf</t>
  </si>
  <si>
    <t>003569_20230624_03.29_OI104287SEROV1SPRINTNAV500.bin</t>
  </si>
  <si>
    <t>55;51;40.99709N</t>
  </si>
  <si>
    <t>7;40;09.33188E</t>
  </si>
  <si>
    <t>55;51;41.14322N</t>
  </si>
  <si>
    <t>7;40;07.82310E</t>
  </si>
  <si>
    <t>55;51;41.30936N</t>
  </si>
  <si>
    <t>7;40;09.83049E</t>
  </si>
  <si>
    <t>55;51;41.35429N</t>
  </si>
  <si>
    <t>7;40;08.32943E</t>
  </si>
  <si>
    <t>0548_OI104287_SE_CPT_206_S50_20230624034116 - 0001.db</t>
  </si>
  <si>
    <t>230624034105.SBD</t>
  </si>
  <si>
    <t>OI104287_SEROV1_ET2200SSS_CPT_206_S50.001.jsf</t>
  </si>
  <si>
    <t>55;51;35.55257N</t>
  </si>
  <si>
    <t>7;40;09.99470E</t>
  </si>
  <si>
    <t>55;51;35.50928N</t>
  </si>
  <si>
    <t>7;40;08.52919E</t>
  </si>
  <si>
    <t>003570_20230624_03.44_OI104287SEROV1SPRINTNAV500.bin</t>
  </si>
  <si>
    <t>55;51;34.12597N</t>
  </si>
  <si>
    <t>7;40;10.08931E</t>
  </si>
  <si>
    <t>55;51;34.11082N</t>
  </si>
  <si>
    <t>7;40;09.09436E</t>
  </si>
  <si>
    <t>WROV in latch, vessel start transit to BH_100</t>
  </si>
  <si>
    <t>55;51;57.34566N</t>
  </si>
  <si>
    <t>7;39;02.12045E</t>
  </si>
  <si>
    <t>55;51;57.40626N</t>
  </si>
  <si>
    <t>7;39;01.49787E</t>
  </si>
  <si>
    <t>OI104287_SE_SVX2_SVP_20230624_0410_555195N_0073903E_048</t>
  </si>
  <si>
    <t>55;51;57.40211N</t>
  </si>
  <si>
    <t>7;39;02.19319E</t>
  </si>
  <si>
    <t>55;51;57.58776N</t>
  </si>
  <si>
    <t>7;39;01.16142E</t>
  </si>
  <si>
    <t>SVP_048</t>
  </si>
  <si>
    <t>55;51;58.03899N</t>
  </si>
  <si>
    <t>7;39;02.15372E</t>
  </si>
  <si>
    <t>55;51;58.34439N</t>
  </si>
  <si>
    <t>7;39;00.63275E</t>
  </si>
  <si>
    <t>0549_OI104287_SE_BH_100_S72_20230624041612 - 0001.db</t>
  </si>
  <si>
    <t>230624041558.SBD</t>
  </si>
  <si>
    <t>OI104287_SEROV1_ET2200SSS_BH_100_S72.001.jsf</t>
  </si>
  <si>
    <t>003572_20230624_04.14_OI104287SEROV1SPRINTNAV500.bin</t>
  </si>
  <si>
    <t>55;52;05.84997N</t>
  </si>
  <si>
    <t>7;39;01.82398E</t>
  </si>
  <si>
    <t>55;52;05.93111N</t>
  </si>
  <si>
    <t>7;39;00.36903E</t>
  </si>
  <si>
    <t>55;52;05.92934N</t>
  </si>
  <si>
    <t>7;39;01.36741E</t>
  </si>
  <si>
    <t>55;52;06.11306N</t>
  </si>
  <si>
    <t>7;38;59.83041E</t>
  </si>
  <si>
    <t>0550_OI104287_SE_BH_100_S63_20230624042614 - 0001.db</t>
  </si>
  <si>
    <t>230624042550.SBD</t>
  </si>
  <si>
    <t>OI104287_SEROV1_ET2200SSS_BH_100_S63.001.jsf</t>
  </si>
  <si>
    <t>55;51;58.32743N</t>
  </si>
  <si>
    <t>7;39;01.65529E</t>
  </si>
  <si>
    <t>55;51;58.55502N</t>
  </si>
  <si>
    <t>7;39;00.10288E</t>
  </si>
  <si>
    <t>003573_20230624_04.29_OI104287SEROV1SPRINTNAV500.bin</t>
  </si>
  <si>
    <t>55;51;58.13559N</t>
  </si>
  <si>
    <t>7;39;01.07590E</t>
  </si>
  <si>
    <t>55;51;58.32493N</t>
  </si>
  <si>
    <t>7;38;59.59414E</t>
  </si>
  <si>
    <t>0551_OI104287_SE_BH_100_S54_20230624043612 - 0001.db</t>
  </si>
  <si>
    <t>230624043558.SBD</t>
  </si>
  <si>
    <t>OI104287_SEROV1_ET2200SSS_BH_100_S54.001.jsf</t>
  </si>
  <si>
    <t>55;52;05.85708N</t>
  </si>
  <si>
    <t>7;39;00.78435E</t>
  </si>
  <si>
    <t>55;52;06.00066N</t>
  </si>
  <si>
    <t>7;38;59.32920E</t>
  </si>
  <si>
    <t>55;52;06.13528N</t>
  </si>
  <si>
    <t>7;39;00.32775E</t>
  </si>
  <si>
    <t>55;52;06.20570N</t>
  </si>
  <si>
    <t>7;38;58.80899E</t>
  </si>
  <si>
    <t>0552_OI104287_SE_BH_100_S45_20230624044614 - 0001.db</t>
  </si>
  <si>
    <t>230624044601.SBD</t>
  </si>
  <si>
    <t>OI104287_SEROV1_ET2200SSS_BH_100_S45.001.jsf</t>
  </si>
  <si>
    <t>003574_20230624_04.44_OI104287SEROV1SPRINTNAV500.bin</t>
  </si>
  <si>
    <t>55;51;58.51062N</t>
  </si>
  <si>
    <t>7;39;00.52426E</t>
  </si>
  <si>
    <t>55;51;58.56724N</t>
  </si>
  <si>
    <t>7;38;59.06849E</t>
  </si>
  <si>
    <t>55;51;58.11668N</t>
  </si>
  <si>
    <t>7;39;00.05049E</t>
  </si>
  <si>
    <t>55;51;58.32856N</t>
  </si>
  <si>
    <t>7;38;58.54375E</t>
  </si>
  <si>
    <t>0553_OI104287_SE_BH_100_S36_20230624045519 - 0001.db</t>
  </si>
  <si>
    <t>230624045508.SBD</t>
  </si>
  <si>
    <t>OI104287_SEROV1_ET2200SSS_BH_100_S36.001.jsf</t>
  </si>
  <si>
    <t>55;52;05.83670N</t>
  </si>
  <si>
    <t>7;38;59.79694E</t>
  </si>
  <si>
    <t>55;52;05.96234N</t>
  </si>
  <si>
    <t>7;38;58.29782E</t>
  </si>
  <si>
    <t>003575_20230624_04.59_OI104287SEROV1SPRINTNAV500.bin</t>
  </si>
  <si>
    <t>55;52;06.02146N</t>
  </si>
  <si>
    <t>7;38;59.33609E</t>
  </si>
  <si>
    <t>55;52;06.13690N</t>
  </si>
  <si>
    <t>7;38;57.77399E</t>
  </si>
  <si>
    <t>0554_OI104287_SE_BH_100_S27_20230624050542 - 0001.db</t>
  </si>
  <si>
    <t>230624050525.SBD</t>
  </si>
  <si>
    <t>OI104287_SEROV1_ET2200SSS_BH_100_S27.001.jsf</t>
  </si>
  <si>
    <t>55;51;58.20934N</t>
  </si>
  <si>
    <t>7;38;59.51394E</t>
  </si>
  <si>
    <t>55;51;58.29491N</t>
  </si>
  <si>
    <t>7;38;58.04134E</t>
  </si>
  <si>
    <t>55;51;58.46923N</t>
  </si>
  <si>
    <t>7;38;59.01861E</t>
  </si>
  <si>
    <t>55;51;58.56226N</t>
  </si>
  <si>
    <t>7;38;57.51539E</t>
  </si>
  <si>
    <t>0555_OI104287_SE_BH_100_S18_20230624051611 - 0001.db</t>
  </si>
  <si>
    <t>230624051600.SBD</t>
  </si>
  <si>
    <t>OI104287_SEROV1_ET2200SSS_BH_100_S18.001.jsf</t>
  </si>
  <si>
    <t>003576_20230624_05.14_OI104287SEROV1SPRINTNAV500.bin</t>
  </si>
  <si>
    <t>55;52;05.85756N</t>
  </si>
  <si>
    <t>7;38;58.76699E</t>
  </si>
  <si>
    <t>55;52;05.88796N</t>
  </si>
  <si>
    <t>7;38;57.26162E</t>
  </si>
  <si>
    <t>55;52;06.08034N</t>
  </si>
  <si>
    <t>7;38;58.29727E</t>
  </si>
  <si>
    <t>55;52;06.14022N</t>
  </si>
  <si>
    <t>7;38;56.73718E</t>
  </si>
  <si>
    <t>0556_OI104287_SE_BH_100_S09_20230624052601 - 0001.db</t>
  </si>
  <si>
    <t>230624052553.SBD</t>
  </si>
  <si>
    <t>OI104287_SEROV1_ET2200SSS_BH_100_S09.001.jsf</t>
  </si>
  <si>
    <t>55;51;58.54829N</t>
  </si>
  <si>
    <t>7;38;58.44664E</t>
  </si>
  <si>
    <t>55;51;58.58172N</t>
  </si>
  <si>
    <t>7;38;56.99729E</t>
  </si>
  <si>
    <t>003577_20230624_05.29_OI104287SEROV1SPRINTNAV500.bin</t>
  </si>
  <si>
    <t>55;51;58.19465N</t>
  </si>
  <si>
    <t>7;38;57.98243E</t>
  </si>
  <si>
    <t>55;51;58.32599N</t>
  </si>
  <si>
    <t>7;38;56.48944E</t>
  </si>
  <si>
    <t>0557_OI104287_SE_BH_100_C00_20230624053509 - 0001.db</t>
  </si>
  <si>
    <t>230624053502.SBD</t>
  </si>
  <si>
    <t>OI104287_SEROV1_ET2200SSS_BH_100_C00.001.jsf</t>
  </si>
  <si>
    <t>55;52;05.72030N</t>
  </si>
  <si>
    <t>7;38;57.72673E</t>
  </si>
  <si>
    <t>55;52;05.86005N</t>
  </si>
  <si>
    <t>7;38;56.22632E</t>
  </si>
  <si>
    <t>55;52;06.02473N</t>
  </si>
  <si>
    <t>7;38;57.28272E</t>
  </si>
  <si>
    <t>55;52;06.06720N</t>
  </si>
  <si>
    <t>7;38;55.71425E</t>
  </si>
  <si>
    <t>0558_OI104287_SE_BH_100_P09_20230624054440 - 0001.db</t>
  </si>
  <si>
    <t>230624054431.SBD</t>
  </si>
  <si>
    <t>OI104287_SEROV1_ET2200SSS_BH_100_P09.001.jsf</t>
  </si>
  <si>
    <t>003578_20230624_05.44_OI104287SEROV1SPRINTNAV500.bin</t>
  </si>
  <si>
    <t>55;51;58.53763N</t>
  </si>
  <si>
    <t>7;38;57.40937E</t>
  </si>
  <si>
    <t>55;51;58.52499N</t>
  </si>
  <si>
    <t>7;38;55.96742E</t>
  </si>
  <si>
    <t>55;51;58.19145N</t>
  </si>
  <si>
    <t>7;38;56.94159E</t>
  </si>
  <si>
    <t>55;51;58.29929N</t>
  </si>
  <si>
    <t>7;38;55.45264E</t>
  </si>
  <si>
    <t>0559_OI104287_SE_BH_100_P18_20230624055403 - 0001.db</t>
  </si>
  <si>
    <t>230624055346.SBD</t>
  </si>
  <si>
    <t>OI104287_SEROV1_ET2200SSS_BH_100_P18.001.jsf</t>
  </si>
  <si>
    <t>55;52;05.75672N</t>
  </si>
  <si>
    <t>7;38;56.70073E</t>
  </si>
  <si>
    <t>55;52;05.88162N</t>
  </si>
  <si>
    <t>7;38;55.19132E</t>
  </si>
  <si>
    <t>003579_20230624_05.59_OI104287SEROV1SPRINTNAV500.bin</t>
  </si>
  <si>
    <t>55;52;06.05828N</t>
  </si>
  <si>
    <t>7;38;56.14913E</t>
  </si>
  <si>
    <t>55;52;06.08032N</t>
  </si>
  <si>
    <t>7;38;54.66266E</t>
  </si>
  <si>
    <t>0560_OI104287_SE_BH_100_P27_20230624060348 - 0001.db</t>
  </si>
  <si>
    <t>230624060341.SBD</t>
  </si>
  <si>
    <t>OI104287_SEROV1_ET2200SSS_BH_100_P27.001.jsf</t>
  </si>
  <si>
    <t>55;51;58.46574N</t>
  </si>
  <si>
    <t>7;38;56.32466E</t>
  </si>
  <si>
    <t>55;51;58.47128N</t>
  </si>
  <si>
    <t>7;38;54.92971E</t>
  </si>
  <si>
    <t>55;51;58.38663N</t>
  </si>
  <si>
    <t>7;38;55.89017E</t>
  </si>
  <si>
    <t>55;51;58.37744N</t>
  </si>
  <si>
    <t>7;38;54.40889E</t>
  </si>
  <si>
    <t>0561_OI104287_SE_BH_100_P36_20230624061320 - 0001.db</t>
  </si>
  <si>
    <t>230624061318.SBD</t>
  </si>
  <si>
    <t>OI104287_SEROV1_ET2200SSS_BH_100_P36.001.jsf</t>
  </si>
  <si>
    <t>55;52;05.87761N</t>
  </si>
  <si>
    <t>7;38;55.66077E</t>
  </si>
  <si>
    <t>55;52;05.87694N</t>
  </si>
  <si>
    <t>7;38;54.15572E</t>
  </si>
  <si>
    <t>003580_20230624_06.14_OI104287SEROV1SPRINTNAV500.bin</t>
  </si>
  <si>
    <t>55;52;06.04379N</t>
  </si>
  <si>
    <t>7;38;55.14532E</t>
  </si>
  <si>
    <t>55;52;06.03521N</t>
  </si>
  <si>
    <t>7;38;53.62766E</t>
  </si>
  <si>
    <t>0562_OI104287_SE_BH_100_P45_20230624062249 - 0001.db</t>
  </si>
  <si>
    <t>230624062245.SBD</t>
  </si>
  <si>
    <t>OI104287_SEROV1_ET2200SSS_BH_100_P45.001.jsf</t>
  </si>
  <si>
    <t>55;51;58.53113N</t>
  </si>
  <si>
    <t>7;38;55.34561E</t>
  </si>
  <si>
    <t>55;51;58.50402N</t>
  </si>
  <si>
    <t>7;38;53.89411E</t>
  </si>
  <si>
    <t>55;51;58.15255N</t>
  </si>
  <si>
    <t>7;38;54.86959E</t>
  </si>
  <si>
    <t>55;51;58.26051N</t>
  </si>
  <si>
    <t>7;38;53.38113E</t>
  </si>
  <si>
    <t>0563_OI104287_SE_BH_100_P54_20230624063213 - 0001.db</t>
  </si>
  <si>
    <t>OI104287_SEROV1_ET2200SSS_BH_100_P54.001.jsf</t>
  </si>
  <si>
    <t>003581_20230624_06.29_OI104287SEROV1SPRINTNAV500.bin</t>
  </si>
  <si>
    <t>55;52;06.00523N</t>
  </si>
  <si>
    <t>7;38;54.62127E</t>
  </si>
  <si>
    <t>55;52;06.15682N</t>
  </si>
  <si>
    <t>7;38;53.11409E</t>
  </si>
  <si>
    <t>230624063210.SBD</t>
  </si>
  <si>
    <t>55;52;06.22543N</t>
  </si>
  <si>
    <t>7;38;54.11725E</t>
  </si>
  <si>
    <t>55;52;06.14837N</t>
  </si>
  <si>
    <t>7;38;52.58935E</t>
  </si>
  <si>
    <t>0564_OI104287_SE_BH_100_P63_20230624064156 - 0001.db</t>
  </si>
  <si>
    <t>230624064146.SBD</t>
  </si>
  <si>
    <t>OI104287_SEROV1_ET2200SSS_BH_100_P63.001.jsf</t>
  </si>
  <si>
    <t>55;51;58.62868N</t>
  </si>
  <si>
    <t>7;38;54.31606E</t>
  </si>
  <si>
    <t>55;51;58.46962N</t>
  </si>
  <si>
    <t>7;38;52.85971E</t>
  </si>
  <si>
    <t>003582_20230624_06.44_OI104287SEROV1SPRINTNAV500.bin</t>
  </si>
  <si>
    <t>55;51;58.45295N</t>
  </si>
  <si>
    <t>7;38;53.83165E</t>
  </si>
  <si>
    <t>55;51;58.55291N</t>
  </si>
  <si>
    <t>7;38;52.33859E</t>
  </si>
  <si>
    <t>0565_OI104287_SE_BH_100_P72_20230624065107 - 0001.db</t>
  </si>
  <si>
    <t>230624065057.SBD</t>
  </si>
  <si>
    <t>OI104287_SEROV1_ET2200SSS_BH_100_P72.001.jsf</t>
  </si>
  <si>
    <t>55;52;05.70926N</t>
  </si>
  <si>
    <t>7;38;53.58510E</t>
  </si>
  <si>
    <t>55;52;05.84813N</t>
  </si>
  <si>
    <t>7;38;52.08633E</t>
  </si>
  <si>
    <t>ROV in latch, transit to CPT_321</t>
  </si>
  <si>
    <t>55;52;06.63499N</t>
  </si>
  <si>
    <t>7;38;53.57815E</t>
  </si>
  <si>
    <t>55;52;06.72833N</t>
  </si>
  <si>
    <t>7;38;52.90347E</t>
  </si>
  <si>
    <t>OI104287_SE_SVX2_SVP_20230624_0723_555187N_0073737E_049</t>
  </si>
  <si>
    <t>55;51;52.69144N</t>
  </si>
  <si>
    <t>7;37;22.70105E</t>
  </si>
  <si>
    <t>55;51;52.77744N</t>
  </si>
  <si>
    <t>7;37;21.62545E</t>
  </si>
  <si>
    <t>SVP_049</t>
  </si>
  <si>
    <t>55;51;52.07688N</t>
  </si>
  <si>
    <t>7;37;22.55801E</t>
  </si>
  <si>
    <t>55;51;52.06094N</t>
  </si>
  <si>
    <t>7;37;21.16287E</t>
  </si>
  <si>
    <t>0566_OI104287_SE_CPT_321_S50_20230624072934 - 0001.db</t>
  </si>
  <si>
    <t>230624072910.SBD</t>
  </si>
  <si>
    <t>OI104287_SEROV1_ET2200SSS_CPT_321_S50.001.jsf</t>
  </si>
  <si>
    <t>003585_20230624_07.29_OI104287SEROV1SPRINTNAV500.bin</t>
  </si>
  <si>
    <t>55;51;46.42593N</t>
  </si>
  <si>
    <t>7;37;22.78959E</t>
  </si>
  <si>
    <t>55;51;46.39365N</t>
  </si>
  <si>
    <t>7;37;21.36624E</t>
  </si>
  <si>
    <t>55;51;45.99900N</t>
  </si>
  <si>
    <t>7;37;22.28136E</t>
  </si>
  <si>
    <t>55;51;46.13686N</t>
  </si>
  <si>
    <t>7;37;20.86232E</t>
  </si>
  <si>
    <t>0567_OI104287_SE_CPT_321_S41_20230624073714 - 0001.db</t>
  </si>
  <si>
    <t>230624073658.SBD</t>
  </si>
  <si>
    <t>OI104287_SEROV1_ET2200SSS_CPT_321_S41.001.jsf</t>
  </si>
  <si>
    <t>55;51;51.63986N</t>
  </si>
  <si>
    <t>7;37;22.08478E</t>
  </si>
  <si>
    <t>55;51;51.84534N</t>
  </si>
  <si>
    <t>7;37;20.65683E</t>
  </si>
  <si>
    <t>55;51;52.08974N</t>
  </si>
  <si>
    <t>7;37;21.60227E</t>
  </si>
  <si>
    <t>55;51;52.04162N</t>
  </si>
  <si>
    <t>7;37;20.13420E</t>
  </si>
  <si>
    <t>0568_OI104287_SE_CPT_321_S32_20230624074502 - 0001.db</t>
  </si>
  <si>
    <t>230624074448.SBD</t>
  </si>
  <si>
    <t>OI104287_SEROV1_ET2200SSS_CPT_321_S32.001.jsf</t>
  </si>
  <si>
    <t>003586_20230624_07.44_OI104287SEROV1SPRINTNAV500.bin</t>
  </si>
  <si>
    <t>55;51;46.44828N</t>
  </si>
  <si>
    <t>7;37;21.73150E</t>
  </si>
  <si>
    <t>55;51;46.34718N</t>
  </si>
  <si>
    <t>7;37;20.33064E</t>
  </si>
  <si>
    <t>55;51;45.89045N</t>
  </si>
  <si>
    <t>7;37;21.22838E</t>
  </si>
  <si>
    <t>55;51;46.11091N</t>
  </si>
  <si>
    <t>7;37;19.82793E</t>
  </si>
  <si>
    <t>0569_OI104287_SE_CPT_321_S23_20230624075358 - 0001.db</t>
  </si>
  <si>
    <t>230624075229.SBD</t>
  </si>
  <si>
    <t>OI104287_SEROV1_ET2200SSS_CPT_321_S23.001.jsf</t>
  </si>
  <si>
    <t>55;51;51.56789N</t>
  </si>
  <si>
    <t>7;37;21.11597E</t>
  </si>
  <si>
    <t>55;51;51.84277N</t>
  </si>
  <si>
    <t>7;37;19.62244E</t>
  </si>
  <si>
    <t>55;51;52.01940N</t>
  </si>
  <si>
    <t>7;37;20.61114E</t>
  </si>
  <si>
    <t>55;51;52.07798N</t>
  </si>
  <si>
    <t>7;37;19.09710E</t>
  </si>
  <si>
    <t>0570_OI104287_SE_CPT_321_S14_20230624080149 - 0001.db</t>
  </si>
  <si>
    <t>230624080141.SBD</t>
  </si>
  <si>
    <t>OI104287_SEROV1_ET2200SSS_CPT_321_S14.001.jsf</t>
  </si>
  <si>
    <t>003587_20230624_07.59_OI104287SEROV1SPRINTNAV500.bin</t>
  </si>
  <si>
    <t>55;51;46.33454N</t>
  </si>
  <si>
    <t>7;37;20.74315E</t>
  </si>
  <si>
    <t>55;51;46.35185N</t>
  </si>
  <si>
    <t>7;37;19.29534E</t>
  </si>
  <si>
    <t>55;51;45.82559N</t>
  </si>
  <si>
    <t>7;37;20.30045E</t>
  </si>
  <si>
    <t>55;51;46.06866N</t>
  </si>
  <si>
    <t>7;37;18.78720E</t>
  </si>
  <si>
    <t>0571_OI104287_SE_CPT_321_S05_20230624080916 - 0001.db</t>
  </si>
  <si>
    <t>230624080909.SBD</t>
  </si>
  <si>
    <t>OI104287_SEROV1_ET2200SSS_CPT_321_S05.001.jsf</t>
  </si>
  <si>
    <t>55;51;51.72189N</t>
  </si>
  <si>
    <t>7;37;20.12449E</t>
  </si>
  <si>
    <t>55;51;51.82648N</t>
  </si>
  <si>
    <t>7;37;18.58141E</t>
  </si>
  <si>
    <t>55;51;52.10553N</t>
  </si>
  <si>
    <t>7;37;19.61332E</t>
  </si>
  <si>
    <t>55;51;52.05400N</t>
  </si>
  <si>
    <t>7;37;18.06270E</t>
  </si>
  <si>
    <t>0572_OI104287_SE_CPT_321_P05_20230624081707 - 0001.db</t>
  </si>
  <si>
    <t>230624081655.SBD</t>
  </si>
  <si>
    <t>OI104287_SEROV1_ET2200SSS_CPT_321_P05.001.jsf</t>
  </si>
  <si>
    <t>003588_20230624_08.14_OI104287SEROV1SPRINTNAV500.bin</t>
  </si>
  <si>
    <t>55;51;46.42838N</t>
  </si>
  <si>
    <t>7;37;19.74729E</t>
  </si>
  <si>
    <t>55;51;46.31746N</t>
  </si>
  <si>
    <t>7;37;18.26095E</t>
  </si>
  <si>
    <t>55;51;46.10128N</t>
  </si>
  <si>
    <t>7;37;19.24356E</t>
  </si>
  <si>
    <t>55;51;46.17533N</t>
  </si>
  <si>
    <t>7;37;17.75250E</t>
  </si>
  <si>
    <t>0573_OI104287_SE_CPT_321_P14_20230624082441 - 0001.db</t>
  </si>
  <si>
    <t>230624082440.SBD</t>
  </si>
  <si>
    <t>OI104287_SEROV1_ET2200SSS_CPT_321_P14.001.jsf</t>
  </si>
  <si>
    <t>55;51;51.71444N</t>
  </si>
  <si>
    <t>7;37;19.02080E</t>
  </si>
  <si>
    <t>55;51;51.85469N</t>
  </si>
  <si>
    <t>7;37;17.54973E</t>
  </si>
  <si>
    <t>003589_20230624_08.29_OI104287SEROV1SPRINTNAV500.bin</t>
  </si>
  <si>
    <t>55;51;52.17050N</t>
  </si>
  <si>
    <t>7;37;18.58854E</t>
  </si>
  <si>
    <t>55;51;52.09337N</t>
  </si>
  <si>
    <t>7;37;17.02106E</t>
  </si>
  <si>
    <t>0574_OI104287_SE_CPT_321_P23_20230624083202 - 0001.db</t>
  </si>
  <si>
    <t>230624083158.SBD</t>
  </si>
  <si>
    <t>OI104287_SEROV1_ET2200SSS_CPT_321_P23.001.jsf</t>
  </si>
  <si>
    <t>55;51;46.45695N</t>
  </si>
  <si>
    <t>7;37;18.68382E</t>
  </si>
  <si>
    <t>55;51;46.31836N</t>
  </si>
  <si>
    <t>7;37;17.22384E</t>
  </si>
  <si>
    <t>55;51;45.97873N</t>
  </si>
  <si>
    <t>7;37;18.20148E</t>
  </si>
  <si>
    <t>55;51;46.06444N</t>
  </si>
  <si>
    <t>7;37;16.71871E</t>
  </si>
  <si>
    <t>0575_OI104287_SE_CPT_321_P32_20230624083951 - 0001.db</t>
  </si>
  <si>
    <t>230624083935.SBD</t>
  </si>
  <si>
    <t>OI104287_SEROV1_ET2200SSS_CPT_321_P32.001.jsf</t>
  </si>
  <si>
    <t>55;51;51.73589N</t>
  </si>
  <si>
    <t>7;37;17.99964E</t>
  </si>
  <si>
    <t>55;51;51.88607N</t>
  </si>
  <si>
    <t>7;37;16.51503E</t>
  </si>
  <si>
    <t>003590_20230624_08.44_OI104287SEROV1SPRINTNAV500.bin</t>
  </si>
  <si>
    <t>55;51;52.13714N</t>
  </si>
  <si>
    <t>7;37;17.56317E</t>
  </si>
  <si>
    <t>55;51;52.09896N</t>
  </si>
  <si>
    <t>7;37;15.98788E</t>
  </si>
  <si>
    <t>0576_OI104287_SE_CPT_321_P41_20230624084724 - 0001.db</t>
  </si>
  <si>
    <t>230624084719.SBD</t>
  </si>
  <si>
    <t>OI104287_SEROV1_ET2200SSS_CPT_321_P41.001.jsf</t>
  </si>
  <si>
    <t>55;51;46.30566N</t>
  </si>
  <si>
    <t>7;37;17.63448E</t>
  </si>
  <si>
    <t>55;51;46.30825N</t>
  </si>
  <si>
    <t>7;37;16.19367E</t>
  </si>
  <si>
    <t>55;51;45.77745N</t>
  </si>
  <si>
    <t>7;37;17.20689E</t>
  </si>
  <si>
    <t>55;51;46.12072N</t>
  </si>
  <si>
    <t>7;37;15.68643E</t>
  </si>
  <si>
    <t>0577_OI104287_SE_CPT_321_P50_20230624085559 - 0001.db</t>
  </si>
  <si>
    <t>230624085549.SBD</t>
  </si>
  <si>
    <t>OI104287_SEROV1_ET2200SSS_CPT_321_P50.001.jsf</t>
  </si>
  <si>
    <t>55;51;51.79710N</t>
  </si>
  <si>
    <t>7;37;17.02538E</t>
  </si>
  <si>
    <t>55;51;51.88306N</t>
  </si>
  <si>
    <t>7;37;15.47792E</t>
  </si>
  <si>
    <t>003591_20230624_08.59_OI104287SEROV1SPRINTNAV500.bin</t>
  </si>
  <si>
    <t>55;51;52.46621N</t>
  </si>
  <si>
    <t>7;37;17.06957E</t>
  </si>
  <si>
    <t>55;51;52.51175N</t>
  </si>
  <si>
    <t>7;37;15.48939E</t>
  </si>
  <si>
    <t>Data is good, ROV is going on deck</t>
  </si>
  <si>
    <t>Responder M23 was replaced to M05</t>
  </si>
  <si>
    <t>55;51;52.54147N</t>
  </si>
  <si>
    <t>7;37;17.06105E</t>
  </si>
  <si>
    <t>55;51;52.61932N</t>
  </si>
  <si>
    <t>7;37;16.32463E</t>
  </si>
  <si>
    <t>WROV on deck EOD #018</t>
  </si>
  <si>
    <t>55;51;51.73535N</t>
  </si>
  <si>
    <t>7;37;04.99341E</t>
  </si>
  <si>
    <t>55;51;51.57407N</t>
  </si>
  <si>
    <t>7;37;05.51902E</t>
  </si>
  <si>
    <t>Vessel on the move to CPT_227</t>
  </si>
  <si>
    <t>55;50;31.52999N</t>
  </si>
  <si>
    <t>7;35;29.22485E</t>
  </si>
  <si>
    <t>55;50;31.55443N</t>
  </si>
  <si>
    <t>7;35;28.61399E</t>
  </si>
  <si>
    <t>55;50;31.52642N</t>
  </si>
  <si>
    <t>7;35;29.20912E</t>
  </si>
  <si>
    <t>55;50;31.55172N</t>
  </si>
  <si>
    <t>7;35;28.57355E</t>
  </si>
  <si>
    <t>WROV off deck SOD #019</t>
  </si>
  <si>
    <t>OI104287_SE_SVX2_SVP_20230624_0942_555052N_0073548E_050</t>
  </si>
  <si>
    <t>55;50;31.51311N</t>
  </si>
  <si>
    <t>7;35;29.19488E</t>
  </si>
  <si>
    <t>55;50;31.61222N</t>
  </si>
  <si>
    <t>7;35;28.14296E</t>
  </si>
  <si>
    <t>SVP_050</t>
  </si>
  <si>
    <t>55;50;30.45665N</t>
  </si>
  <si>
    <t>7;35;29.23834E</t>
  </si>
  <si>
    <t>55;50;30.46829N</t>
  </si>
  <si>
    <t>7;35;27.93445E</t>
  </si>
  <si>
    <t>0578_OI104287_SE_CPT_227_S50_20230624094701 - 0001.db</t>
  </si>
  <si>
    <t>230624094645.SBD</t>
  </si>
  <si>
    <t>OI104287_SEROV1_ET2200SSS_CPT_227_S50.001.jsf</t>
  </si>
  <si>
    <t>003594_20230624_09.44_OI104287SEROV1SPRINTNAV500.bin</t>
  </si>
  <si>
    <t>55;50;24.58966N</t>
  </si>
  <si>
    <t>7;35;29.49013E</t>
  </si>
  <si>
    <t>55;50;24.61542N</t>
  </si>
  <si>
    <t>7;35;28.14990E</t>
  </si>
  <si>
    <t>55;50;24.01788N</t>
  </si>
  <si>
    <t>7;35;29.07809E</t>
  </si>
  <si>
    <t>55;50;24.30010N</t>
  </si>
  <si>
    <t>7;35;27.64628E</t>
  </si>
  <si>
    <t>0579_OI104287_SE_CPT_227_S41_20230624095520 - 0001.db</t>
  </si>
  <si>
    <t>230624095507.SBD</t>
  </si>
  <si>
    <t>OI104287_SEROV1_ET2200SSS_CPT_227_S41.001.jsf</t>
  </si>
  <si>
    <t>55;50;29.91617N</t>
  </si>
  <si>
    <t>7;35;28.77370E</t>
  </si>
  <si>
    <t>55;50;30.24650N</t>
  </si>
  <si>
    <t>7;35;27.43445E</t>
  </si>
  <si>
    <t>003595_20230624_09.59_OI104287SEROV1SPRINTNAV500.bin</t>
  </si>
  <si>
    <t>55;50;30.48880N</t>
  </si>
  <si>
    <t>7;35;28.33187E</t>
  </si>
  <si>
    <t>55;50;30.36313N</t>
  </si>
  <si>
    <t>7;35;26.90971E</t>
  </si>
  <si>
    <t>0580_OI104287_SE_CPT_227_S32_20230624100356 - 0001.db</t>
  </si>
  <si>
    <t>230624100347.SBD</t>
  </si>
  <si>
    <t>OI104287_SEROV1_ET2200SSS_CPT_227_S32.001.jsf</t>
  </si>
  <si>
    <t>55;50;24.77121N</t>
  </si>
  <si>
    <t>7;35;28.55437E</t>
  </si>
  <si>
    <t>55;50;24.62236N</t>
  </si>
  <si>
    <t>7;35;27.11339E</t>
  </si>
  <si>
    <t>55;50;24.27070N</t>
  </si>
  <si>
    <t>7;35;28.07895E</t>
  </si>
  <si>
    <t>55;50;24.38187N</t>
  </si>
  <si>
    <t>7;35;26.60797E</t>
  </si>
  <si>
    <t>0581_OI104287_SE_CPT_227_S23_20230624101152 - 0001.db</t>
  </si>
  <si>
    <t>230624101125.SBD</t>
  </si>
  <si>
    <t>OI104287_SEROV1_ET2200SSS_CPT_227_S23.001.jsf</t>
  </si>
  <si>
    <t>55;50;30.07487N</t>
  </si>
  <si>
    <t>7;35;27.80855E</t>
  </si>
  <si>
    <t>55;50;30.24952N</t>
  </si>
  <si>
    <t>7;35;26.39855E</t>
  </si>
  <si>
    <t>003596_20230624_10.14_OI104287SEROV1SPRINTNAV500.bin</t>
  </si>
  <si>
    <t>55;50;30.45352N</t>
  </si>
  <si>
    <t>7;35;27.37401E</t>
  </si>
  <si>
    <t>55;50;30.48232N</t>
  </si>
  <si>
    <t>7;35;25.87472E</t>
  </si>
  <si>
    <t>0582_OI104287_SE_CPT_227_S14_20230624102007 - 0001.db</t>
  </si>
  <si>
    <t>230624101955.SBD</t>
  </si>
  <si>
    <t>OI104287_SEROV1_ET2200SSS_CPT_227_S14.001.jsf</t>
  </si>
  <si>
    <t>55;50;24.61163N</t>
  </si>
  <si>
    <t>7;35;27.57348E</t>
  </si>
  <si>
    <t>55;50;24.58117N</t>
  </si>
  <si>
    <t>7;35;26.07930E</t>
  </si>
  <si>
    <t>55;50;24.38302N</t>
  </si>
  <si>
    <t>7;35;27.10161E</t>
  </si>
  <si>
    <t>55;50;24.34249N</t>
  </si>
  <si>
    <t>7;35;25.57538E</t>
  </si>
  <si>
    <t>0583_OI104287_SE_CPT_227_S05_20230624102810 - 0001.db</t>
  </si>
  <si>
    <t>230624102751.SBD</t>
  </si>
  <si>
    <t>OI104287_SEROV1_ET2200SSS_CPT_227_S05.001.jsf</t>
  </si>
  <si>
    <t>55;50;30.22067N</t>
  </si>
  <si>
    <t>7;35;26.84721E</t>
  </si>
  <si>
    <t>55;50;30.23700N</t>
  </si>
  <si>
    <t>7;35;25.36265E</t>
  </si>
  <si>
    <t>003597_20230624_10.29_OI104287SEROV1SPRINTNAV500.bin</t>
  </si>
  <si>
    <t>55;50;30.50485N</t>
  </si>
  <si>
    <t>7;35;26.34712E</t>
  </si>
  <si>
    <t>55;50;30.49348N</t>
  </si>
  <si>
    <t>7;35;24.83610E</t>
  </si>
  <si>
    <t>0584_OI104287_SE_CPT_227_P05_20230624103630 - 0001.db</t>
  </si>
  <si>
    <t>230624103606.SBD</t>
  </si>
  <si>
    <t>OI104287_SEROV1_ET2200SSS_CPT_227_P05.001.jsf</t>
  </si>
  <si>
    <t>55;50;24.65139N</t>
  </si>
  <si>
    <t>7;35;26.53215E</t>
  </si>
  <si>
    <t>55;50;24.58932N</t>
  </si>
  <si>
    <t>7;35;25.04913E</t>
  </si>
  <si>
    <t>55;50;24.37620N</t>
  </si>
  <si>
    <t>7;35;25.97216E</t>
  </si>
  <si>
    <t>55;50;24.40511N</t>
  </si>
  <si>
    <t>7;35;24.53525E</t>
  </si>
  <si>
    <t>0585_OI104287_SE_CPT_227_P14_20230624104448 - 0001.db</t>
  </si>
  <si>
    <t>230624104429.SBD</t>
  </si>
  <si>
    <t>OI104287_SEROV1_ET2200SSS_CPT_227_P14.001.jsf</t>
  </si>
  <si>
    <t>003598_20230624_10.44_OI104287SEROV1SPRINTNAV500.bin</t>
  </si>
  <si>
    <t>55;50;30.17370N</t>
  </si>
  <si>
    <t>7;35;25.74979E</t>
  </si>
  <si>
    <t>55;50;30.25948N</t>
  </si>
  <si>
    <t>7;35;24.32765E</t>
  </si>
  <si>
    <t>55;50;30.60381N</t>
  </si>
  <si>
    <t>7;35;25.29964E</t>
  </si>
  <si>
    <t>7;35;23.80291E</t>
  </si>
  <si>
    <t>0586_OI104287_SE_CPT_227_P23_20230624105251 - 0001.db</t>
  </si>
  <si>
    <t>230624105236.SBD</t>
  </si>
  <si>
    <t>OI104287_SEROV1_ET2200SSS_CPT_227_P23.001.jsf</t>
  </si>
  <si>
    <t>55;50;24.80277N</t>
  </si>
  <si>
    <t>7;35;25.49892E</t>
  </si>
  <si>
    <t>55;50;24.62101N</t>
  </si>
  <si>
    <t>7;35;24.01051E</t>
  </si>
  <si>
    <t>55;50;24.33294N</t>
  </si>
  <si>
    <t>7;35;25.02272E</t>
  </si>
  <si>
    <t>55;50;24.38383N</t>
  </si>
  <si>
    <t>7;35;23.50237E</t>
  </si>
  <si>
    <t>0587_OI104287_SE_CPT_227_P32_20230624110057 - 0001.db</t>
  </si>
  <si>
    <t>230624110036.SBD</t>
  </si>
  <si>
    <t>OI104287_SEROV1_ET2200SSS_CPT_227_P32.001.jsf</t>
  </si>
  <si>
    <t>003599_20230624_10.59_OI104287SEROV1SPRINTNAV500.bin</t>
  </si>
  <si>
    <t>55;50;30.19696N</t>
  </si>
  <si>
    <t>7;35;24.77308E</t>
  </si>
  <si>
    <t>55;50;30.28739N</t>
  </si>
  <si>
    <t>7;35;23.28420E</t>
  </si>
  <si>
    <t>55;50;30.47851N</t>
  </si>
  <si>
    <t>7;35;24.25884E</t>
  </si>
  <si>
    <t>55;50;30.52834N</t>
  </si>
  <si>
    <t>7;35;22.75886E</t>
  </si>
  <si>
    <t>0588_OI104287_SE_CPT_227_P41_20230624110850 - 0001.db</t>
  </si>
  <si>
    <t>230624110836.SBD</t>
  </si>
  <si>
    <t>OI104287_SEROV1_ET2200SSS_CPT_227_P41.001.jsf</t>
  </si>
  <si>
    <t>55;50;24.61583N</t>
  </si>
  <si>
    <t>7;35;24.46367E</t>
  </si>
  <si>
    <t>55;50;24.61708N</t>
  </si>
  <si>
    <t>7;35;22.97612E</t>
  </si>
  <si>
    <t>55;50;24.34945N</t>
  </si>
  <si>
    <t>7;35;23.94568E</t>
  </si>
  <si>
    <t>55;50;24.41944N</t>
  </si>
  <si>
    <t>7;35;22.46707E</t>
  </si>
  <si>
    <t>0589_OI104287_SE_CPT_227_P50_20230624111629 - 0001.db</t>
  </si>
  <si>
    <t>230624111621.SBD</t>
  </si>
  <si>
    <t>OI104287_SEROV1_ET2200SSS_CPT_227_P50.001.jsf</t>
  </si>
  <si>
    <t>003600_20230624_11.14_OI104287SEROV1SPRINTNAV500.bin</t>
  </si>
  <si>
    <t>55;50;30.17237N</t>
  </si>
  <si>
    <t>7;35;23.74232E</t>
  </si>
  <si>
    <t>55;50;30.29011N</t>
  </si>
  <si>
    <t>7;35;22.25615E</t>
  </si>
  <si>
    <t>CPT_038_S32_RR0001</t>
  </si>
  <si>
    <t>55;50;30.99602N</t>
  </si>
  <si>
    <t>7;35;23.85028E</t>
  </si>
  <si>
    <t>55;50;30.98639N</t>
  </si>
  <si>
    <t>7;35;23.20786E</t>
  </si>
  <si>
    <t>ROV in latch, start transit to CPT_038</t>
  </si>
  <si>
    <t>55;49;37.25040N</t>
  </si>
  <si>
    <t>7;32;54.22348E</t>
  </si>
  <si>
    <t>55;49;37.29854N</t>
  </si>
  <si>
    <t>7;32;53.58616E</t>
  </si>
  <si>
    <t>55;49;37.24984N</t>
  </si>
  <si>
    <t>7;32;54.11930E</t>
  </si>
  <si>
    <t>55;49;37.24724N</t>
  </si>
  <si>
    <t>7;32;53.44555E</t>
  </si>
  <si>
    <t>WROV out of TMS</t>
  </si>
  <si>
    <t>OI104287_SE_SVX2_SVP_20230624_1152_554962N_0073290E_051</t>
  </si>
  <si>
    <t>55;49;37.23860N</t>
  </si>
  <si>
    <t>7;32;53.96531E</t>
  </si>
  <si>
    <t>55;49;36.99377N</t>
  </si>
  <si>
    <t>7;32;52.71411E</t>
  </si>
  <si>
    <t>SVP_051</t>
  </si>
  <si>
    <t>55;49;36.62493N</t>
  </si>
  <si>
    <t>7;32;54.02805E</t>
  </si>
  <si>
    <t>55;49;36.48684N</t>
  </si>
  <si>
    <t>7;32;52.53095E</t>
  </si>
  <si>
    <t>0590_OI104287_SE_CPT_038_S32_RR0001_20230624115921 - 0001.db</t>
  </si>
  <si>
    <t>003602_20230624_11.44_OI104287SEROV1SPRINTNAV500.bin</t>
  </si>
  <si>
    <t>55;49;30.96854N</t>
  </si>
  <si>
    <t>7;32;54.17956E</t>
  </si>
  <si>
    <t>55;49;30.75603N</t>
  </si>
  <si>
    <t>7;32;52.74308E</t>
  </si>
  <si>
    <t>003603_20230624_11.59_OI104287SEROV1SPRINTNAV500.bin</t>
  </si>
  <si>
    <t>CPT_038_P23_RR0001</t>
  </si>
  <si>
    <t>55;49;30.57014N</t>
  </si>
  <si>
    <t>7;32;51.05606E</t>
  </si>
  <si>
    <t>55;49;30.59625N</t>
  </si>
  <si>
    <t>7;32;49.63748E</t>
  </si>
  <si>
    <t>0591_OI104287_SE_CPT_038_P23_RR0001_20230624121009 - 0001.db</t>
  </si>
  <si>
    <t>55;49;36.02312N</t>
  </si>
  <si>
    <t>7;32;50.99352E</t>
  </si>
  <si>
    <t>55;49;36.31379N</t>
  </si>
  <si>
    <t>7;32;49.43199E</t>
  </si>
  <si>
    <t>003604_20230624_12.14_OI104287SEROV1SPRINTNAV500.bin</t>
  </si>
  <si>
    <t>CPT_038_P32_RR0001</t>
  </si>
  <si>
    <t>55;49;36.45565N</t>
  </si>
  <si>
    <t>7;32;50.44658E</t>
  </si>
  <si>
    <t>55;49;36.55473N</t>
  </si>
  <si>
    <t>7;32;48.90816E</t>
  </si>
  <si>
    <t>0592_OI104287_SE_CPT_038_P32_RR0001_20230624121719 - 0001.db</t>
  </si>
  <si>
    <t>55;49;30.86262N</t>
  </si>
  <si>
    <t>7;32;50.63284E</t>
  </si>
  <si>
    <t>55;49;30.83916N</t>
  </si>
  <si>
    <t>7;32;49.12481E</t>
  </si>
  <si>
    <t>CPT_038_P41_RR0001</t>
  </si>
  <si>
    <t>55;49;30.35908N</t>
  </si>
  <si>
    <t>7;32;50.11832E</t>
  </si>
  <si>
    <t>55;49;30.45187N</t>
  </si>
  <si>
    <t>7;32;48.61274E</t>
  </si>
  <si>
    <t>0593_OI104287_SE_CPT_038_P41_RR0001_20230624122427 - 0001.db</t>
  </si>
  <si>
    <t>Log on. This and following re-run lines will contain only grads data, no MBES and SSS data</t>
  </si>
  <si>
    <t>55;49;35.95156N</t>
  </si>
  <si>
    <t>7;32;49.94782E</t>
  </si>
  <si>
    <t>55;49;36.24755N</t>
  </si>
  <si>
    <t>7;32;48.39730E</t>
  </si>
  <si>
    <t>CPT_038_P50_RR0001</t>
  </si>
  <si>
    <t>55;49;36.27298N</t>
  </si>
  <si>
    <t>7;32;49.42230E</t>
  </si>
  <si>
    <t>55;49;36.39873N</t>
  </si>
  <si>
    <t>7;32;47.87950E</t>
  </si>
  <si>
    <t>0594_OI104287_SE_CPT_038_P50_RR0001_20230624123149 - 0001.db</t>
  </si>
  <si>
    <t>003605_20230624_12.29_OI104287SEROV1SPRINTNAV500.bin</t>
  </si>
  <si>
    <t>55;49;30.70374N</t>
  </si>
  <si>
    <t>7;32;49.60401E</t>
  </si>
  <si>
    <t>55;49;30.80220N</t>
  </si>
  <si>
    <t>7;32;48.08559E</t>
  </si>
  <si>
    <t>WROV in latch, vessel start transit to CPT_038</t>
  </si>
  <si>
    <t>55;49;32.46331N</t>
  </si>
  <si>
    <t>7;32;49.84864E</t>
  </si>
  <si>
    <t>55;49;32.45155N</t>
  </si>
  <si>
    <t>7;32;49.21262E</t>
  </si>
  <si>
    <t>55;50;34.75244N</t>
  </si>
  <si>
    <t>7;32;36.77679E</t>
  </si>
  <si>
    <t>55;50;34.81543N</t>
  </si>
  <si>
    <t>7;32;36.15566E</t>
  </si>
  <si>
    <t>55;50;34.74949N</t>
  </si>
  <si>
    <t>7;32;36.78534E</t>
  </si>
  <si>
    <t>55;50;34.81271N</t>
  </si>
  <si>
    <t>7;32;36.15596E</t>
  </si>
  <si>
    <t>OI104287_SE_SVX2_SVP_20230624_1258_555057N_0073261E_052</t>
  </si>
  <si>
    <t>55;50;34.75447N</t>
  </si>
  <si>
    <t>7;32;36.76365E</t>
  </si>
  <si>
    <t>55;50;34.69171N</t>
  </si>
  <si>
    <t>7;32;35.37504E</t>
  </si>
  <si>
    <t>SVP_052</t>
  </si>
  <si>
    <t>55;50;35.32883N</t>
  </si>
  <si>
    <t>7;32;36.90056E</t>
  </si>
  <si>
    <t>55;50;35.31558N</t>
  </si>
  <si>
    <t>7;32;35.36689E</t>
  </si>
  <si>
    <t>0595_OI104287_SE_CPT_141_P50_20230624130455 - 0001.db</t>
  </si>
  <si>
    <t>230624130444.SBD</t>
  </si>
  <si>
    <t>003607_20230624_12.59_OI104287SEROV1SPRINTNAV500.bin</t>
  </si>
  <si>
    <t>55;50;41.18729N</t>
  </si>
  <si>
    <t>7;32;36.58481E</t>
  </si>
  <si>
    <t>55;50;41.14309N</t>
  </si>
  <si>
    <t>7;32;35.15205E</t>
  </si>
  <si>
    <t>Log on. No SSS data was recorded</t>
  </si>
  <si>
    <t>55;50;41.39821N</t>
  </si>
  <si>
    <t>7;32;36.63328E</t>
  </si>
  <si>
    <t>55;50;41.34723N</t>
  </si>
  <si>
    <t>7;32;35.13575E</t>
  </si>
  <si>
    <t>0596_OI104287_SE_CPT_141_P50_20230624131359 - 0001.db</t>
  </si>
  <si>
    <t>230624131329.SBD</t>
  </si>
  <si>
    <t>OI104287_SEROV1_ET2200SSS_CPT_141_P50.002.jsf</t>
  </si>
  <si>
    <t>55;50;35.62518N</t>
  </si>
  <si>
    <t>7;32;36.83944E</t>
  </si>
  <si>
    <t>55;50;35.56014N</t>
  </si>
  <si>
    <t>7;32;35.35723E</t>
  </si>
  <si>
    <t>003608_20230624_13.14_OI104287SEROV1SPRINTNAV500.bin</t>
  </si>
  <si>
    <t>55;50;35.24801N</t>
  </si>
  <si>
    <t>7;32;37.33801E</t>
  </si>
  <si>
    <t>55;50;35.36718N</t>
  </si>
  <si>
    <t>7;32;35.88348E</t>
  </si>
  <si>
    <t>0597_OI104287_SE_CPT_141_P41_20230624132244 - 0001.db</t>
  </si>
  <si>
    <t>230624132218.SBD</t>
  </si>
  <si>
    <t>OI104287_SEROV1_ET2200SSS_CPT_141_P41.001.jsf</t>
  </si>
  <si>
    <t>55;50;41.14120N</t>
  </si>
  <si>
    <t>7;32;37.15629E</t>
  </si>
  <si>
    <t>55;50;41.24931N</t>
  </si>
  <si>
    <t>7;32;35.66170E</t>
  </si>
  <si>
    <t>55;50;41.19327N</t>
  </si>
  <si>
    <t>7;32;37.62207E</t>
  </si>
  <si>
    <t>55;50;41.36956N</t>
  </si>
  <si>
    <t>7;32;36.17889E</t>
  </si>
  <si>
    <t>0598_OI104287_SE_CPT_141_P32_20230624133106 - 0001.db</t>
  </si>
  <si>
    <t>230624133054.SBD</t>
  </si>
  <si>
    <t>OI104287_SEROV1_ET2200SSS_CPT_141_P32.001.jsf</t>
  </si>
  <si>
    <t>003609_20230624_13.29_OI104287SEROV1SPRINTNAV500.bin</t>
  </si>
  <si>
    <t>55;50;35.33718N</t>
  </si>
  <si>
    <t>7;32;37.87162E</t>
  </si>
  <si>
    <t>55;50;35.39343N</t>
  </si>
  <si>
    <t>7;32;36.39615E</t>
  </si>
  <si>
    <t>55;50;34.93665N</t>
  </si>
  <si>
    <t>7;32;38.35728E</t>
  </si>
  <si>
    <t>55;50;35.21042N</t>
  </si>
  <si>
    <t>7;32;36.92150E</t>
  </si>
  <si>
    <t>0599_OI104287_SE_CPT_141_P23_20230624133922 - 0001.db</t>
  </si>
  <si>
    <t>230624133908.SBD</t>
  </si>
  <si>
    <t>OI104287_SEROV1_ET2200SSS_CPT_141_P23.001.jsf</t>
  </si>
  <si>
    <t>55;50;41.24744N</t>
  </si>
  <si>
    <t>7;32;38.13442E</t>
  </si>
  <si>
    <t>55;50;41.18262N</t>
  </si>
  <si>
    <t>7;32;36.70122E</t>
  </si>
  <si>
    <t>003610_20230624_13.44_OI104287SEROV1SPRINTNAV500.bin</t>
  </si>
  <si>
    <t>55;50;41.49373N</t>
  </si>
  <si>
    <t>7;32;38.67497E</t>
  </si>
  <si>
    <t>55;50;41.43081N</t>
  </si>
  <si>
    <t>7;32;37.20605E</t>
  </si>
  <si>
    <t>0600_OI104287_SE_CPT_141_P14_20230624134804 - 0001.db</t>
  </si>
  <si>
    <t>230624134753.SBD</t>
  </si>
  <si>
    <t>OI104287_SEROV1_ET2200SSS_CPT_141_P14.001.jsf</t>
  </si>
  <si>
    <t>55;50;35.45528N</t>
  </si>
  <si>
    <t>7;32;38.89912E</t>
  </si>
  <si>
    <t>55;50;35.35013N</t>
  </si>
  <si>
    <t>7;32;37.43085E</t>
  </si>
  <si>
    <t>55;50;35.14109N</t>
  </si>
  <si>
    <t>7;32;39.43486E</t>
  </si>
  <si>
    <t>55;50;35.15640N</t>
  </si>
  <si>
    <t>7;32;37.95740E</t>
  </si>
  <si>
    <t>0601_OI104287_SE_CPT_141_P05_20230624135634 - 0001.db</t>
  </si>
  <si>
    <t>230624135622.SBD</t>
  </si>
  <si>
    <t>OI104287_SEROV1_ET2200SSS_CPT_141_P05.001.jsf</t>
  </si>
  <si>
    <t>55;50;41.16903N</t>
  </si>
  <si>
    <t>7;32;39.24117E</t>
  </si>
  <si>
    <t>55;50;41.20571N</t>
  </si>
  <si>
    <t>7;32;37.73290E</t>
  </si>
  <si>
    <t>003611_20230624_13.59_OI104287SEROV1SPRINTNAV500.bin</t>
  </si>
  <si>
    <t>55;50;41.46889N</t>
  </si>
  <si>
    <t>7;32;39.73777E</t>
  </si>
  <si>
    <t>55;50;41.39641N</t>
  </si>
  <si>
    <t>7;32;38.23863E</t>
  </si>
  <si>
    <t>0602_OI104287_SE_CPT_141_S05_20230624140456 - 0001.db</t>
  </si>
  <si>
    <t>230624140447.SBD</t>
  </si>
  <si>
    <t>OI104287_SEROV1_ET2200SSS_CPT_141_S05.001.jsf</t>
  </si>
  <si>
    <t>55;50;35.34320N</t>
  </si>
  <si>
    <t>7;32;40.00458E</t>
  </si>
  <si>
    <t>55;50;35.24542N</t>
  </si>
  <si>
    <t>7;32;38.46917E</t>
  </si>
  <si>
    <t>55;50;34.46776N</t>
  </si>
  <si>
    <t>7;32;40.55240E</t>
  </si>
  <si>
    <t>55;50;34.85224N</t>
  </si>
  <si>
    <t>7;32;39.14237E</t>
  </si>
  <si>
    <t>55;50;34.47776N</t>
  </si>
  <si>
    <t>7;32;40.51672E</t>
  </si>
  <si>
    <t>55;50;34.54053N</t>
  </si>
  <si>
    <t>7;32;39.81798E</t>
  </si>
  <si>
    <t>WROV on deck EOD #019</t>
  </si>
  <si>
    <t>Recovery ROV onboard due a broken shear pin on portside grad frame</t>
  </si>
  <si>
    <t>55;50;34.58544N</t>
  </si>
  <si>
    <t>7;32;40.09824E</t>
  </si>
  <si>
    <t>55;50;34.46359N</t>
  </si>
  <si>
    <t>7;32;40.72655E</t>
  </si>
  <si>
    <t>WROV off deck SOD #020</t>
  </si>
  <si>
    <t>Shear pin replacing</t>
  </si>
  <si>
    <t>55;50;34.94551N</t>
  </si>
  <si>
    <t>7;32;37.63486E</t>
  </si>
  <si>
    <t>55;50;35.20936N</t>
  </si>
  <si>
    <t>7;32;38.99119E</t>
  </si>
  <si>
    <t>0603_OI104287_SE_CPT_141_S14_20230624144413 - 0001.db</t>
  </si>
  <si>
    <t>230624144336.SBD</t>
  </si>
  <si>
    <t>OI104287_SEROV1_ET2200SSS_CPT_141_S14.001.jsf</t>
  </si>
  <si>
    <t>003613_20230624_14.29_OI104287SEROV1SPRINTNAV500.bin</t>
  </si>
  <si>
    <t>55;50;40.95583N</t>
  </si>
  <si>
    <t>7;32;37.43413E</t>
  </si>
  <si>
    <t>55;50;41.18489N</t>
  </si>
  <si>
    <t>7;32;38.76639E</t>
  </si>
  <si>
    <t>003614_20230624_14.44_OI104287SEROV1SPRINTNAV500.bin</t>
  </si>
  <si>
    <t>55;50;41.46773N</t>
  </si>
  <si>
    <t>7;32;37.88115E</t>
  </si>
  <si>
    <t>55;50;41.43126N</t>
  </si>
  <si>
    <t>7;32;39.28510E</t>
  </si>
  <si>
    <t>0604_OI104287_SE_CPT_141_S23_20230624145234 - 0001.db</t>
  </si>
  <si>
    <t>230624145222.SBD</t>
  </si>
  <si>
    <t>OI104287_SEROV1_ET2200SSS_CPT_141_S23.001.jsf</t>
  </si>
  <si>
    <t>55;50;36.71899N</t>
  </si>
  <si>
    <t>7;32;37.93069E</t>
  </si>
  <si>
    <t>55;50;36.40006N</t>
  </si>
  <si>
    <t>7;32;39.52529E</t>
  </si>
  <si>
    <t>55;50;36.80245N</t>
  </si>
  <si>
    <t>7;32;37.92582E</t>
  </si>
  <si>
    <t>55;50;36.34394N</t>
  </si>
  <si>
    <t>7;32;39.52831E</t>
  </si>
  <si>
    <t xml:space="preserve">WROV lost navigation data  - heading and positioning </t>
  </si>
  <si>
    <t>55;50;36.63385N</t>
  </si>
  <si>
    <t>7;32;37.99825E</t>
  </si>
  <si>
    <t>55;50;36.33624N</t>
  </si>
  <si>
    <t>7;32;39.47791E</t>
  </si>
  <si>
    <t>0605_OI104287_SE_CPT_141_S23_20230624145810 - 0001.db</t>
  </si>
  <si>
    <t>55;50;36.63840N</t>
  </si>
  <si>
    <t>7;32;37.99809E</t>
  </si>
  <si>
    <t>55;50;36.32658N</t>
  </si>
  <si>
    <t>7;32;39.47640E</t>
  </si>
  <si>
    <t>CPT_141_S23_INF0001</t>
  </si>
  <si>
    <t>55;50;35.10047N</t>
  </si>
  <si>
    <t>7;32;38.03789E</t>
  </si>
  <si>
    <t>55;50;35.20227N</t>
  </si>
  <si>
    <t>7;32;39.50899E</t>
  </si>
  <si>
    <t>0606_OI104287_SE_CPT_141_S23_INF0001_20230624150613 - 0001.db</t>
  </si>
  <si>
    <t>230624150558.SBD</t>
  </si>
  <si>
    <t>OI104287_SEROV1_ET2200SSS_CPT_141_S23_INF0001.001.jsf</t>
  </si>
  <si>
    <t>003615_20230624_14.59_OI104287SEROV1SPRINTNAV500.bin</t>
  </si>
  <si>
    <t>55;50;37.98476N</t>
  </si>
  <si>
    <t>7;32;37.98957E</t>
  </si>
  <si>
    <t>55;50;37.86611N</t>
  </si>
  <si>
    <t>7;32;39.41273E</t>
  </si>
  <si>
    <t>55;50;35.31718N</t>
  </si>
  <si>
    <t>7;32;38.59701E</t>
  </si>
  <si>
    <t>55;50;35.24874N</t>
  </si>
  <si>
    <t>7;32;40.02136E</t>
  </si>
  <si>
    <t>0607_OI104287_SE_CPT_141_S32_20230624151827 - 0001.db</t>
  </si>
  <si>
    <t>230624151819.SBD</t>
  </si>
  <si>
    <t>OI104287_SEROV1_ET2200SSS_CPT_141_S32.001.jsf</t>
  </si>
  <si>
    <t>003616_20230624_15.14_OI104287SEROV1SPRINTNAV500.bin</t>
  </si>
  <si>
    <t>55;50;41.21381N</t>
  </si>
  <si>
    <t>7;32;38.37562E</t>
  </si>
  <si>
    <t>55;50;41.17297N</t>
  </si>
  <si>
    <t>7;32;39.80410E</t>
  </si>
  <si>
    <t>55;50;41.62852N</t>
  </si>
  <si>
    <t>7;32;38.83377E</t>
  </si>
  <si>
    <t>55;50;41.45058N</t>
  </si>
  <si>
    <t>7;32;40.31376E</t>
  </si>
  <si>
    <t>0608_OI104287_SE_CPT_141_S41_20230624152642 - 0001.db</t>
  </si>
  <si>
    <t>230624152627.SBD</t>
  </si>
  <si>
    <t>OI104287_SEROV1_ET2200SSS_CPT_141_S41.001.jsf</t>
  </si>
  <si>
    <t>55;50;35.59000N</t>
  </si>
  <si>
    <t>7;32;39.07211E</t>
  </si>
  <si>
    <t>55;50;35.45408N</t>
  </si>
  <si>
    <t>7;32;40.53343E</t>
  </si>
  <si>
    <t>003617_20230624_15.29_OI104287SEROV1SPRINTNAV500.bin</t>
  </si>
  <si>
    <t>55;50;35.07708N</t>
  </si>
  <si>
    <t>7;32;39.59850E</t>
  </si>
  <si>
    <t>55;50;35.18930N</t>
  </si>
  <si>
    <t>7;32;41.06511E</t>
  </si>
  <si>
    <t>0609_OI104287_SE_CPT_141_S50_20230624153502 - 0001.db</t>
  </si>
  <si>
    <t>230624153452.SBD</t>
  </si>
  <si>
    <t>OI104287_SEROV1_ET2200SSS_CPT_141_S50.001.jsf</t>
  </si>
  <si>
    <t>55;50;41.89230N</t>
  </si>
  <si>
    <t>7;32;39.43150E</t>
  </si>
  <si>
    <t>55;50;41.73859N</t>
  </si>
  <si>
    <t>7;32;40.81526E</t>
  </si>
  <si>
    <t>55;50;42.88041N</t>
  </si>
  <si>
    <t>7;32;39.27406E</t>
  </si>
  <si>
    <t>55;50;42.81086N</t>
  </si>
  <si>
    <t>7;32;39.90096E</t>
  </si>
  <si>
    <t>WROV in latch, vessel start transit to BH_059</t>
  </si>
  <si>
    <t>55;50;46.93333N</t>
  </si>
  <si>
    <t>7;34;10.53282E</t>
  </si>
  <si>
    <t>55;50;46.96171N</t>
  </si>
  <si>
    <t>7;34;11.54923E</t>
  </si>
  <si>
    <t>55;50;46.93538N</t>
  </si>
  <si>
    <t>7;34;10.53176E</t>
  </si>
  <si>
    <t>55;50;46.96503N</t>
  </si>
  <si>
    <t>7;34;11.56492E</t>
  </si>
  <si>
    <t>OI104287_SE_SVX2_SVP_20230624_1601_555078N_0073417E_053</t>
  </si>
  <si>
    <t>55;50;46.93674N</t>
  </si>
  <si>
    <t>7;34;10.53032E</t>
  </si>
  <si>
    <t>SVP_053</t>
  </si>
  <si>
    <t>55;50;47.83338N</t>
  </si>
  <si>
    <t>7;34;10.47472E</t>
  </si>
  <si>
    <t>55;50;47.64608N</t>
  </si>
  <si>
    <t>7;34;11.95991E</t>
  </si>
  <si>
    <t>0610_OI104287_SE_BH_059_P72_20230624160951 - 0001.db</t>
  </si>
  <si>
    <t>230624160933.SBD</t>
  </si>
  <si>
    <t>OI104287_SEROV1_ET2200SSS_BH_059_P72.001.jsf</t>
  </si>
  <si>
    <t>003619_20230624_15.59_OI104287SEROV1SPRINTNAV500.bin</t>
  </si>
  <si>
    <t>55;50;55.15872N</t>
  </si>
  <si>
    <t>7;34;10.25050E</t>
  </si>
  <si>
    <t>55;50;55.09685N</t>
  </si>
  <si>
    <t>7;34;11.67687E</t>
  </si>
  <si>
    <t>003620_20230624_16.14_OI104287SEROV1SPRINTNAV500.bin</t>
  </si>
  <si>
    <t>55;50;55.35551N</t>
  </si>
  <si>
    <t>7;34;10.77096E</t>
  </si>
  <si>
    <t>55;50;55.29887N</t>
  </si>
  <si>
    <t>7;34;12.20040E</t>
  </si>
  <si>
    <t>0611_OI104287_SE_BH_059_P63_20230624162124 - 0001.db</t>
  </si>
  <si>
    <t>230624162104.SBD</t>
  </si>
  <si>
    <t>OI104287_SEROV1_ET2200SSS_BH_059_P63.001.jsf</t>
  </si>
  <si>
    <t>55;50;48.02876N</t>
  </si>
  <si>
    <t>7;34;11.04161E</t>
  </si>
  <si>
    <t>55;50;47.87269N</t>
  </si>
  <si>
    <t>7;34;12.46232E</t>
  </si>
  <si>
    <t>55;50;47.76561N</t>
  </si>
  <si>
    <t>7;34;11.52652E</t>
  </si>
  <si>
    <t>55;50;47.66177N</t>
  </si>
  <si>
    <t>7;34;12.98736E</t>
  </si>
  <si>
    <t>0612_OI104287_SE_BH_059_P54_20230624163252 - 0001.db</t>
  </si>
  <si>
    <t>230624163237.SBD</t>
  </si>
  <si>
    <t>OI104287_SEROV1_ET2200SSS_BH_059_P54.001.jsf</t>
  </si>
  <si>
    <t>003621_20230624_16.29_OI104287SEROV1SPRINTNAV500.bin</t>
  </si>
  <si>
    <t>55;50;55.20177N</t>
  </si>
  <si>
    <t>7;34;11.28930E</t>
  </si>
  <si>
    <t>55;50;55.11330N</t>
  </si>
  <si>
    <t>7;34;12.71217E</t>
  </si>
  <si>
    <t>55;50;55.38006N</t>
  </si>
  <si>
    <t>7;34;11.79707E</t>
  </si>
  <si>
    <t>55;50;55.33237N</t>
  </si>
  <si>
    <t>7;34;13.23027E</t>
  </si>
  <si>
    <t>0613_OI104287_SE_BH_059_P45_20230624164427 - 0001.db</t>
  </si>
  <si>
    <t>230624164356.SBD</t>
  </si>
  <si>
    <t>OI104287_SEROV1_ET2200SSS_BH_059_P45.001.jsf</t>
  </si>
  <si>
    <t>003622_20230624_16.44_OI104287SEROV1SPRINTNAV500.bin</t>
  </si>
  <si>
    <t>55;50;47.96802N</t>
  </si>
  <si>
    <t>7;34;12.06867E</t>
  </si>
  <si>
    <t>55;50;47.86665N</t>
  </si>
  <si>
    <t>7;34;13.49913E</t>
  </si>
  <si>
    <t>55;50;47.76886N</t>
  </si>
  <si>
    <t>7;34;12.55541E</t>
  </si>
  <si>
    <t>55;50;47.66358N</t>
  </si>
  <si>
    <t>7;34;14.02387E</t>
  </si>
  <si>
    <t>0614_OI104287_SE_BH_059_P36_20230624165541 - 0001.db</t>
  </si>
  <si>
    <t>230624165509.SBD</t>
  </si>
  <si>
    <t>OI104287_SEROV1_ET2200SSS_BH_059_P36.001.jsf</t>
  </si>
  <si>
    <t>55;50;55.18904N</t>
  </si>
  <si>
    <t>7;34;12.32695E</t>
  </si>
  <si>
    <t>55;50;55.11707N</t>
  </si>
  <si>
    <t>7;34;13.74988E</t>
  </si>
  <si>
    <t>003623_20230624_16.59_OI104287SEROV1SPRINTNAV500.bin</t>
  </si>
  <si>
    <t>55;50;55.35250N</t>
  </si>
  <si>
    <t>7;34;12.82038E</t>
  </si>
  <si>
    <t>55;50;55.33644N</t>
  </si>
  <si>
    <t>7;34;14.25984E</t>
  </si>
  <si>
    <t>0615_OI104287_SE_BH_059_P27_20230624170642 - 0001.db</t>
  </si>
  <si>
    <t>230624170630.SBD</t>
  </si>
  <si>
    <t>OI104287_SEROV1_ET2200SSS_BH_059_P27.001.jsf</t>
  </si>
  <si>
    <t>55;50;47.91161N</t>
  </si>
  <si>
    <t>7;34;13.08816E</t>
  </si>
  <si>
    <t>55;50;47.86907N</t>
  </si>
  <si>
    <t>7;34;14.53624E</t>
  </si>
  <si>
    <t>55;50;47.64075N</t>
  </si>
  <si>
    <t>7;34;13.55890E</t>
  </si>
  <si>
    <t>55;50;47.66750N</t>
  </si>
  <si>
    <t>7;34;15.05555E</t>
  </si>
  <si>
    <t>0616_OI104287_SE_BH_059_P18_20230624171735 - 0001.db</t>
  </si>
  <si>
    <t>230624171709.SBD</t>
  </si>
  <si>
    <t>OI104287_SEROV1_ET2200SSS_BH_059_P18.001.jsf</t>
  </si>
  <si>
    <t>003624_20230624_17.14_OI104287SEROV1SPRINTNAV500.bin</t>
  </si>
  <si>
    <t>55;50;54.96495N</t>
  </si>
  <si>
    <t>7;34;13.29161E</t>
  </si>
  <si>
    <t>55;50;55.13231N</t>
  </si>
  <si>
    <t>7;34;14.78367E</t>
  </si>
  <si>
    <t>55;50;55.31318N</t>
  </si>
  <si>
    <t>7;34;13.88371E</t>
  </si>
  <si>
    <t>55;50;55.31652N</t>
  </si>
  <si>
    <t>7;34;15.29785E</t>
  </si>
  <si>
    <t>0617_OI104287_SE_BH_059_P09_20230624172834 - 0001.db</t>
  </si>
  <si>
    <t>230624172815.SBD</t>
  </si>
  <si>
    <t>OI104287_SEROV1_ET2200SSS_BH_059_P09.001.jsf</t>
  </si>
  <si>
    <t>55;50;47.74925N</t>
  </si>
  <si>
    <t>7;34;14.14585E</t>
  </si>
  <si>
    <t>55;50;47.87661N</t>
  </si>
  <si>
    <t>7;34;15.57033E</t>
  </si>
  <si>
    <t>003625_20230624_17.29_OI104287SEROV1SPRINTNAV500.bin</t>
  </si>
  <si>
    <t>55;50;47.83348N</t>
  </si>
  <si>
    <t>7;34;14.64312E</t>
  </si>
  <si>
    <t>55;50;47.68877N</t>
  </si>
  <si>
    <t>7;34;16.09266E</t>
  </si>
  <si>
    <t>0618_OI104287_SE_BH_059_C00_20230624174016 - 0001.db</t>
  </si>
  <si>
    <t>230624173952.SBD</t>
  </si>
  <si>
    <t>OI104287_SEROV1_ET2200SSS_BH_059_C00.001.jsf</t>
  </si>
  <si>
    <t>55;50;55.30603N</t>
  </si>
  <si>
    <t>7;34;14.40127E</t>
  </si>
  <si>
    <t>55;50;55.11269N</t>
  </si>
  <si>
    <t>7;34;15.81867E</t>
  </si>
  <si>
    <t>003626_20230624_17.44_OI104287SEROV1SPRINTNAV500.bin</t>
  </si>
  <si>
    <t>55;50;55.14731N</t>
  </si>
  <si>
    <t>7;34;14.90956E</t>
  </si>
  <si>
    <t>55;50;55.28907N</t>
  </si>
  <si>
    <t>7;34;16.33164E</t>
  </si>
  <si>
    <t>0619_OI104287_SE_BH_059_S09_20230624175142 - 0001.db</t>
  </si>
  <si>
    <t>230624175112.SBD</t>
  </si>
  <si>
    <t>OI104287_SEROV1_ET2200SSS_BH_059_S09.001.jsf</t>
  </si>
  <si>
    <t>55;50;47.86466N</t>
  </si>
  <si>
    <t>7;34;15.15624E</t>
  </si>
  <si>
    <t>55;50;47.89291N</t>
  </si>
  <si>
    <t>7;34;16.59567E</t>
  </si>
  <si>
    <t>55;50;47.62832N</t>
  </si>
  <si>
    <t>7;34;15.66198E</t>
  </si>
  <si>
    <t>55;50;47.71835N</t>
  </si>
  <si>
    <t>7;34;17.12705E</t>
  </si>
  <si>
    <t>0620_OI104287_SE_BH_059_S18_20230624180245 - 0001.db</t>
  </si>
  <si>
    <t>230624180227.SBD</t>
  </si>
  <si>
    <t>OI104287_SEROV1_ET2200SSS_BH_059_S18.001.jsf</t>
  </si>
  <si>
    <t>003627_20230624_17.59_OI104287SEROV1SPRINTNAV500.bin</t>
  </si>
  <si>
    <t>55;50;54.95967N</t>
  </si>
  <si>
    <t>7;34;15.41290E</t>
  </si>
  <si>
    <t>55;50;55.10681N</t>
  </si>
  <si>
    <t>7;34;16.86000E</t>
  </si>
  <si>
    <t>55;50;55.31241N</t>
  </si>
  <si>
    <t>7;34;15.91812E</t>
  </si>
  <si>
    <t>55;50;55.34112N</t>
  </si>
  <si>
    <t>7;34;17.37147E</t>
  </si>
  <si>
    <t>0621_OI104287_SE_BH_059_S27_20230624181348 - 0001.db</t>
  </si>
  <si>
    <t>230624181328.SBD</t>
  </si>
  <si>
    <t>OI104287_SEROV1_ET2200SSS_BH_059_S27.001.jsf</t>
  </si>
  <si>
    <t>55;50;47.86830N</t>
  </si>
  <si>
    <t>7;34;16.14127E</t>
  </si>
  <si>
    <t>55;50;47.91629N</t>
  </si>
  <si>
    <t>7;34;17.63429E</t>
  </si>
  <si>
    <t>003628_20230624_18.14_OI104287SEROV1SPRINTNAV500.bin</t>
  </si>
  <si>
    <t>55;50;47.78914N</t>
  </si>
  <si>
    <t>7;34;16.68658E</t>
  </si>
  <si>
    <t>55;50;47.72106N</t>
  </si>
  <si>
    <t>7;34;18.16144E</t>
  </si>
  <si>
    <t>0622_OI104287_SE_BH_059_S36_20230624182518 - 0001.db</t>
  </si>
  <si>
    <t>230624182503.SBD</t>
  </si>
  <si>
    <t>OI104287_SEROV1_ET2200SSS_BH_059_S36.001.jsf</t>
  </si>
  <si>
    <t>55;50;55.14722N</t>
  </si>
  <si>
    <t>7;34;16.42299E</t>
  </si>
  <si>
    <t>55;50;55.10802N</t>
  </si>
  <si>
    <t>7;34;17.89078E</t>
  </si>
  <si>
    <t>003629_20230624_18.29_OI104287SEROV1SPRINTNAV500.bin</t>
  </si>
  <si>
    <t>55;50;55.53985N</t>
  </si>
  <si>
    <t>7;34;16.98687E</t>
  </si>
  <si>
    <t>55;50;55.32211N</t>
  </si>
  <si>
    <t>7;34;18.40133E</t>
  </si>
  <si>
    <t>0623_OI104287_SE_BH_059_S45_20230624183617 - 0001.db</t>
  </si>
  <si>
    <t>230624183605.SBD</t>
  </si>
  <si>
    <t>OI104287_SEROV1_ET2200SSS_BH_059_S45.001.jsf</t>
  </si>
  <si>
    <t>55;50;47.97039N</t>
  </si>
  <si>
    <t>7;34;17.22709E</t>
  </si>
  <si>
    <t>55;50;47.90799N</t>
  </si>
  <si>
    <t>7;34;18.66959E</t>
  </si>
  <si>
    <t>55;50;47.62706N</t>
  </si>
  <si>
    <t>7;34;17.76640E</t>
  </si>
  <si>
    <t>55;50;47.68561N</t>
  </si>
  <si>
    <t>7;34;19.19614E</t>
  </si>
  <si>
    <t>0624_OI104287_SE_BH_059_S54_20230624184800 - 0001.db</t>
  </si>
  <si>
    <t>230624184739.SBD</t>
  </si>
  <si>
    <t>OI104287_SEROV1_ET2200SSS_BH_059_S54.001.jsf</t>
  </si>
  <si>
    <t>003630_20230624_18.44_OI104287SEROV1SPRINTNAV500.bin</t>
  </si>
  <si>
    <t>55;50;55.11606N</t>
  </si>
  <si>
    <t>7;34;17.48715E</t>
  </si>
  <si>
    <t>55;50;55.15403N</t>
  </si>
  <si>
    <t>7;34;18.92728E</t>
  </si>
  <si>
    <t>55;50;55.51292N</t>
  </si>
  <si>
    <t>7;34;18.02439E</t>
  </si>
  <si>
    <t>55;50;55.35409N</t>
  </si>
  <si>
    <t>7;34;19.43784E</t>
  </si>
  <si>
    <t>0625_OI104287_SE_BH_059_S63_20230624185826 - 0001.db</t>
  </si>
  <si>
    <t>230624185813.SBD</t>
  </si>
  <si>
    <t>OI104287_SEROV1_ET2200SSS_BH_059_S63.001.jsf</t>
  </si>
  <si>
    <t>55;50;48.04787N</t>
  </si>
  <si>
    <t>7;34;18.25466E</t>
  </si>
  <si>
    <t>55;50;47.92550N</t>
  </si>
  <si>
    <t>7;34;19.71213E</t>
  </si>
  <si>
    <t>003631_20230624_18.59_OI104287SEROV1SPRINTNAV500.bin</t>
  </si>
  <si>
    <t>55;50;47.66756N</t>
  </si>
  <si>
    <t>7;34;18.78840E</t>
  </si>
  <si>
    <t>55;50;47.71744N</t>
  </si>
  <si>
    <t>7;34;20.22872E</t>
  </si>
  <si>
    <t>0626_OI104287_SE_BH_059_S72_20230624190941 - 0001.db</t>
  </si>
  <si>
    <t>230624190925.SBD</t>
  </si>
  <si>
    <t>OI104287_SEROV1_ET2200SSS_BH_059_S72.001.jsf</t>
  </si>
  <si>
    <t>55;50;55.08725N</t>
  </si>
  <si>
    <t>7;34;18.53217E</t>
  </si>
  <si>
    <t>55;50;55.11918N</t>
  </si>
  <si>
    <t>7;34;19.95775E</t>
  </si>
  <si>
    <t>003632_20230624_19.14_OI104287SEROV1SPRINTNAV500.bin</t>
  </si>
  <si>
    <t>Total lines</t>
  </si>
  <si>
    <t>Percentage</t>
  </si>
  <si>
    <t>Remain</t>
  </si>
  <si>
    <t>55;51;52.38520N</t>
  </si>
  <si>
    <t>7;34;49.50397E</t>
  </si>
  <si>
    <t>55;51;52.54388N</t>
  </si>
  <si>
    <t>7;34;48.94402E</t>
  </si>
  <si>
    <t>WROV in latch, vessel start transit to CPT_109</t>
  </si>
  <si>
    <t>55;51;57.03964N</t>
  </si>
  <si>
    <t>7;34;52.09248E</t>
  </si>
  <si>
    <t>55;51;57.17829N</t>
  </si>
  <si>
    <t>7;34;51.51974E</t>
  </si>
  <si>
    <t>Qinsy PC restarted</t>
  </si>
  <si>
    <t>OI104287_SE_SVX2_SVP_20230624_1941_555199N_0073491E_054</t>
  </si>
  <si>
    <t>55;51;59.81257N</t>
  </si>
  <si>
    <t>7;34;55.11823E</t>
  </si>
  <si>
    <t>55;51;59.71237N</t>
  </si>
  <si>
    <t>7;34;56.14796E</t>
  </si>
  <si>
    <t>SVP_054</t>
  </si>
  <si>
    <t>55;52;00.58244N</t>
  </si>
  <si>
    <t>7;34;55.05575E</t>
  </si>
  <si>
    <t>55;52;00.52091N</t>
  </si>
  <si>
    <t>7;34;56.47204E</t>
  </si>
  <si>
    <t>0627_OI104287_SE_CPT_109_P50_20230624194815 - 0001.db</t>
  </si>
  <si>
    <t>230624194803.SBD</t>
  </si>
  <si>
    <t>OI104287_SEROV1_ET2200SSS_CPT_109_P50.001.jsf</t>
  </si>
  <si>
    <t>003634_20230624_19.44_OI104287SEROV1SPRINTNAV500.bin</t>
  </si>
  <si>
    <t>55;52;06.57826N</t>
  </si>
  <si>
    <t>7;34;54.81359E</t>
  </si>
  <si>
    <t>55;52;06.54004N</t>
  </si>
  <si>
    <t>7;34;56.25116E</t>
  </si>
  <si>
    <t>55;52;07.00883N</t>
  </si>
  <si>
    <t>7;34;55.35009E</t>
  </si>
  <si>
    <t>55;52;06.74704N</t>
  </si>
  <si>
    <t>7;34;56.76021E</t>
  </si>
  <si>
    <t>0628_OI104287_SE_CPT_109_P41_20230624195752 - 0001.db</t>
  </si>
  <si>
    <t>230624195743.SBD</t>
  </si>
  <si>
    <t>OI104287_SEROV1_ET2200SSS_CPT_109_P41.001.jsf</t>
  </si>
  <si>
    <t>55;52;01.00387N</t>
  </si>
  <si>
    <t>7;34;55.47739E</t>
  </si>
  <si>
    <t>55;52;00.85660N</t>
  </si>
  <si>
    <t>7;34;56.97747E</t>
  </si>
  <si>
    <t>003635_20230624_19.59_OI104287SEROV1SPRINTNAV500.bin</t>
  </si>
  <si>
    <t>55;52;00.63884N</t>
  </si>
  <si>
    <t>7;34;56.04004E</t>
  </si>
  <si>
    <t>55;52;00.65956N</t>
  </si>
  <si>
    <t>7;34;57.50704E</t>
  </si>
  <si>
    <t>0629_OI104287_SE_CPT_109_P32_20230624200726 - 0001.db</t>
  </si>
  <si>
    <t>230624200715.SBD</t>
  </si>
  <si>
    <t>OI104287_SEROV1_ET2200SSS_CPT_109_P32.001.jsf</t>
  </si>
  <si>
    <t>55;52;06.51295N</t>
  </si>
  <si>
    <t>7;34;55.90394E</t>
  </si>
  <si>
    <t>55;52;06.54849N</t>
  </si>
  <si>
    <t>7;34;57.29400E</t>
  </si>
  <si>
    <t>55;52;06.91375N</t>
  </si>
  <si>
    <t>7;34;56.35104E</t>
  </si>
  <si>
    <t>55;52;06.84782N</t>
  </si>
  <si>
    <t>7;34;57.80456E</t>
  </si>
  <si>
    <t>0630_OI104287_SE_CPT_109_P23_20230624201903 - 0001.db</t>
  </si>
  <si>
    <t>230624201853.SBD</t>
  </si>
  <si>
    <t>OI104287_SEROV1_ET2200SSS_CPT_109_P23.001.jsf</t>
  </si>
  <si>
    <t>003636_20230624_20.14_OI104287SEROV1SPRINTNAV500.bin</t>
  </si>
  <si>
    <t>55;52;00.86872N</t>
  </si>
  <si>
    <t>7;34;56.52637E</t>
  </si>
  <si>
    <t>55;52;00.84468N</t>
  </si>
  <si>
    <t>7;34;58.01910E</t>
  </si>
  <si>
    <t>55;52;00.68456N</t>
  </si>
  <si>
    <t>7;34;57.07413E</t>
  </si>
  <si>
    <t>55;52;00.64764N</t>
  </si>
  <si>
    <t>7;34;58.53841E</t>
  </si>
  <si>
    <t>0631_OI104287_SE_CPT_109_P14_20230624202850 - 0001.db</t>
  </si>
  <si>
    <t>230624202844.SBD</t>
  </si>
  <si>
    <t>OI104287_SEROV1_ET2200SSS_CPT_109_P14.001.jsf</t>
  </si>
  <si>
    <t>55;52;06.63464N</t>
  </si>
  <si>
    <t>7;34;56.91703E</t>
  </si>
  <si>
    <t>55;52;06.59209N</t>
  </si>
  <si>
    <t>7;34;58.32749E</t>
  </si>
  <si>
    <t>003637_20230624_20.29_OI104287SEROV1SPRINTNAV500.bin</t>
  </si>
  <si>
    <t>55;52;06.97570N</t>
  </si>
  <si>
    <t>7;34;57.44215E</t>
  </si>
  <si>
    <t>55;52;06.80090N</t>
  </si>
  <si>
    <t>7;34;58.83352E</t>
  </si>
  <si>
    <t>0632_OI104287_SE_CPT_109_P05_20230624203836 - 0001.db</t>
  </si>
  <si>
    <t>230624203811.SBD</t>
  </si>
  <si>
    <t>OI104287_SEROV1_ET2200SSS_CPT_109_P05.001.jsf</t>
  </si>
  <si>
    <t>55;52;00.87291N</t>
  </si>
  <si>
    <t>7;34;57.61563E</t>
  </si>
  <si>
    <t>55;52;00.86792N</t>
  </si>
  <si>
    <t>7;34;59.05470E</t>
  </si>
  <si>
    <t>003638_20230624_20.44_OI104287SEROV1SPRINTNAV500.bin</t>
  </si>
  <si>
    <t>55;52;00.76527N</t>
  </si>
  <si>
    <t>7;34;58.13183E</t>
  </si>
  <si>
    <t>55;52;00.65096N</t>
  </si>
  <si>
    <t>7;34;59.58759E</t>
  </si>
  <si>
    <t>0633_OI104287_SE_CPT_109_S05_20230624204836 - 0001.db</t>
  </si>
  <si>
    <t>230624204813.SBD</t>
  </si>
  <si>
    <t>OI104287_SEROV1_ET2200SSS_CPT_109_S05.001.jsf</t>
  </si>
  <si>
    <t>55;52;06.73546N</t>
  </si>
  <si>
    <t>7;34;57.96441E</t>
  </si>
  <si>
    <t>55;52;06.58319N</t>
  </si>
  <si>
    <t>7;34;59.36641E</t>
  </si>
  <si>
    <t>55;52;06.87120N</t>
  </si>
  <si>
    <t>7;34;58.46539E</t>
  </si>
  <si>
    <t>55;52;06.79743N</t>
  </si>
  <si>
    <t>7;34;59.87606E</t>
  </si>
  <si>
    <t>0634_OI104287_SE_CPT_109_S14_20230624205813 - 0001.db</t>
  </si>
  <si>
    <t>230624205752.SBD</t>
  </si>
  <si>
    <t>OI104287_SEROV1_ET2200SSS_CPT_109_S14.001.jsf</t>
  </si>
  <si>
    <t>55;52;00.89760N</t>
  </si>
  <si>
    <t>7;34;58.65791E</t>
  </si>
  <si>
    <t>55;52;00.85691N</t>
  </si>
  <si>
    <t>7;35;00.08970E</t>
  </si>
  <si>
    <t>003639_20230624_20.59_OI104287SEROV1SPRINTNAV500.bin</t>
  </si>
  <si>
    <t>55;52;00.78115N</t>
  </si>
  <si>
    <t>7;34;59.19338E</t>
  </si>
  <si>
    <t>55;52;00.70392N</t>
  </si>
  <si>
    <t>7;35;00.60901E</t>
  </si>
  <si>
    <t>0635_OI104287_SE_CPT_109_S23_20230624210800 - 0001.db</t>
  </si>
  <si>
    <t>230624210730.SBD</t>
  </si>
  <si>
    <t>OI104287_SEROV1_ET2200SSS_CPT_109_S23.001.jsf</t>
  </si>
  <si>
    <t>55;52;06.64326N</t>
  </si>
  <si>
    <t>7;34;59.03069E</t>
  </si>
  <si>
    <t>55;52;06.59707N</t>
  </si>
  <si>
    <t>7;35;00.39749E</t>
  </si>
  <si>
    <t>55;52;06.87209N</t>
  </si>
  <si>
    <t>7;34;59.54139E</t>
  </si>
  <si>
    <t>55;52;06.78657N</t>
  </si>
  <si>
    <t>7;35;00.91317E</t>
  </si>
  <si>
    <t>0636_OI104287_SE_CPT_109_S32_20230624211738 - 0001.db</t>
  </si>
  <si>
    <t>230624211714.SBD</t>
  </si>
  <si>
    <t>OI104287_SEROV1_ET2200SSS_CPT_109_S32.001.jsf</t>
  </si>
  <si>
    <t>003640_20230624_21.14_OI104287SEROV1SPRINTNAV500.bin</t>
  </si>
  <si>
    <t>55;52;00.97120N</t>
  </si>
  <si>
    <t>7;34;59.67795E</t>
  </si>
  <si>
    <t>55;52;00.88436N</t>
  </si>
  <si>
    <t>7;35;01.12892E</t>
  </si>
  <si>
    <t>55;52;00.76474N</t>
  </si>
  <si>
    <t>7;35;00.24173E</t>
  </si>
  <si>
    <t>55;52;00.65941N</t>
  </si>
  <si>
    <t>7;35;01.63767E</t>
  </si>
  <si>
    <t>0637_OI104287_SE_CPT_109_S41_20230624212701 - 0001.db</t>
  </si>
  <si>
    <t>230624212650.SBD</t>
  </si>
  <si>
    <t>OI104287_SEROV1_ET2200SSS_CPT_109_S41.001.jsf</t>
  </si>
  <si>
    <t>55;52;06.60724N</t>
  </si>
  <si>
    <t>7;35;00.06579E</t>
  </si>
  <si>
    <t>55;52;06.59511N</t>
  </si>
  <si>
    <t>7;35;01.42675E</t>
  </si>
  <si>
    <t>003641_20230624_21.29_OI104287SEROV1SPRINTNAV500.bin</t>
  </si>
  <si>
    <t>55;52;06.96438N</t>
  </si>
  <si>
    <t>7;35;00.64446E</t>
  </si>
  <si>
    <t>55;52;06.80829N</t>
  </si>
  <si>
    <t>7;35;01.94123E</t>
  </si>
  <si>
    <t>0638_OI104287_SE_CPT_109_S50_20230624213627 - 0001.db</t>
  </si>
  <si>
    <t>230624213621.SBD</t>
  </si>
  <si>
    <t>OI104287_SEROV1_ET2200SSS_CPT_109_S50.001.jsf</t>
  </si>
  <si>
    <t>55;52;01.07888N</t>
  </si>
  <si>
    <t>7;35;00.76332E</t>
  </si>
  <si>
    <t>55;52;00.88602N</t>
  </si>
  <si>
    <t>7;35;02.15789E</t>
  </si>
  <si>
    <t>WROV in latch, vessel start transit to CPT_336</t>
  </si>
  <si>
    <t>55;52;00.46823N</t>
  </si>
  <si>
    <t>7;35;00.77680E</t>
  </si>
  <si>
    <t>55;52;00.43416N</t>
  </si>
  <si>
    <t>7;35;01.35584E</t>
  </si>
  <si>
    <t>OI104287_SE_SVX2_SVP_20230624_2220_555295N_0073796E_055</t>
  </si>
  <si>
    <t>55;52;57.53883N</t>
  </si>
  <si>
    <t>7;37;57.52004E</t>
  </si>
  <si>
    <t>55;52;57.36746N</t>
  </si>
  <si>
    <t>7;37;58.16116E</t>
  </si>
  <si>
    <t>SVP_055</t>
  </si>
  <si>
    <t>55;52;58.56487N</t>
  </si>
  <si>
    <t>7;37;57.48189E</t>
  </si>
  <si>
    <t>55;52;58.42328N</t>
  </si>
  <si>
    <t>7;37;59.03411E</t>
  </si>
  <si>
    <t>0639_OI104287_SE_CPT_336_P50_20230624222559 - 0001.db</t>
  </si>
  <si>
    <t>230624222538.SBD</t>
  </si>
  <si>
    <t>OI104287_SEROV1_ET2200SSS_CPT_336_P50.001.jsf</t>
  </si>
  <si>
    <t>003644_20230624_22.14_OI104287SEROV1SPRINTNAV500.bin</t>
  </si>
  <si>
    <t>55;53;04.42976N</t>
  </si>
  <si>
    <t>7;37;57.28270E</t>
  </si>
  <si>
    <t>55;53;04.26076N</t>
  </si>
  <si>
    <t>7;37;58.83556E</t>
  </si>
  <si>
    <t>003645_20230624_22.29_OI104287SEROV1SPRINTNAV500.bin</t>
  </si>
  <si>
    <t>55;53;04.62650N</t>
  </si>
  <si>
    <t>7;37;57.84242E</t>
  </si>
  <si>
    <t>55;53;04.46021N</t>
  </si>
  <si>
    <t>7;37;59.35035E</t>
  </si>
  <si>
    <t>0640_OI104287_SE_CPT_336_P41_20230624223526 - 0001.db</t>
  </si>
  <si>
    <t>230624223515.SBD</t>
  </si>
  <si>
    <t>OI104287_SEROV1_ET2200SSS_CPT_336_P41.001.jsf</t>
  </si>
  <si>
    <t>55;52;58.72136N</t>
  </si>
  <si>
    <t>7;37;58.00821E</t>
  </si>
  <si>
    <t>55;52;58.62847N</t>
  </si>
  <si>
    <t>7;37;59.55191E</t>
  </si>
  <si>
    <t>55;52;58.47518N</t>
  </si>
  <si>
    <t>7;37;58.46848E</t>
  </si>
  <si>
    <t>55;52;58.42434N</t>
  </si>
  <si>
    <t>7;38;00.07696E</t>
  </si>
  <si>
    <t>0641_OI104287_SE_CPT_336_P32_20230624224519 - 0001.db</t>
  </si>
  <si>
    <t>230624224457.SBD</t>
  </si>
  <si>
    <t>OI104287_SEROV1_ET2200SSS_CPT_336_P32.001.jsf</t>
  </si>
  <si>
    <t>003646_20230624_22.44_OI104287SEROV1SPRINTNAV500.bin</t>
  </si>
  <si>
    <t>55;53;04.32181N</t>
  </si>
  <si>
    <t>7;37;58.30883E</t>
  </si>
  <si>
    <t>55;53;04.24280N</t>
  </si>
  <si>
    <t>7;37;59.87418E</t>
  </si>
  <si>
    <t>55;53;04.52524N</t>
  </si>
  <si>
    <t>7;37;58.87713E</t>
  </si>
  <si>
    <t>55;53;04.44165N</t>
  </si>
  <si>
    <t>7;38;00.39319E</t>
  </si>
  <si>
    <t>0642_OI104287_SE_CPT_336_P23_20230624225459 - 0001.db</t>
  </si>
  <si>
    <t>230624225452.SBD</t>
  </si>
  <si>
    <t>OI104287_SEROV1_ET2200SSS_CPT_336_P23.001.jsf</t>
  </si>
  <si>
    <t>55;52;58.69832N</t>
  </si>
  <si>
    <t>7;37;59.04868E</t>
  </si>
  <si>
    <t>55;52;58.62983N</t>
  </si>
  <si>
    <t>7;38;00.59084E</t>
  </si>
  <si>
    <t>003647_20230624_22.59_OI104287SEROV1SPRINTNAV500.bin</t>
  </si>
  <si>
    <t>55;52;57.64567N</t>
  </si>
  <si>
    <t>7;37;59.58674E</t>
  </si>
  <si>
    <t>55;52;57.61776N</t>
  </si>
  <si>
    <t>7;38;01.13700E</t>
  </si>
  <si>
    <t>Need to infill south section due to sudden change in altitude affecting data quality</t>
  </si>
  <si>
    <t>55;52;58.45609N</t>
  </si>
  <si>
    <t>7;37;59.58618E</t>
  </si>
  <si>
    <t>55;52;58.41408N</t>
  </si>
  <si>
    <t>7;38;01.11588E</t>
  </si>
  <si>
    <t>0643_OI104287_SE_CPT_336_P14_20230624230442 - 0001.db</t>
  </si>
  <si>
    <t>230624230425.SBD</t>
  </si>
  <si>
    <t>OI104287_SEROV1_ET2200SSS_CPT_336_P14.001.jsf</t>
  </si>
  <si>
    <t>55;53;04.33618N</t>
  </si>
  <si>
    <t>7;37;59.38958E</t>
  </si>
  <si>
    <t>55;53;04.24929N</t>
  </si>
  <si>
    <t>7;38;00.90797E</t>
  </si>
  <si>
    <t>55;53;04.49618N</t>
  </si>
  <si>
    <t>7;38;00.05666E</t>
  </si>
  <si>
    <t>55;53;04.45146N</t>
  </si>
  <si>
    <t>7;38;01.42306E</t>
  </si>
  <si>
    <t>0644_OI104287_SE_CPT_336_P05_20230624231417 - 0001.db</t>
  </si>
  <si>
    <t>230624231406.SBD</t>
  </si>
  <si>
    <t>OI104287_SEROV1_ET2200SSS_CPT_336_P05.001.jsf</t>
  </si>
  <si>
    <t>55;52;58.67446N</t>
  </si>
  <si>
    <t>7;38;00.19897E</t>
  </si>
  <si>
    <t>55;52;58.61504N</t>
  </si>
  <si>
    <t>7;38;01.62523E</t>
  </si>
  <si>
    <t>003648_20230624_23.14_OI104287SEROV1SPRINTNAV500.bin</t>
  </si>
  <si>
    <t>55;52;58.52372N</t>
  </si>
  <si>
    <t>7;38;00.69032E</t>
  </si>
  <si>
    <t>55;52;58.44350N</t>
  </si>
  <si>
    <t>7;38;02.15118E</t>
  </si>
  <si>
    <t>0645_OI104287_SE_CPT_336_S05_20230624232407 - 0001.db</t>
  </si>
  <si>
    <t>230624232407.SBD</t>
  </si>
  <si>
    <t>OI104287_SEROV1_ET2200SSS_CPT_336_S05.001.jsf</t>
  </si>
  <si>
    <t>55;53;04.34708N</t>
  </si>
  <si>
    <t>7;38;00.46505E</t>
  </si>
  <si>
    <t>55;53;04.23330N</t>
  </si>
  <si>
    <t>7;38;01.94719E</t>
  </si>
  <si>
    <t>003649_20230624_23.29_OI104287SEROV1SPRINTNAV500.bin</t>
  </si>
  <si>
    <t>55;53;04.51765N</t>
  </si>
  <si>
    <t>7;38;01.09255E</t>
  </si>
  <si>
    <t>55;53;04.43833N</t>
  </si>
  <si>
    <t>7;38;02.45956E</t>
  </si>
  <si>
    <t>0646_OI104287_SE_CPT_336_S14_20230624233333 - 0001.db</t>
  </si>
  <si>
    <t>230624233321.SBD</t>
  </si>
  <si>
    <t>OI104287_SEROV1_ET2200SSS_CPT_336_S14.001.jsf</t>
  </si>
  <si>
    <t>55;52;58.64215N</t>
  </si>
  <si>
    <t>7;38;01.23783E</t>
  </si>
  <si>
    <t>55;52;58.52150N</t>
  </si>
  <si>
    <t>7;38;02.66626E</t>
  </si>
  <si>
    <t>55;52;58.56699N</t>
  </si>
  <si>
    <t>7;38;01.73728E</t>
  </si>
  <si>
    <t>55;52;58.33321N</t>
  </si>
  <si>
    <t>7;38;03.18648E</t>
  </si>
  <si>
    <t>0647_OI104287_SE_CPT_336_S23_20230624234311 - 0001.db</t>
  </si>
  <si>
    <t>230624234250.SBD</t>
  </si>
  <si>
    <t>OI104287_SEROV1_ET2200SSS_CPT_336_S23.001.jsf</t>
  </si>
  <si>
    <t>55;53;04.48633N</t>
  </si>
  <si>
    <t>7;38;01.50144E</t>
  </si>
  <si>
    <t>55;53;04.22274N</t>
  </si>
  <si>
    <t>7;38;02.98129E</t>
  </si>
  <si>
    <t>003650_20230624_23.44_OI104287SEROV1SPRINTNAV500.bin</t>
  </si>
  <si>
    <t>55;53;04.60517N</t>
  </si>
  <si>
    <t>7;38;02.10048E</t>
  </si>
  <si>
    <t>55;53;04.42310N</t>
  </si>
  <si>
    <t>7;38;03.49999E</t>
  </si>
  <si>
    <t>0648_OI104287_SE_CPT_336_S32_20230624235312 - 0001.db</t>
  </si>
  <si>
    <t>230624235306.SBD</t>
  </si>
  <si>
    <t>OI104287_SEROV1_ET2200SSS_CPT_336_S32.001.jsf</t>
  </si>
  <si>
    <t>55;52;58.74291N</t>
  </si>
  <si>
    <t>7;38;02.26137E</t>
  </si>
  <si>
    <t>55;52;58.52995N</t>
  </si>
  <si>
    <t>7;38;03.70186E</t>
  </si>
  <si>
    <t>55;52;58.06184N</t>
  </si>
  <si>
    <t>7;38;02.28535E</t>
  </si>
  <si>
    <t>55;52;57.76547N</t>
  </si>
  <si>
    <t>7;38;03.82166E</t>
  </si>
  <si>
    <t>55;52;58.40261N</t>
  </si>
  <si>
    <t>7;38;02.78125E</t>
  </si>
  <si>
    <t>55;52;58.34045N</t>
  </si>
  <si>
    <t>7;38;04.22540E</t>
  </si>
  <si>
    <t>0649_OI104287_SE_CPT_336_S41_20230625000235 - 0001.db</t>
  </si>
  <si>
    <t>230625000229.SBD</t>
  </si>
  <si>
    <t>OI104287_SEROV1_ET2200SSS_CPT_336_S41.001.jsf</t>
  </si>
  <si>
    <t>003651_20230624_23.59_OI104287SEROV1SPRINTNAV500.bin</t>
  </si>
  <si>
    <t>55;53;04.32455N</t>
  </si>
  <si>
    <t>7;38;02.54360E</t>
  </si>
  <si>
    <t>55;53;04.26211N</t>
  </si>
  <si>
    <t>7;38;04.01870E</t>
  </si>
  <si>
    <t>55;53;04.57087N</t>
  </si>
  <si>
    <t>7;38;03.12440E</t>
  </si>
  <si>
    <t>55;53;04.46594N</t>
  </si>
  <si>
    <t>7;38;04.52292E</t>
  </si>
  <si>
    <t>0650_OI104287_SE_CPT_336_S50_20230625001330 - 0001.db</t>
  </si>
  <si>
    <t>230625001309.SBD</t>
  </si>
  <si>
    <t>OI104287_SEROV1_ET2200SSS_CPT_336_S50.001.jsf</t>
  </si>
  <si>
    <t>55;52;58.61270N</t>
  </si>
  <si>
    <t>7;38;03.29894E</t>
  </si>
  <si>
    <t>55;52;58.52044N</t>
  </si>
  <si>
    <t>7;38;04.73565E</t>
  </si>
  <si>
    <t>003652_20230625_00.14_OI104287SEROV1SPRINTNAV500.bin</t>
  </si>
  <si>
    <t>CPT_336_P23_INF0001</t>
  </si>
  <si>
    <t>55;52;58.20317N</t>
  </si>
  <si>
    <t>7;37;59.13462E</t>
  </si>
  <si>
    <t>55;52;58.22005N</t>
  </si>
  <si>
    <t>7;38;00.59959E</t>
  </si>
  <si>
    <t>0651_OI104287_SE_CPT_336_P23_INF0001_20230625002852 - 0001.db</t>
  </si>
  <si>
    <t>230625002846.SBD</t>
  </si>
  <si>
    <t>OI104287_SEROV1_ET2200SSS_CPT_336_P23_INF0001.001.jsf</t>
  </si>
  <si>
    <t>55;53;01.61665N</t>
  </si>
  <si>
    <t>7;37;59.01521E</t>
  </si>
  <si>
    <t>55;53;01.66436N</t>
  </si>
  <si>
    <t>7;38;00.48130E</t>
  </si>
  <si>
    <t>003653_20230625_00.29_OI104287SEROV1SPRINTNAV500.bin</t>
  </si>
  <si>
    <t>WROV in latch, vessel start transit to CPT_249</t>
  </si>
  <si>
    <t>Vessel in postion, WROV out of latch</t>
  </si>
  <si>
    <t>55;53;01.95005N</t>
  </si>
  <si>
    <t>7;37;59.13820E</t>
  </si>
  <si>
    <t>55;53;01.88916N</t>
  </si>
  <si>
    <t>7;37;59.72482E</t>
  </si>
  <si>
    <t>55;53;14.07910N</t>
  </si>
  <si>
    <t>7;40;03.58059E</t>
  </si>
  <si>
    <t>55;53;14.01372N</t>
  </si>
  <si>
    <t>7;40;04.22143E</t>
  </si>
  <si>
    <t>OI104287_SE_SVX2_SVP_20230625_0102_555323N_0074006E_056</t>
  </si>
  <si>
    <t>55;53;14.07444N</t>
  </si>
  <si>
    <t>7;40;03.57750E</t>
  </si>
  <si>
    <t>55;53;13.82739N</t>
  </si>
  <si>
    <t>7;40;04.69547E</t>
  </si>
  <si>
    <t>SVP_056</t>
  </si>
  <si>
    <t>55;53;15.26270N</t>
  </si>
  <si>
    <t>7;40;03.48009E</t>
  </si>
  <si>
    <t>55;53;15.24576N</t>
  </si>
  <si>
    <t>7;40;05.02347E</t>
  </si>
  <si>
    <t>0652_OI104287_SE_CPT_249_P50_20230625010912 - 0001.db</t>
  </si>
  <si>
    <t>230625010850.SBD</t>
  </si>
  <si>
    <t>OI104287_SEROV1_ET2200SSS_CPT_249_P50.001.jsf</t>
  </si>
  <si>
    <t>003655_20230625_00.59_OI104287SEROV1SPRINTNAV500.bin</t>
  </si>
  <si>
    <t>55;53;21.18018N</t>
  </si>
  <si>
    <t>7;40;03.28922E</t>
  </si>
  <si>
    <t>55;53;21.03782N</t>
  </si>
  <si>
    <t>7;40;04.82553E</t>
  </si>
  <si>
    <t>003656_20230625_01.14_OI104287SEROV1SPRINTNAV500.bin</t>
  </si>
  <si>
    <t>55;53;21.71487N</t>
  </si>
  <si>
    <t>7;40;03.90781E</t>
  </si>
  <si>
    <t>55;53;21.29144N</t>
  </si>
  <si>
    <t>7;40;05.33096E</t>
  </si>
  <si>
    <t>0653_OI104287_SE_CPT_249_P41_20230625011831 - 0001.db</t>
  </si>
  <si>
    <t>230625011821.SBD</t>
  </si>
  <si>
    <t>OI104287_SEROV1_ET2200SSS_CPT_249_P41.001.jsf</t>
  </si>
  <si>
    <t>55;53;15.69329N</t>
  </si>
  <si>
    <t>7;40;04.07158E</t>
  </si>
  <si>
    <t>55;53;15.41036N</t>
  </si>
  <si>
    <t>7;40;05.53614E</t>
  </si>
  <si>
    <t>55;53;15.33263N</t>
  </si>
  <si>
    <t>7;40;04.55045E</t>
  </si>
  <si>
    <t>55;53;15.25647N</t>
  </si>
  <si>
    <t>7;40;06.06360E</t>
  </si>
  <si>
    <t>0654_OI104287_SE_CPT_249_P32_20230625012843 - 0001.db</t>
  </si>
  <si>
    <t>230625012826.SBD</t>
  </si>
  <si>
    <t>OI104287_SEROV1_ET2200SSS_CPT_249_P32.001.jsf</t>
  </si>
  <si>
    <t>55;53;21.23570N</t>
  </si>
  <si>
    <t>7;40;04.37798E</t>
  </si>
  <si>
    <t>55;53;21.08323N</t>
  </si>
  <si>
    <t>7;40;05.86173E</t>
  </si>
  <si>
    <t>003657_20230625_01.29_OI104287SEROV1SPRINTNAV500.bin</t>
  </si>
  <si>
    <t>55;53;21.56431N</t>
  </si>
  <si>
    <t>7;40;04.93405E</t>
  </si>
  <si>
    <t>55;53;21.37050N</t>
  </si>
  <si>
    <t>7;40;06.36806E</t>
  </si>
  <si>
    <t>0655_OI104287_SE_CPT_249_P23_20230625013825 - 0001.db</t>
  </si>
  <si>
    <t>230625013814.SBD</t>
  </si>
  <si>
    <t>OI104287_SEROV1_ET2200SSS_CPT_249_P23.001.jsf</t>
  </si>
  <si>
    <t>55;53;15.62174N</t>
  </si>
  <si>
    <t>7;40;05.10133E</t>
  </si>
  <si>
    <t>55;53;15.42651N</t>
  </si>
  <si>
    <t>7;40;06.57175E</t>
  </si>
  <si>
    <t>003658_20230625_01.44_OI104287SEROV1SPRINTNAV500.bin</t>
  </si>
  <si>
    <t>55;53;15.08095N</t>
  </si>
  <si>
    <t>7;40;05.58835E</t>
  </si>
  <si>
    <t>55;53;15.17575N</t>
  </si>
  <si>
    <t>7;40;07.09739E</t>
  </si>
  <si>
    <t>0656_OI104287_SE_CPT_249_P14_20230625014840 - 0001.db</t>
  </si>
  <si>
    <t>230625014823.SBD</t>
  </si>
  <si>
    <t>OI104287_SEROV1_ET2200SSS_CPT_249_P14.001.jsf</t>
  </si>
  <si>
    <t>55;53;21.22250N</t>
  </si>
  <si>
    <t>7;40;05.43136E</t>
  </si>
  <si>
    <t>55;53;21.22657N</t>
  </si>
  <si>
    <t>7;40;06.88979E</t>
  </si>
  <si>
    <t>55;53;22.13602N</t>
  </si>
  <si>
    <t>7;40;05.40000E</t>
  </si>
  <si>
    <t>55;53;22.04778N</t>
  </si>
  <si>
    <t>7;40;07.15865E</t>
  </si>
  <si>
    <t>Port wing weak link broke while moving to next line, recover WROV to deck</t>
  </si>
  <si>
    <t>55;53;22.50004N</t>
  </si>
  <si>
    <t>7;40;05.40781E</t>
  </si>
  <si>
    <t>55;53;22.44337N</t>
  </si>
  <si>
    <t>7;40;06.05213E</t>
  </si>
  <si>
    <t>WROV on deck EOD #020</t>
  </si>
  <si>
    <t>55;53;22.50297N</t>
  </si>
  <si>
    <t>7;40;05.38961E</t>
  </si>
  <si>
    <t>55;53;22.44714N</t>
  </si>
  <si>
    <t>7;40;06.03343E</t>
  </si>
  <si>
    <t>55;53;22.50150N</t>
  </si>
  <si>
    <t>7;40;05.39294E</t>
  </si>
  <si>
    <t>55;53;22.44638N</t>
  </si>
  <si>
    <t>7;40;06.03312E</t>
  </si>
  <si>
    <t>WROV off deck SOD #021</t>
  </si>
  <si>
    <t>Weak link replacement</t>
  </si>
  <si>
    <t>55;53;21.44120N</t>
  </si>
  <si>
    <t>7;40;05.98130E</t>
  </si>
  <si>
    <t>55;53;21.25810N</t>
  </si>
  <si>
    <t>7;40;07.41513E</t>
  </si>
  <si>
    <t>0657_OI104287_SE_CPT_249_P05_20230625022803 - 0001.db</t>
  </si>
  <si>
    <t>230625022745.SBD</t>
  </si>
  <si>
    <t>OI104287_SEROV1_ET2200SSS_CPT_249_P05.001.jsf</t>
  </si>
  <si>
    <t>003660_20230625_02.14_OI104287SEROV1SPRINTNAV500.bin</t>
  </si>
  <si>
    <t>55;53;17.91496N</t>
  </si>
  <si>
    <t>7;40;06.08226E</t>
  </si>
  <si>
    <t>55;53;17.71587N</t>
  </si>
  <si>
    <t>7;40;07.53281E</t>
  </si>
  <si>
    <t>Sync gradiometers not completed, re-run of P05 required</t>
  </si>
  <si>
    <t>55;53;15.55533N</t>
  </si>
  <si>
    <t>7;40;06.15684E</t>
  </si>
  <si>
    <t>55;53;15.37385N</t>
  </si>
  <si>
    <t>7;40;07.61248E</t>
  </si>
  <si>
    <t>003661_20230625_02.29_OI104287SEROV1SPRINTNAV500.bin</t>
  </si>
  <si>
    <t>55;53;14.97180N</t>
  </si>
  <si>
    <t>7;40;06.66570E</t>
  </si>
  <si>
    <t>55;53;15.22117N</t>
  </si>
  <si>
    <t>7;40;08.12394E</t>
  </si>
  <si>
    <t>0658_OI104287_SE_CPT_249_S05_20230625030346 - 0001.db</t>
  </si>
  <si>
    <t>230625030329.SBD</t>
  </si>
  <si>
    <t>OI104287_SEROV1_ET2200SSS_CPT_249_S05.001.jsf</t>
  </si>
  <si>
    <t>003663_20230625_02.59_OI104287SEROV1SPRINTNAV500.bin</t>
  </si>
  <si>
    <t>55;53;21.04558N</t>
  </si>
  <si>
    <t>7;40;06.45686E</t>
  </si>
  <si>
    <t>55;53;21.05261N</t>
  </si>
  <si>
    <t>7;40;07.92720E</t>
  </si>
  <si>
    <t>55;53;21.50467N</t>
  </si>
  <si>
    <t>7;40;07.02243E</t>
  </si>
  <si>
    <t>55;53;21.30155N</t>
  </si>
  <si>
    <t>7;40;08.44802E</t>
  </si>
  <si>
    <t>0659_OI104287_SE_CPT_249_S14_20230625031438 - 0001.db</t>
  </si>
  <si>
    <t>230625031428.SBD</t>
  </si>
  <si>
    <t>OI104287_SEROV1_ET2200SSS_CPT_249_S14.001.jsf</t>
  </si>
  <si>
    <t>003664_20230625_03.14_OI104287SEROV1SPRINTNAV500.bin</t>
  </si>
  <si>
    <t>55;53;15.53193N</t>
  </si>
  <si>
    <t>7;40;07.17127E</t>
  </si>
  <si>
    <t>55;53;15.34820N</t>
  </si>
  <si>
    <t>7;40;08.64717E</t>
  </si>
  <si>
    <t>55;53;15.22311N</t>
  </si>
  <si>
    <t>7;40;07.71793E</t>
  </si>
  <si>
    <t>55;53;15.16912N</t>
  </si>
  <si>
    <t>7;40;09.16829E</t>
  </si>
  <si>
    <t>0660_OI104287_SE_CPT_249_S23_20230625032454 - 0001.db</t>
  </si>
  <si>
    <t>230625032436.SBD</t>
  </si>
  <si>
    <t>OI104287_SEROV1_ET2200SSS_CPT_249_S23.001.jsf</t>
  </si>
  <si>
    <t>Standby for sync of gradiometers</t>
  </si>
  <si>
    <t>55;53;21.15528N</t>
  </si>
  <si>
    <t>7;40;07.51992E</t>
  </si>
  <si>
    <t>55;53;21.10406N</t>
  </si>
  <si>
    <t>7;40;08.96702E</t>
  </si>
  <si>
    <t>003665_20230625_03.29_OI104287SEROV1SPRINTNAV500.bin</t>
  </si>
  <si>
    <t>55;53;21.58315N</t>
  </si>
  <si>
    <t>7;40;08.06185E</t>
  </si>
  <si>
    <t>55;53;21.32267N</t>
  </si>
  <si>
    <t>7;40;09.47819E</t>
  </si>
  <si>
    <t>0661_OI104287_SE_CPT_249_S32_20230625033654 - 0001.db</t>
  </si>
  <si>
    <t>230625033636.SBD</t>
  </si>
  <si>
    <t>OI104287_SEROV1_ET2200SSS_CPT_249_S32.001.jsf</t>
  </si>
  <si>
    <t>55;53;15.47525N</t>
  </si>
  <si>
    <t>7;40;08.23898E</t>
  </si>
  <si>
    <t>55;53;15.35122N</t>
  </si>
  <si>
    <t>7;40;09.68247E</t>
  </si>
  <si>
    <t>55;53;15.19510N</t>
  </si>
  <si>
    <t>7;40;08.74667E</t>
  </si>
  <si>
    <t>55;53;15.14679N</t>
  </si>
  <si>
    <t>7;40;10.20751E</t>
  </si>
  <si>
    <t>0662_OI104287_SE_CPT_249_S41_20230625034705 - 0001.db</t>
  </si>
  <si>
    <t>230625034656.SBD</t>
  </si>
  <si>
    <t>OI104287_SEROV1_ET2200SSS_CPT_249_S41.001.jsf</t>
  </si>
  <si>
    <t>003666_20230625_03.44_OI104287SEROV1SPRINTNAV500.bin</t>
  </si>
  <si>
    <t>55;53;21.12624N</t>
  </si>
  <si>
    <t>7;40;08.56632E</t>
  </si>
  <si>
    <t>55;53;21.11039N</t>
  </si>
  <si>
    <t>7;40;10.00534E</t>
  </si>
  <si>
    <t>55;53;21.48554N</t>
  </si>
  <si>
    <t>7;40;09.03761E</t>
  </si>
  <si>
    <t>55;53;21.36190N</t>
  </si>
  <si>
    <t>7;40;10.52103E</t>
  </si>
  <si>
    <t>0663_OI104287_SE_CPT_249_S50_20230625035629 - 0001.db</t>
  </si>
  <si>
    <t>230625035623.SBD</t>
  </si>
  <si>
    <t>OI104287_SEROV1_ET2200SSS_CPT_249_S50.001.jsf</t>
  </si>
  <si>
    <t>55;53;15.36826N</t>
  </si>
  <si>
    <t>7;40;09.24509E</t>
  </si>
  <si>
    <t>55;53;15.32708N</t>
  </si>
  <si>
    <t>7;40;10.71898E</t>
  </si>
  <si>
    <t>003667_20230625_03.59_OI104287SEROV1SPRINTNAV500.bin</t>
  </si>
  <si>
    <t>CPT_249_P05_RR0001</t>
  </si>
  <si>
    <t>55;53;15.24877N</t>
  </si>
  <si>
    <t>7;40;06.12971E</t>
  </si>
  <si>
    <t>55;53;15.14392N</t>
  </si>
  <si>
    <t>7;40;07.62545E</t>
  </si>
  <si>
    <t>0664_OI104287_SE_CPT_249_P05_RR0001_20230625040952 - 0001.db</t>
  </si>
  <si>
    <t>55;53;21.28879N</t>
  </si>
  <si>
    <t>7;40;05.87052E</t>
  </si>
  <si>
    <t>55;53;21.05517N</t>
  </si>
  <si>
    <t>7;40;07.41604E</t>
  </si>
  <si>
    <t>003668_20230625_04.14_OI104287SEROV1SPRINTNAV500.bin</t>
  </si>
  <si>
    <t>Vessel on the move to BH_099</t>
  </si>
  <si>
    <t>55;53;21.77801N</t>
  </si>
  <si>
    <t>7;40;05.88988E</t>
  </si>
  <si>
    <t>55;53;21.68824N</t>
  </si>
  <si>
    <t>7;40;06.54097E</t>
  </si>
  <si>
    <t>55;53;40.61354N</t>
  </si>
  <si>
    <t>7;40;12.25442E</t>
  </si>
  <si>
    <t>55;53;40.48099N</t>
  </si>
  <si>
    <t>7;40;12.88945E</t>
  </si>
  <si>
    <t>55;54;23.86724N</t>
  </si>
  <si>
    <t>7;40;31.94871E</t>
  </si>
  <si>
    <t>55;54;23.81298N</t>
  </si>
  <si>
    <t>7;40;32.57945E</t>
  </si>
  <si>
    <t>55;54;23.86402N</t>
  </si>
  <si>
    <t>7;40;31.92961E</t>
  </si>
  <si>
    <t>55;54;23.80845N</t>
  </si>
  <si>
    <t>7;40;32.55621E</t>
  </si>
  <si>
    <t>OI104287_SE_SVX2_SVP_20230625_0437_555439N_0074053E_057</t>
  </si>
  <si>
    <t>55;54;23.87025N</t>
  </si>
  <si>
    <t>7;40;31.78031E</t>
  </si>
  <si>
    <t>55;54;24.03235N</t>
  </si>
  <si>
    <t>7;40;33.27287E</t>
  </si>
  <si>
    <t>SVP_057</t>
  </si>
  <si>
    <t>55;54;25.00489N</t>
  </si>
  <si>
    <t>7;40;31.72843E</t>
  </si>
  <si>
    <t>55;54;24.80483N</t>
  </si>
  <si>
    <t>7;40;33.22429E</t>
  </si>
  <si>
    <t>0665_OI104287_SE_BH_099_P72_20230625044434 - 0001.db</t>
  </si>
  <si>
    <t>230625044348.SBD</t>
  </si>
  <si>
    <t>OI104287_SEROV1_ET2200SSS_BH_099_P72.001.jsf</t>
  </si>
  <si>
    <t>003670_20230625_04.44_OI104287SEROV1SPRINTNAV500.bin</t>
  </si>
  <si>
    <t>55;54;32.51856N</t>
  </si>
  <si>
    <t>7;40;31.48553E</t>
  </si>
  <si>
    <t>55;54;32.26013N</t>
  </si>
  <si>
    <t>7;40;32.97142E</t>
  </si>
  <si>
    <t>55;54;32.61538N</t>
  </si>
  <si>
    <t>7;40;32.00283E</t>
  </si>
  <si>
    <t>55;54;32.50515N</t>
  </si>
  <si>
    <t>7;40;33.48318E</t>
  </si>
  <si>
    <t>0666_OI104287_SE_BH_099_P63_20230625045411 - 0001.db</t>
  </si>
  <si>
    <t>230625045400.SBD</t>
  </si>
  <si>
    <t>OI104287_SEROV1_ET2200SSS_BH_099_P63.001.jsf</t>
  </si>
  <si>
    <t>55;54;25.20759N</t>
  </si>
  <si>
    <t>7;40;32.23924E</t>
  </si>
  <si>
    <t>55;54;24.99719N</t>
  </si>
  <si>
    <t>7;40;33.73605E</t>
  </si>
  <si>
    <t>003671_20230625_04.59_OI104287SEROV1SPRINTNAV500.bin</t>
  </si>
  <si>
    <t>55;54;24.88556N</t>
  </si>
  <si>
    <t>7;40;32.76953E</t>
  </si>
  <si>
    <t>55;54;24.78461N</t>
  </si>
  <si>
    <t>7;40;34.25234E</t>
  </si>
  <si>
    <t>0667_OI104287_SE_BH_099_P54_20230625050344 - 0001.db</t>
  </si>
  <si>
    <t>230625050340.SBD</t>
  </si>
  <si>
    <t>OI104287_SEROV1_ET2200SSS_BH_099_P54.001.jsf</t>
  </si>
  <si>
    <t>55;54;32.51426N</t>
  </si>
  <si>
    <t>7;40;32.52822E</t>
  </si>
  <si>
    <t>55;54;32.28683N</t>
  </si>
  <si>
    <t>7;40;34.00944E</t>
  </si>
  <si>
    <t>55;54;32.45778N</t>
  </si>
  <si>
    <t>7;40;33.05531E</t>
  </si>
  <si>
    <t>55;54;32.52008N</t>
  </si>
  <si>
    <t>7;40;34.51637E</t>
  </si>
  <si>
    <t>0668_OI104287_SE_BH_099_P45_20230625051400 - 0001.db</t>
  </si>
  <si>
    <t>230625051350.SBD</t>
  </si>
  <si>
    <t>OI104287_SEROV1_ET2200SSS_BH_099_P45.001.jsf</t>
  </si>
  <si>
    <t>55;54;24.87401N</t>
  </si>
  <si>
    <t>7;40;33.29505E</t>
  </si>
  <si>
    <t>55;54;25.00700N</t>
  </si>
  <si>
    <t>7;40;34.77195E</t>
  </si>
  <si>
    <t>003672_20230625_05.14_OI104287SEROV1SPRINTNAV500.bin</t>
  </si>
  <si>
    <t>55;54;24.96086N</t>
  </si>
  <si>
    <t>7;40;33.79030E</t>
  </si>
  <si>
    <t>55;54;24.82927N</t>
  </si>
  <si>
    <t>7;40;35.30092E</t>
  </si>
  <si>
    <t>0669_OI104287_SE_BH_099_P36_20230625052408 - 0001.db</t>
  </si>
  <si>
    <t>230625052401.SBD</t>
  </si>
  <si>
    <t>OI104287_SEROV1_ET2200SSS_BH_099_P36.001.jsf</t>
  </si>
  <si>
    <t>55;54;32.55860N</t>
  </si>
  <si>
    <t>7;40;33.54477E</t>
  </si>
  <si>
    <t>55;54;32.38339N</t>
  </si>
  <si>
    <t>7;40;35.04473E</t>
  </si>
  <si>
    <t>003673_20230625_05.29_OI104287SEROV1SPRINTNAV500.bin</t>
  </si>
  <si>
    <t>55;54;32.68908N</t>
  </si>
  <si>
    <t>7;40;34.06901E</t>
  </si>
  <si>
    <t>55;54;32.53804N</t>
  </si>
  <si>
    <t>7;40;35.55952E</t>
  </si>
  <si>
    <t>0670_OI104287_SE_BH_099_P27_20230625053408 - 0001.db</t>
  </si>
  <si>
    <t>230625053349.SBD</t>
  </si>
  <si>
    <t>230624224501.SBD</t>
  </si>
  <si>
    <t>55;54;24.95603N</t>
  </si>
  <si>
    <t>7;40;34.33242E</t>
  </si>
  <si>
    <t>55;54;24.86125N</t>
  </si>
  <si>
    <t>7;40;35.81631E</t>
  </si>
  <si>
    <t>OI104287_SEROV1_ET2200SSS_BH_099_P27.001.jsf</t>
  </si>
  <si>
    <t>55;54;24.86012N</t>
  </si>
  <si>
    <t>7;40;34.83177E</t>
  </si>
  <si>
    <t>55;54;24.79698N</t>
  </si>
  <si>
    <t>7;40;36.32747E</t>
  </si>
  <si>
    <t>0671_OI104287_SE_BH_099_P18_20230625054409 - 0001.db</t>
  </si>
  <si>
    <t>230625054358.SBD</t>
  </si>
  <si>
    <t>OI104287_SEROV1_ET2200SSS_BH_099_P18.001.jsf</t>
  </si>
  <si>
    <t>55;54;32.53469N</t>
  </si>
  <si>
    <t>7;40;34.56142E</t>
  </si>
  <si>
    <t>55;54;32.49398N</t>
  </si>
  <si>
    <t>7;40;36.07098E</t>
  </si>
  <si>
    <t>003674_20230625_05.44_OI104287SEROV1SPRINTNAV500.bin</t>
  </si>
  <si>
    <t>55;54;32.61862N</t>
  </si>
  <si>
    <t>7;40;35.10842E</t>
  </si>
  <si>
    <t>55;54;32.57289N</t>
  </si>
  <si>
    <t>7;40;36.58969E</t>
  </si>
  <si>
    <t>0672_OI104287_SE_BH_099_P09_20230625055440 - 0001.db</t>
  </si>
  <si>
    <t>230625055433.SBD</t>
  </si>
  <si>
    <t>OI104287_SEROV1_ET2200SSS_BH_099_P09.001.jsf</t>
  </si>
  <si>
    <t>55;54;25.06547N</t>
  </si>
  <si>
    <t>7;40;35.39347E</t>
  </si>
  <si>
    <t>55;54;25.05784N</t>
  </si>
  <si>
    <t>7;40;36.84255E</t>
  </si>
  <si>
    <t>003675_20230625_05.59_OI104287SEROV1SPRINTNAV500.bin</t>
  </si>
  <si>
    <t>55;54;24.88636N</t>
  </si>
  <si>
    <t>7;40;35.85269E</t>
  </si>
  <si>
    <t>55;54;24.81614N</t>
  </si>
  <si>
    <t>7;40;37.37605E</t>
  </si>
  <si>
    <t>0673_OI104287_SE_BH_099_C00_20230625060410 - 0001.db</t>
  </si>
  <si>
    <t>230625060343.SBD</t>
  </si>
  <si>
    <t>OI104287_SEROV1_ET2200SSS_BH_099_C00.001.jsf</t>
  </si>
  <si>
    <t>55;54;32.27104N</t>
  </si>
  <si>
    <t>7;40;35.65771E</t>
  </si>
  <si>
    <t>55;54;32.34386N</t>
  </si>
  <si>
    <t>7;40;37.11503E</t>
  </si>
  <si>
    <t>55;54;32.73219N</t>
  </si>
  <si>
    <t>7;40;36.13313E</t>
  </si>
  <si>
    <t>55;54;32.59869N</t>
  </si>
  <si>
    <t>7;40;37.62710E</t>
  </si>
  <si>
    <t>0674_OI104287_SE_BH_099_S09_20230625061346 - 0001.db</t>
  </si>
  <si>
    <t>230625061343.SBD</t>
  </si>
  <si>
    <t>OI104287_SEROV1_ET2200SSS_BH_099_S09.001.jsf</t>
  </si>
  <si>
    <t>55;54;25.16266N</t>
  </si>
  <si>
    <t>7;40;36.41714E</t>
  </si>
  <si>
    <t>55;54;25.03672N</t>
  </si>
  <si>
    <t>7;40;37.88359E</t>
  </si>
  <si>
    <t>003676_20230625_06.14_OI104287SEROV1SPRINTNAV500.bin</t>
  </si>
  <si>
    <t>55;54;25.00854N</t>
  </si>
  <si>
    <t>7;40;36.82332E</t>
  </si>
  <si>
    <t>55;54;24.88932N</t>
  </si>
  <si>
    <t>7;40;38.41044E</t>
  </si>
  <si>
    <t>0675_OI104287_SE_BH_099_S18_20230625062311 - 0001.db</t>
  </si>
  <si>
    <t>OI104287_SEROV1_ET2200SSS_BH_099_S18.001.jsf</t>
  </si>
  <si>
    <t>55;54;32.43679N</t>
  </si>
  <si>
    <t>7;40;36.62547E</t>
  </si>
  <si>
    <t>55;54;32.36695N</t>
  </si>
  <si>
    <t>7;40;38.14912E</t>
  </si>
  <si>
    <t>230625062308.SBD</t>
  </si>
  <si>
    <t>003677_20230625_06.29_OI104287SEROV1SPRINTNAV500.bin</t>
  </si>
  <si>
    <t>55;54;32.81826N</t>
  </si>
  <si>
    <t>7;40;37.12259E</t>
  </si>
  <si>
    <t>55;54;32.63248N</t>
  </si>
  <si>
    <t>7;40;38.66481E</t>
  </si>
  <si>
    <t>0676_OI104287_SE_BH_099_S27_20230625063320 - 0001.db</t>
  </si>
  <si>
    <t>230625063308.SBD</t>
  </si>
  <si>
    <t>OI104287_SEROV1_ET2200SSS_BH_099_S27.001.jsf</t>
  </si>
  <si>
    <t>55;54;25.24637N</t>
  </si>
  <si>
    <t>7;40;37.38059E</t>
  </si>
  <si>
    <t>55;54;25.03913N</t>
  </si>
  <si>
    <t>7;40;38.91979E</t>
  </si>
  <si>
    <t>55;54;24.82640N</t>
  </si>
  <si>
    <t>7;40;37.84790E</t>
  </si>
  <si>
    <t>55;54;24.80030N</t>
  </si>
  <si>
    <t>7;40;39.44453E</t>
  </si>
  <si>
    <t>0677_OI104287_SE_BH_099_S36_20230625064235 - 0001.db</t>
  </si>
  <si>
    <t>230625064221.SBD</t>
  </si>
  <si>
    <t>OI104287_SEROV1_ET2200SSS_BH_099_S36.001.jsf</t>
  </si>
  <si>
    <t>55;54;32.34579N</t>
  </si>
  <si>
    <t>7;40;37.73834E</t>
  </si>
  <si>
    <t>55;54;32.34763N</t>
  </si>
  <si>
    <t>7;40;39.18805E</t>
  </si>
  <si>
    <t>003678_20230625_06.44_OI104287SEROV1SPRINTNAV500.bin</t>
  </si>
  <si>
    <t>55;54;32.70252N</t>
  </si>
  <si>
    <t>7;40;38.15769E</t>
  </si>
  <si>
    <t>55;54;32.56595N</t>
  </si>
  <si>
    <t>7;40;39.69951E</t>
  </si>
  <si>
    <t>0678_OI104287_SE_BH_099_S45_20230625065207 - 0001.db</t>
  </si>
  <si>
    <t>230625065200.SBD</t>
  </si>
  <si>
    <t>OI104287_SEROV1_ET2200SSS_BH_099_S45.001.jsf</t>
  </si>
  <si>
    <t>55;54;25.19366N</t>
  </si>
  <si>
    <t>7;40;38.42067E</t>
  </si>
  <si>
    <t>55;54;25.03506N</t>
  </si>
  <si>
    <t>7;40;39.95509E</t>
  </si>
  <si>
    <t>55;54;24.83728N</t>
  </si>
  <si>
    <t>7;40;38.89837E</t>
  </si>
  <si>
    <t>55;54;24.80588N</t>
  </si>
  <si>
    <t>7;40;40.48315E</t>
  </si>
  <si>
    <t>0679_OI104287_SE_BH_099_S54_20230625070233 - 0001.db</t>
  </si>
  <si>
    <t>230625070216.SBD</t>
  </si>
  <si>
    <t>OI104287_SEROV1_ET2200SSS_BH_099_S54.001.jsf</t>
  </si>
  <si>
    <t>003679_20230625_06.59_OI104287SEROV1SPRINTNAV500.bin</t>
  </si>
  <si>
    <t>55;54;32.30462N</t>
  </si>
  <si>
    <t>7;40;38.74561E</t>
  </si>
  <si>
    <t>55;54;32.39531N</t>
  </si>
  <si>
    <t>7;40;40.22636E</t>
  </si>
  <si>
    <t>55;54;32.80065N</t>
  </si>
  <si>
    <t>7;40;39.24594E</t>
  </si>
  <si>
    <t>55;54;32.64742N</t>
  </si>
  <si>
    <t>7;40;40.73360E</t>
  </si>
  <si>
    <t>0680_OI104287_SE_BH_099_S63_20230625071233 - 0001.db</t>
  </si>
  <si>
    <t>230625071212.SBD</t>
  </si>
  <si>
    <t>OI104287_SEROV1_ET2200SSS_BH_099_S63.001.jsf</t>
  </si>
  <si>
    <t>55;54;25.18434N</t>
  </si>
  <si>
    <t>7;40;39.52196E</t>
  </si>
  <si>
    <t>55;54;25.01726N</t>
  </si>
  <si>
    <t>7;40;40.99220E</t>
  </si>
  <si>
    <t>003680_20230625_07.14_OI104287SEROV1SPRINTNAV500.bin</t>
  </si>
  <si>
    <t>55;54;24.80230N</t>
  </si>
  <si>
    <t>7;40;39.97654E</t>
  </si>
  <si>
    <t>55;54;24.78355N</t>
  </si>
  <si>
    <t>7;40;41.51664E</t>
  </si>
  <si>
    <t>0681_OI104287_SE_BH_099_S72_20230625072226 - 0001.db</t>
  </si>
  <si>
    <t>230625072215.SBD</t>
  </si>
  <si>
    <t>OI104287_SEROV1_ET2200SSS_BH_099_S72.001.jsf</t>
  </si>
  <si>
    <t>Vessel on the move to CPT_196</t>
  </si>
  <si>
    <t>55;54;32.33266N</t>
  </si>
  <si>
    <t>7;40;39.79581E</t>
  </si>
  <si>
    <t>55;54;32.42594N</t>
  </si>
  <si>
    <t>7;40;41.25804E</t>
  </si>
  <si>
    <t>55;54;33.28150N</t>
  </si>
  <si>
    <t>7;40;39.81083E</t>
  </si>
  <si>
    <t>55;54;33.18966N</t>
  </si>
  <si>
    <t>7;40;40.46655E</t>
  </si>
  <si>
    <t>55;54;33.23984N</t>
  </si>
  <si>
    <t>7;40;39.79153E</t>
  </si>
  <si>
    <t>55;54;33.14682N</t>
  </si>
  <si>
    <t>7;40;40.46293E</t>
  </si>
  <si>
    <t>55;54;08.00532N</t>
  </si>
  <si>
    <t>7;41;41.91198E</t>
  </si>
  <si>
    <t>55;54;07.95504N</t>
  </si>
  <si>
    <t>7;41;42.58179E</t>
  </si>
  <si>
    <t>55;54;08.02627N</t>
  </si>
  <si>
    <t>7;41;42.01728E</t>
  </si>
  <si>
    <t>55;54;08.16973N</t>
  </si>
  <si>
    <t>7;41;42.96410E</t>
  </si>
  <si>
    <t>OI104287_SE_SVX2_SVP_20230625_0746_555413N_0074169E_058</t>
  </si>
  <si>
    <t>55;54;08.03425N</t>
  </si>
  <si>
    <t>7;41;42.07804E</t>
  </si>
  <si>
    <t>55;54;08.18678N</t>
  </si>
  <si>
    <t>7;41;43.11679E</t>
  </si>
  <si>
    <t>SVP_058</t>
  </si>
  <si>
    <t>55;54;07.66296N</t>
  </si>
  <si>
    <t>7;41;42.07141E</t>
  </si>
  <si>
    <t>55;54;07.53485N</t>
  </si>
  <si>
    <t>7;41;43.58329E</t>
  </si>
  <si>
    <t>0682_OI104287_SE_CPT_196_P50_20230625075139 - 0001.db</t>
  </si>
  <si>
    <t>230625075127.SBD</t>
  </si>
  <si>
    <t>OI104287_SEROV1_ET2200SSS_CPT_196_P50.001.jsf</t>
  </si>
  <si>
    <t>003682_20230625_07.44_OI104287SEROV1SPRINTNAV500.bin</t>
  </si>
  <si>
    <t>55;54;01.89493N</t>
  </si>
  <si>
    <t>7;41;42.09461E</t>
  </si>
  <si>
    <t>55;54;01.80556N</t>
  </si>
  <si>
    <t>7;41;43.77309E</t>
  </si>
  <si>
    <t>55;54;01.57238N</t>
  </si>
  <si>
    <t>7;41;42.72305E</t>
  </si>
  <si>
    <t>55;54;01.55676N</t>
  </si>
  <si>
    <t>7;41;44.30960E</t>
  </si>
  <si>
    <t>0683_OI104287_SE_CPT_196_P41_20230625080012 - 0001.db</t>
  </si>
  <si>
    <t>230625075953.SBD</t>
  </si>
  <si>
    <t>OI104287_SEROV1_ET2200SSS_CPT_196_P41.001.jsf</t>
  </si>
  <si>
    <t>003683_20230625_07.59_OI104287SEROV1SPRINTNAV500.bin</t>
  </si>
  <si>
    <t>55;54;07.26856N</t>
  </si>
  <si>
    <t>7;41;42.75628E</t>
  </si>
  <si>
    <t>55;54;07.31277N</t>
  </si>
  <si>
    <t>7;41;44.11497E</t>
  </si>
  <si>
    <t>55;54;07.63952N</t>
  </si>
  <si>
    <t>7;41;43.15229E</t>
  </si>
  <si>
    <t>55;54;07.51494N</t>
  </si>
  <si>
    <t>7;41;44.63337E</t>
  </si>
  <si>
    <t>0684_OI104287_SE_CPT_196_P32_20230625080807 - 0001.db</t>
  </si>
  <si>
    <t>230625080803.SBD</t>
  </si>
  <si>
    <t>OI104287_SEROV1_ET2200SSS_CPT_196_P32.001.jsf</t>
  </si>
  <si>
    <t>55;54;01.95553N</t>
  </si>
  <si>
    <t>7;41;43.35482E</t>
  </si>
  <si>
    <t>55;54;01.79711N</t>
  </si>
  <si>
    <t>7;41;44.81382E</t>
  </si>
  <si>
    <t>55;54;01.58024N</t>
  </si>
  <si>
    <t>7;41;43.76794E</t>
  </si>
  <si>
    <t>55;54;01.53157N</t>
  </si>
  <si>
    <t>7;41;45.33856E</t>
  </si>
  <si>
    <t>0685_OI104287_SE_CPT_196_P23_20230625081543 - 0001.db</t>
  </si>
  <si>
    <t>230625081525.SBD</t>
  </si>
  <si>
    <t>OI104287_SEROV1_ET2200SSS_CPT_196_P23.001.jsf</t>
  </si>
  <si>
    <t>003684_20230625_08.14_OI104287SEROV1SPRINTNAV500.bin</t>
  </si>
  <si>
    <t>55;54;07.28350N</t>
  </si>
  <si>
    <t>7;41;43.67173E</t>
  </si>
  <si>
    <t>55;54;07.30175N</t>
  </si>
  <si>
    <t>7;41;45.15208E</t>
  </si>
  <si>
    <t>55;54;07.69578N</t>
  </si>
  <si>
    <t>7;41;44.14783E</t>
  </si>
  <si>
    <t>55;54;07.55733N</t>
  </si>
  <si>
    <t>7;41;45.65600E</t>
  </si>
  <si>
    <t>0686_OI104287_SE_CPT_196_P14_20230625082307 - 0001.db</t>
  </si>
  <si>
    <t>230625082254.SBD</t>
  </si>
  <si>
    <t>OI104287_SEROV1_ET2200SSS_CPT_196_P14.001.jsf</t>
  </si>
  <si>
    <t>55;54;02.30039N</t>
  </si>
  <si>
    <t>7;41;44.37135E</t>
  </si>
  <si>
    <t>55;54;02.16086N</t>
  </si>
  <si>
    <t>7;41;45.83614E</t>
  </si>
  <si>
    <t>55;54;01.92451N</t>
  </si>
  <si>
    <t>7;41;44.38180E</t>
  </si>
  <si>
    <t>55;54;01.78353N</t>
  </si>
  <si>
    <t>7;41;45.84791E</t>
  </si>
  <si>
    <t>Naviscan software crash, re-run line</t>
  </si>
  <si>
    <t>CPT_196_P14_RR0001</t>
  </si>
  <si>
    <t>55;54;01.48446N</t>
  </si>
  <si>
    <t>7;41;44.37321E</t>
  </si>
  <si>
    <t>55;54;01.56823N</t>
  </si>
  <si>
    <t>7;41;45.85696E</t>
  </si>
  <si>
    <t>0687_OI104287_SE_CPT_196_P14_RR0001_20230625083122 - 0001.db</t>
  </si>
  <si>
    <t>230625083103.SBD</t>
  </si>
  <si>
    <t>003685_20230625_08.29_OI104287SEROV1SPRINTNAV500.bin</t>
  </si>
  <si>
    <t>55;54;07.21467N</t>
  </si>
  <si>
    <t>7;41;44.18130E</t>
  </si>
  <si>
    <t>55;54;07.37493N</t>
  </si>
  <si>
    <t>7;41;45.66415E</t>
  </si>
  <si>
    <t>55;54;07.51559N</t>
  </si>
  <si>
    <t>7;41;44.67517E</t>
  </si>
  <si>
    <t>55;54;07.57378N</t>
  </si>
  <si>
    <t>7;41;46.16957E</t>
  </si>
  <si>
    <t>0688_OI104287_SE_CPT_196_P05_20230625083910 - 0001.db</t>
  </si>
  <si>
    <t>230625083856.SBD</t>
  </si>
  <si>
    <t>OI104287_SEROV1_ET2200SSS_CPT_196_P05.001.jsf</t>
  </si>
  <si>
    <t>55;54;01.68415N</t>
  </si>
  <si>
    <t>7;41;44.91246E</t>
  </si>
  <si>
    <t>55;54;01.75577N</t>
  </si>
  <si>
    <t>7;41;46.36631E</t>
  </si>
  <si>
    <t>55;54;01.51499N</t>
  </si>
  <si>
    <t>7;41;45.32299E</t>
  </si>
  <si>
    <t>55;54;01.59358N</t>
  </si>
  <si>
    <t>7;41;46.88955E</t>
  </si>
  <si>
    <t>0689_OI104287_SE_CPT_196_S05_20230625084659 - 0001.db</t>
  </si>
  <si>
    <t>230625084657.SBD</t>
  </si>
  <si>
    <t>OI104287_SEROV1_ET2200SSS_CPT_196_S05.001.jsf</t>
  </si>
  <si>
    <t>003686_20230625_08.44_OI104287SEROV1SPRINTNAV500.bin</t>
  </si>
  <si>
    <t>55;54;07.15108N</t>
  </si>
  <si>
    <t>7;41;45.22442E</t>
  </si>
  <si>
    <t>55;54;07.32816N</t>
  </si>
  <si>
    <t>7;41;46.69854E</t>
  </si>
  <si>
    <t>55;54;07.67265N</t>
  </si>
  <si>
    <t>7;41;45.70363E</t>
  </si>
  <si>
    <t>55;54;07.58027N</t>
  </si>
  <si>
    <t>7;41;47.21544E</t>
  </si>
  <si>
    <t>0690_OI104287_SE_CPT_196_S14_20230625085428 - 0001.db</t>
  </si>
  <si>
    <t>230625085417.SBD</t>
  </si>
  <si>
    <t>OI104287_SEROV1_ET2200SSS_CPT_196_S14.001.jsf</t>
  </si>
  <si>
    <t>55;54;01.95064N</t>
  </si>
  <si>
    <t>7;41;45.93187E</t>
  </si>
  <si>
    <t>55;54;01.77372N</t>
  </si>
  <si>
    <t>7;41;47.40584E</t>
  </si>
  <si>
    <t>003687_20230625_08.59_OI104287SEROV1SPRINTNAV500.bin</t>
  </si>
  <si>
    <t>55;54;01.49615N</t>
  </si>
  <si>
    <t>7;41;46.40361E</t>
  </si>
  <si>
    <t>55;54;01.54786N</t>
  </si>
  <si>
    <t>7;41;47.92364E</t>
  </si>
  <si>
    <t>0691_OI104287_SE_CPT_196_S23_20230625090232 - 0001.db</t>
  </si>
  <si>
    <t>230625090228.SBD</t>
  </si>
  <si>
    <t>OI104287_SEROV1_ET2200SSS_CPT_196_S23.001.jsf</t>
  </si>
  <si>
    <t>55;54;07.20551N</t>
  </si>
  <si>
    <t>7;41;46.27171E</t>
  </si>
  <si>
    <t>55;54;07.31156N</t>
  </si>
  <si>
    <t>7;41;47.73897E</t>
  </si>
  <si>
    <t>55;54;07.61951N</t>
  </si>
  <si>
    <t>7;41;46.75456E</t>
  </si>
  <si>
    <t>55;54;07.54632N</t>
  </si>
  <si>
    <t>7;41;48.24772E</t>
  </si>
  <si>
    <t>0692_OI104287_SE_CPT_196_S32_20230625091036 - 0001.db</t>
  </si>
  <si>
    <t>230625091026.SBD</t>
  </si>
  <si>
    <t>OI104287_SEROV1_ET2200SSS_CPT_196_S32.001.jsf</t>
  </si>
  <si>
    <t>55;54;01.92018N</t>
  </si>
  <si>
    <t>7;41;46.97591E</t>
  </si>
  <si>
    <t>55;54;01.80510N</t>
  </si>
  <si>
    <t>7;41;48.43933E</t>
  </si>
  <si>
    <t>003688_20230625_09.14_OI104287SEROV1SPRINTNAV500.bin</t>
  </si>
  <si>
    <t>55;54;01.62259N</t>
  </si>
  <si>
    <t>7;41;47.45959E</t>
  </si>
  <si>
    <t>55;54;01.58528N</t>
  </si>
  <si>
    <t>7;41;48.96709E</t>
  </si>
  <si>
    <t>0693_OI104287_SE_CPT_196_S41_20230625091834 - 0001.db</t>
  </si>
  <si>
    <t>230625091829.SBD</t>
  </si>
  <si>
    <t>OI104287_SEROV1_ET2200SSS_CPT_196_S41.001.jsf</t>
  </si>
  <si>
    <t>55;54;07.31297N</t>
  </si>
  <si>
    <t>7;41;47.29835E</t>
  </si>
  <si>
    <t>55;54;07.33253N</t>
  </si>
  <si>
    <t>7;41;48.77367E</t>
  </si>
  <si>
    <t>55;54;07.70695N</t>
  </si>
  <si>
    <t>7;41;47.78294E</t>
  </si>
  <si>
    <t>55;54;07.55417N</t>
  </si>
  <si>
    <t>7;41;49.28392E</t>
  </si>
  <si>
    <t>0694_OI104287_SE_CPT_196_S50_20230625092624 - 0001.db</t>
  </si>
  <si>
    <t>230625092616.SBD</t>
  </si>
  <si>
    <t>OI104287_SEROV1_ET2200SSS_CPT_196_S50.001.jsf</t>
  </si>
  <si>
    <t>55;54;01.90470N</t>
  </si>
  <si>
    <t>7;41;48.01523E</t>
  </si>
  <si>
    <t>55;54;01.79333N</t>
  </si>
  <si>
    <t>7;41;49.47734E</t>
  </si>
  <si>
    <t>003689_20230625_09.29_OI104287SEROV1SPRINTNAV500.bin</t>
  </si>
  <si>
    <t>55;54;01.18632N</t>
  </si>
  <si>
    <t>7;41;48.03677E</t>
  </si>
  <si>
    <t>55;54;01.08151N</t>
  </si>
  <si>
    <t>7;41;48.69672E</t>
  </si>
  <si>
    <t>55;54;01.18749N</t>
  </si>
  <si>
    <t>7;41;48.04457E</t>
  </si>
  <si>
    <t>55;54;01.15619N</t>
  </si>
  <si>
    <t>7;41;48.79961E</t>
  </si>
  <si>
    <t>Transit to CPT_064</t>
  </si>
  <si>
    <t>55;54;00.80062N</t>
  </si>
  <si>
    <t>7;41;47.81358E</t>
  </si>
  <si>
    <t>55;54;00.84373N</t>
  </si>
  <si>
    <t>7;41;48.58628E</t>
  </si>
  <si>
    <t>WROV on deck EOD #021</t>
  </si>
  <si>
    <t>55;55;07.67853N</t>
  </si>
  <si>
    <t>7;45;55.14569E</t>
  </si>
  <si>
    <t>55;55;07.62445N</t>
  </si>
  <si>
    <t>7;45;55.77565E</t>
  </si>
  <si>
    <t>55;55;07.67962N</t>
  </si>
  <si>
    <t>7;45;55.20218E</t>
  </si>
  <si>
    <t>55;55;07.63441N</t>
  </si>
  <si>
    <t>7;45;55.85983E</t>
  </si>
  <si>
    <t>WROV off deck SOD #022</t>
  </si>
  <si>
    <t>55;55;07.67504N</t>
  </si>
  <si>
    <t>7;45;55.27243E</t>
  </si>
  <si>
    <t>55;55;07.67514N</t>
  </si>
  <si>
    <t>7;45;56.40117E</t>
  </si>
  <si>
    <t>OI104287_SE_SVX2_SVP_20230625_1014_555512N_0074592E_059</t>
  </si>
  <si>
    <t>55;55;07.67411N</t>
  </si>
  <si>
    <t>7;45;55.28088E</t>
  </si>
  <si>
    <t>55;55;07.54283N</t>
  </si>
  <si>
    <t>7;45;56.38910E</t>
  </si>
  <si>
    <t>SVP_059</t>
  </si>
  <si>
    <t>ROV out of tms</t>
  </si>
  <si>
    <t>55;55;08.14534N</t>
  </si>
  <si>
    <t>7;45;55.23044E</t>
  </si>
  <si>
    <t>55;55;08.42076N</t>
  </si>
  <si>
    <t>7;45;56.75995E</t>
  </si>
  <si>
    <t>0695_OI104287_SE_CPT_064_P50_20230625102034 - 0001.db</t>
  </si>
  <si>
    <t>230625101954.SBD</t>
  </si>
  <si>
    <t>OI104287_SEROV1_ET2200SSS_CPT_064_P50.001.jsf</t>
  </si>
  <si>
    <t>003692_20230625_10.14_OI104287SEROV1SPRINTNAV500.bin</t>
  </si>
  <si>
    <t>55;55;14.32277N</t>
  </si>
  <si>
    <t>7;45;55.03864E</t>
  </si>
  <si>
    <t>55;55;14.13196N</t>
  </si>
  <si>
    <t>7;45;56.57377E</t>
  </si>
  <si>
    <t>55;55;14.44807N</t>
  </si>
  <si>
    <t>7;45;55.65651E</t>
  </si>
  <si>
    <t>55;55;14.33443N</t>
  </si>
  <si>
    <t>7;45;57.09217E</t>
  </si>
  <si>
    <t>0696_OI104287_SE_CPT_064_P41_20230625102916 - 0001.db</t>
  </si>
  <si>
    <t>230625102909.SBD</t>
  </si>
  <si>
    <t>OI104287_SEROV1_ET2200SSS_CPT_064_P41.001.jsf</t>
  </si>
  <si>
    <t>55;55;08.72498N</t>
  </si>
  <si>
    <t>7;45;55.85793E</t>
  </si>
  <si>
    <t>55;55;08.62822N</t>
  </si>
  <si>
    <t>7;45;57.26900E</t>
  </si>
  <si>
    <t>003693_20230625_10.29_OI104287SEROV1SPRINTNAV500.bin</t>
  </si>
  <si>
    <t>55;55;08.56778N</t>
  </si>
  <si>
    <t>7;45;56.32413E</t>
  </si>
  <si>
    <t>55;55;08.41458N</t>
  </si>
  <si>
    <t>7;45;57.79525E</t>
  </si>
  <si>
    <t>0697_OI104287_SE_CPT_064_P32_20230625103737 - 0001.db</t>
  </si>
  <si>
    <t>230625103729.SBD</t>
  </si>
  <si>
    <t>OI104287_SEROV1_ET2200SSS_CPT_064_P32.001.jsf</t>
  </si>
  <si>
    <t>55;55;14.15567N</t>
  </si>
  <si>
    <t>7;45;56.20347E</t>
  </si>
  <si>
    <t>55;55;14.10571N</t>
  </si>
  <si>
    <t>7;45;57.61842E</t>
  </si>
  <si>
    <t>55;55;14.58878N</t>
  </si>
  <si>
    <t>7;45;56.69845E</t>
  </si>
  <si>
    <t>55;55;14.32493N</t>
  </si>
  <si>
    <t>7;45;58.13622E</t>
  </si>
  <si>
    <t>0698_OI104287_SE_CPT_064_P23_20230625104515 - 0001.db</t>
  </si>
  <si>
    <t>230625104505.SBD</t>
  </si>
  <si>
    <t>OI104287_SEROV1_ET2200SSS_CPT_064_P23.001.jsf</t>
  </si>
  <si>
    <t>003694_20230625_10.44_OI104287SEROV1SPRINTNAV500.bin</t>
  </si>
  <si>
    <t>55;55;08.99169N</t>
  </si>
  <si>
    <t>7;45;56.90705E</t>
  </si>
  <si>
    <t>55;55;08.65175N</t>
  </si>
  <si>
    <t>7;45;58.31124E</t>
  </si>
  <si>
    <t>55;55;08.65857N</t>
  </si>
  <si>
    <t>7;45;57.37720E</t>
  </si>
  <si>
    <t>55;55;08.42303N</t>
  </si>
  <si>
    <t>7;45;58.82602E</t>
  </si>
  <si>
    <t>0699_OI104287_SE_CPT_064_P14_20230625105304 - 0001.db</t>
  </si>
  <si>
    <t>230625105258.SBD</t>
  </si>
  <si>
    <t>OI104287_SEROV1_ET2200SSS_CPT_064_P14.001.jsf</t>
  </si>
  <si>
    <t>55;55;14.30248N</t>
  </si>
  <si>
    <t>7;45;57.24509E</t>
  </si>
  <si>
    <t>55;55;14.13482N</t>
  </si>
  <si>
    <t>7;45;58.65010E</t>
  </si>
  <si>
    <t>55;55;14.61151N</t>
  </si>
  <si>
    <t>7;45;57.76650E</t>
  </si>
  <si>
    <t>55;55;14.35254N</t>
  </si>
  <si>
    <t>7;45;59.16609E</t>
  </si>
  <si>
    <t>0700_OI104287_SE_CPT_064_P05_20230625110116 - 0001.db</t>
  </si>
  <si>
    <t>230625110109.SBD</t>
  </si>
  <si>
    <t>OI104287_SEROV1_ET2200SSS_CPT_064_P05.001.jsf</t>
  </si>
  <si>
    <t>003695_20230625_10.59_OI104287SEROV1SPRINTNAV500.bin</t>
  </si>
  <si>
    <t>55;55;08.86602N</t>
  </si>
  <si>
    <t>7;45;57.86072E</t>
  </si>
  <si>
    <t>55;55;08.60453N</t>
  </si>
  <si>
    <t>7;45;59.34593E</t>
  </si>
  <si>
    <t>55;55;08.42941N</t>
  </si>
  <si>
    <t>7;45;58.35810E</t>
  </si>
  <si>
    <t>55;55;08.35845N</t>
  </si>
  <si>
    <t>7;45;59.87158E</t>
  </si>
  <si>
    <t>0701_OI104287_SE_CPT_064_S05_20230625110848 - 0001.db</t>
  </si>
  <si>
    <t>230625110843.SBD</t>
  </si>
  <si>
    <t>OI104287_SEROV1_ET2200SSS_CPT_064_S05.001.jsf</t>
  </si>
  <si>
    <t>55;55;14.13670N</t>
  </si>
  <si>
    <t>7;45;58.24011E</t>
  </si>
  <si>
    <t>55;55;14.15187N</t>
  </si>
  <si>
    <t>7;45;59.68872E</t>
  </si>
  <si>
    <t>55;55;14.36693N</t>
  </si>
  <si>
    <t>7;45;58.70519E</t>
  </si>
  <si>
    <t>55;55;14.37502N</t>
  </si>
  <si>
    <t>7;46;00.19898E</t>
  </si>
  <si>
    <t>0702_OI104287_SE_CPT_064_S14_20230625111632 - 0001.db</t>
  </si>
  <si>
    <t>230625111628.SBD</t>
  </si>
  <si>
    <t>OI104287_SEROV1_ET2200SSS_CPT_064_S14.001.jsf</t>
  </si>
  <si>
    <t>003696_20230625_11.14_OI104287SEROV1SPRINTNAV500.bin</t>
  </si>
  <si>
    <t>55;55;08.72885N</t>
  </si>
  <si>
    <t>7;45;58.84858E</t>
  </si>
  <si>
    <t>55;55;08.63848N</t>
  </si>
  <si>
    <t>7;46;00.37972E</t>
  </si>
  <si>
    <t>55;55;08.44262N</t>
  </si>
  <si>
    <t>7;45;59.36882E</t>
  </si>
  <si>
    <t>55;55;08.45667N</t>
  </si>
  <si>
    <t>7;46;00.89390E</t>
  </si>
  <si>
    <t>0703_OI104287_SE_CPT_064_S23_20230625112401 - 0001.db</t>
  </si>
  <si>
    <t>230625112351.SBD</t>
  </si>
  <si>
    <t>OI104287_SEROV1_ET2200SSS_CPT_064_S23.001.jsf</t>
  </si>
  <si>
    <t>55;55;13.98951N</t>
  </si>
  <si>
    <t>7;45;59.25996E</t>
  </si>
  <si>
    <t>55;55;14.14463N</t>
  </si>
  <si>
    <t>7;46;00.72342E</t>
  </si>
  <si>
    <t>55;55;14.29616N</t>
  </si>
  <si>
    <t>7;45;59.75597E</t>
  </si>
  <si>
    <t>55;55;14.18989N</t>
  </si>
  <si>
    <t>7;46;01.23639E</t>
  </si>
  <si>
    <t>0704_OI104287_SE_CPT_064_S32_20230625113133 - 0001.db</t>
  </si>
  <si>
    <t>230625113129.SBD</t>
  </si>
  <si>
    <t>OI104287_SEROV1_ET2200SSS_CPT_064_S32.001.jsf</t>
  </si>
  <si>
    <t>003697_20230625_11.29_OI104287SEROV1SPRINTNAV500.bin</t>
  </si>
  <si>
    <t>55;55;08.76918N</t>
  </si>
  <si>
    <t>7;45;59.95833E</t>
  </si>
  <si>
    <t>55;55;08.62128N</t>
  </si>
  <si>
    <t>7;46;01.41593E</t>
  </si>
  <si>
    <t>55;55;08.50352N</t>
  </si>
  <si>
    <t>7;46;00.47409E</t>
  </si>
  <si>
    <t>55;55;08.40779N</t>
  </si>
  <si>
    <t>7;46;01.94459E</t>
  </si>
  <si>
    <t>0705_OI104287_SE_CPT_064_S41_20230625114337 - 0001.db</t>
  </si>
  <si>
    <t>230625114327.SBD</t>
  </si>
  <si>
    <t>OI104287_SEROV1_ET2200SSS_CPT_064_S41.001.jsf</t>
  </si>
  <si>
    <t>55;55;14.18070N</t>
  </si>
  <si>
    <t>7;46;00.24766E</t>
  </si>
  <si>
    <t>55;55;14.12487N</t>
  </si>
  <si>
    <t>7;46;01.76415E</t>
  </si>
  <si>
    <t>003698_20230625_11.44_OI104287SEROV1SPRINTNAV500.bin</t>
  </si>
  <si>
    <t>55;55;14.52720N</t>
  </si>
  <si>
    <t>7;46;00.78966E</t>
  </si>
  <si>
    <t>55;55;14.37668N</t>
  </si>
  <si>
    <t>7;46;02.27440E</t>
  </si>
  <si>
    <t>0706_OI104287_SE_CPT_064_S50_20230625115124 - 0001.db</t>
  </si>
  <si>
    <t>230625115115.SBD</t>
  </si>
  <si>
    <t>OI104287_SEROV1_ET2200SSS_CPT_064_S50.001.jsf</t>
  </si>
  <si>
    <t>55;55;08.78895N</t>
  </si>
  <si>
    <t>7;46;00.99474E</t>
  </si>
  <si>
    <t>55;55;08.63304N</t>
  </si>
  <si>
    <t>7;46;02.45274E</t>
  </si>
  <si>
    <t>Transit to CPT_199</t>
  </si>
  <si>
    <t>55;55;08.07819N</t>
  </si>
  <si>
    <t>7;46;00.97940E</t>
  </si>
  <si>
    <t>55;55;07.98625N</t>
  </si>
  <si>
    <t>7;46;01.62745E</t>
  </si>
  <si>
    <t>55;55;23.55154N</t>
  </si>
  <si>
    <t>7;45;58.13727E</t>
  </si>
  <si>
    <t>55;55;23.52629N</t>
  </si>
  <si>
    <t>7;45;58.79796E</t>
  </si>
  <si>
    <t>55;56;12.32891N</t>
  </si>
  <si>
    <t>7;45;48.68017E</t>
  </si>
  <si>
    <t>55;56;12.32159N</t>
  </si>
  <si>
    <t>7;45;49.32819E</t>
  </si>
  <si>
    <t>OI104287_SE_SVX2_SVP_20230625_1219_555620N_0074581E_060</t>
  </si>
  <si>
    <t>55;56;12.32560N</t>
  </si>
  <si>
    <t>7;45;48.63856E</t>
  </si>
  <si>
    <t>55;56;12.23454N</t>
  </si>
  <si>
    <t>7;45;50.08135E</t>
  </si>
  <si>
    <t>SVP_060</t>
  </si>
  <si>
    <t>55;56;13.78642N</t>
  </si>
  <si>
    <t>7;45;48.62349E</t>
  </si>
  <si>
    <t>55;56;13.49177N</t>
  </si>
  <si>
    <t>7;45;50.04695E</t>
  </si>
  <si>
    <t>Naviscan software crash, move back to start of line</t>
  </si>
  <si>
    <t>55;56;13.46463N</t>
  </si>
  <si>
    <t>7;45;48.56533E</t>
  </si>
  <si>
    <t>55;56;13.30032N</t>
  </si>
  <si>
    <t>7;45;50.06626E</t>
  </si>
  <si>
    <t>0707_OI104287_SE_CPT_199_S50_20230625123007 - 0001.db</t>
  </si>
  <si>
    <t>230625122947.SBD</t>
  </si>
  <si>
    <t>OI104287_SEROV1_ET2200SSS_CPT_199_S50.002.jsf</t>
  </si>
  <si>
    <t>003701_20230625_12.29_OI104287SEROV1SPRINTNAV500.bin</t>
  </si>
  <si>
    <t>55;56;19.30268N</t>
  </si>
  <si>
    <t>7;45;48.37321E</t>
  </si>
  <si>
    <t>55;56;19.00789N</t>
  </si>
  <si>
    <t>7;45;49.87857E</t>
  </si>
  <si>
    <t>55;56;19.49940N</t>
  </si>
  <si>
    <t>7;45;47.89207E</t>
  </si>
  <si>
    <t>55;56;19.25849N</t>
  </si>
  <si>
    <t>7;45;49.35595E</t>
  </si>
  <si>
    <t>0708_OI104287_SE_CPT_199_S41_20230625123841 - 0001.db</t>
  </si>
  <si>
    <t>230625123832.SBD</t>
  </si>
  <si>
    <t>OI104287_SEROV1_ET2200SSS_CPT_199_S41.001.jsf</t>
  </si>
  <si>
    <t>55;56;13.81143N</t>
  </si>
  <si>
    <t>7;45;48.04094E</t>
  </si>
  <si>
    <t>55;56;13.50988N</t>
  </si>
  <si>
    <t>7;45;49.53368E</t>
  </si>
  <si>
    <t>55;56;13.32023N</t>
  </si>
  <si>
    <t>7;45;47.60450E</t>
  </si>
  <si>
    <t>55;56;13.25415N</t>
  </si>
  <si>
    <t>7;45;49.02583E</t>
  </si>
  <si>
    <t>0709_OI104287_SE_CPT_199_S32_20230625124722 - 0001.db</t>
  </si>
  <si>
    <t>230625124657.SBD</t>
  </si>
  <si>
    <t>OI104287_SEROV1_ET2200SSS_CPT_199_S32.001.jsf</t>
  </si>
  <si>
    <t>003702_20230625_12.44_OI104287SEROV1SPRINTNAV500.bin</t>
  </si>
  <si>
    <t>55;56;19.13874N</t>
  </si>
  <si>
    <t>7;45;47.33026E</t>
  </si>
  <si>
    <t>55;56;19.01679N</t>
  </si>
  <si>
    <t>7;45;48.84146E</t>
  </si>
  <si>
    <t>55;56;19.37143N</t>
  </si>
  <si>
    <t>7;45;46.88145E</t>
  </si>
  <si>
    <t>55;56;19.22394N</t>
  </si>
  <si>
    <t>7;45;48.32608E</t>
  </si>
  <si>
    <t>0710_OI104287_SE_CPT_199_S23_20230625125644 - 0001.db</t>
  </si>
  <si>
    <t>230625125635.SBD</t>
  </si>
  <si>
    <t>OI104287_SEROV1_ET2200SSS_CPT_199_S23.001.jsf</t>
  </si>
  <si>
    <t>55;56;13.67645N</t>
  </si>
  <si>
    <t>7;45;47.00685E</t>
  </si>
  <si>
    <t>55;56;13.48710N</t>
  </si>
  <si>
    <t>7;45;48.50260E</t>
  </si>
  <si>
    <t>003703_20230625_12.59_OI104287SEROV1SPRINTNAV500.bin</t>
  </si>
  <si>
    <t>55;56;13.38311N</t>
  </si>
  <si>
    <t>7;45;46.54921E</t>
  </si>
  <si>
    <t>55;56;13.23303N</t>
  </si>
  <si>
    <t>7;45;47.98721E</t>
  </si>
  <si>
    <t>0711_OI104287_SE_CPT_199_S14_20230625130449 - 0001.db</t>
  </si>
  <si>
    <t>230625130436.SBD</t>
  </si>
  <si>
    <t>OI104287_SEROV1_ET2200SSS_CPT_199_S14.001.jsf</t>
  </si>
  <si>
    <t>55;56;18.96820N</t>
  </si>
  <si>
    <t>7;45;46.31766E</t>
  </si>
  <si>
    <t>55;56;19.02117N</t>
  </si>
  <si>
    <t>7;45;47.80224E</t>
  </si>
  <si>
    <t>55;56;19.25361N</t>
  </si>
  <si>
    <t>7;45;45.84254E</t>
  </si>
  <si>
    <t>55;56;19.19905N</t>
  </si>
  <si>
    <t>7;45;47.29259E</t>
  </si>
  <si>
    <t>0712_OI104287_SE_CPT_199_S05_20230625131411 - 0001.db</t>
  </si>
  <si>
    <t>230625131403.SBD</t>
  </si>
  <si>
    <t>OI104287_SEROV1_ET2200SSS_CPT_199_S05.001.jsf</t>
  </si>
  <si>
    <t>55;56;13.54376N</t>
  </si>
  <si>
    <t>7;45;45.98135E</t>
  </si>
  <si>
    <t>55;56;13.44591N</t>
  </si>
  <si>
    <t>7;45;47.47122E</t>
  </si>
  <si>
    <t>003704_20230625_13.14_OI104287SEROV1SPRINTNAV500.bin</t>
  </si>
  <si>
    <t>55;56;13.43386N</t>
  </si>
  <si>
    <t>7;45;45.51565E</t>
  </si>
  <si>
    <t>55;56;13.20164N</t>
  </si>
  <si>
    <t>7;45;46.94829E</t>
  </si>
  <si>
    <t>0713_OI104287_SE_CPT_199_P05_20230625132245 - 0001.db</t>
  </si>
  <si>
    <t>230625132200.SBD</t>
  </si>
  <si>
    <t>OI104287_SEROV1_ET2200SSS_CPT_199_P05.001.jsf</t>
  </si>
  <si>
    <t>55;56;19.07705N</t>
  </si>
  <si>
    <t>7;45;45.26054E</t>
  </si>
  <si>
    <t>55;56;18.97198N</t>
  </si>
  <si>
    <t>7;45;46.76543E</t>
  </si>
  <si>
    <t>55;56;19.33486N</t>
  </si>
  <si>
    <t>7;45;44.79859E</t>
  </si>
  <si>
    <t>55;56;19.20131N</t>
  </si>
  <si>
    <t>7;45;46.24643E</t>
  </si>
  <si>
    <t>0714_OI104287_SE_CPT_199_P14_20230625133205 - 0001.db</t>
  </si>
  <si>
    <t>230625133153.SBD</t>
  </si>
  <si>
    <t>OI104287_SEROV1_ET2200SSS_CPT_199_P14.001.jsf</t>
  </si>
  <si>
    <t>003705_20230625_13.29_OI104287SEROV1SPRINTNAV500.bin</t>
  </si>
  <si>
    <t>55;56;13.59816N</t>
  </si>
  <si>
    <t>7;45;44.92728E</t>
  </si>
  <si>
    <t>55;56;13.44621N</t>
  </si>
  <si>
    <t>7;45;46.42929E</t>
  </si>
  <si>
    <t>55;56;13.26908N</t>
  </si>
  <si>
    <t>7;45;44.47626E</t>
  </si>
  <si>
    <t>55;56;13.18897N</t>
  </si>
  <si>
    <t>7;45;45.91601E</t>
  </si>
  <si>
    <t>0715_OI104287_SE_CPT_199_P23_20230625134023 - 0001.db</t>
  </si>
  <si>
    <t>230625134007.SBD</t>
  </si>
  <si>
    <t>OI104287_SEROV1_ET2200SSS_CPT_199_P23.001.jsf</t>
  </si>
  <si>
    <t>55;56;19.03123N</t>
  </si>
  <si>
    <t>7;45;44.22792E</t>
  </si>
  <si>
    <t>55;56;18.96308N</t>
  </si>
  <si>
    <t>7;45;45.73888E</t>
  </si>
  <si>
    <t>003706_20230625_13.44_OI104287SEROV1SPRINTNAV500.bin</t>
  </si>
  <si>
    <t>55;56;19.23053N</t>
  </si>
  <si>
    <t>7;45;43.79601E</t>
  </si>
  <si>
    <t>55;56;19.16993N</t>
  </si>
  <si>
    <t>7;45;45.21746E</t>
  </si>
  <si>
    <t>0716_OI104287_SE_CPT_199_P32_20230625135028 - 0001.db</t>
  </si>
  <si>
    <t>230625135013.SBD</t>
  </si>
  <si>
    <t>OI104287_SEROV1_ET2200SSS_CPT_199_P32.001.jsf</t>
  </si>
  <si>
    <t>55;56;13.51112N</t>
  </si>
  <si>
    <t>7;45;43.90596E</t>
  </si>
  <si>
    <t>55;56;13.42494N</t>
  </si>
  <si>
    <t>7;45;45.39097E</t>
  </si>
  <si>
    <t>55;56;13.25297N</t>
  </si>
  <si>
    <t>7;45;43.45034E</t>
  </si>
  <si>
    <t>55;56;13.17599N</t>
  </si>
  <si>
    <t>7;45;44.87739E</t>
  </si>
  <si>
    <t>0717_OI104287_SE_CPT_199_P41_20230625135911 - 0001.db</t>
  </si>
  <si>
    <t>230625135848.SBD</t>
  </si>
  <si>
    <t>OI104287_SEROV1_ET2200SSS_CPT_199_P41.001.jsf</t>
  </si>
  <si>
    <t>55;56;18.64653N</t>
  </si>
  <si>
    <t>7;45;43.15011E</t>
  </si>
  <si>
    <t>55;56;18.96730N</t>
  </si>
  <si>
    <t>7;45;44.69785E</t>
  </si>
  <si>
    <t>003707_20230625_13.59_OI104287SEROV1SPRINTNAV500.bin</t>
  </si>
  <si>
    <t>55;56;19.41045N</t>
  </si>
  <si>
    <t>7;45;42.71345E</t>
  </si>
  <si>
    <t>55;56;19.19829N</t>
  </si>
  <si>
    <t>7;45;44.15984E</t>
  </si>
  <si>
    <t>0718_OI104287_SE_CPT_199_P50_20230625140844 - 0001.db</t>
  </si>
  <si>
    <t>230625140835.SBD</t>
  </si>
  <si>
    <t>OI104287_SEROV1_ET2200SSS_CPT_199_P50.001.jsf</t>
  </si>
  <si>
    <t>55;56;13.66703N</t>
  </si>
  <si>
    <t>7;45;42.85112E</t>
  </si>
  <si>
    <t>55;56;13.38963N</t>
  </si>
  <si>
    <t>7;45;44.34843E</t>
  </si>
  <si>
    <t>Transit to BH_054</t>
  </si>
  <si>
    <t>55;56;12.77923N</t>
  </si>
  <si>
    <t>7;45;42.90894E</t>
  </si>
  <si>
    <t>55;56;12.70768N</t>
  </si>
  <si>
    <t>7;45;43.60733E</t>
  </si>
  <si>
    <t>55;56;12.69150N</t>
  </si>
  <si>
    <t>7;45;44.37591E</t>
  </si>
  <si>
    <t>55;56;12.40020N</t>
  </si>
  <si>
    <t>7;45;44.67945E</t>
  </si>
  <si>
    <t>55;56;01.96718N</t>
  </si>
  <si>
    <t>7;43;32.91485E</t>
  </si>
  <si>
    <t>55;56;02.06169N</t>
  </si>
  <si>
    <t>7;43;32.30720E</t>
  </si>
  <si>
    <t>55;56;01.94464N</t>
  </si>
  <si>
    <t>7;43;32.86015E</t>
  </si>
  <si>
    <t>55;56;02.04268N</t>
  </si>
  <si>
    <t>7;43;32.13219E</t>
  </si>
  <si>
    <t>OI104287_SE_SVX2_SVP_20230625_1443_555603N_0074354E_061</t>
  </si>
  <si>
    <t>55;56;01.92296N</t>
  </si>
  <si>
    <t>7;43;32.63931E</t>
  </si>
  <si>
    <t>55;56;01.92409N</t>
  </si>
  <si>
    <t>7;43;31.61680E</t>
  </si>
  <si>
    <t>SVP_061</t>
  </si>
  <si>
    <t>55;56;01.34399N</t>
  </si>
  <si>
    <t>7;43;32.46570E</t>
  </si>
  <si>
    <t>55;56;01.32301N</t>
  </si>
  <si>
    <t>7;43;30.93666E</t>
  </si>
  <si>
    <t>0719_OI104287_SE_BH_054_S72_20230625145026 - 0001.db</t>
  </si>
  <si>
    <t>230625145018.SBD</t>
  </si>
  <si>
    <t>OI104287_SEROV1_ET2200SSS_BH_054_S72.001.jsf</t>
  </si>
  <si>
    <t>003710_20230625_14.44_OI104287SEROV1SPRINTNAV500.bin</t>
  </si>
  <si>
    <t>55;55;54.07388N</t>
  </si>
  <si>
    <t>7;43;32.61182E</t>
  </si>
  <si>
    <t>55;55;54.02658N</t>
  </si>
  <si>
    <t>7;43;31.17564E</t>
  </si>
  <si>
    <t>55;55;53.77782N</t>
  </si>
  <si>
    <t>7;43;32.13185E</t>
  </si>
  <si>
    <t>55;55;53.81672N</t>
  </si>
  <si>
    <t>7;43;30.66599E</t>
  </si>
  <si>
    <t>0720_OI104287_SE_BH_054_S63_20230625150001 - 0001.db</t>
  </si>
  <si>
    <t>230625145953.SBD</t>
  </si>
  <si>
    <t>OI104287_SEROV1_ET2200SSS_BH_054_S63.001.jsf</t>
  </si>
  <si>
    <t>003711_20230625_14.59_OI104287SEROV1SPRINTNAV500.bin</t>
  </si>
  <si>
    <t>55;56;01.06006N</t>
  </si>
  <si>
    <t>7;43;31.90449E</t>
  </si>
  <si>
    <t>55;56;01.10228N</t>
  </si>
  <si>
    <t>7;43;30.43002E</t>
  </si>
  <si>
    <t>55;56;01.35184N</t>
  </si>
  <si>
    <t>7;43;31.48205E</t>
  </si>
  <si>
    <t>55;56;01.35364N</t>
  </si>
  <si>
    <t>7;43;29.90619E</t>
  </si>
  <si>
    <t>0721_OI104287_SE_BH_054_S54_20230625150924 - 0001.db</t>
  </si>
  <si>
    <t>230625150903.SBD</t>
  </si>
  <si>
    <t>OI104287_SEROV1_ET2200SSS_BH_054_S54.001.jsf</t>
  </si>
  <si>
    <t>55;55;54.23390N</t>
  </si>
  <si>
    <t>7;43;31.60554E</t>
  </si>
  <si>
    <t>55;55;54.14109N</t>
  </si>
  <si>
    <t>7;43;30.14065E</t>
  </si>
  <si>
    <t>003712_20230625_15.14_OI104287SEROV1SPRINTNAV500.bin</t>
  </si>
  <si>
    <t>55;55;53.62053N</t>
  </si>
  <si>
    <t>7;43;31.11068E</t>
  </si>
  <si>
    <t>55;55;53.86892N</t>
  </si>
  <si>
    <t>7;43;29.63069E</t>
  </si>
  <si>
    <t>0722_OI104287_SE_BH_054_S45_20230625151843 - 0001.db</t>
  </si>
  <si>
    <t>230625151831.SBD</t>
  </si>
  <si>
    <t>OI104287_SEROV1_ET2200SSS_BH_054_S45.001.jsf</t>
  </si>
  <si>
    <t>55;56;00.82105N</t>
  </si>
  <si>
    <t>7;43;30.87658E</t>
  </si>
  <si>
    <t>55;56;01.13185N</t>
  </si>
  <si>
    <t>7;43;29.38839E</t>
  </si>
  <si>
    <t>55;56;01.24678N</t>
  </si>
  <si>
    <t>7;43;30.42821E</t>
  </si>
  <si>
    <t>55;56;01.35394N</t>
  </si>
  <si>
    <t>7;43;28.85701E</t>
  </si>
  <si>
    <t>0723_OI104287_SE_BH_054_S36_20230625152809 - 0001.db</t>
  </si>
  <si>
    <t>230625152748.SBD</t>
  </si>
  <si>
    <t>OI104287_SEROV1_ET2200SSS_BH_054_S36.001.jsf</t>
  </si>
  <si>
    <t>55;55;54.00902N</t>
  </si>
  <si>
    <t>7;43;30.54391E</t>
  </si>
  <si>
    <t>55;55;54.05434N</t>
  </si>
  <si>
    <t>7;43;29.10384E</t>
  </si>
  <si>
    <t>003713_20230625_15.29_OI104287SEROV1SPRINTNAV500.bin</t>
  </si>
  <si>
    <t>55;55;53.54816N</t>
  </si>
  <si>
    <t>7;43;30.08427E</t>
  </si>
  <si>
    <t>55;55;53.81038N</t>
  </si>
  <si>
    <t>7;43;28.59117E</t>
  </si>
  <si>
    <t>0724_OI104287_SE_BH_054_S27_20230625153659 - 0001.db</t>
  </si>
  <si>
    <t>230625153641.SBD</t>
  </si>
  <si>
    <t>OI104287_SEROV1_ET2200SSS_BH_054_S27.001.jsf</t>
  </si>
  <si>
    <t>55;56;00.89233N</t>
  </si>
  <si>
    <t>7;43;29.80385E</t>
  </si>
  <si>
    <t>55;56;01.15222N</t>
  </si>
  <si>
    <t>7;43;28.35098E</t>
  </si>
  <si>
    <t>55;56;01.68921N</t>
  </si>
  <si>
    <t>7;43;29.66810E</t>
  </si>
  <si>
    <t>55;56;02.07995N</t>
  </si>
  <si>
    <t>7;43;28.06100E</t>
  </si>
  <si>
    <t>Recovery ROV onboard due a broken shear pin on stb side grad frame</t>
  </si>
  <si>
    <t>55;56;01.76179N</t>
  </si>
  <si>
    <t>7;43;29.46797E</t>
  </si>
  <si>
    <t>55;56;01.84292N</t>
  </si>
  <si>
    <t>7;43;28.83770E</t>
  </si>
  <si>
    <t>55;56;01.76073N</t>
  </si>
  <si>
    <t>7;43;29.45491E</t>
  </si>
  <si>
    <t>55;56;01.84277N</t>
  </si>
  <si>
    <t>7;43;28.83649E</t>
  </si>
  <si>
    <t>55;56;01.76397N</t>
  </si>
  <si>
    <t>7;43;29.46689E</t>
  </si>
  <si>
    <t>55;56;01.84187N</t>
  </si>
  <si>
    <t>7;43;28.84192E</t>
  </si>
  <si>
    <t>WROV on deck EOD #022</t>
  </si>
  <si>
    <t>WROV off deck SOD #023</t>
  </si>
  <si>
    <t>OI104287_SE_SVX2_SVP_20230625_1607_555602N_0074349E_062</t>
  </si>
  <si>
    <t>55;56;01.76315N</t>
  </si>
  <si>
    <t>7;43;29.47259E</t>
  </si>
  <si>
    <t>55;56;02.03695N</t>
  </si>
  <si>
    <t>7;43;28.27675E</t>
  </si>
  <si>
    <t>SVP_062</t>
  </si>
  <si>
    <t>55;56;01.31096N</t>
  </si>
  <si>
    <t>7;43;29.35343E</t>
  </si>
  <si>
    <t>7;43;27.82352E</t>
  </si>
  <si>
    <t>0725_OI104287_SE_BH_054_S18_20230625162047 - 0001.db</t>
  </si>
  <si>
    <t>230625162027.SBD</t>
  </si>
  <si>
    <t>OI104287_SEROV1_ET2200SSS_BH_054_S18.001.jsf</t>
  </si>
  <si>
    <t>003716_20230625_16.14_OI104287SEROV1SPRINTNAV500.bin</t>
  </si>
  <si>
    <t>55;55;54.08688N</t>
  </si>
  <si>
    <t>7;43;29.52058E</t>
  </si>
  <si>
    <t>55;55;54.07547N</t>
  </si>
  <si>
    <t>7;43;28.07065E</t>
  </si>
  <si>
    <t>55;55;53.68405N</t>
  </si>
  <si>
    <t>7;43;29.04525E</t>
  </si>
  <si>
    <t>55;55;53.84810N</t>
  </si>
  <si>
    <t>7;43;27.55617E</t>
  </si>
  <si>
    <t>0726_OI104287_SE_BH_054_S09_20230625163117 - 0001.db</t>
  </si>
  <si>
    <t>230625163057.SBD</t>
  </si>
  <si>
    <t>OI104287_SEROV1_ET2200SSS_BH_054_S09.001.jsf</t>
  </si>
  <si>
    <t>003717_20230625_16.29_OI104287SEROV1SPRINTNAV500.bin</t>
  </si>
  <si>
    <t>55;56;01.07275N</t>
  </si>
  <si>
    <t>7;43;28.79885E</t>
  </si>
  <si>
    <t>55;56;01.18496N</t>
  </si>
  <si>
    <t>7;43;27.31477E</t>
  </si>
  <si>
    <t>55;56;01.36854N</t>
  </si>
  <si>
    <t>7;43;28.20734E</t>
  </si>
  <si>
    <t>55;56;01.38185N</t>
  </si>
  <si>
    <t>7;43;26.78641E</t>
  </si>
  <si>
    <t>0727_OI104287_SE_BH_054_C00_20230625164144 - 0001.db</t>
  </si>
  <si>
    <t>230625164122.SBD</t>
  </si>
  <si>
    <t>OI104287_SEROV1_ET2200SSS_BH_054_C00.001.jsf</t>
  </si>
  <si>
    <t>55;55;53.93146N</t>
  </si>
  <si>
    <t>7;43;28.44780E</t>
  </si>
  <si>
    <t>55;55;53.94300N</t>
  </si>
  <si>
    <t>7;43;27.02872E</t>
  </si>
  <si>
    <t>003718_20230625_16.44_OI104287SEROV1SPRINTNAV500.bin</t>
  </si>
  <si>
    <t>55;55;53.57933N</t>
  </si>
  <si>
    <t>7;43;27.94713E</t>
  </si>
  <si>
    <t>55;55;53.74369N</t>
  </si>
  <si>
    <t>7;43;26.51725E</t>
  </si>
  <si>
    <t>0728_OI104287_SE_BH_054_P09_20230625165141 - 0001.db</t>
  </si>
  <si>
    <t>230625165122.SBD</t>
  </si>
  <si>
    <t>OI104287_SEROV1_ET2200SSS_BH_054_P09.001.jsf</t>
  </si>
  <si>
    <t>55;56;01.06939N</t>
  </si>
  <si>
    <t>7;43;27.69222E</t>
  </si>
  <si>
    <t>55;56;01.20955N</t>
  </si>
  <si>
    <t>7;43;26.27766E</t>
  </si>
  <si>
    <t>55;56;01.38711N</t>
  </si>
  <si>
    <t>7;43;27.13972E</t>
  </si>
  <si>
    <t>55;56;01.43888N</t>
  </si>
  <si>
    <t>7;43;25.75081E</t>
  </si>
  <si>
    <t>0729_OI104287_SE_BH_054_P18_20230625170204 - 0001.db</t>
  </si>
  <si>
    <t>230625170139.SBD</t>
  </si>
  <si>
    <t>OI104287_SEROV1_ET2200SSS_BH_054_P18.001.jsf</t>
  </si>
  <si>
    <t>003719_20230625_16.59_OI104287SEROV1SPRINTNAV500.bin</t>
  </si>
  <si>
    <t>55;55;53.84702N</t>
  </si>
  <si>
    <t>7;43;27.33307E</t>
  </si>
  <si>
    <t>55;55;53.92550N</t>
  </si>
  <si>
    <t>7;43;26.00549E</t>
  </si>
  <si>
    <t>55;55;53.55055N</t>
  </si>
  <si>
    <t>7;43;26.88617E</t>
  </si>
  <si>
    <t>55;55;53.71487N</t>
  </si>
  <si>
    <t>7;43;25.48044E</t>
  </si>
  <si>
    <t>0730_OI104287_SE_BH_054_P27_20230625171236 - 0001.db</t>
  </si>
  <si>
    <t>230625171223.SBD</t>
  </si>
  <si>
    <t>OI104287_SEROV1_ET2200SSS_BH_054_P27.001.jsf</t>
  </si>
  <si>
    <t>55;56;01.09032N</t>
  </si>
  <si>
    <t>7;43;26.65729E</t>
  </si>
  <si>
    <t>55;56;01.23490N</t>
  </si>
  <si>
    <t>7;43;25.23452E</t>
  </si>
  <si>
    <t>003720_20230625_17.14_OI104287SEROV1SPRINTNAV500.bin</t>
  </si>
  <si>
    <t>55;56;01.36026N</t>
  </si>
  <si>
    <t>7;43;26.05935E</t>
  </si>
  <si>
    <t>55;56;01.41263N</t>
  </si>
  <si>
    <t>7;43;24.72004E</t>
  </si>
  <si>
    <t>0731_OI104287_SE_BH_054_P36_20230625172250 - 0001.db</t>
  </si>
  <si>
    <t>230625172234.SBD</t>
  </si>
  <si>
    <t>OI104287_SEROV1_ET2200SSS_BH_054_P36.001.jsf</t>
  </si>
  <si>
    <t>55;55;53.82399N</t>
  </si>
  <si>
    <t>7;43;26.20557E</t>
  </si>
  <si>
    <t>55;55;53.91177N</t>
  </si>
  <si>
    <t>7;43;24.96777E</t>
  </si>
  <si>
    <t>55;55;53.58410N</t>
  </si>
  <si>
    <t>7;43;25.85180E</t>
  </si>
  <si>
    <t>55;55;53.71608N</t>
  </si>
  <si>
    <t>7;43;24.44635E</t>
  </si>
  <si>
    <t>0732_OI104287_SE_BH_054_P45_20230625173250 - 0001.db</t>
  </si>
  <si>
    <t>230625173232.SBD</t>
  </si>
  <si>
    <t>OI104287_SEROV1_ET2200SSS_BH_054_P45.001.jsf</t>
  </si>
  <si>
    <t>003721_20230625_17.29_OI104287SEROV1SPRINTNAV500.bin</t>
  </si>
  <si>
    <t>55;56;01.13087N</t>
  </si>
  <si>
    <t>7;43;25.64224E</t>
  </si>
  <si>
    <t>55;56;01.25346N</t>
  </si>
  <si>
    <t>7;43;24.19650E</t>
  </si>
  <si>
    <t>55;56;01.32453N</t>
  </si>
  <si>
    <t>7;43;25.11673E</t>
  </si>
  <si>
    <t>55;56;01.46498N</t>
  </si>
  <si>
    <t>7;43;23.67418E</t>
  </si>
  <si>
    <t>0733_OI104287_SE_BH_054_P54_20230625174314 - 0001.db</t>
  </si>
  <si>
    <t>230625174254.SBD</t>
  </si>
  <si>
    <t>OI104287_SEROV1_ET2200SSS_BH_054_P54.001.jsf</t>
  </si>
  <si>
    <t>55;55;53.78543N</t>
  </si>
  <si>
    <t>7;43;25.30476E</t>
  </si>
  <si>
    <t>55;55;53.92640N</t>
  </si>
  <si>
    <t>7;43;23.93157E</t>
  </si>
  <si>
    <t>003722_20230625_17.44_OI104287SEROV1SPRINTNAV500.bin</t>
  </si>
  <si>
    <t>55;55;53.64437N</t>
  </si>
  <si>
    <t>7;43;24.81363E</t>
  </si>
  <si>
    <t>55;55;53.72755N</t>
  </si>
  <si>
    <t>7;43;23.40532E</t>
  </si>
  <si>
    <t>0734_OI104287_SE_BH_054_P63_20230625175342 - 0001.db</t>
  </si>
  <si>
    <t>230625175320.SBD</t>
  </si>
  <si>
    <t>OI104287_SEROV1_ET2200SSS_BH_054_P63.001.jsf</t>
  </si>
  <si>
    <t>55;56;01.22476N</t>
  </si>
  <si>
    <t>7;43;24.58859E</t>
  </si>
  <si>
    <t>55;56;01.27549N</t>
  </si>
  <si>
    <t>7;43;23.16271E</t>
  </si>
  <si>
    <t>003723_20230625_17.59_OI104287SEROV1SPRINTNAV500.bin</t>
  </si>
  <si>
    <t>55;56;01.43187N</t>
  </si>
  <si>
    <t>7;43;24.05623E</t>
  </si>
  <si>
    <t>55;56;01.49893N</t>
  </si>
  <si>
    <t>7;43;22.63616E</t>
  </si>
  <si>
    <t>0735_OI104287_SE_BH_054_P72_20230625180401 - 0001.db</t>
  </si>
  <si>
    <t>230625180344.SBD</t>
  </si>
  <si>
    <t>OI104287_SEROV1_ET2200SSS_BH_054_P72.001.jsf</t>
  </si>
  <si>
    <t>55;55;53.83253N</t>
  </si>
  <si>
    <t>7;43;24.26175E</t>
  </si>
  <si>
    <t>55;55;53.93651N</t>
  </si>
  <si>
    <t>7;43;22.88359E</t>
  </si>
  <si>
    <t>55;55;53.17954N</t>
  </si>
  <si>
    <t>7;43;24.38408E</t>
  </si>
  <si>
    <t>55;55;53.25410N</t>
  </si>
  <si>
    <t>7;43;23.32083E</t>
  </si>
  <si>
    <t>Vessel transit to CPT_244, ROV subsea</t>
  </si>
  <si>
    <t>55;55;51.17418N</t>
  </si>
  <si>
    <t>7;42;21.08974E</t>
  </si>
  <si>
    <t>55;55;51.27901N</t>
  </si>
  <si>
    <t>7;42;19.57827E</t>
  </si>
  <si>
    <t>0736_OI104287_SE_CPT_244_S50_20230625184510 - 0001.db</t>
  </si>
  <si>
    <t>230625184453.SBD</t>
  </si>
  <si>
    <t>OI104287_SEROV1_ET2200SSS_CPT_244_S50.001.jsf</t>
  </si>
  <si>
    <t>003726_20230625_18.44_OI104287SEROV1SPRINTNAV500.bin</t>
  </si>
  <si>
    <t>55;55;45.31965N</t>
  </si>
  <si>
    <t>7;42;21.29937E</t>
  </si>
  <si>
    <t>55;55;45.45466N</t>
  </si>
  <si>
    <t>7;42;19.77863E</t>
  </si>
  <si>
    <t>55;55;45.16118N</t>
  </si>
  <si>
    <t>7;42;20.63977E</t>
  </si>
  <si>
    <t>55;55;45.24178N</t>
  </si>
  <si>
    <t>7;42;19.25600E</t>
  </si>
  <si>
    <t>0737_OI104287_SE_CPT_244_S41_20230625185404 - 0001.db</t>
  </si>
  <si>
    <t>230625185347.SBD</t>
  </si>
  <si>
    <t>OI104287_SEROV1_ET2200SSS_CPT_244_S41.001.jsf</t>
  </si>
  <si>
    <t>55;55;51.04458N</t>
  </si>
  <si>
    <t>7;42;20.43569E</t>
  </si>
  <si>
    <t>55;55;51.11471N</t>
  </si>
  <si>
    <t>7;42;19.06529E</t>
  </si>
  <si>
    <t>55;55;51.21314N</t>
  </si>
  <si>
    <t>7;42;19.98673E</t>
  </si>
  <si>
    <t>55;55;51.28369N</t>
  </si>
  <si>
    <t>7;42;18.53452E</t>
  </si>
  <si>
    <t>0738_OI104287_SE_CPT_244_S32_20230625190245 - 0001.db</t>
  </si>
  <si>
    <t>230625190227.SBD</t>
  </si>
  <si>
    <t>OI104287_SEROV1_ET2200SSS_CPT_244_S32.001.jsf</t>
  </si>
  <si>
    <t>003727_20230625_18.59_OI104287SEROV1SPRINTNAV500.bin</t>
  </si>
  <si>
    <t>55;55;45.32796N</t>
  </si>
  <si>
    <t>7;42;20.20141E</t>
  </si>
  <si>
    <t>55;55;45.44184N</t>
  </si>
  <si>
    <t>7;42;18.73940E</t>
  </si>
  <si>
    <t>55;55;45.18002N</t>
  </si>
  <si>
    <t>7;42;19.68134E</t>
  </si>
  <si>
    <t>55;55;45.26924N</t>
  </si>
  <si>
    <t>7;42;18.22100E</t>
  </si>
  <si>
    <t>0739_OI104287_SE_CPT_244_S23_20230625191110 - 0001.db</t>
  </si>
  <si>
    <t>230625191109.SBD</t>
  </si>
  <si>
    <t>OI104287_SEROV1_ET2200SSS_CPT_244_S23.001.jsf</t>
  </si>
  <si>
    <t>55;55;51.03922N</t>
  </si>
  <si>
    <t>7;42;19.43548E</t>
  </si>
  <si>
    <t>55;55;51.08846N</t>
  </si>
  <si>
    <t>7;42;18.03241E</t>
  </si>
  <si>
    <t>003728_20230625_19.14_OI104287SEROV1SPRINTNAV500.bin</t>
  </si>
  <si>
    <t>55;55;51.17440N</t>
  </si>
  <si>
    <t>7;42;18.97168E</t>
  </si>
  <si>
    <t>55;55;51.27524N</t>
  </si>
  <si>
    <t>7;42;17.50706E</t>
  </si>
  <si>
    <t>0740_OI104287_SE_CPT_244_S14_20230625191954 - 0001.db</t>
  </si>
  <si>
    <t>230625191938.SBD</t>
  </si>
  <si>
    <t>OI104287_SEROV1_ET2200SSS_CPT_244_S14.001.jsf</t>
  </si>
  <si>
    <t>55;55;45.30443N</t>
  </si>
  <si>
    <t>7;42;19.17244E</t>
  </si>
  <si>
    <t>55;55;45.45300N</t>
  </si>
  <si>
    <t>7;42;17.70984E</t>
  </si>
  <si>
    <t>55;55;45.25755N</t>
  </si>
  <si>
    <t>7;42;18.57507E</t>
  </si>
  <si>
    <t>55;55;45.27361N</t>
  </si>
  <si>
    <t>7;42;17.17605E</t>
  </si>
  <si>
    <t>0741_OI104287_SE_CPT_244_S05_20230625192857 - 0001.db</t>
  </si>
  <si>
    <t>230625192840.SBD</t>
  </si>
  <si>
    <t>OI104287_SEROV1_ET2200SSS_CPT_244_S05.001.jsf</t>
  </si>
  <si>
    <t>55;55;51.11104N</t>
  </si>
  <si>
    <t>7;42;18.35625E</t>
  </si>
  <si>
    <t>55;55;51.08167N</t>
  </si>
  <si>
    <t>7;42;16.98926E</t>
  </si>
  <si>
    <t>003729_20230625_19.29_OI104287SEROV1SPRINTNAV500.bin</t>
  </si>
  <si>
    <t>55;55;51.30870N</t>
  </si>
  <si>
    <t>7;42;17.91861E</t>
  </si>
  <si>
    <t>55;55;51.30571N</t>
  </si>
  <si>
    <t>7;42;16.46120E</t>
  </si>
  <si>
    <t>0742_OI104287_SE_CPT_244_P05_20230625193734 - 0001.db</t>
  </si>
  <si>
    <t>230625193706.SBD</t>
  </si>
  <si>
    <t>OI104287_SEROV1_ET2200SSS_CPT_244_P05.001.jsf</t>
  </si>
  <si>
    <t>55;55;45.42910N</t>
  </si>
  <si>
    <t>7;42;18.13536E</t>
  </si>
  <si>
    <t>55;55;45.48318N</t>
  </si>
  <si>
    <t>7;42;16.65130E</t>
  </si>
  <si>
    <t>55;55;45.18799N</t>
  </si>
  <si>
    <t>7;42;17.59547E</t>
  </si>
  <si>
    <t>55;55;45.26863N</t>
  </si>
  <si>
    <t>7;42;16.14165E</t>
  </si>
  <si>
    <t>0743_OI104287_SE_CPT_244_P14_20230625194653 - 0001.db</t>
  </si>
  <si>
    <t>230625194632.SBD</t>
  </si>
  <si>
    <t>OI104287_SEROV1_ET2200SSS_CPT_244_P14.001.jsf</t>
  </si>
  <si>
    <t>003730_20230625_19.44_OI104287SEROV1SPRINTNAV500.bin</t>
  </si>
  <si>
    <t>55;55;51.02161N</t>
  </si>
  <si>
    <t>7;42;17.38638E</t>
  </si>
  <si>
    <t>55;55;51.09419N</t>
  </si>
  <si>
    <t>7;42;15.95125E</t>
  </si>
  <si>
    <t>55;55;50.95341N</t>
  </si>
  <si>
    <t>7;42;16.94108E</t>
  </si>
  <si>
    <t>55;55;51.16434N</t>
  </si>
  <si>
    <t>7;42;15.42832E</t>
  </si>
  <si>
    <t>0744_OI104287_SE_CPT_244_P23_20230625195555 - 0001.db</t>
  </si>
  <si>
    <t>OI104287_SEROV1_ET2200SSS_CPT_244_P23.001.jsf</t>
  </si>
  <si>
    <t>230625195600.SBD</t>
  </si>
  <si>
    <t>55;55;45.40231N</t>
  </si>
  <si>
    <t>7;42;17.13218E</t>
  </si>
  <si>
    <t>55;55;45.48257N</t>
  </si>
  <si>
    <t>7;42;15.62596E</t>
  </si>
  <si>
    <t>003731_20230625_19.59_OI104287SEROV1SPRINTNAV500.bin</t>
  </si>
  <si>
    <t>55;55;45.21278N</t>
  </si>
  <si>
    <t>7;42;16.60088E</t>
  </si>
  <si>
    <t>55;55;45.25762N</t>
  </si>
  <si>
    <t>7;42;15.10424E</t>
  </si>
  <si>
    <t>0745_OI104287_SE_CPT_244_P32_20230625200506 - 0001.db</t>
  </si>
  <si>
    <t>230625200434.SBD</t>
  </si>
  <si>
    <t>OI104287_SEROV1_ET2200SSS_CPT_244_P32.001.jsf</t>
  </si>
  <si>
    <t>55;55;50.96447N</t>
  </si>
  <si>
    <t>7;42;16.39607E</t>
  </si>
  <si>
    <t>55;55;51.05647N</t>
  </si>
  <si>
    <t>7;42;14.91776E</t>
  </si>
  <si>
    <t>55;55;51.14769N</t>
  </si>
  <si>
    <t>7;42;15.91961E</t>
  </si>
  <si>
    <t>55;55;51.21911N</t>
  </si>
  <si>
    <t>7;42;14.39211E</t>
  </si>
  <si>
    <t>0746_OI104287_SE_CPT_244_P41_20230625201441 - 0001.db</t>
  </si>
  <si>
    <t>230625201411.SBD</t>
  </si>
  <si>
    <t>OI104287_SEROV1_ET2200SSS_CPT_244_P41.001.jsf</t>
  </si>
  <si>
    <t>003732_20230625_20.14_OI104287SEROV1SPRINTNAV500.bin</t>
  </si>
  <si>
    <t>55;55;45.37930N</t>
  </si>
  <si>
    <t>7;42;16.10004E</t>
  </si>
  <si>
    <t>55;55;45.46522N</t>
  </si>
  <si>
    <t>7;42;14.58584E</t>
  </si>
  <si>
    <t>55;55;45.00480N</t>
  </si>
  <si>
    <t>7;42;15.51072E</t>
  </si>
  <si>
    <t>55;55;45.09105N</t>
  </si>
  <si>
    <t>7;42;14.07528E</t>
  </si>
  <si>
    <t>0747_OI104287_SE_CPT_244_P50_20230625202332 - 0001.db</t>
  </si>
  <si>
    <t>230625202316.SBD</t>
  </si>
  <si>
    <t>OI104287_SEROV1_ET2200SSS_CPT_244_P50.001.jsf</t>
  </si>
  <si>
    <t>55;55;50.91944N</t>
  </si>
  <si>
    <t>7;42;15.31052E</t>
  </si>
  <si>
    <t>55;55;51.03867N</t>
  </si>
  <si>
    <t>7;42;13.88095E</t>
  </si>
  <si>
    <t>55;55;51.54007N</t>
  </si>
  <si>
    <t>7;42;15.30744E</t>
  </si>
  <si>
    <t>55;55;51.61274N</t>
  </si>
  <si>
    <t>7;42;14.67576E</t>
  </si>
  <si>
    <t>Vessel transit to CPT_177, ROV latched</t>
  </si>
  <si>
    <t>OI104287_SE_SVX2_SVP_20230625_2054_555559N_0074020E_063</t>
  </si>
  <si>
    <t>55;55;35.65225N</t>
  </si>
  <si>
    <t>7;40;12.14407E</t>
  </si>
  <si>
    <t>55;55;35.66172N</t>
  </si>
  <si>
    <t>7;40;13.41057E</t>
  </si>
  <si>
    <t>SVP_063</t>
  </si>
  <si>
    <t>55;55;34.81909N</t>
  </si>
  <si>
    <t>7;40;11.92206E</t>
  </si>
  <si>
    <t>55;55;34.67530N</t>
  </si>
  <si>
    <t>7;40;13.43592E</t>
  </si>
  <si>
    <t>0748_OI104287_SE_CPT_177_S50_20230625210135 - 0001.db</t>
  </si>
  <si>
    <t>230625210131.SBD</t>
  </si>
  <si>
    <t>OI104287_SEROV1_ET2200SSS_CPT_177_S50.001.jsf</t>
  </si>
  <si>
    <t>003735_20230625_20.59_OI104287SEROV1SPRINTNAV500.bin</t>
  </si>
  <si>
    <t>55;55;28.88791N</t>
  </si>
  <si>
    <t>7;40;12.05470E</t>
  </si>
  <si>
    <t>55;55;28.67624N</t>
  </si>
  <si>
    <t>7;40;13.63990E</t>
  </si>
  <si>
    <t>55;55;28.56039N</t>
  </si>
  <si>
    <t>7;40;11.66394E</t>
  </si>
  <si>
    <t>55;55;28.47708N</t>
  </si>
  <si>
    <t>7;40;13.11908E</t>
  </si>
  <si>
    <t>0749_OI104287_SE_CPT_177_S41_20230625211011 - 0001.db</t>
  </si>
  <si>
    <t>230625210951.SBD</t>
  </si>
  <si>
    <t>OI104287_SEROV1_ET2200SSS_CPT_177_S41.001.jsf</t>
  </si>
  <si>
    <t>55;55;34.44522N</t>
  </si>
  <si>
    <t>7;40;11.52017E</t>
  </si>
  <si>
    <t>55;55;34.47614N</t>
  </si>
  <si>
    <t>7;40;12.91933E</t>
  </si>
  <si>
    <t>003736_20230625_21.14_OI104287SEROV1SPRINTNAV500.bin</t>
  </si>
  <si>
    <t>55;55;34.85840N</t>
  </si>
  <si>
    <t>7;40;11.08010E</t>
  </si>
  <si>
    <t>55;55;34.72192N</t>
  </si>
  <si>
    <t>7;40;12.39670E</t>
  </si>
  <si>
    <t>0750_OI104287_SE_CPT_177_S32_20230625211826 - 0001.db</t>
  </si>
  <si>
    <t>230625211804.SBD</t>
  </si>
  <si>
    <t>OI104287_SEROV1_ET2200SSS_CPT_177_S32.001.jsf</t>
  </si>
  <si>
    <t>55;55;28.89038N</t>
  </si>
  <si>
    <t>7;40;11.20925E</t>
  </si>
  <si>
    <t>55;55;28.68831N</t>
  </si>
  <si>
    <t>7;40;12.60400E</t>
  </si>
  <si>
    <t>55;55;28.41320N</t>
  </si>
  <si>
    <t>7;40;10.65751E</t>
  </si>
  <si>
    <t>55;55;28.50077N</t>
  </si>
  <si>
    <t>7;40;12.07564E</t>
  </si>
  <si>
    <t>0751_OI104287_SE_CPT_177_S23_20230625212647 - 0001.db</t>
  </si>
  <si>
    <t>230625212628.SBD</t>
  </si>
  <si>
    <t>OI104287_SEROV1_ET2200SSS_CPT_177_S23.001.jsf</t>
  </si>
  <si>
    <t>55;55;34.25701N</t>
  </si>
  <si>
    <t>7;40;10.45648E</t>
  </si>
  <si>
    <t>55;55;34.51145N</t>
  </si>
  <si>
    <t>7;40;11.88523E</t>
  </si>
  <si>
    <t>003737_20230625_21.29_OI104287SEROV1SPRINTNAV500.bin</t>
  </si>
  <si>
    <t>55;55;35.00663N</t>
  </si>
  <si>
    <t>7;40;10.00348E</t>
  </si>
  <si>
    <t>55;55;34.70955N</t>
  </si>
  <si>
    <t>7;40;11.36351E</t>
  </si>
  <si>
    <t>0752_OI104287_SE_CPT_177_S14_20230625213440 - 0001.db</t>
  </si>
  <si>
    <t>230625213344.SBD</t>
  </si>
  <si>
    <t>OI104287_SEROV1_ET2200SSS_CPT_177_S14.001.jsf</t>
  </si>
  <si>
    <t>55;55;29.04863N</t>
  </si>
  <si>
    <t>7;40;10.10647E</t>
  </si>
  <si>
    <t>55;55;28.65677N</t>
  </si>
  <si>
    <t>7;40;11.56659E</t>
  </si>
  <si>
    <t>55;55;28.31960N</t>
  </si>
  <si>
    <t>7;40;09.66153E</t>
  </si>
  <si>
    <t>55;55;28.39093N</t>
  </si>
  <si>
    <t>7;40;11.05331E</t>
  </si>
  <si>
    <t>0753_OI104287_SE_CPT_177_S05_20230625214245 - 0001.db</t>
  </si>
  <si>
    <t>230625214232.SBD</t>
  </si>
  <si>
    <t>OI104287_SEROV1_ET2200SSS_CPT_177_S05.001.jsf</t>
  </si>
  <si>
    <t>55;55;34.33238N</t>
  </si>
  <si>
    <t>7;40;09.40931E</t>
  </si>
  <si>
    <t>55;55;34.53091N</t>
  </si>
  <si>
    <t>7;40;10.84239E</t>
  </si>
  <si>
    <t>003738_20230625_21.44_OI104287SEROV1SPRINTNAV500.bin</t>
  </si>
  <si>
    <t>55;55;34.89287N</t>
  </si>
  <si>
    <t>7;40;08.96489E</t>
  </si>
  <si>
    <t>55;55;34.75194N</t>
  </si>
  <si>
    <t>7;40;10.32338E</t>
  </si>
  <si>
    <t>0754_OI104287_SE_CPT_177_P05_20230625215149 - 0001.db</t>
  </si>
  <si>
    <t>230625215123.SBD</t>
  </si>
  <si>
    <t>OI104287_SEROV1_ET2200SSS_CPT_177_P05.001.jsf</t>
  </si>
  <si>
    <t>55;55;28.71679N</t>
  </si>
  <si>
    <t>7;40;09.08946E</t>
  </si>
  <si>
    <t>55;55;28.64742N</t>
  </si>
  <si>
    <t>7;40;10.53219E</t>
  </si>
  <si>
    <t>55;55;28.57980N</t>
  </si>
  <si>
    <t>7;40;08.58620E</t>
  </si>
  <si>
    <t>55;55;28.53411N</t>
  </si>
  <si>
    <t>7;40;10.00866E</t>
  </si>
  <si>
    <t>0755_OI104287_SE_CPT_177_P14_20230625220044 - 0001.db</t>
  </si>
  <si>
    <t>230625220042.SBD</t>
  </si>
  <si>
    <t>OI104287_SEROV1_ET2200SSS_CPT_177_P14.001.jsf</t>
  </si>
  <si>
    <t>003739_20230625_21.59_OI104287SEROV1SPRINTNAV500.bin</t>
  </si>
  <si>
    <t>55;55;34.51761N</t>
  </si>
  <si>
    <t>7;40;08.38629E</t>
  </si>
  <si>
    <t>55;55;34.51688N</t>
  </si>
  <si>
    <t>7;40;09.80438E</t>
  </si>
  <si>
    <t>55;55;34.88631N</t>
  </si>
  <si>
    <t>7;40;07.89049E</t>
  </si>
  <si>
    <t>55;55;34.79464N</t>
  </si>
  <si>
    <t>7;40;09.27994E</t>
  </si>
  <si>
    <t>0756_OI104287_SE_CPT_177_P23_20230625221018 - 0001.db</t>
  </si>
  <si>
    <t>230625220913.SBD</t>
  </si>
  <si>
    <t>OI104287_SEROV1_ET2200SSS_CPT_177_P23.001.jsf</t>
  </si>
  <si>
    <t>AF/ES/NE</t>
  </si>
  <si>
    <t>55;55;28.73726N</t>
  </si>
  <si>
    <t>7;40;08.06177E</t>
  </si>
  <si>
    <t>55;55;28.68303N</t>
  </si>
  <si>
    <t>7;40;09.49146E</t>
  </si>
  <si>
    <t>003740_20230625_22.14_OI104287SEROV1SPRINTNAV500.bin</t>
  </si>
  <si>
    <t>55;55;28.65028N</t>
  </si>
  <si>
    <t>7;40;07.53548E</t>
  </si>
  <si>
    <t>55;55;28.66190N</t>
  </si>
  <si>
    <t>7;40;08.97336E</t>
  </si>
  <si>
    <t>0757_OI104287_SE_CPT_177_P32_20230625221939 - 0001.db</t>
  </si>
  <si>
    <t>230625221926.SBD</t>
  </si>
  <si>
    <t>OI104287_SEROV1_ET2200SSS_CPT_177_P32.001.jsf</t>
  </si>
  <si>
    <t>55;55;34.51347N</t>
  </si>
  <si>
    <t>7;40;07.32326E</t>
  </si>
  <si>
    <t>55;55;34.53122N</t>
  </si>
  <si>
    <t>7;40;08.77028E</t>
  </si>
  <si>
    <t>55;55;35.04099N</t>
  </si>
  <si>
    <t>7;40;06.86509E</t>
  </si>
  <si>
    <t>55;55;34.84111N</t>
  </si>
  <si>
    <t>7;40;08.24826E</t>
  </si>
  <si>
    <t>0758_OI104287_SE_CPT_177_P41_20230625222810 - 0001.db</t>
  </si>
  <si>
    <t>230625222757.SBD</t>
  </si>
  <si>
    <t>OI104287_SEROV1_ET2200SSS_CPT_177_P41.001.jsf</t>
  </si>
  <si>
    <t>55;55;28.61208N</t>
  </si>
  <si>
    <t>7;40;07.02998E</t>
  </si>
  <si>
    <t>55;55;28.48493N</t>
  </si>
  <si>
    <t>7;40;08.46763E</t>
  </si>
  <si>
    <t>003741_20230625_22.29_OI104287SEROV1SPRINTNAV500.bin</t>
  </si>
  <si>
    <t>55;55;28.26538N</t>
  </si>
  <si>
    <t>7;40;06.53862E</t>
  </si>
  <si>
    <t>55;55;28.27551N</t>
  </si>
  <si>
    <t>7;40;07.94259E</t>
  </si>
  <si>
    <t>0759_OI104287_SE_CPT_177_P50_20230625223702 - 0001.db</t>
  </si>
  <si>
    <t>230625223654.SBD</t>
  </si>
  <si>
    <t>OI104287_SEROV1_ET2200SSS_CPT_177_P50.001.jsf</t>
  </si>
  <si>
    <t>55;55;34.38010N</t>
  </si>
  <si>
    <t>7;40;06.30861E</t>
  </si>
  <si>
    <t>55;55;34.43375N</t>
  </si>
  <si>
    <t>7;40;07.72986E</t>
  </si>
  <si>
    <t>Vessel transit to CPT_114, ROV latched</t>
  </si>
  <si>
    <t>55;55;35.08137N</t>
  </si>
  <si>
    <t>7;40;06.27466E</t>
  </si>
  <si>
    <t>55;55;35.03951N</t>
  </si>
  <si>
    <t>7;40;06.90729E</t>
  </si>
  <si>
    <t>OI104287_SE_SVX2_SVP_20230625_2305_555479N_0073832E_064</t>
  </si>
  <si>
    <t>55;54;47.46096N</t>
  </si>
  <si>
    <t>7;38;19.15193E</t>
  </si>
  <si>
    <t>55;54;47.30365N</t>
  </si>
  <si>
    <t>7;38;20.30919E</t>
  </si>
  <si>
    <t>SVP_064</t>
  </si>
  <si>
    <t>55;54;46.58950N</t>
  </si>
  <si>
    <t>7;38;19.12668E</t>
  </si>
  <si>
    <t>55;54;46.39418N</t>
  </si>
  <si>
    <t>7;38;20.63086E</t>
  </si>
  <si>
    <t>0760_OI104287_SE_CPT_114_S50_20230625231235 - 0001.db</t>
  </si>
  <si>
    <t>230625231223.SBD</t>
  </si>
  <si>
    <t>OI104287_SEROV1_ET2200SSS_CPT_114_S50.001.jsf</t>
  </si>
  <si>
    <t>003743_20230625_22.59_OI104287SEROV1SPRINTNAV500.bin</t>
  </si>
  <si>
    <t>55;54;40.44940N</t>
  </si>
  <si>
    <t>7;38;19.36865E</t>
  </si>
  <si>
    <t>55;54;40.43223N</t>
  </si>
  <si>
    <t>7;38;20.84178E</t>
  </si>
  <si>
    <t>003744_20230625_23.14_OI104287SEROV1SPRINTNAV500.bin</t>
  </si>
  <si>
    <t>55;54;40.27350N</t>
  </si>
  <si>
    <t>7;38;18.85626E</t>
  </si>
  <si>
    <t>55;54;40.22583N</t>
  </si>
  <si>
    <t>7;38;20.32941E</t>
  </si>
  <si>
    <t>0761_OI104287_SE_CPT_114_S41_20230625232138 - 0001.db</t>
  </si>
  <si>
    <t>230625232128.SBD</t>
  </si>
  <si>
    <t>OI104287_SEROV1_ET2200SSS_CPT_114_S41.001.jsf</t>
  </si>
  <si>
    <t>55;54;46.33772N</t>
  </si>
  <si>
    <t>7;38;18.62143E</t>
  </si>
  <si>
    <t>55;54;46.22716N</t>
  </si>
  <si>
    <t>7;38;20.11034E</t>
  </si>
  <si>
    <t>55;54;46.62508N</t>
  </si>
  <si>
    <t>7;38;18.07415E</t>
  </si>
  <si>
    <t>55;54;46.42284N</t>
  </si>
  <si>
    <t>7;38;19.59978E</t>
  </si>
  <si>
    <t>0762_OI104287_SE_CPT_114_S32_20230625233112 - 0001.db</t>
  </si>
  <si>
    <t>230625233054.SBD</t>
  </si>
  <si>
    <t>OI104287_SEROV1_ET2200SSS_CPT_114_S32.001.jsf</t>
  </si>
  <si>
    <t>003745_20230625_23.29_OI104287SEROV1SPRINTNAV500.bin</t>
  </si>
  <si>
    <t>55;54;40.44156N</t>
  </si>
  <si>
    <t>7;38;18.23426E</t>
  </si>
  <si>
    <t>55;54;40.42665N</t>
  </si>
  <si>
    <t>7;38;19.80678E</t>
  </si>
  <si>
    <t>55;54;40.22052N</t>
  </si>
  <si>
    <t>7;38;17.80540E</t>
  </si>
  <si>
    <t>55;54;40.22417N</t>
  </si>
  <si>
    <t>7;38;19.29472E</t>
  </si>
  <si>
    <t>0763_OI104287_SE_CPT_114_S23_20230625233954 - 0001.db</t>
  </si>
  <si>
    <t>230625233921.SBD</t>
  </si>
  <si>
    <t>OI104287_SEROV1_ET2200SSS_CPT_114_S23.001.jsf</t>
  </si>
  <si>
    <t>55;54;46.25122N</t>
  </si>
  <si>
    <t>7;38;17.59278E</t>
  </si>
  <si>
    <t>55;54;46.22595N</t>
  </si>
  <si>
    <t>7;38;19.08711E</t>
  </si>
  <si>
    <t>003746_20230625_23.44_OI104287SEROV1SPRINTNAV500.bin</t>
  </si>
  <si>
    <t>55;54;46.55089N</t>
  </si>
  <si>
    <t>7;38;17.09769E</t>
  </si>
  <si>
    <t>55;54;46.43024N</t>
  </si>
  <si>
    <t>7;38;18.56147E</t>
  </si>
  <si>
    <t>0764_OI104287_SE_CPT_114_S14_20230625234823 - 0001.db</t>
  </si>
  <si>
    <t>230625234801.SBD</t>
  </si>
  <si>
    <t>OI104287_SEROV1_ET2200SSS_CPT_114_S14.001.jsf</t>
  </si>
  <si>
    <t>55;54;40.45497N</t>
  </si>
  <si>
    <t>7;38;17.23534E</t>
  </si>
  <si>
    <t>55;54;40.40251N</t>
  </si>
  <si>
    <t>7;38;18.76937E</t>
  </si>
  <si>
    <t>55;54;40.26231N</t>
  </si>
  <si>
    <t>7;38;16.78799E</t>
  </si>
  <si>
    <t>55;54;40.20954N</t>
  </si>
  <si>
    <t>7;38;18.25972E</t>
  </si>
  <si>
    <t>0765_OI104287_SE_CPT_114_S05_20230625235701 - 0001.db</t>
  </si>
  <si>
    <t>230625235644.SBD</t>
  </si>
  <si>
    <t>OI104287_SEROV1_ET2200SSS_CPT_114_S05.001.jsf</t>
  </si>
  <si>
    <t>55;54;45.51517N</t>
  </si>
  <si>
    <t>7;38;16.60937E</t>
  </si>
  <si>
    <t>55;54;45.43341N</t>
  </si>
  <si>
    <t>7;38;18.07626E</t>
  </si>
  <si>
    <t>55;54;46.32750N</t>
  </si>
  <si>
    <t>7;38;16.58746E</t>
  </si>
  <si>
    <t>55;54;46.21826N</t>
  </si>
  <si>
    <t>7;38;18.04578E</t>
  </si>
  <si>
    <t>003747_20230625_23.59_OI104287SEROV1SPRINTNAV500.bin</t>
  </si>
  <si>
    <t>55;54;46.47977N</t>
  </si>
  <si>
    <t>7;38;16.05338E</t>
  </si>
  <si>
    <t>55;54;46.40489N</t>
  </si>
  <si>
    <t>7;38;17.52225E</t>
  </si>
  <si>
    <t>0766_OI104287_SE_CPT_114_P05_20230626000621 - 0001.db</t>
  </si>
  <si>
    <t>230626000559.SBD</t>
  </si>
  <si>
    <t>OI104287_SEROV1_ET2200SSS_CPT_114_P05.001.jsf</t>
  </si>
  <si>
    <t>55;54;40.38829N</t>
  </si>
  <si>
    <t>7;38;16.19357E</t>
  </si>
  <si>
    <t>55;54;40.41579N</t>
  </si>
  <si>
    <t>7;38;17.72864E</t>
  </si>
  <si>
    <t>55;54;40.09945N</t>
  </si>
  <si>
    <t>7;38;15.75393E</t>
  </si>
  <si>
    <t>55;54;40.18766N</t>
  </si>
  <si>
    <t>7;38;17.22201E</t>
  </si>
  <si>
    <t>0767_OI104287_SE_CPT_114_P14_20230626001506 - 0001.db</t>
  </si>
  <si>
    <t>230626001449.SBD</t>
  </si>
  <si>
    <t>OI104287_SEROV1_ET2200SSS_CPT_114_P14.001.jsf</t>
  </si>
  <si>
    <t>003748_20230626_00.14_OI104287SEROV1SPRINTNAV500.bin</t>
  </si>
  <si>
    <t>55;54;46.13717N</t>
  </si>
  <si>
    <t>7;38;15.54395E</t>
  </si>
  <si>
    <t>55;54;45.81392N</t>
  </si>
  <si>
    <t>7;38;16.96039E</t>
  </si>
  <si>
    <t>55;54;46.69731N</t>
  </si>
  <si>
    <t>7;38;15.09723E</t>
  </si>
  <si>
    <t>55;54;46.23561N</t>
  </si>
  <si>
    <t>7;38;16.47427E</t>
  </si>
  <si>
    <t>55;54;46.41815N</t>
  </si>
  <si>
    <t>7;38;15.02442E</t>
  </si>
  <si>
    <t>55;54;46.40625N</t>
  </si>
  <si>
    <t>7;38;16.48996E</t>
  </si>
  <si>
    <t>0768_OI104287_SE_CPT_114_P23_20230626002535 - 0001.db</t>
  </si>
  <si>
    <t>230626002524.SBD</t>
  </si>
  <si>
    <t>OI104287_SEROV1_ET2200SSS_CPT_114_P23.001.jsf</t>
  </si>
  <si>
    <t>Re-run of CPT_114_P14 required, WROV off the line</t>
  </si>
  <si>
    <t>55;54;40.47277N</t>
  </si>
  <si>
    <t>7;38;15.16790E</t>
  </si>
  <si>
    <t>55;54;40.40417N</t>
  </si>
  <si>
    <t>7;38;16.69304E</t>
  </si>
  <si>
    <t>003749_20230626_00.29_OI104287SEROV1SPRINTNAV500.bin</t>
  </si>
  <si>
    <t>55;54;40.30157N</t>
  </si>
  <si>
    <t>7;38;14.71457E</t>
  </si>
  <si>
    <t>55;54;40.20471N</t>
  </si>
  <si>
    <t>7;38;16.18097E</t>
  </si>
  <si>
    <t>0769_OI104287_SE_CPT_114_P32_20230626003424 - 0001.db</t>
  </si>
  <si>
    <t>230626003407.SBD</t>
  </si>
  <si>
    <t>OI104287_SEROV1_ET2200SSS_CPT_114_P32.001.jsf</t>
  </si>
  <si>
    <t>55;54;46.58407N</t>
  </si>
  <si>
    <t>7;38;14.47661E</t>
  </si>
  <si>
    <t>55;54;46.13709N</t>
  </si>
  <si>
    <t>7;38;15.97307E</t>
  </si>
  <si>
    <t>55;54;46.47236N</t>
  </si>
  <si>
    <t>7;38;13.99723E</t>
  </si>
  <si>
    <t>55;54;46.39448N</t>
  </si>
  <si>
    <t>7;38;15.45286E</t>
  </si>
  <si>
    <t>0770_OI104287_SE_CPT_114_P41_20230626004438 - 0001.db</t>
  </si>
  <si>
    <t>230626004422.SBD</t>
  </si>
  <si>
    <t>OI104287_SEROV1_ET2200SSS_CPT_114_P41.001.jsf</t>
  </si>
  <si>
    <t>003750_20230626_00.44_OI104287SEROV1SPRINTNAV500.bin</t>
  </si>
  <si>
    <t>55;54;40.54708N</t>
  </si>
  <si>
    <t>7;38;14.12358E</t>
  </si>
  <si>
    <t>55;54;40.42273N</t>
  </si>
  <si>
    <t>7;38;15.65684E</t>
  </si>
  <si>
    <t>55;54;40.28853N</t>
  </si>
  <si>
    <t>7;38;13.65331E</t>
  </si>
  <si>
    <t>55;54;40.17937N</t>
  </si>
  <si>
    <t>7;38;15.14236E</t>
  </si>
  <si>
    <t>0771_OI104287_SE_CPT_114_P50_20230626005339 - 0001.db</t>
  </si>
  <si>
    <t>230626005321.SBD</t>
  </si>
  <si>
    <t>OI104287_SEROV1_ET2200SSS_CPT_114_P50.001.jsf</t>
  </si>
  <si>
    <t>55;54;46.25460N</t>
  </si>
  <si>
    <t>7;38;13.46413E</t>
  </si>
  <si>
    <t>55;54;46.11506N</t>
  </si>
  <si>
    <t>7;38;14.93445E</t>
  </si>
  <si>
    <t>003751_20230626_00.59_OI104287SEROV1SPRINTNAV500.bin</t>
  </si>
  <si>
    <t>CPT_114_P14_RR0001</t>
  </si>
  <si>
    <t>55;54;46.38567N</t>
  </si>
  <si>
    <t>7;38;15.55168E</t>
  </si>
  <si>
    <t>55;54;46.30923N</t>
  </si>
  <si>
    <t>7;38;17.00626E</t>
  </si>
  <si>
    <t>0772_OI104287_SE_CPT_114_P14_RR0001_20230626010635 - 0001.db</t>
  </si>
  <si>
    <t>230626010607.SBD</t>
  </si>
  <si>
    <t>OI104287_SEROV1_ET2200SSS_CPT_114_P14_RR0001.001.jsf</t>
  </si>
  <si>
    <t>55;54;40.52469N</t>
  </si>
  <si>
    <t>7;38;15.70061E</t>
  </si>
  <si>
    <t>55;54;40.42288N</t>
  </si>
  <si>
    <t>7;38;17.21144E</t>
  </si>
  <si>
    <t>55;54;39.91480N</t>
  </si>
  <si>
    <t>7;38;15.69179E</t>
  </si>
  <si>
    <t>55;54;39.45336N</t>
  </si>
  <si>
    <t>7;38;16.87258E</t>
  </si>
  <si>
    <t>Subsea transit to CPT_259</t>
  </si>
  <si>
    <t>55;54;09.28476N</t>
  </si>
  <si>
    <t>7;37;50.40035E</t>
  </si>
  <si>
    <t>55;54;09.20805N</t>
  </si>
  <si>
    <t>7;37;51.92281E</t>
  </si>
  <si>
    <t>0773_OI104287_SE_CPT_259_S50_20230626013915 - 0001.db</t>
  </si>
  <si>
    <t>230626013825.SBD</t>
  </si>
  <si>
    <t>OI104287_SEROV1_ET2200SSS_CPT_259_S50.001.jsf</t>
  </si>
  <si>
    <t>003753_20230626_01.29_OI104287SEROV1SPRINTNAV500.bin</t>
  </si>
  <si>
    <t>55;54;03.46661N</t>
  </si>
  <si>
    <t>7;37;50.65102E</t>
  </si>
  <si>
    <t>55;54;03.41071N</t>
  </si>
  <si>
    <t>7;37;52.12075E</t>
  </si>
  <si>
    <t>55;54;03.20825N</t>
  </si>
  <si>
    <t>7;37;50.12526E</t>
  </si>
  <si>
    <t>55;54;03.20959N</t>
  </si>
  <si>
    <t>7;37;51.61201E</t>
  </si>
  <si>
    <t>0774_OI104287_SE_CPT_259_S41_20230626014817 - 0001.db</t>
  </si>
  <si>
    <t>230626014810.SBD</t>
  </si>
  <si>
    <t>OI104287_SEROV1_ET2200SSS_CPT_259_S41.001.jsf</t>
  </si>
  <si>
    <t>003754_20230626_01.44_OI104287SEROV1SPRINTNAV500.bin</t>
  </si>
  <si>
    <t>55;54;09.12939N</t>
  </si>
  <si>
    <t>7;37;49.95988E</t>
  </si>
  <si>
    <t>55;54;09.00754N</t>
  </si>
  <si>
    <t>7;37;51.40984E</t>
  </si>
  <si>
    <t>55;54;09.33823N</t>
  </si>
  <si>
    <t>7;37;49.40651E</t>
  </si>
  <si>
    <t>55;54;09.24381N</t>
  </si>
  <si>
    <t>7;37;50.88871E</t>
  </si>
  <si>
    <t>0775_OI104287_SE_CPT_259_S32_20230626015802 - 0001.db</t>
  </si>
  <si>
    <t>230626015743.SBD</t>
  </si>
  <si>
    <t>OI104287_SEROV1_ET2200SSS_CPT_259_S32.001.jsf</t>
  </si>
  <si>
    <t>55;54;03.44387N</t>
  </si>
  <si>
    <t>7;37;49.56921E</t>
  </si>
  <si>
    <t>55;54;03.41357N</t>
  </si>
  <si>
    <t>7;37;51.09300E</t>
  </si>
  <si>
    <t>003755_20230626_01.59_OI104287SEROV1SPRINTNAV500.bin</t>
  </si>
  <si>
    <t>55;54;03.26050N</t>
  </si>
  <si>
    <t>7;37;49.09357E</t>
  </si>
  <si>
    <t>55;54;03.19360N</t>
  </si>
  <si>
    <t>7;37;50.58244E</t>
  </si>
  <si>
    <t>0776_OI104287_SE_CPT_259_S23_20230626020658 - 0001.db</t>
  </si>
  <si>
    <t>230626020653.SBD</t>
  </si>
  <si>
    <t>OI104287_SEROV1_ET2200SSS_CPT_259_S23.001.jsf</t>
  </si>
  <si>
    <t>55;54;09.13163N</t>
  </si>
  <si>
    <t>7;37;48.92577E</t>
  </si>
  <si>
    <t>55;54;09.01870N</t>
  </si>
  <si>
    <t>7;37;50.37755E</t>
  </si>
  <si>
    <t>55;54;09.38451N</t>
  </si>
  <si>
    <t>7;37;48.37801E</t>
  </si>
  <si>
    <t>55;54;09.24697N</t>
  </si>
  <si>
    <t>7;37;49.86126E</t>
  </si>
  <si>
    <t>0777_OI104287_SE_CPT_259_S14_20230626021709 - 0001.db</t>
  </si>
  <si>
    <t>230626021657.SBD</t>
  </si>
  <si>
    <t>OI104287_SEROV1_ET2200SSS_CPT_259_S14.001.jsf</t>
  </si>
  <si>
    <t>003756_20230626_02.14_OI104287SEROV1SPRINTNAV500.bin</t>
  </si>
  <si>
    <t>55;54;03.53715N</t>
  </si>
  <si>
    <t>7;37;48.55351E</t>
  </si>
  <si>
    <t>55;54;03.34990N</t>
  </si>
  <si>
    <t>7;37;50.05589E</t>
  </si>
  <si>
    <t>55;54;03.16045N</t>
  </si>
  <si>
    <t>7;37;48.04802E</t>
  </si>
  <si>
    <t>55;54;03.14879N</t>
  </si>
  <si>
    <t>7;37;49.55257E</t>
  </si>
  <si>
    <t>0778_OI104287_SE_CPT_259_S05_20230626022543 - 0001.db</t>
  </si>
  <si>
    <t>230626022522.SBD</t>
  </si>
  <si>
    <t>OI104287_SEROV1_ET2200SSS_CPT_259_S05.001.jsf</t>
  </si>
  <si>
    <t>55;54;09.01326N</t>
  </si>
  <si>
    <t>7;37;47.90349E</t>
  </si>
  <si>
    <t>55;54;08.98445N</t>
  </si>
  <si>
    <t>7;37;49.33954E</t>
  </si>
  <si>
    <t>003757_20230626_02.29_OI104287SEROV1SPRINTNAV500.bin</t>
  </si>
  <si>
    <t>55;54;09.27643N</t>
  </si>
  <si>
    <t>7;37;47.35180E</t>
  </si>
  <si>
    <t>55;54;09.07362N</t>
  </si>
  <si>
    <t>7;37;48.82446E</t>
  </si>
  <si>
    <t>0779_OI104287_SE_CPT_259_P05_20230626023651 - 0001.db</t>
  </si>
  <si>
    <t>230626023624.SBD</t>
  </si>
  <si>
    <t>OI104287_SEROV1_ET2200SSS_CPT_259_P05.001.jsf</t>
  </si>
  <si>
    <t>55;54;03.53586N</t>
  </si>
  <si>
    <t>7;37;47.50062E</t>
  </si>
  <si>
    <t>55;54;03.36258N</t>
  </si>
  <si>
    <t>7;37;49.02331E</t>
  </si>
  <si>
    <t>55;54;03.17246N</t>
  </si>
  <si>
    <t>7;37;47.03022E</t>
  </si>
  <si>
    <t>55;54;03.13672N</t>
  </si>
  <si>
    <t>7;37;48.51667E</t>
  </si>
  <si>
    <t>0780_OI104287_SE_CPT_259_P14_20230626024525 - 0001.db</t>
  </si>
  <si>
    <t>230626024451.SBD</t>
  </si>
  <si>
    <t>OI104287_SEROV1_ET2200SSS_CPT_259_P14.001.jsf</t>
  </si>
  <si>
    <t>003758_20230626_02.44_OI104287SEROV1SPRINTNAV500.bin</t>
  </si>
  <si>
    <t>55;54;09.04988N</t>
  </si>
  <si>
    <t>7;37;46.86949E</t>
  </si>
  <si>
    <t>55;54;08.98581N</t>
  </si>
  <si>
    <t>7;37;48.30786E</t>
  </si>
  <si>
    <t>55;54;09.37521N</t>
  </si>
  <si>
    <t>7;37;46.31028E</t>
  </si>
  <si>
    <t>55;54;09.22706N</t>
  </si>
  <si>
    <t>7;37;47.78131E</t>
  </si>
  <si>
    <t>0781_OI104287_SE_CPT_259_P23_20230626025613 - 0001.db</t>
  </si>
  <si>
    <t>230626025553.SBD</t>
  </si>
  <si>
    <t>OI104287_SEROV1_ET2200SSS_CPT_259_P23.001.jsf</t>
  </si>
  <si>
    <t>55;54;03.43485N</t>
  </si>
  <si>
    <t>7;37;46.46380E</t>
  </si>
  <si>
    <t>55;54;03.32380N</t>
  </si>
  <si>
    <t>7;37;47.98921E</t>
  </si>
  <si>
    <t>003759_20230626_02.59_OI104287SEROV1SPRINTNAV500.bin</t>
  </si>
  <si>
    <t>55;54;03.06934N</t>
  </si>
  <si>
    <t>7;37;45.94090E</t>
  </si>
  <si>
    <t>55;54;03.10715N</t>
  </si>
  <si>
    <t>7;37;47.48137E</t>
  </si>
  <si>
    <t>0782_OI104287_SE_CPT_259_P32_20230626030553 - 0001.db</t>
  </si>
  <si>
    <t>230626030532.SBD</t>
  </si>
  <si>
    <t>OI104287_SEROV1_ET2200SSS_CPT_259_P32.001.jsf</t>
  </si>
  <si>
    <t>55;54;08.97755N</t>
  </si>
  <si>
    <t>7;37;45.81308E</t>
  </si>
  <si>
    <t>55;54;09.01584N</t>
  </si>
  <si>
    <t>7;37;47.26713E</t>
  </si>
  <si>
    <t>55;54;09.27269N</t>
  </si>
  <si>
    <t>7;37;45.23233E</t>
  </si>
  <si>
    <t>55;54;09.14513N</t>
  </si>
  <si>
    <t>7;37;46.75023E</t>
  </si>
  <si>
    <t>0783_OI104287_SE_CPT_259_P41_20230626031640 - 0001.db</t>
  </si>
  <si>
    <t>230626031621.SBD</t>
  </si>
  <si>
    <t>OI104287_SEROV1_ET2200SSS_CPT_259_P41.001.jsf</t>
  </si>
  <si>
    <t>003760_20230626_03.14_OI104287SEROV1SPRINTNAV500.bin</t>
  </si>
  <si>
    <t>55;54;03.40088N</t>
  </si>
  <si>
    <t>7;37;45.35593E</t>
  </si>
  <si>
    <t>55;54;03.30027N</t>
  </si>
  <si>
    <t>7;37;46.95240E</t>
  </si>
  <si>
    <t>55;54;01.96423N</t>
  </si>
  <si>
    <t>7;37;45.04152E</t>
  </si>
  <si>
    <t>55;54;02.02598N</t>
  </si>
  <si>
    <t>7;37;45.97474E</t>
  </si>
  <si>
    <t>Weak link on stbd frame broken, recover WROV to deck</t>
  </si>
  <si>
    <t>55;54;01.94317N</t>
  </si>
  <si>
    <t>7;37;44.96000E</t>
  </si>
  <si>
    <t>55;54;01.84795N</t>
  </si>
  <si>
    <t>7;37;45.63377E</t>
  </si>
  <si>
    <t>55;54;01.93999N</t>
  </si>
  <si>
    <t>7;37;45.05532E</t>
  </si>
  <si>
    <t>55;54;01.88582N</t>
  </si>
  <si>
    <t>7;37;45.68868E</t>
  </si>
  <si>
    <t>WROV on deck EOD #023</t>
  </si>
  <si>
    <t>55;54;01.93264N</t>
  </si>
  <si>
    <t>7;37;45.06740E</t>
  </si>
  <si>
    <t>55;54;01.88537N</t>
  </si>
  <si>
    <t>7;37;45.70709E</t>
  </si>
  <si>
    <t>55;54;01.95216N</t>
  </si>
  <si>
    <t>7;37;45.02621E</t>
  </si>
  <si>
    <t>55;54;01.90196N</t>
  </si>
  <si>
    <t>7;37;45.65157E</t>
  </si>
  <si>
    <t>WROV off deck SOD #024</t>
  </si>
  <si>
    <t>OI104287_SE_SVX2_SVP_20230626_0344_555403N_0073775E_065</t>
  </si>
  <si>
    <t>55;54;01.95227N</t>
  </si>
  <si>
    <t>7;37;45.03865E</t>
  </si>
  <si>
    <t>55;54;01.77810N</t>
  </si>
  <si>
    <t>7;37;46.46478E</t>
  </si>
  <si>
    <t>SVP_065</t>
  </si>
  <si>
    <t>55;54;03.06348N</t>
  </si>
  <si>
    <t>7;37;45.02768E</t>
  </si>
  <si>
    <t>55;54;03.08542N</t>
  </si>
  <si>
    <t>7;37;46.44124E</t>
  </si>
  <si>
    <t>0784_OI104287_SE_CPT_259_P50_20230626035207 - 0001.db</t>
  </si>
  <si>
    <t>230626035128.SBD</t>
  </si>
  <si>
    <t>OI104287_SEROV1_ET2200SSS_CPT_259_P50.001.jsf</t>
  </si>
  <si>
    <t>003762_20230626_03.44_OI104287SEROV1SPRINTNAV500.bin</t>
  </si>
  <si>
    <t>55;54;08.95087N</t>
  </si>
  <si>
    <t>7;37;44.82765E</t>
  </si>
  <si>
    <t>55;54;08.96107N</t>
  </si>
  <si>
    <t>7;37;46.23032E</t>
  </si>
  <si>
    <t>003763_20230626_03.59_OI104287SEROV1SPRINTNAV500.bin</t>
  </si>
  <si>
    <t>CPT_259_S05_INF0001</t>
  </si>
  <si>
    <t>55;54;09.15250N</t>
  </si>
  <si>
    <t>7;37;47.85187E</t>
  </si>
  <si>
    <t>55;54;09.13684N</t>
  </si>
  <si>
    <t>7;37;49.33984E</t>
  </si>
  <si>
    <t>0785_OI104287_SE_CPT_259_S05_INF0001_20230626040732 - 0001.db</t>
  </si>
  <si>
    <t>230626040723.SBD</t>
  </si>
  <si>
    <t>OI104287_SEROV1_ET2200SSS_CPT_259_S05_INF0001.001.jsf</t>
  </si>
  <si>
    <t>55;54;07.14849N</t>
  </si>
  <si>
    <t>7;37;47.88902E</t>
  </si>
  <si>
    <t>55;54;06.99291N</t>
  </si>
  <si>
    <t>7;37;49.41135E</t>
  </si>
  <si>
    <t>55;54;06.61946N</t>
  </si>
  <si>
    <t>7;37;47.93323E</t>
  </si>
  <si>
    <t>55;54;06.51132N</t>
  </si>
  <si>
    <t>7;37;48.57521E</t>
  </si>
  <si>
    <t>Vessel in transit to CPT_182</t>
  </si>
  <si>
    <t>55;54;06.47985N</t>
  </si>
  <si>
    <t>7;37;47.62386E</t>
  </si>
  <si>
    <t>55;54;06.21682N</t>
  </si>
  <si>
    <t>7;37;47.97956E</t>
  </si>
  <si>
    <t>55;53;49.86953N</t>
  </si>
  <si>
    <t>7;35;16.47786E</t>
  </si>
  <si>
    <t>55;53;49.85903N</t>
  </si>
  <si>
    <t>7;35;17.11315E</t>
  </si>
  <si>
    <t>55;53;49.86966N</t>
  </si>
  <si>
    <t>7;35;16.47936E</t>
  </si>
  <si>
    <t>ROV out of TMS</t>
  </si>
  <si>
    <t>OI104287_SE_SVX2_SVP_20230626_0439_555383N_0073527E_066</t>
  </si>
  <si>
    <t>55;53;49.84416N</t>
  </si>
  <si>
    <t>7;35;16.39257E</t>
  </si>
  <si>
    <t>55;53;49.87261N</t>
  </si>
  <si>
    <t>7;35;17.18557E</t>
  </si>
  <si>
    <t>SVP_066</t>
  </si>
  <si>
    <t>55;53;48.76017N</t>
  </si>
  <si>
    <t>7;35;16.39436E</t>
  </si>
  <si>
    <t>55;53;48.62020N</t>
  </si>
  <si>
    <t>7;35;17.91399E</t>
  </si>
  <si>
    <t>0786_OI104287_SE_CPT_182_S50_20230626044559 - 0001.db</t>
  </si>
  <si>
    <t>230626044527.SBD</t>
  </si>
  <si>
    <t>OI104287_SEROV1_ET2200SSS_CPT_182_S50.001.jsf</t>
  </si>
  <si>
    <t>003766_20230626_04.44_OI104287SEROV1SPRINTNAV500.bin</t>
  </si>
  <si>
    <t>55;53;43.15087N</t>
  </si>
  <si>
    <t>7;35;16.63039E</t>
  </si>
  <si>
    <t>55;53;43.02292N</t>
  </si>
  <si>
    <t>7;35;18.11314E</t>
  </si>
  <si>
    <t>55;53;42.86883N</t>
  </si>
  <si>
    <t>7;35;16.08785E</t>
  </si>
  <si>
    <t>55;53;42.83628N</t>
  </si>
  <si>
    <t>7;35;17.60228E</t>
  </si>
  <si>
    <t>0787_OI104287_SE_CPT_182_S41_20230626045542 - 0001.db</t>
  </si>
  <si>
    <t>230626045533.SBD</t>
  </si>
  <si>
    <t>OI104287_SEROV1_ET2200SSS_CPT_182_S41.001.jsf</t>
  </si>
  <si>
    <t>55;53;48.33675N</t>
  </si>
  <si>
    <t>7;35;15.89208E</t>
  </si>
  <si>
    <t>55;53;48.42014N</t>
  </si>
  <si>
    <t>7;35;17.39800E</t>
  </si>
  <si>
    <t>003767_20230626_04.59_OI104287SEROV1SPRINTNAV500.bin</t>
  </si>
  <si>
    <t>55;53;48.58974N</t>
  </si>
  <si>
    <t>7;35;15.47227E</t>
  </si>
  <si>
    <t>55;53;48.66230N</t>
  </si>
  <si>
    <t>7;35;16.87597E</t>
  </si>
  <si>
    <t>0788_OI104287_SE_CPT_182_S32_20230626050555 - 0001.db</t>
  </si>
  <si>
    <t>230626050540.SBD</t>
  </si>
  <si>
    <t>OI104287_SEROV1_ET2200SSS_CPT_182_S32.001.jsf</t>
  </si>
  <si>
    <t>55;53;43.25032N</t>
  </si>
  <si>
    <t>7;35;15.65598E</t>
  </si>
  <si>
    <t>55;53;42.99305N</t>
  </si>
  <si>
    <t>7;35;17.07905E</t>
  </si>
  <si>
    <t>55;53;42.97324N</t>
  </si>
  <si>
    <t>7;35;15.16884E</t>
  </si>
  <si>
    <t>55;53;42.75240N</t>
  </si>
  <si>
    <t>7;35;16.57271E</t>
  </si>
  <si>
    <t>0789_OI104287_SE_CPT_182_S23_20230626051611 - 0001.db</t>
  </si>
  <si>
    <t>230626051603.SBD</t>
  </si>
  <si>
    <t>OI104287_SEROV1_ET2200SSS_CPT_182_S23.001.jsf</t>
  </si>
  <si>
    <t>003768_20230626_05.14_OI104287SEROV1SPRINTNAV500.bin</t>
  </si>
  <si>
    <t>55;53;48.69461N</t>
  </si>
  <si>
    <t>7;35;14.90114E</t>
  </si>
  <si>
    <t>55;53;48.50056N</t>
  </si>
  <si>
    <t>7;35;16.36602E</t>
  </si>
  <si>
    <t>55;53;48.84377N</t>
  </si>
  <si>
    <t>7;35;14.36074E</t>
  </si>
  <si>
    <t>55;53;48.62548N</t>
  </si>
  <si>
    <t>7;35;15.83192E</t>
  </si>
  <si>
    <t>0790_OI104287_SE_CPT_182_S14_20230626052605 - 0001.db</t>
  </si>
  <si>
    <t>230626052521.SBD</t>
  </si>
  <si>
    <t>OI104287_SEROV1_ET2200SSS_CPT_182_S14.001.jsf</t>
  </si>
  <si>
    <t>55;53;43.06916N</t>
  </si>
  <si>
    <t>7;35;14.58654E</t>
  </si>
  <si>
    <t>55;53;42.93451N</t>
  </si>
  <si>
    <t>7;35;16.04556E</t>
  </si>
  <si>
    <t>003769_20230626_05.29_OI104287SEROV1SPRINTNAV500.bin</t>
  </si>
  <si>
    <t>55;53;42.69338N</t>
  </si>
  <si>
    <t>7;35;14.04023E</t>
  </si>
  <si>
    <t>55;53;42.67002N</t>
  </si>
  <si>
    <t>7;35;15.53681E</t>
  </si>
  <si>
    <t>0791_OI104287_SE_CPT_182_S05_20230626053511 - 0001.db</t>
  </si>
  <si>
    <t>230626053436.SBD</t>
  </si>
  <si>
    <t>OI104287_SEROV1_ET2200SSS_CPT_182_S05.001.jsf</t>
  </si>
  <si>
    <t>55;53;48.73637N</t>
  </si>
  <si>
    <t>7;35;13.87524E</t>
  </si>
  <si>
    <t>55;53;48.49090N</t>
  </si>
  <si>
    <t>7;35;15.32710E</t>
  </si>
  <si>
    <t>55;53;48.99216N</t>
  </si>
  <si>
    <t>7;35;13.33508E</t>
  </si>
  <si>
    <t>55;53;48.71812N</t>
  </si>
  <si>
    <t>7;35;14.80024E</t>
  </si>
  <si>
    <t>0792_OI104287_SE_CPT_182_P05_20230626054451 - 0001.db</t>
  </si>
  <si>
    <t>230626054434.SBD</t>
  </si>
  <si>
    <t>OI104287_SEROV1_ET2200SSS_CPT_182_P05.001.jsf</t>
  </si>
  <si>
    <t>003770_20230626_05.44_OI104287SEROV1SPRINTNAV500.bin</t>
  </si>
  <si>
    <t>55;53;42.95173N</t>
  </si>
  <si>
    <t>7;35;13.55477E</t>
  </si>
  <si>
    <t>55;53;42.87778N</t>
  </si>
  <si>
    <t>7;35;15.00996E</t>
  </si>
  <si>
    <t>55;53;42.69719N</t>
  </si>
  <si>
    <t>7;35;13.02750E</t>
  </si>
  <si>
    <t>55;53;42.63909N</t>
  </si>
  <si>
    <t>7;35;14.49125E</t>
  </si>
  <si>
    <t>0793_OI104287_SE_CPT_182_P14_20230626055348 - 0001.db</t>
  </si>
  <si>
    <t>230626055334.SBD</t>
  </si>
  <si>
    <t>OI104287_SEROV1_ET2200SSS_CPT_182_P14.001.jsf</t>
  </si>
  <si>
    <t>55;53;48.54389N</t>
  </si>
  <si>
    <t>7;35;12.84639E</t>
  </si>
  <si>
    <t>55;53;48.39555N</t>
  </si>
  <si>
    <t>7;35;14.28667E</t>
  </si>
  <si>
    <t>55;53;48.85543N</t>
  </si>
  <si>
    <t>7;35;12.28242E</t>
  </si>
  <si>
    <t>55;53;48.67059N</t>
  </si>
  <si>
    <t>7;35;13.76676E</t>
  </si>
  <si>
    <t>0794_OI104287_SE_CPT_182_P23_20230626060253 - 0001.db</t>
  </si>
  <si>
    <t>230626060246.SBD</t>
  </si>
  <si>
    <t>OI104287_SEROV1_ET2200SSS_CPT_182_P23.001.jsf</t>
  </si>
  <si>
    <t>003771_20230626_05.59_OI104287SEROV1SPRINTNAV500.bin</t>
  </si>
  <si>
    <t>55;53;43.01633N</t>
  </si>
  <si>
    <t>7;35;12.51662E</t>
  </si>
  <si>
    <t>55;53;42.84639N</t>
  </si>
  <si>
    <t>7;35;13.97858E</t>
  </si>
  <si>
    <t>55;53;42.56044N</t>
  </si>
  <si>
    <t>7;35;11.99711E</t>
  </si>
  <si>
    <t>55;53;42.61450N</t>
  </si>
  <si>
    <t>7;35;13.47496E</t>
  </si>
  <si>
    <t>0795_OI104287_SE_CPT_182_P32_20230626061137 - 0001.db</t>
  </si>
  <si>
    <t>230626061103.SBD</t>
  </si>
  <si>
    <t>OI104287_SEROV1_ET2200SSS_CPT_182_P32.001.jsf</t>
  </si>
  <si>
    <t>55;53;48.43170N</t>
  </si>
  <si>
    <t>7;35;11.82140E</t>
  </si>
  <si>
    <t>55;53;48.45288N</t>
  </si>
  <si>
    <t>7;35;13.26434E</t>
  </si>
  <si>
    <t>003772_20230626_06.14_OI104287SEROV1SPRINTNAV500.bin</t>
  </si>
  <si>
    <t>55;53;48.90218N</t>
  </si>
  <si>
    <t>7;35;11.29682E</t>
  </si>
  <si>
    <t>55;53;48.69579N</t>
  </si>
  <si>
    <t>7;35;12.72753E</t>
  </si>
  <si>
    <t>0796_OI104287_SE_CPT_182_P41_20230626062022 - 0001.db</t>
  </si>
  <si>
    <t>230626062012.SBD</t>
  </si>
  <si>
    <t>OI104287_SEROV1_ET2200SSS_CPT_182_P41.001.jsf</t>
  </si>
  <si>
    <t>55;53;42.97575N</t>
  </si>
  <si>
    <t>7;35;11.45753E</t>
  </si>
  <si>
    <t>55;53;42.82090N</t>
  </si>
  <si>
    <t>7;35;12.94057E</t>
  </si>
  <si>
    <t>55;53;42.62120N</t>
  </si>
  <si>
    <t>7;35;10.98466E</t>
  </si>
  <si>
    <t>55;53;42.57678N</t>
  </si>
  <si>
    <t>7;35;12.42910E</t>
  </si>
  <si>
    <t>0797_OI104287_SE_CPT_182_P50_20230626062855 - 0001.db</t>
  </si>
  <si>
    <t>230626062831.SBD</t>
  </si>
  <si>
    <t>OI104287_SEROV1_ET2200SSS_CPT_182_P50.001.jsf</t>
  </si>
  <si>
    <t>55;53;48.50358N</t>
  </si>
  <si>
    <t>7;35;10.81851E</t>
  </si>
  <si>
    <t>55;53;48.47476N</t>
  </si>
  <si>
    <t>7;35;12.21667E</t>
  </si>
  <si>
    <t>003773_20230626_06.29_OI104287SEROV1SPRINTNAV500.bin</t>
  </si>
  <si>
    <t>WROV in latch, transit to BH_025</t>
  </si>
  <si>
    <t>55;53;49.64637N</t>
  </si>
  <si>
    <t>7;35;11.22060E</t>
  </si>
  <si>
    <t>55;53;49.41259N</t>
  </si>
  <si>
    <t>7;35;11.60956E</t>
  </si>
  <si>
    <t>55;54;40.68913N</t>
  </si>
  <si>
    <t>7;34;23.51005E</t>
  </si>
  <si>
    <t>55;54;40.52849N</t>
  </si>
  <si>
    <t>7;34;24.05791E</t>
  </si>
  <si>
    <t>55;54;40.69871N</t>
  </si>
  <si>
    <t>7;34;23.49571E</t>
  </si>
  <si>
    <t>55;54;40.53286N</t>
  </si>
  <si>
    <t>7;34;24.06214E</t>
  </si>
  <si>
    <t>OI104287_SE_SVX2_SVP_20230626_0700_555467N_0073439E_067</t>
  </si>
  <si>
    <t>55;54;40.71704N</t>
  </si>
  <si>
    <t>7;34;23.43065E</t>
  </si>
  <si>
    <t>55;54;40.77547N</t>
  </si>
  <si>
    <t>7;34;24.57269E</t>
  </si>
  <si>
    <t>SVP_067</t>
  </si>
  <si>
    <t>55;54;41.11337N</t>
  </si>
  <si>
    <t>7;34;23.38315E</t>
  </si>
  <si>
    <t>55;54;41.09155N</t>
  </si>
  <si>
    <t>7;34;24.75465E</t>
  </si>
  <si>
    <t>0798_OI104287_SE_BH_025_S72_20230626071001 - 0001.db</t>
  </si>
  <si>
    <t>230626070941.SBD</t>
  </si>
  <si>
    <t>OI104287_SEROV1_ET2200SSS_BH_025_S72.001.jsf</t>
  </si>
  <si>
    <t>003775_20230626_06.59_OI104287SEROV1SPRINTNAV500.bin</t>
  </si>
  <si>
    <t>55;54;48.40884N</t>
  </si>
  <si>
    <t>7;34;23.00748E</t>
  </si>
  <si>
    <t>55;54;48.41785N</t>
  </si>
  <si>
    <t>7;34;24.48066E</t>
  </si>
  <si>
    <t>003776_20230626_07.14_OI104287SEROV1SPRINTNAV500.bin</t>
  </si>
  <si>
    <t>55;54;48.95596N</t>
  </si>
  <si>
    <t>7;34;22.55553E</t>
  </si>
  <si>
    <t>55;54;48.66634N</t>
  </si>
  <si>
    <t>7;34;23.95683E</t>
  </si>
  <si>
    <t>0799_OI104287_SE_BH_025_S63_20230626072058 - 0001.db</t>
  </si>
  <si>
    <t>230626072046.SBD</t>
  </si>
  <si>
    <t>OI104287_SEROV1_ET2200SSS_BH_025_S63.001.jsf</t>
  </si>
  <si>
    <t>55;54;41.69031N</t>
  </si>
  <si>
    <t>7;34;22.75638E</t>
  </si>
  <si>
    <t>55;54;41.33446N</t>
  </si>
  <si>
    <t>7;34;24.22599E</t>
  </si>
  <si>
    <t>55;54;41.14834N</t>
  </si>
  <si>
    <t>7;34;22.20399E</t>
  </si>
  <si>
    <t>55;54;41.07118N</t>
  </si>
  <si>
    <t>7;34;23.71905E</t>
  </si>
  <si>
    <t>0800_OI104287_SE_BH_025_S54_20230626073238 - 0001.db</t>
  </si>
  <si>
    <t>230626073223.SBD</t>
  </si>
  <si>
    <t>OI104287_SEROV1_ET2200SSS_BH_025_S54.001.jsf</t>
  </si>
  <si>
    <t>003777_20230626_07.29_OI104287SEROV1SPRINTNAV500.bin</t>
  </si>
  <si>
    <t>55;54;48.49628N</t>
  </si>
  <si>
    <t>7;34;22.01311E</t>
  </si>
  <si>
    <t>55;54;48.41212N</t>
  </si>
  <si>
    <t>7;34;23.45049E</t>
  </si>
  <si>
    <t>55;54;48.76282N</t>
  </si>
  <si>
    <t>7;34;21.54214E</t>
  </si>
  <si>
    <t>55;54;48.66182N</t>
  </si>
  <si>
    <t>7;34;22.92213E</t>
  </si>
  <si>
    <t>0801_OI104287_SE_BH_025_S45_20230626074245 - 0001.db</t>
  </si>
  <si>
    <t>230626074230.SBD</t>
  </si>
  <si>
    <t>OI104287_SEROV1_ET2200SSS_BH_025_S45.001.jsf</t>
  </si>
  <si>
    <t>55;54;41.55679N</t>
  </si>
  <si>
    <t>7;34;21.73294E</t>
  </si>
  <si>
    <t>55;54;41.29991N</t>
  </si>
  <si>
    <t>7;34;23.19310E</t>
  </si>
  <si>
    <t>003778_20230626_07.44_OI104287SEROV1SPRINTNAV500.bin</t>
  </si>
  <si>
    <t>55;54;40.93668N</t>
  </si>
  <si>
    <t>7;34;21.25283E</t>
  </si>
  <si>
    <t>55;54;41.04870N</t>
  </si>
  <si>
    <t>7;34;22.67953E</t>
  </si>
  <si>
    <t>0802_OI104287_SE_BH_025_S36_20230626075309 - 0001.db</t>
  </si>
  <si>
    <t>230626075254.SBD</t>
  </si>
  <si>
    <t>OI104287_SEROV1_ET2200SSS_BH_025_S36.001.jsf</t>
  </si>
  <si>
    <t>55;54;48.23441N</t>
  </si>
  <si>
    <t>7;34;20.95448E</t>
  </si>
  <si>
    <t>55;54;48.40518N</t>
  </si>
  <si>
    <t>7;34;22.40825E</t>
  </si>
  <si>
    <t>55;54;48.63269N</t>
  </si>
  <si>
    <t>7;34;20.43252E</t>
  </si>
  <si>
    <t>55;54;48.64945N</t>
  </si>
  <si>
    <t>7;34;21.88381E</t>
  </si>
  <si>
    <t>0803_OI104287_SE_BH_025_S27_20230626080259 - 0001.db</t>
  </si>
  <si>
    <t>230626080247.SBD</t>
  </si>
  <si>
    <t>OI104287_SEROV1_ET2200SSS_BH_025_S27.001.jsf</t>
  </si>
  <si>
    <t>003779_20230626_07.59_OI104287SEROV1SPRINTNAV500.bin</t>
  </si>
  <si>
    <t>55;54;41.32954N</t>
  </si>
  <si>
    <t>7;34;20.64942E</t>
  </si>
  <si>
    <t>55;54;41.30217N</t>
  </si>
  <si>
    <t>7;34;22.15388E</t>
  </si>
  <si>
    <t>55;54;40.96869N</t>
  </si>
  <si>
    <t>7;34;20.22135E</t>
  </si>
  <si>
    <t>55;54;41.02336N</t>
  </si>
  <si>
    <t>7;34;21.65207E</t>
  </si>
  <si>
    <t>0804_OI104287_SE_BH_025_S18_20230626081314 - 0001.db</t>
  </si>
  <si>
    <t>230626081249.SBD</t>
  </si>
  <si>
    <t>OI104287_SEROV1_ET2200SSS_BH_025_S18.001.jsf</t>
  </si>
  <si>
    <t>55;54;48.40157N</t>
  </si>
  <si>
    <t>7;34;19.87256E</t>
  </si>
  <si>
    <t>55;54;48.42147N</t>
  </si>
  <si>
    <t>7;34;21.37386E</t>
  </si>
  <si>
    <t>003780_20230626_08.14_OI104287SEROV1SPRINTNAV500.bin</t>
  </si>
  <si>
    <t>55;54;48.78366N</t>
  </si>
  <si>
    <t>7;34;19.39308E</t>
  </si>
  <si>
    <t>55;54;48.63753N</t>
  </si>
  <si>
    <t>7;34;20.85214E</t>
  </si>
  <si>
    <t>0805_OI104287_SE_BH_025_S09_20230626082306 - 0001.db</t>
  </si>
  <si>
    <t>230626082254.SBD</t>
  </si>
  <si>
    <t>OI104287_SEROV1_ET2200SSS_BH_025_S09.001.jsf</t>
  </si>
  <si>
    <t>55;54;41.47844N</t>
  </si>
  <si>
    <t>7;34;19.64053E</t>
  </si>
  <si>
    <t>55;54;41.29538N</t>
  </si>
  <si>
    <t>7;34;21.11949E</t>
  </si>
  <si>
    <t>003781_20230626_08.29_OI104287SEROV1SPRINTNAV500.bin</t>
  </si>
  <si>
    <t>55;54;41.06017N</t>
  </si>
  <si>
    <t>7;34;19.11854E</t>
  </si>
  <si>
    <t>55;54;41.04312N</t>
  </si>
  <si>
    <t>7;34;20.60742E</t>
  </si>
  <si>
    <t>0806_OI104287_SE_BH_025_C00_20230626083354 - 0001.db</t>
  </si>
  <si>
    <t>230626083330.SBD</t>
  </si>
  <si>
    <t>OI104287_SEROV1_ET2200SSS_BH_025_C00.001.jsf</t>
  </si>
  <si>
    <t>55;54;48.36569N</t>
  </si>
  <si>
    <t>7;34;18.82268E</t>
  </si>
  <si>
    <t>55;54;48.38119N</t>
  </si>
  <si>
    <t>7;34;20.33977E</t>
  </si>
  <si>
    <t>55;54;48.74128N</t>
  </si>
  <si>
    <t>7;34;18.39252E</t>
  </si>
  <si>
    <t>55;54;48.62304N</t>
  </si>
  <si>
    <t>7;34;19.80869E</t>
  </si>
  <si>
    <t>0807_OI104287_SE_BH_025_P09_20230626084327 - 0001.db</t>
  </si>
  <si>
    <t>230626084300.SBD</t>
  </si>
  <si>
    <t>OI104287_SEROV1_ET2200SSS_BH_025_P09.001.jsf</t>
  </si>
  <si>
    <t>55;54;41.41055N</t>
  </si>
  <si>
    <t>7;34;18.64537E</t>
  </si>
  <si>
    <t>55;54;41.28346N</t>
  </si>
  <si>
    <t>7;34;20.08207E</t>
  </si>
  <si>
    <t>003782_20230626_08.44_OI104287SEROV1SPRINTNAV500.bin</t>
  </si>
  <si>
    <t>55;54;41.03314N</t>
  </si>
  <si>
    <t>7;34;18.15716E</t>
  </si>
  <si>
    <t>55;54;41.02381N</t>
  </si>
  <si>
    <t>7;34;19.57212E</t>
  </si>
  <si>
    <t>0808_OI104287_SE_BH_025_P18_20230626085429 - 0001.db</t>
  </si>
  <si>
    <t>230626085406.SBD</t>
  </si>
  <si>
    <t>OI104287_SEROV1_ET2200SSS_BH_025_P18.001.jsf</t>
  </si>
  <si>
    <t>55;54;48.44492N</t>
  </si>
  <si>
    <t>7;34;17.87450E</t>
  </si>
  <si>
    <t>55;54;48.38617N</t>
  </si>
  <si>
    <t>7;34;19.30477E</t>
  </si>
  <si>
    <t>003783_20230626_08.59_OI104287SEROV1SPRINTNAV500.bin</t>
  </si>
  <si>
    <t>55;54;49.65497N</t>
  </si>
  <si>
    <t>7;34;17.78993E</t>
  </si>
  <si>
    <t>55;54;49.25807N</t>
  </si>
  <si>
    <t>7;34;19.07846E</t>
  </si>
  <si>
    <t>Weather Update: WS 25 knots, WG 28 knots, WH 0.8 m</t>
  </si>
  <si>
    <t>55;54;48.99881N</t>
  </si>
  <si>
    <t>7;34;17.28188E</t>
  </si>
  <si>
    <t>55;54;48.63843N</t>
  </si>
  <si>
    <t>7;34;18.77882E</t>
  </si>
  <si>
    <t>0809_OI104287_SE_BH_025_P27_20230626090620 - 0001.db</t>
  </si>
  <si>
    <t>230626090619.SBD</t>
  </si>
  <si>
    <t>OI104287_SEROV1_ET2200SSS_BH_025_P27.001.jsf</t>
  </si>
  <si>
    <t>55;54;41.64125N</t>
  </si>
  <si>
    <t>7;34;17.58070E</t>
  </si>
  <si>
    <t>55;54;41.29885N</t>
  </si>
  <si>
    <t>7;34;19.04889E</t>
  </si>
  <si>
    <t>55;54;40.90594N</t>
  </si>
  <si>
    <t>7;34;17.17474E</t>
  </si>
  <si>
    <t>55;54;41.02064N</t>
  </si>
  <si>
    <t>7;34;18.54135E</t>
  </si>
  <si>
    <t>0810_OI104287_SE_BH_025_P36_20230626091756 - 0001.db</t>
  </si>
  <si>
    <t>230626091729.SBD</t>
  </si>
  <si>
    <t>OI104287_SEROV1_ET2200SSS_BH_025_P36.001.jsf</t>
  </si>
  <si>
    <t>003784_20230626_09.14_OI104287SEROV1SPRINTNAV500.bin</t>
  </si>
  <si>
    <t>55;54;48.52408N</t>
  </si>
  <si>
    <t>7;34;16.82777E</t>
  </si>
  <si>
    <t>55;54;48.39221N</t>
  </si>
  <si>
    <t>7;34;18.26283E</t>
  </si>
  <si>
    <t>55;54;48.88945N</t>
  </si>
  <si>
    <t>7;34;16.28731E</t>
  </si>
  <si>
    <t>55;54;48.62138N</t>
  </si>
  <si>
    <t>7;34;17.73809E</t>
  </si>
  <si>
    <t>0811_OI104287_SE_BH_025_P45_20230626092930 - 0001.db</t>
  </si>
  <si>
    <t>230626092853.SBD</t>
  </si>
  <si>
    <t>OI104287_SEROV1_ET2200SSS_BH_025_P45.001.jsf</t>
  </si>
  <si>
    <t>003785_20230626_09.29_OI104287SEROV1SPRINTNAV500.bin</t>
  </si>
  <si>
    <t>55;54;41.33290N</t>
  </si>
  <si>
    <t>7;34;16.52040E</t>
  </si>
  <si>
    <t>55;54;41.22085N</t>
  </si>
  <si>
    <t>7;34;18.00816E</t>
  </si>
  <si>
    <t>55;54;41.09464N</t>
  </si>
  <si>
    <t>7;34;19.10736E</t>
  </si>
  <si>
    <t>55;54;41.10694N</t>
  </si>
  <si>
    <t>7;34;17.49036E</t>
  </si>
  <si>
    <t>0812_OI104287_SE_BH_025_P54_20230626095105 - 0001.db</t>
  </si>
  <si>
    <t>230626095041.SBD</t>
  </si>
  <si>
    <t>OI104287_SEROV1_ET2200SSS_BH_025_P54.001.jsf</t>
  </si>
  <si>
    <t>003786_20230626_09.44_OI104287SEROV1SPRINTNAV500.bin</t>
  </si>
  <si>
    <t>55;54;48.73197N</t>
  </si>
  <si>
    <t>7;34;18.78904E</t>
  </si>
  <si>
    <t>55;54;48.43913N</t>
  </si>
  <si>
    <t>7;34;17.22059E</t>
  </si>
  <si>
    <t>55;54;50.31006N</t>
  </si>
  <si>
    <t>7;34;18.01668E</t>
  </si>
  <si>
    <t>55;54;49.85373N</t>
  </si>
  <si>
    <t>7;34;17.21818E</t>
  </si>
  <si>
    <t>55;54;49.39165N</t>
  </si>
  <si>
    <t>7;34;16.84524E</t>
  </si>
  <si>
    <t>55;54;48.66951N</t>
  </si>
  <si>
    <t>7;34;16.69646E</t>
  </si>
  <si>
    <t>0813_OI104287_SE_BH_025_P63_20230626101328 - 0001.db</t>
  </si>
  <si>
    <t>230626101309.SBD</t>
  </si>
  <si>
    <t>OI104287_SEROV1_ET2200SSS_BH_025_P63.001.jsf</t>
  </si>
  <si>
    <t>003787_20230626_09.59_OI104287SEROV1SPRINTNAV500.bin</t>
  </si>
  <si>
    <t>55;54;49.21912N</t>
  </si>
  <si>
    <t>7;34;16.83688E</t>
  </si>
  <si>
    <t>55;54;48.51849N</t>
  </si>
  <si>
    <t>7;34;16.69977E</t>
  </si>
  <si>
    <t>Weather Update: WS 28 knots, WG 30 knots, WH 1.5 m</t>
  </si>
  <si>
    <t>55;54;41.91998N</t>
  </si>
  <si>
    <t>7;34;17.11835E</t>
  </si>
  <si>
    <t>55;54;41.24439N</t>
  </si>
  <si>
    <t>7;34;16.96863E</t>
  </si>
  <si>
    <t>003788_20230626_10.14_OI104287SEROV1SPRINTNAV500.bin</t>
  </si>
  <si>
    <t>55;54;41.60241N</t>
  </si>
  <si>
    <t>7;34;17.09968E</t>
  </si>
  <si>
    <t>55;54;40.97387N</t>
  </si>
  <si>
    <t>7;34;16.46713E</t>
  </si>
  <si>
    <t>0814_OI104287_SE_BH_025_P72_20230626102808 - 0001.db</t>
  </si>
  <si>
    <t>230626102820.SBD</t>
  </si>
  <si>
    <t>OI104287_SEROV1_ET2200SSS_BH_025_P72.001.jsf</t>
  </si>
  <si>
    <t>55;54;49.14372N</t>
  </si>
  <si>
    <t>7;34;16.82832E</t>
  </si>
  <si>
    <t>55;54;48.48017N</t>
  </si>
  <si>
    <t>7;34;16.19012E</t>
  </si>
  <si>
    <t>003789_20230626_10.29_OI104287SEROV1SPRINTNAV500.bin</t>
  </si>
  <si>
    <t>55;54;50.49221N</t>
  </si>
  <si>
    <t>7;34;16.86647E</t>
  </si>
  <si>
    <t>55;54;49.70361N</t>
  </si>
  <si>
    <t>7;34;16.13792E</t>
  </si>
  <si>
    <t>BH_025_P72_RR0001</t>
  </si>
  <si>
    <t>55;54;49.47864N</t>
  </si>
  <si>
    <t>7;34;16.91866E</t>
  </si>
  <si>
    <t>55;54;48.66318N</t>
  </si>
  <si>
    <t>7;34;16.18047E</t>
  </si>
  <si>
    <t>0815_OI104287_SE_BH_025_P72_RR0001_20230626104721 - 0001.db</t>
  </si>
  <si>
    <t>230626104658.SBD</t>
  </si>
  <si>
    <t>OI104287_SEROV1_ET2200SSS_BH_025_P72_RR0001.001.jsf</t>
  </si>
  <si>
    <t>003790_20230626_10.44_OI104287SEROV1SPRINTNAV500.bin</t>
  </si>
  <si>
    <t>55;54;41.84443N</t>
  </si>
  <si>
    <t>7;34;17.12148E</t>
  </si>
  <si>
    <t>55;54;41.06153N</t>
  </si>
  <si>
    <t>7;34;16.45838E</t>
  </si>
  <si>
    <t>55;54;40.82320N</t>
  </si>
  <si>
    <t>7;34;17.20328E</t>
  </si>
  <si>
    <t>55;54;40.48474N</t>
  </si>
  <si>
    <t>7;34;17.05312E</t>
  </si>
  <si>
    <t>55;54;40.78051N</t>
  </si>
  <si>
    <t>7;34;17.19867E</t>
  </si>
  <si>
    <t>55;54;40.41729N</t>
  </si>
  <si>
    <t>7;34;16.97889E</t>
  </si>
  <si>
    <t>WROV on deck EOD #024</t>
  </si>
  <si>
    <t>55;55;33.56063N</t>
  </si>
  <si>
    <t>7;35;42.22762E</t>
  </si>
  <si>
    <t>55;55;33.22012N</t>
  </si>
  <si>
    <t>7;35;42.03938E</t>
  </si>
  <si>
    <t>55;55;33.56669N</t>
  </si>
  <si>
    <t>7;35;42.21132E</t>
  </si>
  <si>
    <t>55;55;33.21634N</t>
  </si>
  <si>
    <t>7;35;42.04693E</t>
  </si>
  <si>
    <t>WROV off deck SOD #025</t>
  </si>
  <si>
    <t>OI104287_SE_SVX2_SVP_20230626_1128_555556N_0073570E_068</t>
  </si>
  <si>
    <t>55;55;33.59349N</t>
  </si>
  <si>
    <t>7;35;42.15580E</t>
  </si>
  <si>
    <t>55;55;33.13865N</t>
  </si>
  <si>
    <t>7;35;41.89696E</t>
  </si>
  <si>
    <t>SVP_068</t>
  </si>
  <si>
    <t>55;55;32.97400N</t>
  </si>
  <si>
    <t>7;35;42.17381E</t>
  </si>
  <si>
    <t>55;55;32.29118N</t>
  </si>
  <si>
    <t>7;35;42.20987E</t>
  </si>
  <si>
    <t>0816_OI104287_SE_CPT_255_P50_20230626113838 - 0001.db</t>
  </si>
  <si>
    <t>230626113755.SBD</t>
  </si>
  <si>
    <t>OI104287_SEROV1_ET2200SSS_CPT_255_P50.001.jsf</t>
  </si>
  <si>
    <t>003793_20230626_11.29_OI104287SEROV1SPRINTNAV500.bin</t>
  </si>
  <si>
    <t>55;55;27.17912N</t>
  </si>
  <si>
    <t>7;35;42.35354E</t>
  </si>
  <si>
    <t>55;55;26.63174N</t>
  </si>
  <si>
    <t>7;35;42.41325E</t>
  </si>
  <si>
    <t>003794_20230626_11.44_OI104287SEROV1SPRINTNAV500.bin</t>
  </si>
  <si>
    <t>55;55;26.15626N</t>
  </si>
  <si>
    <t>7;35;43.71551E</t>
  </si>
  <si>
    <t>55;55;25.81294N</t>
  </si>
  <si>
    <t>7;35;42.94704E</t>
  </si>
  <si>
    <t>Weather Update: 25WS knots, 28WG knots, WH  1.5+m</t>
  </si>
  <si>
    <t>55;55;26.89750N</t>
  </si>
  <si>
    <t>7;35;43.72456E</t>
  </si>
  <si>
    <t>55;55;26.38521N</t>
  </si>
  <si>
    <t>7;35;42.94252E</t>
  </si>
  <si>
    <t>0817_OI104287_SE_CPT_255_P41_20230626115346 - 0001.db</t>
  </si>
  <si>
    <t>230626115253.SBD</t>
  </si>
  <si>
    <t>OI104287_SEROV1_ET2200SSS_CPT_255_P41.001.jsf</t>
  </si>
  <si>
    <t>55;55;32.92009N</t>
  </si>
  <si>
    <t>7;35;43.54827E</t>
  </si>
  <si>
    <t>55;55;32.12371N</t>
  </si>
  <si>
    <t>7;35;42.73039E</t>
  </si>
  <si>
    <t>003795_20230626_11.59_OI104287SEROV1SPRINTNAV500.bin</t>
  </si>
  <si>
    <t>M23 set to transponder mode.</t>
  </si>
  <si>
    <t>55;55;33.13168N</t>
  </si>
  <si>
    <t>7;35;43.58195E</t>
  </si>
  <si>
    <t>55;55;32.31849N</t>
  </si>
  <si>
    <t>7;35;43.25121E</t>
  </si>
  <si>
    <t>0818_OI104287_SE_CPT_255_P32_20230626120453 - 0001.db</t>
  </si>
  <si>
    <t>230626120421.SBD</t>
  </si>
  <si>
    <t>OI104287_SEROV1_ET2200SSS_CPT_255_P32.001.jsf</t>
  </si>
  <si>
    <t>55;55;27.33292N</t>
  </si>
  <si>
    <t>7;35;43.74006E</t>
  </si>
  <si>
    <t>55;55;26.65166N</t>
  </si>
  <si>
    <t>7;35;43.45308E</t>
  </si>
  <si>
    <t>55;55;27.14421N</t>
  </si>
  <si>
    <t>7;35;44.78018E</t>
  </si>
  <si>
    <t>55;55;26.40784N</t>
  </si>
  <si>
    <t>7;35;43.97178E</t>
  </si>
  <si>
    <t>0819_OI104287_SE_CPT_255_P23_20230626122115 - 0001.db</t>
  </si>
  <si>
    <t>230626122057.SBD</t>
  </si>
  <si>
    <t>OI104287_SEROV1_ET2200SSS_CPT_255_P23.001.jsf</t>
  </si>
  <si>
    <t>003796_20230626_12.14_OI104287SEROV1SPRINTNAV500.bin</t>
  </si>
  <si>
    <t>55;55;32.85259N</t>
  </si>
  <si>
    <t>7;35;44.59497E</t>
  </si>
  <si>
    <t>55;55;32.10425N</t>
  </si>
  <si>
    <t>7;35;43.77474E</t>
  </si>
  <si>
    <t>55;55;32.89056N</t>
  </si>
  <si>
    <t>7;35;45.14562E</t>
  </si>
  <si>
    <t>55;55;32.35033N</t>
  </si>
  <si>
    <t>7;35;44.28228E</t>
  </si>
  <si>
    <t>0820_OI104287_SE_CPT_255_P14_20230626123338 - 0001.db</t>
  </si>
  <si>
    <t>230626123309.SBD</t>
  </si>
  <si>
    <t>OI104287_SEROV1_ET2200SSS_CPT_255_P14.001.jsf</t>
  </si>
  <si>
    <t>003797_20230626_12.29_OI104287SEROV1SPRINTNAV500.bin</t>
  </si>
  <si>
    <t>55;55;27.14501N</t>
  </si>
  <si>
    <t>7;35;45.33073E</t>
  </si>
  <si>
    <t>55;55;26.62978N</t>
  </si>
  <si>
    <t>7;35;44.48777E</t>
  </si>
  <si>
    <t>55;55;26.98287N</t>
  </si>
  <si>
    <t>7;35;45.75786E</t>
  </si>
  <si>
    <t>55;55;26.40271N</t>
  </si>
  <si>
    <t>7;35;45.01583E</t>
  </si>
  <si>
    <t>0821_OI104287_SE_CPT_255_P05_20230626124957 - 0001.db</t>
  </si>
  <si>
    <t>230626124943.SBD</t>
  </si>
  <si>
    <t>OI104287_SEROV1_ET2200SSS_CPT_255_P05.001.jsf</t>
  </si>
  <si>
    <t>003798_20230626_12.44_OI104287SEROV1SPRINTNAV500.bin</t>
  </si>
  <si>
    <t>55;55;32.83728N</t>
  </si>
  <si>
    <t>7;35;45.59778E</t>
  </si>
  <si>
    <t>55;55;32.10063N</t>
  </si>
  <si>
    <t>7;35;44.80944E</t>
  </si>
  <si>
    <t>55;55;33.59964N</t>
  </si>
  <si>
    <t>7;35;45.52938E</t>
  </si>
  <si>
    <t>55;55;32.89619N</t>
  </si>
  <si>
    <t>7;35;44.80642E</t>
  </si>
  <si>
    <t>Weather Update: WS 26 knots, WG 34 knots, WH 1.5 - 2.0 m</t>
  </si>
  <si>
    <t>55;55;32.74427N</t>
  </si>
  <si>
    <t>7;35;46.15210E</t>
  </si>
  <si>
    <t>55;55;32.34520N</t>
  </si>
  <si>
    <t>7;35;45.32331E</t>
  </si>
  <si>
    <t>0822_OI104287_SE_CPT_255_S05_20230626130330 - 0001.db</t>
  </si>
  <si>
    <t>230626130305.SBD</t>
  </si>
  <si>
    <t>OI104287_SEROV1_ET2200SSS_CPT_255_S05.001.jsf</t>
  </si>
  <si>
    <t>003799_20230626_12.59_OI104287SEROV1SPRINTNAV500.bin</t>
  </si>
  <si>
    <t>55;55;27.07018N</t>
  </si>
  <si>
    <t>7;35;46.39452E</t>
  </si>
  <si>
    <t>55;55;26.64985N</t>
  </si>
  <si>
    <t>7;35;45.52488E</t>
  </si>
  <si>
    <t>55;55;27.08643N</t>
  </si>
  <si>
    <t>7;35;46.76399E</t>
  </si>
  <si>
    <t>55;55;26.38883N</t>
  </si>
  <si>
    <t>7;35;46.04540E</t>
  </si>
  <si>
    <t>0823_OI104287_SE_CPT_255_S14_20230626132019 - 0001.db</t>
  </si>
  <si>
    <t>230626131954.SBD</t>
  </si>
  <si>
    <t>OI104287_SEROV1_ET2200SSS_CPT_255_S14.001.jsf</t>
  </si>
  <si>
    <t>003800_20230626_13.14_OI104287SEROV1SPRINTNAV500.bin</t>
  </si>
  <si>
    <t>55;55;32.93045N</t>
  </si>
  <si>
    <t>7;35;46.61047E</t>
  </si>
  <si>
    <t>55;55;32.10712N</t>
  </si>
  <si>
    <t>7;35;45.84353E</t>
  </si>
  <si>
    <t>55;55;33.02880N</t>
  </si>
  <si>
    <t>7;35;47.19956E</t>
  </si>
  <si>
    <t>55;55;32.35530N</t>
  </si>
  <si>
    <t>7;35;46.35590E</t>
  </si>
  <si>
    <t>0824_OI104287_SE_CPT_255_S23_20230626133130 - 0001.db</t>
  </si>
  <si>
    <t>230626133051.SBD</t>
  </si>
  <si>
    <t>OI104287_SEROV1_ET2200SSS_CPT_255_S23.001.jsf</t>
  </si>
  <si>
    <t>003801_20230626_13.29_OI104287SEROV1SPRINTNAV500.bin</t>
  </si>
  <si>
    <t>55;55;27.20795N</t>
  </si>
  <si>
    <t>7;35;47.48507E</t>
  </si>
  <si>
    <t>55;55;26.64758N</t>
  </si>
  <si>
    <t>7;35;46.55535E</t>
  </si>
  <si>
    <t>55;55;27.02693N</t>
  </si>
  <si>
    <t>7;35;48.01433E</t>
  </si>
  <si>
    <t>55;55;26.40150N</t>
  </si>
  <si>
    <t>7;35;47.08190E</t>
  </si>
  <si>
    <t>0825_OI104287_SE_CPT_255_S32_20230626134557 - 0001.db</t>
  </si>
  <si>
    <t>230626134545.SBD</t>
  </si>
  <si>
    <t>OI104287_SEROV1_ET2200SSS_CPT_255_S32.001.jsf</t>
  </si>
  <si>
    <t>003802_20230626_13.44_OI104287SEROV1SPRINTNAV500.bin</t>
  </si>
  <si>
    <t>55;55;27.53825N</t>
  </si>
  <si>
    <t>7;35;47.92144E</t>
  </si>
  <si>
    <t>55;55;26.85534N</t>
  </si>
  <si>
    <t>7;35;47.07014E</t>
  </si>
  <si>
    <t>Weather Update: WS 30knots, WG 32knots, WH  2m</t>
  </si>
  <si>
    <t>55;55;32.84348N</t>
  </si>
  <si>
    <t>7;35;47.71235E</t>
  </si>
  <si>
    <t>7;35;46.87822E</t>
  </si>
  <si>
    <t>55;55;33.27055N</t>
  </si>
  <si>
    <t>7;35;47.69468E</t>
  </si>
  <si>
    <t>55;55;32.63337N</t>
  </si>
  <si>
    <t>7;35;46.85529E</t>
  </si>
  <si>
    <t>Weather increasing, data quality more affected.</t>
  </si>
  <si>
    <t>55;55;32.73673N</t>
  </si>
  <si>
    <t>7;35;48.35435E</t>
  </si>
  <si>
    <t>55;55;32.31653N</t>
  </si>
  <si>
    <t>7;35;47.39240E</t>
  </si>
  <si>
    <t>0826_OI104287_SE_CPT_255_S41_20230626135832 - 0001.db</t>
  </si>
  <si>
    <t>230626135805.SBD</t>
  </si>
  <si>
    <t>OI104287_SEROV1_ET2200SSS_CPT_255_S41.001.jsf</t>
  </si>
  <si>
    <t>55;55;27.07782N</t>
  </si>
  <si>
    <t>7;35;48.52363E</t>
  </si>
  <si>
    <t>55;55;26.61544N</t>
  </si>
  <si>
    <t>7;35;47.60302E</t>
  </si>
  <si>
    <t>003803_20230626_13.59_OI104287SEROV1SPRINTNAV500.bin</t>
  </si>
  <si>
    <t>55;55;27.05650N</t>
  </si>
  <si>
    <t>7;35;48.89880E</t>
  </si>
  <si>
    <t>55;55;26.36967N</t>
  </si>
  <si>
    <t>7;35;48.14014E</t>
  </si>
  <si>
    <t>0827_OI104287_SE_CPT_255_S50_20230626141324 - 0001.db</t>
  </si>
  <si>
    <t>230626141305.SBD</t>
  </si>
  <si>
    <t>OI104287_SEROV1_ET2200SSS_CPT_255_S50.001.jsf</t>
  </si>
  <si>
    <t>55;55;32.86274N</t>
  </si>
  <si>
    <t>7;35;48.76676E</t>
  </si>
  <si>
    <t>55;55;32.11240N</t>
  </si>
  <si>
    <t>7;35;47.92408E</t>
  </si>
  <si>
    <t>003804_20230626_14.14_OI104287SEROV1SPRINTNAV500.bin</t>
  </si>
  <si>
    <t>55;55;33.54730N</t>
  </si>
  <si>
    <t>7;35;48.71740E</t>
  </si>
  <si>
    <t>55;55;32.77473N</t>
  </si>
  <si>
    <t>7;35;47.96754E</t>
  </si>
  <si>
    <t>55;55;33.77851N</t>
  </si>
  <si>
    <t>7;35;48.76643E</t>
  </si>
  <si>
    <t>55;55;33.37506N</t>
  </si>
  <si>
    <t>7;35;48.37882E</t>
  </si>
  <si>
    <t>Weather Update: WS 32 knots, WG 34 knots, WH 2.0 m</t>
  </si>
  <si>
    <t>55;55;33.75474N</t>
  </si>
  <si>
    <t>7;35;48.68114E</t>
  </si>
  <si>
    <t>55;55;33.38321N</t>
  </si>
  <si>
    <t>7;35;48.37942E</t>
  </si>
  <si>
    <t>Recover to deck due to data quality in marginal weather</t>
  </si>
  <si>
    <t>55;55;33.80450N</t>
  </si>
  <si>
    <t>7;35;48.66532E</t>
  </si>
  <si>
    <t>55;55;33.38925N</t>
  </si>
  <si>
    <t>7;35;46.69868E</t>
  </si>
  <si>
    <t>WROV on deck EOD #025</t>
  </si>
  <si>
    <t>55;55;33.77865N</t>
  </si>
  <si>
    <t>7;35;50.06164E</t>
  </si>
  <si>
    <t>55;55;33.45699N</t>
  </si>
  <si>
    <t>7;35;49.83687E</t>
  </si>
  <si>
    <t>0828_OI104287_SE_CPT_255_S50_20230626145511 - 0001.db</t>
  </si>
  <si>
    <t>003806_20230626_14.44_OI104287SEROV1SPRINTNAV500.bin</t>
  </si>
  <si>
    <t>55;55;33.80490N</t>
  </si>
  <si>
    <t>7;35;50.06154E</t>
  </si>
  <si>
    <t>55;55;33.47887N</t>
  </si>
  <si>
    <t>7;35;49.83898E</t>
  </si>
  <si>
    <t>Log on - for grad logfile test</t>
  </si>
  <si>
    <t>WROV KP</t>
  </si>
  <si>
    <t>SSS</t>
  </si>
  <si>
    <t>55;55;33.71952N</t>
  </si>
  <si>
    <t>7;35;49.31362E</t>
  </si>
  <si>
    <t>Weather Update: WS 32 knots, WG 35 knots, WH  2.5-3.0 m</t>
  </si>
  <si>
    <t>55;55;34.07581N</t>
  </si>
  <si>
    <t>7;35;51.62343E</t>
  </si>
  <si>
    <t>Weather Update: WS 25knots, WG 27knots, WH up to 3.0 m</t>
  </si>
  <si>
    <t>55;55;35.45145N</t>
  </si>
  <si>
    <t>7;35;43.32756E</t>
  </si>
  <si>
    <t>Vessel transit to Esbjerg</t>
  </si>
  <si>
    <t>55;33;56.02850N</t>
  </si>
  <si>
    <t>7;25;37.41855E</t>
  </si>
  <si>
    <t>Esbjerg alongside</t>
  </si>
  <si>
    <t>Esbjerg</t>
  </si>
  <si>
    <t>55;27;54.67717N</t>
  </si>
  <si>
    <t>8;25;56.51103E</t>
  </si>
  <si>
    <t>55;27;57.72145N</t>
  </si>
  <si>
    <t>8;26;07.59076E</t>
  </si>
  <si>
    <t>NE/ES</t>
  </si>
  <si>
    <t>55;27;57.73627N</t>
  </si>
  <si>
    <t>8;26;07.58323E</t>
  </si>
  <si>
    <t>55;27;57.73306N</t>
  </si>
  <si>
    <t>8;26;07.58705E</t>
  </si>
  <si>
    <t>55;27;58.08344N</t>
  </si>
  <si>
    <t>8;26;06.71222E</t>
  </si>
  <si>
    <t>Departing Esbjerg</t>
  </si>
  <si>
    <t>55;56;20.78498N</t>
  </si>
  <si>
    <t>7;37;09.09079E</t>
  </si>
  <si>
    <t>55;56;20.92490N</t>
  </si>
  <si>
    <t>7;37;08.52081E</t>
  </si>
  <si>
    <t>Vessel on DP</t>
  </si>
  <si>
    <t>55;56;18.66246N</t>
  </si>
  <si>
    <t>7;37;05.88087E</t>
  </si>
  <si>
    <t>55;56;18.56085N</t>
  </si>
  <si>
    <t>7;37;06.51841E</t>
  </si>
  <si>
    <t>DP checks completed</t>
  </si>
  <si>
    <t>55;56;18.61238N</t>
  </si>
  <si>
    <t>7;37;05.97024E</t>
  </si>
  <si>
    <t>55;56;18.26800N</t>
  </si>
  <si>
    <t>7;37;06.20429E</t>
  </si>
  <si>
    <t>55;56;18.62469N</t>
  </si>
  <si>
    <t>7;37;05.96631E</t>
  </si>
  <si>
    <t>55;56;18.27932N</t>
  </si>
  <si>
    <t>7;37;06.21756E</t>
  </si>
  <si>
    <t>OI104287_SE_SVX2_SVP_20230628_2339_555631N_0073709E_069</t>
  </si>
  <si>
    <t>55;56;18.61668N</t>
  </si>
  <si>
    <t>7;37;05.96424E</t>
  </si>
  <si>
    <t>55;56;18.20705N</t>
  </si>
  <si>
    <t>7;37;06.47616E</t>
  </si>
  <si>
    <t>SVP_069</t>
  </si>
  <si>
    <t>55;56;18.21902N</t>
  </si>
  <si>
    <t>7;37;04.42330E</t>
  </si>
  <si>
    <t>55;56;17.70781N</t>
  </si>
  <si>
    <t>7;37;05.63459E</t>
  </si>
  <si>
    <t>0828_OI104287_SE_BH_073_P72_20230628235535 - 0001.db</t>
  </si>
  <si>
    <t>230628235515.SBD</t>
  </si>
  <si>
    <t>OI104287_SEROV1_ET2200SSS_BH_073_P72.001.jsf</t>
  </si>
  <si>
    <t>003841_20230628_23.47_OI104287SEROV1SPRINTNAV500.bin</t>
  </si>
  <si>
    <t>55;56;13.86924N</t>
  </si>
  <si>
    <t>7;37;04.45651E</t>
  </si>
  <si>
    <t>55;56;13.38269N</t>
  </si>
  <si>
    <t>7;37;05.78395E</t>
  </si>
  <si>
    <t>55;56;10.79747N</t>
  </si>
  <si>
    <t>7;37;04.55865E</t>
  </si>
  <si>
    <t>55;56;10.32990N</t>
  </si>
  <si>
    <t>7;37;05.89379E</t>
  </si>
  <si>
    <t>003842_20230629_00.02_OI104287SEROV1SPRINTNAV500.bin</t>
  </si>
  <si>
    <t>55;56;09.84375N</t>
  </si>
  <si>
    <t>7;37;05.10006E</t>
  </si>
  <si>
    <t>55;56;10.00537N</t>
  </si>
  <si>
    <t>7;37;06.42396E</t>
  </si>
  <si>
    <t>0829_OI104287_SE_BH_073_P63_20230629000742 - 0001.db</t>
  </si>
  <si>
    <t>230629000706.SBD</t>
  </si>
  <si>
    <t>OI104287_SEROV1_ET2200SSS_BH_073_P63.001.jsf</t>
  </si>
  <si>
    <t>55;56;17.47432N</t>
  </si>
  <si>
    <t>7;37;04.90283E</t>
  </si>
  <si>
    <t>55;56;17.55014N</t>
  </si>
  <si>
    <t>7;37;06.14876E</t>
  </si>
  <si>
    <t>55;56;18.23042N</t>
  </si>
  <si>
    <t>7;37;05.41462E</t>
  </si>
  <si>
    <t>55;56;17.81930N</t>
  </si>
  <si>
    <t>7;37;06.65932E</t>
  </si>
  <si>
    <t>0830_OI104287_SE_BH_073_P54_20230629001944 - 0001.db</t>
  </si>
  <si>
    <t>OI104287_SEROV1_ET2200SSS_BH_073_P54.001.jsf</t>
  </si>
  <si>
    <t>003843_20230629_00.17_OI104287SEROV1SPRINTNAV500.bin</t>
  </si>
  <si>
    <t>230629001953.SBD</t>
  </si>
  <si>
    <t>55;56;10.68946N</t>
  </si>
  <si>
    <t>7;37;05.61095E</t>
  </si>
  <si>
    <t>55;56;10.19125N</t>
  </si>
  <si>
    <t>7;37;06.94297E</t>
  </si>
  <si>
    <t>55;56;10.16301N</t>
  </si>
  <si>
    <t>7;37;06.13566E</t>
  </si>
  <si>
    <t>55;56;09.99783N</t>
  </si>
  <si>
    <t>7;37;07.45624E</t>
  </si>
  <si>
    <t>0831_OI104287_SE_BH_073_P45_20230629003331 - 0001.db</t>
  </si>
  <si>
    <t>230629003303.SBD</t>
  </si>
  <si>
    <t>OI104287_SEROV1_ET2200SSS_BH_073_P45.001.jsf</t>
  </si>
  <si>
    <t>003844_20230629_00.32_OI104287SEROV1SPRINTNAV500.bin</t>
  </si>
  <si>
    <t>55;56;17.68278N</t>
  </si>
  <si>
    <t>7;37;05.91078E</t>
  </si>
  <si>
    <t>55;56;17.61562N</t>
  </si>
  <si>
    <t>7;37;07.18678E</t>
  </si>
  <si>
    <t>55;56;17.92696N</t>
  </si>
  <si>
    <t>7;37;06.50573E</t>
  </si>
  <si>
    <t>55;56;17.81704N</t>
  </si>
  <si>
    <t>7;37;07.69854E</t>
  </si>
  <si>
    <t>0832_OI104287_SE_BH_073_P36_20230629004704 - 0001.db</t>
  </si>
  <si>
    <t>230629004642.SBD</t>
  </si>
  <si>
    <t>OI104287_SEROV1_ET2200SSS_BH_073_P36.001.jsf</t>
  </si>
  <si>
    <t>55;56;10.49355N</t>
  </si>
  <si>
    <t>7;37;06.65590E</t>
  </si>
  <si>
    <t>55;56;10.20030N</t>
  </si>
  <si>
    <t>7;37;07.96952E</t>
  </si>
  <si>
    <t>003845_20230629_00.47_OI104287SEROV1SPRINTNAV500.bin</t>
  </si>
  <si>
    <t>55;56;10.12535N</t>
  </si>
  <si>
    <t>7;37;07.16788E</t>
  </si>
  <si>
    <t>55;56;10.08488N</t>
  </si>
  <si>
    <t>7;37;08.48913E</t>
  </si>
  <si>
    <t>0833_OI104287_SE_BH_073_P27_20230629005909 - 0001.db</t>
  </si>
  <si>
    <t>230629005852.SBD</t>
  </si>
  <si>
    <t>OI104287_SEROV1_ET2200SSS_BH_073_P27.001.jsf</t>
  </si>
  <si>
    <t>55;56;17.57510N</t>
  </si>
  <si>
    <t>7;37;06.94769E</t>
  </si>
  <si>
    <t>55;56;17.60928N</t>
  </si>
  <si>
    <t>7;37;08.22661E</t>
  </si>
  <si>
    <t>003846_20230629_01.02_OI104287SEROV1SPRINTNAV500.bin</t>
  </si>
  <si>
    <t>55;56;18.03844N</t>
  </si>
  <si>
    <t>7;37;07.55143E</t>
  </si>
  <si>
    <t>55;56;17.80165N</t>
  </si>
  <si>
    <t>7;37;08.74259E</t>
  </si>
  <si>
    <t>0834_OI104287_SE_BH_073_P18_20230629011100 - 0001.db</t>
  </si>
  <si>
    <t>230629011010.SBD</t>
  </si>
  <si>
    <t>OI104287_SEROV1_ET2200SSS_BH_073_P18.001.jsf</t>
  </si>
  <si>
    <t>55;56;10.50306N</t>
  </si>
  <si>
    <t>7;37;07.66629E</t>
  </si>
  <si>
    <t>55;56;10.22354N</t>
  </si>
  <si>
    <t>7;37;09.01598E</t>
  </si>
  <si>
    <t>003847_20230629_01.17_OI104287SEROV1SPRINTNAV500.bin</t>
  </si>
  <si>
    <t>55;56;10.05988N</t>
  </si>
  <si>
    <t>7;37;08.21193E</t>
  </si>
  <si>
    <t>55;56;09.98998N</t>
  </si>
  <si>
    <t>7;37;09.54796E</t>
  </si>
  <si>
    <t>0835_OI104287_SE_BH_073_P09_20230629012308 - 0001.db</t>
  </si>
  <si>
    <t>230629012259.SBD</t>
  </si>
  <si>
    <t>OI104287_SEROV1_ET2200SSS_BH_073_P09.001.jsf</t>
  </si>
  <si>
    <t>55;56;17.67518N</t>
  </si>
  <si>
    <t>7;37;07.96509E</t>
  </si>
  <si>
    <t>55;56;17.61954N</t>
  </si>
  <si>
    <t>7;37;09.27729E</t>
  </si>
  <si>
    <t>55;56;18.04709N</t>
  </si>
  <si>
    <t>7;37;08.63324E</t>
  </si>
  <si>
    <t>55;56;17.84223N</t>
  </si>
  <si>
    <t>7;37;09.77427E</t>
  </si>
  <si>
    <t>0836_OI104287_SE_BH_073_C00_20230629013518 - 0001.db</t>
  </si>
  <si>
    <t>230629013441.SBD</t>
  </si>
  <si>
    <t>OI104287_SEROV1_ET2200SSS_BH_073_C00.001.jsf</t>
  </si>
  <si>
    <t>003848_20230629_01.32_OI104287SEROV1SPRINTNAV500.bin</t>
  </si>
  <si>
    <t>55;56;10.51277N</t>
  </si>
  <si>
    <t>7;37;08.72398E</t>
  </si>
  <si>
    <t>55;56;10.18190N</t>
  </si>
  <si>
    <t>7;37;10.05007E</t>
  </si>
  <si>
    <t>55;56;10.07445N</t>
  </si>
  <si>
    <t>7;37;09.25441E</t>
  </si>
  <si>
    <t>55;56;09.97022N</t>
  </si>
  <si>
    <t>7;37;10.56244E</t>
  </si>
  <si>
    <t>0837_OI104287_SE_BH_073_S09_20230629014714 - 0001.db</t>
  </si>
  <si>
    <t>230629014654.SBD</t>
  </si>
  <si>
    <t>OI104287_SEROV1_ET2200SSS_BH_073_S09.001.jsf</t>
  </si>
  <si>
    <t>55;56;17.61163N</t>
  </si>
  <si>
    <t>7;37;09.00768E</t>
  </si>
  <si>
    <t>55;56;17.64896N</t>
  </si>
  <si>
    <t>7;37;10.28996E</t>
  </si>
  <si>
    <t>003849_20230629_01.47_OI104287SEROV1SPRINTNAV500.bin</t>
  </si>
  <si>
    <t>WROV off deck SOD #026</t>
  </si>
  <si>
    <t>TBT bridge</t>
  </si>
  <si>
    <t>55;56;18.09155N</t>
  </si>
  <si>
    <t>7;37;09.65060E</t>
  </si>
  <si>
    <t>55;56;17.87256N</t>
  </si>
  <si>
    <t>7;37;10.80987E</t>
  </si>
  <si>
    <t>0838_OI104287_SE_BH_073_S18_20230629015858 - 0001.db</t>
  </si>
  <si>
    <t>230629015845.SBD</t>
  </si>
  <si>
    <t>OI104287_SEROV1_ET2200SSS_BH_073_S18.001.jsf</t>
  </si>
  <si>
    <t>55;56;10.61209N</t>
  </si>
  <si>
    <t>7;37;09.72236E</t>
  </si>
  <si>
    <t>55;56;10.20739N</t>
  </si>
  <si>
    <t>7;37;11.07541E</t>
  </si>
  <si>
    <t>003850_20230629_02.02_OI104287SEROV1SPRINTNAV500.bin</t>
  </si>
  <si>
    <t>55;56;09.87850N</t>
  </si>
  <si>
    <t>7;37;10.23884E</t>
  </si>
  <si>
    <t>55;56;10.00613N</t>
  </si>
  <si>
    <t>7;37;11.60317E</t>
  </si>
  <si>
    <t>0839_OI104287_SE_BH_073_S27_20230629021209 - 0001.db</t>
  </si>
  <si>
    <t>230629021150.SBD</t>
  </si>
  <si>
    <t>OI104287_SEROV1_ET2200SSS_BH_073_S27.001.jsf</t>
  </si>
  <si>
    <t>55;56;17.54421N</t>
  </si>
  <si>
    <t>7;37;10.04328E</t>
  </si>
  <si>
    <t>55;56;17.69996N</t>
  </si>
  <si>
    <t>7;37;11.33069E</t>
  </si>
  <si>
    <t>003851_20230629_02.17_OI104287SEROV1SPRINTNAV500.bin</t>
  </si>
  <si>
    <t>55;56;18.34668N</t>
  </si>
  <si>
    <t>7;37;10.55446E</t>
  </si>
  <si>
    <t>55;56;17.91888N</t>
  </si>
  <si>
    <t>7;37;11.84698E</t>
  </si>
  <si>
    <t>0840_OI104287_SE_BH_073_S36_20230629022539 - 0001.db</t>
  </si>
  <si>
    <t>230629022513.SBD</t>
  </si>
  <si>
    <t>OI104287_SEROV1_ET2200SSS_BH_073_S36.001.jsf</t>
  </si>
  <si>
    <t>55;56;10.68227N</t>
  </si>
  <si>
    <t>7;37;10.70412E</t>
  </si>
  <si>
    <t>55;56;10.19472N</t>
  </si>
  <si>
    <t>7;37;12.11373E</t>
  </si>
  <si>
    <t>003852_20230629_02.32_OI104287SEROV1SPRINTNAV500.bin</t>
  </si>
  <si>
    <t>55;56;09.94984N</t>
  </si>
  <si>
    <t>7;37;11.25401E</t>
  </si>
  <si>
    <t>55;56;09.95362N</t>
  </si>
  <si>
    <t>7;37;12.64269E</t>
  </si>
  <si>
    <t>0841_OI104287_SE_BH_073_S45_20230629024004 - 0001.db</t>
  </si>
  <si>
    <t>230629023934.SBD</t>
  </si>
  <si>
    <t>OI104287_SEROV1_ET2200SSS_BH_073_S45.001.jsf</t>
  </si>
  <si>
    <t>55;56;17.69319N</t>
  </si>
  <si>
    <t>7;37;11.05942E</t>
  </si>
  <si>
    <t>55;56;17.69845N</t>
  </si>
  <si>
    <t>7;37;12.37112E</t>
  </si>
  <si>
    <t>003853_20230629_02.47_OI104287SEROV1SPRINTNAV500.bin</t>
  </si>
  <si>
    <t>55;56;18.30928N</t>
  </si>
  <si>
    <t>7;37;11.62045E</t>
  </si>
  <si>
    <t>55;56;17.91088N</t>
  </si>
  <si>
    <t>7;37;12.88530E</t>
  </si>
  <si>
    <t>0842_OI104287_SE_BH_073_S54_20230629025336 - 0001.db</t>
  </si>
  <si>
    <t>230629025322.SBD</t>
  </si>
  <si>
    <t>OI104287_SEROV1_ET2200SSS_BH_073_S54.001.jsf</t>
  </si>
  <si>
    <t>55;56;10.78698N</t>
  </si>
  <si>
    <t>7;37;11.78366E</t>
  </si>
  <si>
    <t>55;56;10.22429N</t>
  </si>
  <si>
    <t>7;37;13.15627E</t>
  </si>
  <si>
    <t>55;56;09.79746N</t>
  </si>
  <si>
    <t>7;37;12.32043E</t>
  </si>
  <si>
    <t>55;56;09.97957N</t>
  </si>
  <si>
    <t>7;37;13.69278E</t>
  </si>
  <si>
    <t>0843_OI104287_SE_BH_073_S63_20230629030557 - 0001.db</t>
  </si>
  <si>
    <t>230629030542.SBD</t>
  </si>
  <si>
    <t>OI104287_SEROV1_ET2200SSS_BH_073_S63.001.jsf</t>
  </si>
  <si>
    <t>003854_20230629_03.02_OI104287SEROV1SPRINTNAV500.bin</t>
  </si>
  <si>
    <t>55;56;17.50924N</t>
  </si>
  <si>
    <t>7;37;12.09502E</t>
  </si>
  <si>
    <t>55;56;17.66239N</t>
  </si>
  <si>
    <t>7;37;13.41396E</t>
  </si>
  <si>
    <t>55;56;18.24643N</t>
  </si>
  <si>
    <t>7;37;12.67272E</t>
  </si>
  <si>
    <t>55;56;17.86109N</t>
  </si>
  <si>
    <t>7;37;13.92090E</t>
  </si>
  <si>
    <t>0844_OI104287_SE_BH_073_S72_20230629031853 - 0001.db</t>
  </si>
  <si>
    <t>230629031832.SBD</t>
  </si>
  <si>
    <t>OI104287_SEROV1_ET2200SSS_BH_073_S72.001.jsf</t>
  </si>
  <si>
    <t>003855_20230629_03.17_OI104287SEROV1SPRINTNAV500.bin</t>
  </si>
  <si>
    <t>55;56;10.77738N</t>
  </si>
  <si>
    <t>7;37;12.79748E</t>
  </si>
  <si>
    <t>55;56;10.19246N</t>
  </si>
  <si>
    <t>7;37;14.19308E</t>
  </si>
  <si>
    <t>55;56;12.09210N</t>
  </si>
  <si>
    <t>7;37;43.06013E</t>
  </si>
  <si>
    <t>55;56;12.47186N</t>
  </si>
  <si>
    <t>7;37;42.91562E</t>
  </si>
  <si>
    <t>Transit to CPT_247, ROV latched</t>
  </si>
  <si>
    <t>OI104287_SE_SVX2_SVP_20230629_0353_555637N_0073872E_070</t>
  </si>
  <si>
    <t>55;56;22.74775N</t>
  </si>
  <si>
    <t>7;38;43.64772E</t>
  </si>
  <si>
    <t>55;56;22.27552N</t>
  </si>
  <si>
    <t>7;38;44.54171E</t>
  </si>
  <si>
    <t>SVP_070</t>
  </si>
  <si>
    <t>55;56;24.21659N</t>
  </si>
  <si>
    <t>7;38;43.77237E</t>
  </si>
  <si>
    <t>55;56;24.00364N</t>
  </si>
  <si>
    <t>7;38;45.29820E</t>
  </si>
  <si>
    <t>0845_OI104287_SE_CPT_247_P50_20230629041712 - 0001.db</t>
  </si>
  <si>
    <t>230629041649.SBD</t>
  </si>
  <si>
    <t>OI104287_SEROV1_ET2200SSS_CPT_247_P50.001.jsf</t>
  </si>
  <si>
    <t>003858_20230629_04.02_OI104287SEROV1SPRINTNAV500.bin</t>
  </si>
  <si>
    <t>55;56;30.07906N</t>
  </si>
  <si>
    <t>7;38;43.62506E</t>
  </si>
  <si>
    <t>55;56;29.86103N</t>
  </si>
  <si>
    <t>7;38;45.07762E</t>
  </si>
  <si>
    <t>003859_20230629_04.17_OI104287SEROV1SPRINTNAV500.bin</t>
  </si>
  <si>
    <t>55;56;30.42173N</t>
  </si>
  <si>
    <t>7;38;44.19233E</t>
  </si>
  <si>
    <t>55;56;30.03966N</t>
  </si>
  <si>
    <t>7;38;45.59481E</t>
  </si>
  <si>
    <t>0846_OI104287_SE_CPT_247_P41_20230629043230 - 0001.db</t>
  </si>
  <si>
    <t>230629043207.SBD</t>
  </si>
  <si>
    <t>OI104287_SEROV1_ET2200SSS_CPT_247_P41.001.jsf</t>
  </si>
  <si>
    <t>55;56;24.52602N</t>
  </si>
  <si>
    <t>7;38;44.32485E</t>
  </si>
  <si>
    <t>55;56;24.11543N</t>
  </si>
  <si>
    <t>7;38;45.79880E</t>
  </si>
  <si>
    <t>003860_20230629_04.32_OI104287SEROV1SPRINTNAV500.bin</t>
  </si>
  <si>
    <t>55;56;24.32438N</t>
  </si>
  <si>
    <t>7;38;44.85437E</t>
  </si>
  <si>
    <t>55;56;24.16055N</t>
  </si>
  <si>
    <t>7;38;46.31328E</t>
  </si>
  <si>
    <t>0847_OI104287_SE_CPT_247_P32_20230629044320 - 0001.db</t>
  </si>
  <si>
    <t>230629044307.SBD</t>
  </si>
  <si>
    <t>OI104287_SEROV1_ET2200SSS_CPT_247_P32.001.jsf</t>
  </si>
  <si>
    <t>55;56;29.99091N</t>
  </si>
  <si>
    <t>7;38;44.67345E</t>
  </si>
  <si>
    <t>55;56;29.86012N</t>
  </si>
  <si>
    <t>7;38;46.11865E</t>
  </si>
  <si>
    <t>003861_20230629_04.47_OI104287SEROV1SPRINTNAV500.bin</t>
  </si>
  <si>
    <t>55;56;30.73593N</t>
  </si>
  <si>
    <t>7;38;45.21979E</t>
  </si>
  <si>
    <t>55;56;30.41957N</t>
  </si>
  <si>
    <t>7;38;46.62317E</t>
  </si>
  <si>
    <t>0848_OI104287_SE_CPT_247_P23_20230629045334 - 0001.db</t>
  </si>
  <si>
    <t>230629045322.SBD</t>
  </si>
  <si>
    <t>OI104287_SEROV1_ET2200SSS_CPT_247_P23.001.jsf</t>
  </si>
  <si>
    <t>55;56;24.51791N</t>
  </si>
  <si>
    <t>7;38;45.35685E</t>
  </si>
  <si>
    <t>55;56;24.15391N</t>
  </si>
  <si>
    <t>7;38;46.83772E</t>
  </si>
  <si>
    <t>55;56;24.28584N</t>
  </si>
  <si>
    <t>7;38;45.90619E</t>
  </si>
  <si>
    <t>55;56;24.17699N</t>
  </si>
  <si>
    <t>7;38;47.35310E</t>
  </si>
  <si>
    <t>0849_OI104287_SE_CPT_247_P14_20230629050620 - 0001.db</t>
  </si>
  <si>
    <t>230629050540.SBD</t>
  </si>
  <si>
    <t>OI104287_SEROV1_ET2200SSS_CPT_247_P14.001.jsf</t>
  </si>
  <si>
    <t>003862_20230629_05.02_OI104287SEROV1SPRINTNAV500.bin</t>
  </si>
  <si>
    <t>55;56;30.00100N</t>
  </si>
  <si>
    <t>7;38;45.71692E</t>
  </si>
  <si>
    <t>55;56;29.89301N</t>
  </si>
  <si>
    <t>7;38;47.15697E</t>
  </si>
  <si>
    <t>55;56;30.44154N</t>
  </si>
  <si>
    <t>7;38;46.27168E</t>
  </si>
  <si>
    <t>55;56;30.11163N</t>
  </si>
  <si>
    <t>7;38;47.66330E</t>
  </si>
  <si>
    <t>0850_OI104287_SE_CPT_247_P05_20230629051605 - 0001.db</t>
  </si>
  <si>
    <t>230629051536.SBD</t>
  </si>
  <si>
    <t>OI104287_SEROV1_ET2200SSS_CPT_247_P05.001.jsf</t>
  </si>
  <si>
    <t>55;56;24.62489N</t>
  </si>
  <si>
    <t>7;38;46.37558E</t>
  </si>
  <si>
    <t>55;56;24.22557N</t>
  </si>
  <si>
    <t>7;38;47.86668E</t>
  </si>
  <si>
    <t>003863_20230629_05.17_OI104287SEROV1SPRINTNAV500.bin</t>
  </si>
  <si>
    <t>55;56;24.37033N</t>
  </si>
  <si>
    <t>7;38;46.94650E</t>
  </si>
  <si>
    <t>55;56;24.17277N</t>
  </si>
  <si>
    <t>7;38;48.38840E</t>
  </si>
  <si>
    <t>0851_OI104287_SE_CPT_247_S05_20230629052727 - 0001.db</t>
  </si>
  <si>
    <t>230629052715.SBD</t>
  </si>
  <si>
    <t>OI104287_SEROV1_ET2200SSS_CPT_247_S05.001.jsf</t>
  </si>
  <si>
    <t>55;56;30.14324N</t>
  </si>
  <si>
    <t>7;38;46.75820E</t>
  </si>
  <si>
    <t>55;56;29.93481N</t>
  </si>
  <si>
    <t>7;38;48.18442E</t>
  </si>
  <si>
    <t>55;56;30.74529N</t>
  </si>
  <si>
    <t>7;38;47.29758E</t>
  </si>
  <si>
    <t>55;56;30.18480N</t>
  </si>
  <si>
    <t>7;38;48.70765E</t>
  </si>
  <si>
    <t>0852_OI104287_SE_CPT_247_S14_20230629053730 - 0001.db</t>
  </si>
  <si>
    <t>230629053657.SBD</t>
  </si>
  <si>
    <t>OI104287_SEROV1_ET2200SSS_CPT_247_S14.001.jsf</t>
  </si>
  <si>
    <t>003864_20230629_05.32_OI104287SEROV1SPRINTNAV500.bin</t>
  </si>
  <si>
    <t>55;56;24.67092N</t>
  </si>
  <si>
    <t>7;38;47.41447E</t>
  </si>
  <si>
    <t>55;56;24.19132N</t>
  </si>
  <si>
    <t>7;38;48.90982E</t>
  </si>
  <si>
    <t>55;56;24.22402N</t>
  </si>
  <si>
    <t>7;38;47.98847E</t>
  </si>
  <si>
    <t>55;56;23.96109N</t>
  </si>
  <si>
    <t>7;38;49.43607E</t>
  </si>
  <si>
    <t>0853_OI104287_SE_CPT_247_S23_20230629054743 - 0001.db</t>
  </si>
  <si>
    <t>230629054720.SBD</t>
  </si>
  <si>
    <t>OI104287_SEROV1_ET2200SSS_CPT_247_S23.001.jsf</t>
  </si>
  <si>
    <t>003865_20230629_05.47_OI104287SEROV1SPRINTNAV500.bin</t>
  </si>
  <si>
    <t>55;56;30.28111N</t>
  </si>
  <si>
    <t>7;38;47.78550E</t>
  </si>
  <si>
    <t>55;56;30.02382N</t>
  </si>
  <si>
    <t>7;38;49.22334E</t>
  </si>
  <si>
    <t>55;56;30.44635N</t>
  </si>
  <si>
    <t>7;38;48.32709E</t>
  </si>
  <si>
    <t>55;56;30.17168N</t>
  </si>
  <si>
    <t>7;38;49.74386E</t>
  </si>
  <si>
    <t>0854_OI104287_SE_CPT_247_S32_20230629060107 - 0001.db</t>
  </si>
  <si>
    <t>230629060032.SBD</t>
  </si>
  <si>
    <t>OI104287_SEROV1_ET2200SSS_CPT_247_S32.001.jsf</t>
  </si>
  <si>
    <t>55;56;24.37048N</t>
  </si>
  <si>
    <t>7;38;48.47706E</t>
  </si>
  <si>
    <t>55;56;24.06187N</t>
  </si>
  <si>
    <t>7;38;49.95478E</t>
  </si>
  <si>
    <t>003866_20230629_06.02_OI104287SEROV1SPRINTNAV500.bin</t>
  </si>
  <si>
    <t>55;56;24.22902N</t>
  </si>
  <si>
    <t>7;38;49.00393E</t>
  </si>
  <si>
    <t>55;56;24.03970N</t>
  </si>
  <si>
    <t>7;38;50.46866E</t>
  </si>
  <si>
    <t>0855_OI104287_SE_CPT_247_S41_20230629061154 - 0001.db</t>
  </si>
  <si>
    <t>230629061123.SBD</t>
  </si>
  <si>
    <t>OI104287_SEROV1_ET2200SSS_CPT_247_S41.001.jsf</t>
  </si>
  <si>
    <t>55;56;30.10063N</t>
  </si>
  <si>
    <t>7;38;48.83570E</t>
  </si>
  <si>
    <t>55;56;29.90554N</t>
  </si>
  <si>
    <t>7;38;50.26287E</t>
  </si>
  <si>
    <t>55;56;30.21489N</t>
  </si>
  <si>
    <t>7;38;49.36860E</t>
  </si>
  <si>
    <t>55;56;30.01945N</t>
  </si>
  <si>
    <t>7;38;50.78157E</t>
  </si>
  <si>
    <t>0856_OI104287_SE_CPT_247_S50_20230629062214 - 0001.db</t>
  </si>
  <si>
    <t>230629062145.SBD</t>
  </si>
  <si>
    <t>OI104287_SEROV1_ET2200SSS_CPT_247_S50.001.jsf</t>
  </si>
  <si>
    <t>003867_20230629_06.17_OI104287SEROV1SPRINTNAV500.bin</t>
  </si>
  <si>
    <t>55;56;24.38638N</t>
  </si>
  <si>
    <t>7;38;49.41705E</t>
  </si>
  <si>
    <t>55;56;24.15813N</t>
  </si>
  <si>
    <t>7;38;50.98404E</t>
  </si>
  <si>
    <t>55;56;23.64618N</t>
  </si>
  <si>
    <t>7;38;49.42684E</t>
  </si>
  <si>
    <t>55;56;23.54981N</t>
  </si>
  <si>
    <t>7;38;50.09268E</t>
  </si>
  <si>
    <t>Transit to CPT_315, ROV latched</t>
  </si>
  <si>
    <t>OI104287_SE_SVX2_SVP_20230629_0703_555725N_0074108E_071</t>
  </si>
  <si>
    <t>55;57;15.01101N</t>
  </si>
  <si>
    <t>7;41;04.79937E</t>
  </si>
  <si>
    <t>55;57;15.04470N</t>
  </si>
  <si>
    <t>7;41;05.84994E</t>
  </si>
  <si>
    <t>SVP_071</t>
  </si>
  <si>
    <t>55;57;16.09734N</t>
  </si>
  <si>
    <t>7;41;04.79425E</t>
  </si>
  <si>
    <t>55;57;16.03790N</t>
  </si>
  <si>
    <t>7;41;06.21626E</t>
  </si>
  <si>
    <t>0857_OI104287_SE_CPT_315_P50_20230629071548 - 0001.db</t>
  </si>
  <si>
    <t>230629071516.SBD</t>
  </si>
  <si>
    <t>OI104287_SEROV1_ET2200SSS_CPT_315_P50.001.jsf</t>
  </si>
  <si>
    <t>003870_20230629_07.02_OI104287SEROV1SPRINTNAV500.bin</t>
  </si>
  <si>
    <t>55;57;21.87849N</t>
  </si>
  <si>
    <t>7;41;04.58186E</t>
  </si>
  <si>
    <t>55;57;21.85848N</t>
  </si>
  <si>
    <t>7;41;06.02495E</t>
  </si>
  <si>
    <t>003871_20230629_07.17_OI104287SEROV1SPRINTNAV500.bin</t>
  </si>
  <si>
    <t>55;57;22.17650N</t>
  </si>
  <si>
    <t>7;41;05.12601E</t>
  </si>
  <si>
    <t>55;57;22.05718N</t>
  </si>
  <si>
    <t>7;41;06.53159E</t>
  </si>
  <si>
    <t>0858_OI104287_SE_CPT_315_P41_20230629072519 - 0001.db</t>
  </si>
  <si>
    <t>230629072448.SBD</t>
  </si>
  <si>
    <t>OI104287_SEROV1_ET2200SSS_CPT_315_P41.001.jsf</t>
  </si>
  <si>
    <t>55;57;16.36504N</t>
  </si>
  <si>
    <t>7;41;05.28151E</t>
  </si>
  <si>
    <t>55;57;16.22786N</t>
  </si>
  <si>
    <t>7;41;06.73436E</t>
  </si>
  <si>
    <t>55;57;16.11766N</t>
  </si>
  <si>
    <t>7;41;05.81008E</t>
  </si>
  <si>
    <t>55;57;16.03911N</t>
  </si>
  <si>
    <t>7;41;07.25548E</t>
  </si>
  <si>
    <t>0859_OI104287_SE_CPT_315_P32_20230629073526 - 0001.db</t>
  </si>
  <si>
    <t>230629073456.SBD</t>
  </si>
  <si>
    <t>OI104287_SEROV1_ET2200SSS_CPT_315_P32.001.jsf</t>
  </si>
  <si>
    <t>003872_20230629_07.32_OI104287SEROV1SPRINTNAV500.bin</t>
  </si>
  <si>
    <t>55;57;21.96905N</t>
  </si>
  <si>
    <t>7;41;05.62127E</t>
  </si>
  <si>
    <t>55;57;21.85592N</t>
  </si>
  <si>
    <t>7;41;07.06025E</t>
  </si>
  <si>
    <t>55;57;22.15635N</t>
  </si>
  <si>
    <t>7;41;06.17409E</t>
  </si>
  <si>
    <t>55;57;22.04677N</t>
  </si>
  <si>
    <t>7;41;07.57715E</t>
  </si>
  <si>
    <t>0860_OI104287_SE_CPT_315_P23_20230629074626 - 0001.db</t>
  </si>
  <si>
    <t>230629074557.SBD</t>
  </si>
  <si>
    <t>OI104287_SEROV1_ET2200SSS_CPT_315_P23.001.jsf</t>
  </si>
  <si>
    <t>55;57;16.25983N</t>
  </si>
  <si>
    <t>7;41;06.31980E</t>
  </si>
  <si>
    <t>55;57;16.14774N</t>
  </si>
  <si>
    <t>7;41;07.76996E</t>
  </si>
  <si>
    <t>003873_20230629_07.47_OI104287SEROV1SPRINTNAV500.bin</t>
  </si>
  <si>
    <t>55;57;16.10528N</t>
  </si>
  <si>
    <t>7;41;06.84971E</t>
  </si>
  <si>
    <t>55;57;16.01452N</t>
  </si>
  <si>
    <t>7;41;08.28626E</t>
  </si>
  <si>
    <t>0861_OI104287_SE_CPT_315_P14_20230629075619 - 0001.db</t>
  </si>
  <si>
    <t>230629075552.SBD</t>
  </si>
  <si>
    <t>OI104287_SEROV1_ET2200SSS_CPT_315_P14.001.jsf</t>
  </si>
  <si>
    <t>55;57;22.13071N</t>
  </si>
  <si>
    <t>7;41;06.66092E</t>
  </si>
  <si>
    <t>55;57;22.04692N</t>
  </si>
  <si>
    <t>7;41;08.08740E</t>
  </si>
  <si>
    <t>55;57;22.24802N</t>
  </si>
  <si>
    <t>7;41;07.09263E</t>
  </si>
  <si>
    <t>55;57;22.18181N</t>
  </si>
  <si>
    <t>7;41;08.61184E</t>
  </si>
  <si>
    <t>0862_OI104287_SE_CPT_315_P05_20230629080622 - 0001.db</t>
  </si>
  <si>
    <t>230629080552.SBD</t>
  </si>
  <si>
    <t>OI104287_SEROV1_ET2200SSS_CPT_315_P05.001.jsf</t>
  </si>
  <si>
    <t>003874_20230629_08.02_OI104287SEROV1SPRINTNAV500.bin</t>
  </si>
  <si>
    <t>55;57;16.26296N</t>
  </si>
  <si>
    <t>7;41;07.25339E</t>
  </si>
  <si>
    <t>55;57;16.16871N</t>
  </si>
  <si>
    <t>7;41;08.81673E</t>
  </si>
  <si>
    <t>55;57;16.11081N</t>
  </si>
  <si>
    <t>7;41;07.84839E</t>
  </si>
  <si>
    <t>55;57;15.96564N</t>
  </si>
  <si>
    <t>7;41;09.33000E</t>
  </si>
  <si>
    <t>0863_OI104287_SE_CPT_315_S05_20230629081609 - 0001.db</t>
  </si>
  <si>
    <t>230629081545.SBD</t>
  </si>
  <si>
    <t>OI104287_SEROV1_ET2200SSS_CPT_315_S05.001.jsf</t>
  </si>
  <si>
    <t>55;57;22.53594N</t>
  </si>
  <si>
    <t>7;41;07.61912E</t>
  </si>
  <si>
    <t>55;57;22.42441N</t>
  </si>
  <si>
    <t>7;41;09.10460E</t>
  </si>
  <si>
    <t>003875_20230629_08.17_OI104287SEROV1SPRINTNAV500.bin</t>
  </si>
  <si>
    <t>55;57;22.06214N</t>
  </si>
  <si>
    <t>7;41;08.18736E</t>
  </si>
  <si>
    <t>55;57;22.04346N</t>
  </si>
  <si>
    <t>7;41;09.63779E</t>
  </si>
  <si>
    <t>0864_OI104287_SE_CPT_315_S14_20230629082605 - 0001.db</t>
  </si>
  <si>
    <t>230629082548.SBD</t>
  </si>
  <si>
    <t>OI104287_SEROV1_ET2200SSS_CPT_315_S14.001.jsf</t>
  </si>
  <si>
    <t>55;57;16.16011N</t>
  </si>
  <si>
    <t>7;41;08.35963E</t>
  </si>
  <si>
    <t>55;57;16.15966N</t>
  </si>
  <si>
    <t>7;41;09.83996E</t>
  </si>
  <si>
    <t>55;57;16.14207N</t>
  </si>
  <si>
    <t>7;41;08.85061E</t>
  </si>
  <si>
    <t>55;57;15.96292N</t>
  </si>
  <si>
    <t>7;41;10.37768E</t>
  </si>
  <si>
    <t>0865_OI104287_SE_CPT_315_S23_20230629083818 - 0001.db</t>
  </si>
  <si>
    <t>230629083750.SBD</t>
  </si>
  <si>
    <t>OI104287_SEROV1_ET2200SSS_CPT_315_S23.001.jsf</t>
  </si>
  <si>
    <t>003876_20230629_08.32_OI104287SEROV1SPRINTNAV500.bin</t>
  </si>
  <si>
    <t>55;57;22.04510N</t>
  </si>
  <si>
    <t>7;41;08.68347E</t>
  </si>
  <si>
    <t>55;57;21.89092N</t>
  </si>
  <si>
    <t>7;41;10.16736E</t>
  </si>
  <si>
    <t>55;57;21.90784N</t>
  </si>
  <si>
    <t>7;41;09.28900E</t>
  </si>
  <si>
    <t>55;57;21.92653N</t>
  </si>
  <si>
    <t>7;41;10.69089E</t>
  </si>
  <si>
    <t>0866_OI104287_SE_CPT_315_S32_20230629085013 - 0001.db</t>
  </si>
  <si>
    <t>230629084946.SBD</t>
  </si>
  <si>
    <t>OI104287_SEROV1_ET2200SSS_CPT_315_S32.001.jsf</t>
  </si>
  <si>
    <t>003877_20230629_08.47_OI104287SEROV1SPRINTNAV500.bin</t>
  </si>
  <si>
    <t>55;57;16.09425N</t>
  </si>
  <si>
    <t>7;41;09.43424E</t>
  </si>
  <si>
    <t>55;57;16.13069N</t>
  </si>
  <si>
    <t>7;41;10.88401E</t>
  </si>
  <si>
    <t>55;57;16.14148N</t>
  </si>
  <si>
    <t>7;41;09.93921E</t>
  </si>
  <si>
    <t>55;57;15.98133N</t>
  </si>
  <si>
    <t>7;41;11.40905E</t>
  </si>
  <si>
    <t>0867_OI104287_SE_CPT_315_S41_20230629090114 - 0001.db</t>
  </si>
  <si>
    <t>230629090049.SBD</t>
  </si>
  <si>
    <t>OI104287_SEROV1_ET2200SSS_CPT_315_S41.001.jsf</t>
  </si>
  <si>
    <t>55;57;22.00496N</t>
  </si>
  <si>
    <t>7;41;09.76908E</t>
  </si>
  <si>
    <t>55;57;21.88760N</t>
  </si>
  <si>
    <t>7;41;11.20809E</t>
  </si>
  <si>
    <t>003878_20230629_09.02_OI104287SEROV1SPRINTNAV500.bin</t>
  </si>
  <si>
    <t>55;57;22.14981N</t>
  </si>
  <si>
    <t>7;41;10.33753E</t>
  </si>
  <si>
    <t>55;57;22.01283N</t>
  </si>
  <si>
    <t>7;41;11.72438E</t>
  </si>
  <si>
    <t>0868_OI104287_SE_CPT_315_S50_20230629091250 - 0001.db</t>
  </si>
  <si>
    <t>230629091224.SBD</t>
  </si>
  <si>
    <t>OI104287_SEROV1_ET2200SSS_CPT_315_S50.001.jsf</t>
  </si>
  <si>
    <t>55;57;16.29000N</t>
  </si>
  <si>
    <t>7;41;10.48042E</t>
  </si>
  <si>
    <t>55;57;16.14820N</t>
  </si>
  <si>
    <t>7;41;11.92534E</t>
  </si>
  <si>
    <t>003879_20230629_09.17_OI104287SEROV1SPRINTNAV500.bin</t>
  </si>
  <si>
    <t>55;57;15.62294N</t>
  </si>
  <si>
    <t>7;41;10.48541E</t>
  </si>
  <si>
    <t>55;57;15.53248N</t>
  </si>
  <si>
    <t>7;41;11.16494E</t>
  </si>
  <si>
    <t>Transit CPT_065, ROV to latch.</t>
  </si>
  <si>
    <t>OI104287_SE_SVX2_SVP_20230629_0948_555710N_0074317E_072</t>
  </si>
  <si>
    <t>55;57;06.34179N</t>
  </si>
  <si>
    <t>7;43;10.33401E</t>
  </si>
  <si>
    <t>55;57;06.43823N</t>
  </si>
  <si>
    <t>7;43;11.44401E</t>
  </si>
  <si>
    <t>SVP_072</t>
  </si>
  <si>
    <t>55;57;05.29365N</t>
  </si>
  <si>
    <t>7;43;09.99627E</t>
  </si>
  <si>
    <t>55;57;05.35797N</t>
  </si>
  <si>
    <t>7;43;11.48836E</t>
  </si>
  <si>
    <t>0869_OI104287_SE_CPT_065_P50_20230629100033 - 0001.db</t>
  </si>
  <si>
    <t>230629100016.SBD</t>
  </si>
  <si>
    <t>OI104287_SEROV1_ET2200SSS_CPT_065_P50.001.jsf</t>
  </si>
  <si>
    <t>003881_20230629_09.47_OI104287SEROV1SPRINTNAV500.bin</t>
  </si>
  <si>
    <t>RA/ES</t>
  </si>
  <si>
    <t>55;56;59.08540N</t>
  </si>
  <si>
    <t>7;43;10.22870E</t>
  </si>
  <si>
    <t>55;56;59.11283N</t>
  </si>
  <si>
    <t>7;43;11.69295E</t>
  </si>
  <si>
    <t>003882_20230629_10.02_OI104287SEROV1SPRINTNAV500.bin</t>
  </si>
  <si>
    <t>55;56;59.50163N</t>
  </si>
  <si>
    <t>7;43;10.71014E</t>
  </si>
  <si>
    <t>55;56;59.30821N</t>
  </si>
  <si>
    <t>7;43;12.19928E</t>
  </si>
  <si>
    <t>0870_OI104287_SE_CPT_065_P41_20230629101045 - 0001.db</t>
  </si>
  <si>
    <t>230629100950.SBD</t>
  </si>
  <si>
    <t>OI104287_SEROV1_ET2200SSS_CPT_065_P41.001.jsf</t>
  </si>
  <si>
    <t>55;57;05.32852N</t>
  </si>
  <si>
    <t>7;43;10.48117E</t>
  </si>
  <si>
    <t>55;57;05.19065N</t>
  </si>
  <si>
    <t>7;43;12.00767E</t>
  </si>
  <si>
    <t>55;57;05.38248N</t>
  </si>
  <si>
    <t>7;43;11.07005E</t>
  </si>
  <si>
    <t>55;57;05.38618N</t>
  </si>
  <si>
    <t>7;43;12.52366E</t>
  </si>
  <si>
    <t>0871_OI104287_SE_CPT_065_P32_20230629102027 - 0001.db</t>
  </si>
  <si>
    <t>230629101928.SBD</t>
  </si>
  <si>
    <t>OI104287_SEROV1_ET2200SSS_CPT_065_P32.001.jsf</t>
  </si>
  <si>
    <t>003883_20230629_10.17_OI104287SEROV1SPRINTNAV500.bin</t>
  </si>
  <si>
    <t>55;56;59.48766N</t>
  </si>
  <si>
    <t>7;43;11.25650E</t>
  </si>
  <si>
    <t>55;56;59.51401N</t>
  </si>
  <si>
    <t>7;43;12.71165E</t>
  </si>
  <si>
    <t>55;56;59.40321N</t>
  </si>
  <si>
    <t>7;43;11.78447E</t>
  </si>
  <si>
    <t>55;56;59.33401N</t>
  </si>
  <si>
    <t>7;43;13.25269E</t>
  </si>
  <si>
    <t>0872_OI104287_SE_CPT_065_P23_20230629103021 - 0001.db</t>
  </si>
  <si>
    <t>230629102940.SBD</t>
  </si>
  <si>
    <t>OI104287_SEROV1_ET2200SSS_CPT_065_P23.001.jsf</t>
  </si>
  <si>
    <t>55;57;05.17527N</t>
  </si>
  <si>
    <t>7;43;11.55352E</t>
  </si>
  <si>
    <t>55;57;05.17164N</t>
  </si>
  <si>
    <t>7;43;13.05746E</t>
  </si>
  <si>
    <t>003884_20230629_10.32_OI104287SEROV1SPRINTNAV500.bin</t>
  </si>
  <si>
    <t>55;57;05.33824N</t>
  </si>
  <si>
    <t>7;43;12.17702E</t>
  </si>
  <si>
    <t>55;57;05.36551N</t>
  </si>
  <si>
    <t>7;43;13.56711E</t>
  </si>
  <si>
    <t>0873_OI104287_SE_CPT_065_P14_20230629104014 - 0001.db</t>
  </si>
  <si>
    <t>230629103941.SBD</t>
  </si>
  <si>
    <t>OI104287_SEROV1_ET2200SSS_CPT_065_P14.001.jsf</t>
  </si>
  <si>
    <t>55;56;59.50598N</t>
  </si>
  <si>
    <t>7;43;12.36025E</t>
  </si>
  <si>
    <t>55;56;59.54448N</t>
  </si>
  <si>
    <t>7;43;13.75600E</t>
  </si>
  <si>
    <t>55;56;59.50872N</t>
  </si>
  <si>
    <t>7;43;12.81744E</t>
  </si>
  <si>
    <t>55;56;59.34216N</t>
  </si>
  <si>
    <t>7;43;14.29040E</t>
  </si>
  <si>
    <t>0874_OI104287_SE_CPT_065_P05_20230629105111 - 0001.db</t>
  </si>
  <si>
    <t>230629105056.SBD</t>
  </si>
  <si>
    <t>OI104287_SEROV1_ET2200SSS_CPT_065_P05.001.jsf</t>
  </si>
  <si>
    <t>003885_20230629_10.47_OI104287SEROV1SPRINTNAV500.bin</t>
  </si>
  <si>
    <t>55;57;05.27806N</t>
  </si>
  <si>
    <t>7;43;12.59275E</t>
  </si>
  <si>
    <t>55;57;05.14267N</t>
  </si>
  <si>
    <t>7;43;14.09215E</t>
  </si>
  <si>
    <t>55;57;05.60692N</t>
  </si>
  <si>
    <t>7;43;13.12373E</t>
  </si>
  <si>
    <t>55;57;05.36521N</t>
  </si>
  <si>
    <t>7;43;14.59728E</t>
  </si>
  <si>
    <t>0875_OI104287_SE_CPT_065_S05_20230629110108 - 0001.db</t>
  </si>
  <si>
    <t>230629110047.SBD</t>
  </si>
  <si>
    <t>OI104287_SEROV1_ET2200SSS_CPT_065_S05.001.jsf</t>
  </si>
  <si>
    <t>55;56;59.74298N</t>
  </si>
  <si>
    <t>7;43;13.32607E</t>
  </si>
  <si>
    <t>55;56;59.53649N</t>
  </si>
  <si>
    <t>7;43;14.78467E</t>
  </si>
  <si>
    <t>003886_20230629_11.02_OI104287SEROV1SPRINTNAV500.bin</t>
  </si>
  <si>
    <t>55;56;59.45285N</t>
  </si>
  <si>
    <t>7;43;13.82742E</t>
  </si>
  <si>
    <t>55;56;59.37792N</t>
  </si>
  <si>
    <t>7;43;15.32208E</t>
  </si>
  <si>
    <t>0876_OI104287_SE_CPT_065_S14_20230629111215 - 0001.db</t>
  </si>
  <si>
    <t>230629111121.SBD</t>
  </si>
  <si>
    <t>OI104287_SEROV1_ET2200SSS_CPT_065_S14.001.jsf</t>
  </si>
  <si>
    <t>55;57;05.14579N</t>
  </si>
  <si>
    <t>7;43;13.64109E</t>
  </si>
  <si>
    <t>55;57;05.15836N</t>
  </si>
  <si>
    <t>7;43;15.13409E</t>
  </si>
  <si>
    <t>55;57;05.36005N</t>
  </si>
  <si>
    <t>7;43;14.24591E</t>
  </si>
  <si>
    <t>55;57;05.35571N</t>
  </si>
  <si>
    <t>7;43;15.64404E</t>
  </si>
  <si>
    <t>0877_OI104287_SE_CPT_065_S23_20230629112219 - 0001.db</t>
  </si>
  <si>
    <t>230629112137.SBD</t>
  </si>
  <si>
    <t>OI104287_SEROV1_ET2200SSS_CPT_065_S23.001.jsf</t>
  </si>
  <si>
    <t>003887_20230629_11.17_OI104287SEROV1SPRINTNAV500.bin</t>
  </si>
  <si>
    <t>55;56;59.59041N</t>
  </si>
  <si>
    <t>7;43;14.42930E</t>
  </si>
  <si>
    <t>55;56;59.57933N</t>
  </si>
  <si>
    <t>7;43;15.83566E</t>
  </si>
  <si>
    <t>55;56;59.46194N</t>
  </si>
  <si>
    <t>7;43;14.93548E</t>
  </si>
  <si>
    <t>55;56;59.38697N</t>
  </si>
  <si>
    <t>7;43;16.35828E</t>
  </si>
  <si>
    <t>0878_OI104287_SE_CPT_065_S32_20230629113247 - 0001.db</t>
  </si>
  <si>
    <t>230629113239.SBD</t>
  </si>
  <si>
    <t>OI104287_SEROV1_ET2200SSS_CPT_065_S32.001.jsf</t>
  </si>
  <si>
    <t>003888_20230629_11.32_OI104287SEROV1SPRINTNAV500.bin</t>
  </si>
  <si>
    <t>55;57;05.18425N</t>
  </si>
  <si>
    <t>7;43;14.73539E</t>
  </si>
  <si>
    <t>55;57;05.14131N</t>
  </si>
  <si>
    <t>7;43;16.17392E</t>
  </si>
  <si>
    <t>55;57;05.17213N</t>
  </si>
  <si>
    <t>7;43;15.29825E</t>
  </si>
  <si>
    <t>55;57;05.35148N</t>
  </si>
  <si>
    <t>7;43;16.67240E</t>
  </si>
  <si>
    <t>0879_OI104287_SE_CPT_065_S41_20230629114248 - 0001.db</t>
  </si>
  <si>
    <t>230629114211.SBD</t>
  </si>
  <si>
    <t>OI104287_SEROV1_ET2200SSS_CPT_065_S41.001.jsf</t>
  </si>
  <si>
    <t>55;56;59.39218N</t>
  </si>
  <si>
    <t>7;43;15.48891E</t>
  </si>
  <si>
    <t>55;56;59.58507N</t>
  </si>
  <si>
    <t>7;43;16.86462E</t>
  </si>
  <si>
    <t>55;56;59.37492N</t>
  </si>
  <si>
    <t>7;43;15.97613E</t>
  </si>
  <si>
    <t>55;56;59.42424N</t>
  </si>
  <si>
    <t>7;43;17.39600E</t>
  </si>
  <si>
    <t>0880_OI104287_SE_CPT_065_S50_20230629115200 - 0001.db</t>
  </si>
  <si>
    <t>230629115133.SBD</t>
  </si>
  <si>
    <t>OI104287_SEROV1_ET2200SSS_CPT_065_S50.001.jsf</t>
  </si>
  <si>
    <t>003889_20230629_11.47_OI104287SEROV1SPRINTNAV500.bin</t>
  </si>
  <si>
    <t>55;57;05.30264N</t>
  </si>
  <si>
    <t>7;43;15.76725E</t>
  </si>
  <si>
    <t>55;57;05.12351N</t>
  </si>
  <si>
    <t>7;43;17.20982E</t>
  </si>
  <si>
    <t>55;57;05.71783N</t>
  </si>
  <si>
    <t>7;43;11.63006E</t>
  </si>
  <si>
    <t>55;57;05.45076N</t>
  </si>
  <si>
    <t>7;43;13.04569E</t>
  </si>
  <si>
    <t>0881_OI104287_SE_CPT_065_P23_20230629120953 - 0001.db</t>
  </si>
  <si>
    <t>230629120902.SBD</t>
  </si>
  <si>
    <t>OI104287_SEROV1_ET2200SSS_CPT_065_P23.002.jsf</t>
  </si>
  <si>
    <t>003890_20230629_12.02_OI104287SEROV1SPRINTNAV500.bin</t>
  </si>
  <si>
    <t>55;56;59.31838N</t>
  </si>
  <si>
    <t>7;43;11.85086E</t>
  </si>
  <si>
    <t>55;56;59.41609N</t>
  </si>
  <si>
    <t>7;43;13.24726E</t>
  </si>
  <si>
    <t>55;57;01.50669N</t>
  </si>
  <si>
    <t>7;43;15.34061E</t>
  </si>
  <si>
    <t>55;57;01.22296N</t>
  </si>
  <si>
    <t>7;43;15.73940E</t>
  </si>
  <si>
    <t>Transit to CPT_312, ROV in latch</t>
  </si>
  <si>
    <t>OI104287_SE_SVX2_SVP_20230629_1241_555766N_0074411E_073</t>
  </si>
  <si>
    <t>55;57;39.79396N</t>
  </si>
  <si>
    <t>7;44;06.85533E</t>
  </si>
  <si>
    <t>55;57;39.74855N</t>
  </si>
  <si>
    <t>7;44;07.46362E</t>
  </si>
  <si>
    <t>SVP_073</t>
  </si>
  <si>
    <t>55;57;40.49471N</t>
  </si>
  <si>
    <t>7;44;07.01651E</t>
  </si>
  <si>
    <t>55;57;40.08002N</t>
  </si>
  <si>
    <t>7;44;08.58612E</t>
  </si>
  <si>
    <t>0882_OI104287_SE_CPT_312_P50_20230629125251 - 0001.db</t>
  </si>
  <si>
    <t>230629125240.SBD</t>
  </si>
  <si>
    <t>OI104287_SEROV1_ET2200SSS_CPT_312_P50.001.jsf</t>
  </si>
  <si>
    <t>003893_20230629_12.47_OI104287SEROV1SPRINTNAV500.bin</t>
  </si>
  <si>
    <t>55;57;46.60347N</t>
  </si>
  <si>
    <t>7;44;06.87078E</t>
  </si>
  <si>
    <t>55;57;46.26979N</t>
  </si>
  <si>
    <t>7;44;08.37701E</t>
  </si>
  <si>
    <t>55;57;46.59835N</t>
  </si>
  <si>
    <t>7;44;07.41732E</t>
  </si>
  <si>
    <t>55;57;46.44224N</t>
  </si>
  <si>
    <t>7;44;08.88154E</t>
  </si>
  <si>
    <t>0883_OI104287_SE_CPT_312_P41_20230629130243 - 0001.db</t>
  </si>
  <si>
    <t>230629130234.SBD</t>
  </si>
  <si>
    <t>OI104287_SEROV1_ET2200SSS_CPT_312_P41.001.jsf</t>
  </si>
  <si>
    <t>003894_20230629_13.02_OI104287SEROV1SPRINTNAV500.bin</t>
  </si>
  <si>
    <t>55;57;40.32990N</t>
  </si>
  <si>
    <t>7;44;07.52937E</t>
  </si>
  <si>
    <t>55;57;40.30030N</t>
  </si>
  <si>
    <t>7;44;09.08431E</t>
  </si>
  <si>
    <t>55;57;39.99974N</t>
  </si>
  <si>
    <t>7;44;08.09675E</t>
  </si>
  <si>
    <t>55;57;40.04939N</t>
  </si>
  <si>
    <t>7;44;09.61267E</t>
  </si>
  <si>
    <t>0884_OI104287_SE_CPT_312_P32_20230629131311 - 0001.db</t>
  </si>
  <si>
    <t>230629131231.SBD</t>
  </si>
  <si>
    <t>OI104287_SEROV1_ET2200SSS_CPT_312_P32.001.jsf</t>
  </si>
  <si>
    <t>55;57;46.12598N</t>
  </si>
  <si>
    <t>7;44;07.93237E</t>
  </si>
  <si>
    <t>55;57;46.24218N</t>
  </si>
  <si>
    <t>7;44;09.40597E</t>
  </si>
  <si>
    <t>003895_20230629_13.17_OI104287SEROV1SPRINTNAV500.bin</t>
  </si>
  <si>
    <t>55;57;46.54666N</t>
  </si>
  <si>
    <t>7;44;08.51732E</t>
  </si>
  <si>
    <t>55;57;46.42066N</t>
  </si>
  <si>
    <t>7;44;09.92740E</t>
  </si>
  <si>
    <t>0885_OI104287_SE_CPT_312_P23_20230629132232 - 0001.db</t>
  </si>
  <si>
    <t>230629132228.SBD</t>
  </si>
  <si>
    <t>OI104287_SEROV1_ET2200SSS_CPT_312_P23.001.jsf</t>
  </si>
  <si>
    <t>55;57;40.18125N</t>
  </si>
  <si>
    <t>7;44;08.63785E</t>
  </si>
  <si>
    <t>55;57;40.24523N</t>
  </si>
  <si>
    <t>7;44;10.12232E</t>
  </si>
  <si>
    <t>55;57;40.46993N</t>
  </si>
  <si>
    <t>7;44;09.09785E</t>
  </si>
  <si>
    <t>55;57;40.04622N</t>
  </si>
  <si>
    <t>7;44;10.66155E</t>
  </si>
  <si>
    <t>0886_OI104287_SE_CPT_312_P14_20230629133431 - 0001.db</t>
  </si>
  <si>
    <t>230629133343.SBD</t>
  </si>
  <si>
    <t>OI104287_SEROV1_ET2200SSS_CPT_312_P14.001.jsf</t>
  </si>
  <si>
    <t>003896_20230629_13.32_OI104287SEROV1SPRINTNAV500.bin</t>
  </si>
  <si>
    <t>55;57;46.58975N</t>
  </si>
  <si>
    <t>7;44;08.96005E</t>
  </si>
  <si>
    <t>55;57;46.16085N</t>
  </si>
  <si>
    <t>7;44;10.47688E</t>
  </si>
  <si>
    <t>55;57;46.40335N</t>
  </si>
  <si>
    <t>7;44;09.48800E</t>
  </si>
  <si>
    <t>55;57;46.31882N</t>
  </si>
  <si>
    <t>7;44;10.97145E</t>
  </si>
  <si>
    <t>0887_OI104287_SE_CPT_312_P05_20230629134713 - 0001.db</t>
  </si>
  <si>
    <t>230629134655.SBD</t>
  </si>
  <si>
    <t>OI104287_SEROV1_ET2200SSS_CPT_312_P05.001.jsf</t>
  </si>
  <si>
    <t>55;57;40.33849N</t>
  </si>
  <si>
    <t>7;44;09.64314E</t>
  </si>
  <si>
    <t>55;57;40.26605N</t>
  </si>
  <si>
    <t>7;44;11.16366E</t>
  </si>
  <si>
    <t>003897_20230629_13.47_OI104287SEROV1SPRINTNAV500.bin</t>
  </si>
  <si>
    <t>55;57;40.43415N</t>
  </si>
  <si>
    <t>7;44;10.24749E</t>
  </si>
  <si>
    <t>55;57;40.09677N</t>
  </si>
  <si>
    <t>7;44;11.67844E</t>
  </si>
  <si>
    <t>0888_OI104287_SE_CPT_312_S05_20230629135825 - 0001.db</t>
  </si>
  <si>
    <t>230629135737.SBD</t>
  </si>
  <si>
    <t>OI104287_SEROV1_ET2200SSS_CPT_312_S05.001.jsf</t>
  </si>
  <si>
    <t>55;57;46.48639N</t>
  </si>
  <si>
    <t>7;44;09.97913E</t>
  </si>
  <si>
    <t>55;57;46.17489N</t>
  </si>
  <si>
    <t>7;44;11.48955E</t>
  </si>
  <si>
    <t>003898_20230629_14.02_OI104287SEROV1SPRINTNAV500.bin</t>
  </si>
  <si>
    <t>55;57;46.71309N</t>
  </si>
  <si>
    <t>7;44;10.60128E</t>
  </si>
  <si>
    <t>55;57;46.38053N</t>
  </si>
  <si>
    <t>7;44;12.00795E</t>
  </si>
  <si>
    <t>0889_OI104287_SE_CPT_312_S14_20230629140815 - 0001.db</t>
  </si>
  <si>
    <t>230629140739.SBD</t>
  </si>
  <si>
    <t>OI104287_SEROV1_ET2200SSS_CPT_312_S14.001.jsf</t>
  </si>
  <si>
    <t>55;57;40.68445N</t>
  </si>
  <si>
    <t>7;44;10.74828E</t>
  </si>
  <si>
    <t>55;57;40.31523N</t>
  </si>
  <si>
    <t>7;44;12.20137E</t>
  </si>
  <si>
    <t>55;57;40.39943N</t>
  </si>
  <si>
    <t>7;44;11.27444E</t>
  </si>
  <si>
    <t>55;57;40.13403N</t>
  </si>
  <si>
    <t>7;44;12.73185E</t>
  </si>
  <si>
    <t>0890_OI104287_SE_CPT_312_S23_20230629141841 - 0001.db</t>
  </si>
  <si>
    <t>230629141812.SBD</t>
  </si>
  <si>
    <t>OI104287_SEROV1_ET2200SSS_CPT_312_S23.001.jsf</t>
  </si>
  <si>
    <t>003899_20230629_14.17_OI104287SEROV1SPRINTNAV500.bin</t>
  </si>
  <si>
    <t>55;57;46.27270N</t>
  </si>
  <si>
    <t>7;44;11.09251E</t>
  </si>
  <si>
    <t>55;57;46.10956N</t>
  </si>
  <si>
    <t>7;44;12.53269E</t>
  </si>
  <si>
    <t>55;57;46.57754N</t>
  </si>
  <si>
    <t>7;44;11.65881E</t>
  </si>
  <si>
    <t>55;57;46.35277N</t>
  </si>
  <si>
    <t>7;44;13.04566E</t>
  </si>
  <si>
    <t>0891_OI104287_SE_CPT_312_S32_20230629142905 - 0001.db</t>
  </si>
  <si>
    <t>230629142838.SBD</t>
  </si>
  <si>
    <t>OI104287_SEROV1_ET2200SSS_CPT_312_S32.001.jsf</t>
  </si>
  <si>
    <t>55;57;40.61683N</t>
  </si>
  <si>
    <t>7;44;11.78208E</t>
  </si>
  <si>
    <t>55;57;40.33636N</t>
  </si>
  <si>
    <t>7;44;13.23486E</t>
  </si>
  <si>
    <t>003900_20230629_14.32_OI104287SEROV1SPRINTNAV500.bin</t>
  </si>
  <si>
    <t>55;57;40.45692N</t>
  </si>
  <si>
    <t>7;44;12.29950E</t>
  </si>
  <si>
    <t>55;57;40.14218N</t>
  </si>
  <si>
    <t>7;44;13.75779E</t>
  </si>
  <si>
    <t>0892_OI104287_SE_CPT_312_S41_20230629144002 - 0001.db</t>
  </si>
  <si>
    <t>230629143935.SBD</t>
  </si>
  <si>
    <t>OI104287_SEROV1_ET2200SSS_CPT_312_S41.001.jsf</t>
  </si>
  <si>
    <t>55;57;46.34138N</t>
  </si>
  <si>
    <t>7;44;12.13328E</t>
  </si>
  <si>
    <t>55;57;46.12238N</t>
  </si>
  <si>
    <t>7;44;13.56377E</t>
  </si>
  <si>
    <t>55;57;46.39606N</t>
  </si>
  <si>
    <t>7;44;12.71194E</t>
  </si>
  <si>
    <t>55;57;46.34372N</t>
  </si>
  <si>
    <t>7;44;14.07946E</t>
  </si>
  <si>
    <t>0893_OI104287_SE_CPT_312_S50_20230629145055 - 0001.db</t>
  </si>
  <si>
    <t>230629145028.SBD</t>
  </si>
  <si>
    <t>OI104287_SEROV1_ET2200SSS_CPT_312_S50.001.jsf</t>
  </si>
  <si>
    <t>003901_20230629_14.47_OI104287SEROV1SPRINTNAV500.bin</t>
  </si>
  <si>
    <t>55;57;40.32722N</t>
  </si>
  <si>
    <t>7;44;12.84824E</t>
  </si>
  <si>
    <t>55;57;40.30980N</t>
  </si>
  <si>
    <t>7;44;14.27559E</t>
  </si>
  <si>
    <t>55;57;38.92084N</t>
  </si>
  <si>
    <t>7;44;12.88202E</t>
  </si>
  <si>
    <t>55;57;38.74162N</t>
  </si>
  <si>
    <t>7;44;13.50855E</t>
  </si>
  <si>
    <t>ROV in latch. Transit to CPT_063</t>
  </si>
  <si>
    <t>OI104287_SE_SVX2_SVP_20230629_1531_555846N_0074600E_074</t>
  </si>
  <si>
    <t>55;58;28.02936N</t>
  </si>
  <si>
    <t>7;46;00.18699E</t>
  </si>
  <si>
    <t>55;58;27.80049N</t>
  </si>
  <si>
    <t>7;46;01.57978E</t>
  </si>
  <si>
    <t>SVP_074</t>
  </si>
  <si>
    <t>55;58;28.71188N</t>
  </si>
  <si>
    <t>7;46;00.20933E</t>
  </si>
  <si>
    <t>55;58;28.27891N</t>
  </si>
  <si>
    <t>7;46;01.63077E</t>
  </si>
  <si>
    <t>0894_OI104287_SE_CPT_063_P50_20230629154404 - 0001.db</t>
  </si>
  <si>
    <t>230629154313.SBD</t>
  </si>
  <si>
    <t>OI104287_SEROV1_ET2200SSS_CPT_063_P50.001.jsf</t>
  </si>
  <si>
    <t>003904_20230629_15.32_OI104287SEROV1SPRINTNAV500.bin</t>
  </si>
  <si>
    <t>55;58;34.91181N</t>
  </si>
  <si>
    <t>7;46;00.01169E</t>
  </si>
  <si>
    <t>55;58;34.46944N</t>
  </si>
  <si>
    <t>7;46;01.43765E</t>
  </si>
  <si>
    <t>003905_20230629_15.47_OI104287SEROV1SPRINTNAV500.bin</t>
  </si>
  <si>
    <t>55;58;35.09312N</t>
  </si>
  <si>
    <t>7;46;00.66261E</t>
  </si>
  <si>
    <t>55;58;34.40109N</t>
  </si>
  <si>
    <t>7;46;01.95817E</t>
  </si>
  <si>
    <t>0895_OI104287_SE_CPT_063_P41_20230629155558 - 0001.db</t>
  </si>
  <si>
    <t>230629155522.SBD</t>
  </si>
  <si>
    <t>OI104287_SEROV1_ET2200SSS_CPT_063_P41.001.jsf</t>
  </si>
  <si>
    <t>55;58;28.67087N</t>
  </si>
  <si>
    <t>7;46;00.82295E</t>
  </si>
  <si>
    <t>55;58;28.15640N</t>
  </si>
  <si>
    <t>7;46;02.16064E</t>
  </si>
  <si>
    <t>55;58;28.31070N</t>
  </si>
  <si>
    <t>7;46;01.30683E</t>
  </si>
  <si>
    <t>55;58;28.18718N</t>
  </si>
  <si>
    <t>7;46;02.61357E</t>
  </si>
  <si>
    <t>0896_OI104287_SE_CPT_063_P32_20230629160648 - 0001.db</t>
  </si>
  <si>
    <t>230629160622.SBD</t>
  </si>
  <si>
    <t>OI104287_SEROV1_ET2200SSS_CPT_063_P32.001.jsf</t>
  </si>
  <si>
    <t>003906_20230629_16.02_OI104287SEROV1SPRINTNAV500.bin</t>
  </si>
  <si>
    <t>55;58;29.99450N</t>
  </si>
  <si>
    <t>7;46;01.24176E</t>
  </si>
  <si>
    <t>55;58;29.87999N</t>
  </si>
  <si>
    <t>7;46;02.53119E</t>
  </si>
  <si>
    <t>55;58;30.19803N</t>
  </si>
  <si>
    <t>7;46;01.24001E</t>
  </si>
  <si>
    <t>55;58;30.01019N</t>
  </si>
  <si>
    <t>7;46;02.50977E</t>
  </si>
  <si>
    <t>55;58;28.05567N</t>
  </si>
  <si>
    <t>7;46;01.28563E</t>
  </si>
  <si>
    <t>55;58;28.18371N</t>
  </si>
  <si>
    <t>7;46;02.67814E</t>
  </si>
  <si>
    <t>0897_OI104287_SE_CPT_063_P32_20230629162627 - 0001.db</t>
  </si>
  <si>
    <t>230629162608.SBD</t>
  </si>
  <si>
    <t>OI104287_SEROV1_ET2200SSS_CPT_063_P32.002.jsf</t>
  </si>
  <si>
    <t>003907_20230629_16.17_OI104287SEROV1SPRINTNAV500.bin</t>
  </si>
  <si>
    <t>55;58;34.16304N</t>
  </si>
  <si>
    <t>7;46;01.13540E</t>
  </si>
  <si>
    <t>55;58;34.20571N</t>
  </si>
  <si>
    <t>7;46;02.48895E</t>
  </si>
  <si>
    <t>003908_20230629_16.32_OI104287SEROV1SPRINTNAV500.bin</t>
  </si>
  <si>
    <t>POSmv Pos dropout</t>
  </si>
  <si>
    <t>55;58;34.91002N</t>
  </si>
  <si>
    <t>7;46;01.63086E</t>
  </si>
  <si>
    <t>55;58;34.45359N</t>
  </si>
  <si>
    <t>7;46;02.99407E</t>
  </si>
  <si>
    <t>0898_OI104287_SE_CPT_063_P23_20230629164453 - 0001.db</t>
  </si>
  <si>
    <t>230629164423.SBD</t>
  </si>
  <si>
    <t>OI104287_SEROV1_ET2200SSS_CPT_063_P23.001.jsf</t>
  </si>
  <si>
    <t>55;58;32.75837N</t>
  </si>
  <si>
    <t>7;46;01.71636E</t>
  </si>
  <si>
    <t>55;58;32.17464N</t>
  </si>
  <si>
    <t>7;46;03.07585E</t>
  </si>
  <si>
    <t>55;58;30.17202N</t>
  </si>
  <si>
    <t>7;46;01.77021E</t>
  </si>
  <si>
    <t>55;58;29.61687N</t>
  </si>
  <si>
    <t>7;46;03.15581E</t>
  </si>
  <si>
    <t>55;58;28.89104N</t>
  </si>
  <si>
    <t>7;46;01.82675E</t>
  </si>
  <si>
    <t>55;58;28.37547N</t>
  </si>
  <si>
    <t>7;46;03.19353E</t>
  </si>
  <si>
    <t>003909_20230629_16.47_OI104287SEROV1SPRINTNAV500.bin</t>
  </si>
  <si>
    <t>55;58;27.93425N</t>
  </si>
  <si>
    <t>7;46;02.32910E</t>
  </si>
  <si>
    <t>55;58;28.17436N</t>
  </si>
  <si>
    <t>7;46;03.71284E</t>
  </si>
  <si>
    <t>0899_OI104287_SE_CPT_063_P14_20230629165609 - 0001.db</t>
  </si>
  <si>
    <t>230629165530.SBD</t>
  </si>
  <si>
    <t>OI104287_SEROV1_ET2200SSS_CPT_063_P14.001.jsf</t>
  </si>
  <si>
    <t>55;58;34.42070N</t>
  </si>
  <si>
    <t>7;46;02.12415E</t>
  </si>
  <si>
    <t>55;58;34.18307N</t>
  </si>
  <si>
    <t>7;46;03.52153E</t>
  </si>
  <si>
    <t>55;58;35.65723N</t>
  </si>
  <si>
    <t>7;46;02.12187E</t>
  </si>
  <si>
    <t>55;58;35.02028N</t>
  </si>
  <si>
    <t>7;46;03.22400E</t>
  </si>
  <si>
    <t>ROV returning to TMS. Due to restart of PosMV needed.</t>
  </si>
  <si>
    <t>55;58;35.67031N</t>
  </si>
  <si>
    <t>7;46;02.11916E</t>
  </si>
  <si>
    <t>55;58;35.43578N</t>
  </si>
  <si>
    <t>7;46;02.68538E</t>
  </si>
  <si>
    <t>PosMV restarted</t>
  </si>
  <si>
    <t>55;58;35.66783N</t>
  </si>
  <si>
    <t>7;46;02.01861E</t>
  </si>
  <si>
    <t>55;58;35.43020N</t>
  </si>
  <si>
    <t>7;46;02.58852E</t>
  </si>
  <si>
    <t>Vessel move 18 m to W, 3 last lines rerun needed</t>
  </si>
  <si>
    <t>CPT_063_P32_RR0001</t>
  </si>
  <si>
    <t>55;58;35.28217N</t>
  </si>
  <si>
    <t>7;46;01.10069E</t>
  </si>
  <si>
    <t>55;58;34.51183N</t>
  </si>
  <si>
    <t>7;46;02.46209E</t>
  </si>
  <si>
    <t>0900_OI104287_SE_CPT_063_P32_RR0001_20230629173014 - 0001.db</t>
  </si>
  <si>
    <t>230629172936.SBD</t>
  </si>
  <si>
    <t>OI104287_SEROV1_ET2200SSS_CPT_063_P32_RR0001.001.jsf</t>
  </si>
  <si>
    <t>003911_20230629_17.17_OI104287SEROV1SPRINTNAV500.bin</t>
  </si>
  <si>
    <t>55;58;28.85516N</t>
  </si>
  <si>
    <t>7;46;01.32148E</t>
  </si>
  <si>
    <t>55;58;28.34560N</t>
  </si>
  <si>
    <t>7;46;02.67512E</t>
  </si>
  <si>
    <t>003912_20230629_17.32_OI104287SEROV1SPRINTNAV500.bin</t>
  </si>
  <si>
    <t>CPT_063_P23_RR0001</t>
  </si>
  <si>
    <t>55;58;28.11065N</t>
  </si>
  <si>
    <t>7;46;01.76741E</t>
  </si>
  <si>
    <t>55;58;28.16515N</t>
  </si>
  <si>
    <t>0901_OI104287_SE_CPT_063_P23_RR0001_20230629173940 - 0001.db</t>
  </si>
  <si>
    <t>230629173906.SBD</t>
  </si>
  <si>
    <t>OI104287_SEROV1_ET2200SSS_CPT_063_P23_RR0001.001.jsf</t>
  </si>
  <si>
    <t>55;58;34.20443N</t>
  </si>
  <si>
    <t>7;46;01.62098E</t>
  </si>
  <si>
    <t>55;58;34.22955N</t>
  </si>
  <si>
    <t>7;46;02.99800E</t>
  </si>
  <si>
    <t>CPT_063_P14_RR0001</t>
  </si>
  <si>
    <t>55;58;34.90093N</t>
  </si>
  <si>
    <t>7;46;02.17439E</t>
  </si>
  <si>
    <t>55;58;34.43368N</t>
  </si>
  <si>
    <t>7;46;03.52123E</t>
  </si>
  <si>
    <t>0902_OI104287_SE_CPT_063_P14_RR0001_20230629174907 - 0001.db</t>
  </si>
  <si>
    <t>230629174833.SBD</t>
  </si>
  <si>
    <t>OI104287_SEROV1_ET2200SSS_CPT_063_P14_RR0001.001.jsf</t>
  </si>
  <si>
    <t>003913_20230629_17.47_OI104287SEROV1SPRINTNAV500.bin</t>
  </si>
  <si>
    <t>55;58;29.02805N</t>
  </si>
  <si>
    <t>7;46;02.34285E</t>
  </si>
  <si>
    <t>55;58;28.39569N</t>
  </si>
  <si>
    <t>7;46;03.69684E</t>
  </si>
  <si>
    <t>55;58;27.97000N</t>
  </si>
  <si>
    <t>7;46;02.79773E</t>
  </si>
  <si>
    <t>55;58;28.15354N</t>
  </si>
  <si>
    <t>7;46;04.22913E</t>
  </si>
  <si>
    <t>0903_OI104287_SE_CPT_063_P05_20230629175803 - 0001.db</t>
  </si>
  <si>
    <t>230629175740.SBD</t>
  </si>
  <si>
    <t>OI104287_SEROV1_ET2200SSS_CPT_063_P05.001.jsf</t>
  </si>
  <si>
    <t>55;58;34.25138N</t>
  </si>
  <si>
    <t>7;46;02.58316E</t>
  </si>
  <si>
    <t>55;58;34.24146N</t>
  </si>
  <si>
    <t>7;46;04.05110E</t>
  </si>
  <si>
    <t>003914_20230629_18.02_OI104287SEROV1SPRINTNAV500.bin</t>
  </si>
  <si>
    <t>55;58;34.77934N</t>
  </si>
  <si>
    <t>7;46;03.18498E</t>
  </si>
  <si>
    <t>55;58;34.46687N</t>
  </si>
  <si>
    <t>7;46;04.55200E</t>
  </si>
  <si>
    <t>0904_OI104287_SE_CPT_063_S05_20230629180759 - 0001.db</t>
  </si>
  <si>
    <t>230629180722.SBD</t>
  </si>
  <si>
    <t>OI104287_SEROV1_ET2200SSS_CPT_063_S05.001.jsf</t>
  </si>
  <si>
    <t>55;58;28.67375N</t>
  </si>
  <si>
    <t>7;46;03.38231E</t>
  </si>
  <si>
    <t>55;58;28.35858N</t>
  </si>
  <si>
    <t>7;46;04.74784E</t>
  </si>
  <si>
    <t>55;58;28.18681N</t>
  </si>
  <si>
    <t>7;46;03.80207E</t>
  </si>
  <si>
    <t>55;58;28.11657N</t>
  </si>
  <si>
    <t>7;46;05.26262E</t>
  </si>
  <si>
    <t>0905_OI104287_SE_CPT_063_S14_20230629181812 - 0001.db</t>
  </si>
  <si>
    <t>230629181738.SBD</t>
  </si>
  <si>
    <t>OI104287_SEROV1_ET2200SSS_CPT_063_S14.001.jsf</t>
  </si>
  <si>
    <t>003915_20230629_18.17_OI104287SEROV1SPRINTNAV500.bin</t>
  </si>
  <si>
    <t>55;58;34.53450N</t>
  </si>
  <si>
    <t>7;46;03.62297E</t>
  </si>
  <si>
    <t>55;58;34.30091N</t>
  </si>
  <si>
    <t>7;46;05.07523E</t>
  </si>
  <si>
    <t>55;58;34.68554N</t>
  </si>
  <si>
    <t>7;46;04.19833E</t>
  </si>
  <si>
    <t>55;58;34.48950N</t>
  </si>
  <si>
    <t>7;46;05.59243E</t>
  </si>
  <si>
    <t>0906_OI104287_SE_CPT_063_S23_20230629182831 - 0001.db</t>
  </si>
  <si>
    <t>230629182804.SBD</t>
  </si>
  <si>
    <t>OI104287_SEROV1_ET2200SSS_CPT_063_S23.001.jsf</t>
  </si>
  <si>
    <t>55;58;28.56184N</t>
  </si>
  <si>
    <t>7;46;04.40358E</t>
  </si>
  <si>
    <t>55;58;28.41726N</t>
  </si>
  <si>
    <t>7;46;05.78706E</t>
  </si>
  <si>
    <t>003916_20230629_18.32_OI104287SEROV1SPRINTNAV500.bin</t>
  </si>
  <si>
    <t>55;58;28.40233N</t>
  </si>
  <si>
    <t>7;46;04.89812E</t>
  </si>
  <si>
    <t>55;58;28.18990N</t>
  </si>
  <si>
    <t>7;46;06.31150E</t>
  </si>
  <si>
    <t>0907_OI104287_SE_CPT_063_S32_20230629183828 - 0001.db</t>
  </si>
  <si>
    <t>230629183807.SBD</t>
  </si>
  <si>
    <t>OI104287_SEROV1_ET2200SSS_CPT_063_S32.001.jsf</t>
  </si>
  <si>
    <t>55;58;34.61428N</t>
  </si>
  <si>
    <t>7;46;04.65568E</t>
  </si>
  <si>
    <t>55;58;34.38449N</t>
  </si>
  <si>
    <t>7;46;06.12260E</t>
  </si>
  <si>
    <t>55;58;34.68258N</t>
  </si>
  <si>
    <t>7;46;05.23323E</t>
  </si>
  <si>
    <t>55;58;34.54955N</t>
  </si>
  <si>
    <t>7;46;06.64251E</t>
  </si>
  <si>
    <t>0908_OI104287_SE_CPT_063_S41_20230629184841 - 0001.db</t>
  </si>
  <si>
    <t>230629184809.SBD</t>
  </si>
  <si>
    <t>OI104287_SEROV1_ET2200SSS_CPT_063_S41.001.jsf</t>
  </si>
  <si>
    <t>003917_20230629_18.47_OI104287SEROV1SPRINTNAV500.bin</t>
  </si>
  <si>
    <t>55;58;28.56648N</t>
  </si>
  <si>
    <t>7;46;05.42654E</t>
  </si>
  <si>
    <t>55;58;28.41787N</t>
  </si>
  <si>
    <t>7;46;06.82658E</t>
  </si>
  <si>
    <t>55;58;28.57887N</t>
  </si>
  <si>
    <t>7;46;05.91283E</t>
  </si>
  <si>
    <t>55;58;28.19955N</t>
  </si>
  <si>
    <t>7;46;07.35917E</t>
  </si>
  <si>
    <t>0909_OI104287_SE_CPT_063_S50_20230629185849 - 0001.db</t>
  </si>
  <si>
    <t>230629185801.SBD</t>
  </si>
  <si>
    <t>OI104287_SEROV1_ET2200SSS_CPT_063_S50.001.jsf</t>
  </si>
  <si>
    <t>55;58;34.65245N</t>
  </si>
  <si>
    <t>7;46;05.62993E</t>
  </si>
  <si>
    <t>55;58;34.32098N</t>
  </si>
  <si>
    <t>7;46;07.17057E</t>
  </si>
  <si>
    <t>003918_20230629_19.02_OI104287SEROV1SPRINTNAV500.bin</t>
  </si>
  <si>
    <t>55;58;42.74024N</t>
  </si>
  <si>
    <t>7;46;04.98179E</t>
  </si>
  <si>
    <t>55;58;42.60986N</t>
  </si>
  <si>
    <t>7;46;04.38181E</t>
  </si>
  <si>
    <t>Transit to BH_078, ROV latched</t>
  </si>
  <si>
    <t>OI104287_SE_SVX2_SVP_20230629_1931_555893N_0074594E_075</t>
  </si>
  <si>
    <t>55;58;56.31176N</t>
  </si>
  <si>
    <t>7;45;56.88789E</t>
  </si>
  <si>
    <t>55;58;56.28359N</t>
  </si>
  <si>
    <t>7;45;55.48235E</t>
  </si>
  <si>
    <t>SVP_075</t>
  </si>
  <si>
    <t>55;58;58.92935N</t>
  </si>
  <si>
    <t>7;45;56.77854E</t>
  </si>
  <si>
    <t>55;58;58.99193N</t>
  </si>
  <si>
    <t>7;45;55.44704E</t>
  </si>
  <si>
    <t>0910_OI104287_SE_BH_078_S72_20230629194146 - 0001.db</t>
  </si>
  <si>
    <t>230629194132.SBD</t>
  </si>
  <si>
    <t>OI104287_SEROV1_ET2200SSS_BH_078_S72.001.jsf</t>
  </si>
  <si>
    <t>003920_20230629_19.32_OI104287SEROV1SPRINTNAV500.bin</t>
  </si>
  <si>
    <t>55;59;06.54711N</t>
  </si>
  <si>
    <t>7;45;56.62950E</t>
  </si>
  <si>
    <t>55;59;06.61335N</t>
  </si>
  <si>
    <t>7;45;55.19780E</t>
  </si>
  <si>
    <t>003921_20230629_19.47_OI104287SEROV1SPRINTNAV500.bin</t>
  </si>
  <si>
    <t>55;59;07.23053N</t>
  </si>
  <si>
    <t>7;45;56.11408E</t>
  </si>
  <si>
    <t>55;59;06.94331N</t>
  </si>
  <si>
    <t>7;45;54.67185E</t>
  </si>
  <si>
    <t>0911_OI104287_SE_BH_078_S63_20230629195252 - 0001.db</t>
  </si>
  <si>
    <t>230629195246.SBD</t>
  </si>
  <si>
    <t>OI104287_SEROV1_ET2200SSS_BH_078_S63.001.jsf</t>
  </si>
  <si>
    <t>55;58;59.41198N</t>
  </si>
  <si>
    <t>7;45;56.27097E</t>
  </si>
  <si>
    <t>55;58;59.20889N</t>
  </si>
  <si>
    <t>7;45;54.91536E</t>
  </si>
  <si>
    <t>55;58;58.86776N</t>
  </si>
  <si>
    <t>7;45;55.85398E</t>
  </si>
  <si>
    <t>55;58;59.03433N</t>
  </si>
  <si>
    <t>7;45;54.40510E</t>
  </si>
  <si>
    <t>0912_OI104287_SE_BH_078_S54_20230629200505 - 0001.db</t>
  </si>
  <si>
    <t>230629200411.SBD</t>
  </si>
  <si>
    <t>OI104287_SEROV1_ET2200SSS_BH_078_S54.001.jsf</t>
  </si>
  <si>
    <t>003922_20230629_20.02_OI104287SEROV1SPRINTNAV500.bin</t>
  </si>
  <si>
    <t>55;59;06.41685N</t>
  </si>
  <si>
    <t>7;45;55.58372E</t>
  </si>
  <si>
    <t>55;59;06.62014N</t>
  </si>
  <si>
    <t>7;45;54.16552E</t>
  </si>
  <si>
    <t>55;59;07.06651N</t>
  </si>
  <si>
    <t>7;45;55.07356E</t>
  </si>
  <si>
    <t>55;59;06.86636N</t>
  </si>
  <si>
    <t>7;45;53.64651E</t>
  </si>
  <si>
    <t>0913_OI104287_SE_BH_078_S45_20230629201538 - 0001.db</t>
  </si>
  <si>
    <t>230629201505.SBD</t>
  </si>
  <si>
    <t>OI104287_SEROV1_ET2200SSS_BH_078_S45.001.jsf</t>
  </si>
  <si>
    <t>55;58;59.40525N</t>
  </si>
  <si>
    <t>7;45;55.20335E</t>
  </si>
  <si>
    <t>55;58;59.20180N</t>
  </si>
  <si>
    <t>7;45;53.88489E</t>
  </si>
  <si>
    <t>003923_20230629_20.17_OI104287SEROV1SPRINTNAV500.bin</t>
  </si>
  <si>
    <t>55;58;58.80503N</t>
  </si>
  <si>
    <t>7;45;54.87745E</t>
  </si>
  <si>
    <t>55;58;58.96523N</t>
  </si>
  <si>
    <t>7;45;53.35472E</t>
  </si>
  <si>
    <t>0914_OI104287_SE_BH_078_S36_20230629203145 - 0001.db</t>
  </si>
  <si>
    <t>230629203117.SBD</t>
  </si>
  <si>
    <t>OI104287_SEROV1_ET2200SSS_BH_078_S36.001.jsf</t>
  </si>
  <si>
    <t>55;59;06.58987N</t>
  </si>
  <si>
    <t>7;45;54.68699E</t>
  </si>
  <si>
    <t>55;59;06.65831N</t>
  </si>
  <si>
    <t>7;45;53.11271E</t>
  </si>
  <si>
    <t>003924_20230629_20.32_OI104287SEROV1SPRINTNAV500.bin</t>
  </si>
  <si>
    <t>55;59;07.22839N</t>
  </si>
  <si>
    <t>7;45;54.00801E</t>
  </si>
  <si>
    <t>55;59;06.87466N</t>
  </si>
  <si>
    <t>7;45;52.59883E</t>
  </si>
  <si>
    <t>0915_OI104287_SE_BH_078_S27_20230629204454 - 0001.db</t>
  </si>
  <si>
    <t>230629204413.SBD</t>
  </si>
  <si>
    <t>OI104287_SEROV1_ET2200SSS_BH_078_S27.001.jsf</t>
  </si>
  <si>
    <t>55;58;59.18917N</t>
  </si>
  <si>
    <t>7;45;54.26002E</t>
  </si>
  <si>
    <t>55;58;59.18475N</t>
  </si>
  <si>
    <t>7;45;52.85321E</t>
  </si>
  <si>
    <t>003925_20230629_20.47_OI104287SEROV1SPRINTNAV500.bin</t>
  </si>
  <si>
    <t>55;58;58.78435N</t>
  </si>
  <si>
    <t>7;45;53.94413E</t>
  </si>
  <si>
    <t>55;58;59.00159N</t>
  </si>
  <si>
    <t>7;45;52.32304E</t>
  </si>
  <si>
    <t>0916_OI104287_SE_BH_078_S18_20230629205725 - 0001.db</t>
  </si>
  <si>
    <t>230629205654.SBD</t>
  </si>
  <si>
    <t>OI104287_SEROV1_ET2200SSS_BH_078_S18.001.jsf</t>
  </si>
  <si>
    <t>55;59;06.42749N</t>
  </si>
  <si>
    <t>7;45;53.70241E</t>
  </si>
  <si>
    <t>55;59;06.64941N</t>
  </si>
  <si>
    <t>7;45;52.07862E</t>
  </si>
  <si>
    <t>003926_20230629_21.02_OI104287SEROV1SPRINTNAV500.bin</t>
  </si>
  <si>
    <t>55;59;07.06595N</t>
  </si>
  <si>
    <t>7;45;53.05317E</t>
  </si>
  <si>
    <t>55;59;07.00019N</t>
  </si>
  <si>
    <t>7;45;51.56052E</t>
  </si>
  <si>
    <t>0917_OI104287_SE_BH_078_S09_20230629211034 - 0001.db</t>
  </si>
  <si>
    <t>230629211007.SBD</t>
  </si>
  <si>
    <t>OI104287_SEROV1_ET2200SSS_BH_078_S09.001.jsf</t>
  </si>
  <si>
    <t>55;58;59.29758N</t>
  </si>
  <si>
    <t>7;45;53.14639E</t>
  </si>
  <si>
    <t>55;58;59.19909N</t>
  </si>
  <si>
    <t>7;45;51.80252E</t>
  </si>
  <si>
    <t>003927_20230629_21.17_OI104287SEROV1SPRINTNAV500.bin</t>
  </si>
  <si>
    <t>55;58;59.18669N</t>
  </si>
  <si>
    <t>7;45;52.85843E</t>
  </si>
  <si>
    <t>55;58;58.99887N</t>
  </si>
  <si>
    <t>7;45;51.29045E</t>
  </si>
  <si>
    <t>0918_OI104287_SE_BH_078_C00_20230629212411 - 0001.db</t>
  </si>
  <si>
    <t>230629212305.SBD</t>
  </si>
  <si>
    <t>OI104287_SEROV1_ET2200SSS_BH_078_C00.001.jsf</t>
  </si>
  <si>
    <t>55;59;06.88165N</t>
  </si>
  <si>
    <t>7;45;52.64197E</t>
  </si>
  <si>
    <t>55;59;06.68380N</t>
  </si>
  <si>
    <t>7;45;51.05992E</t>
  </si>
  <si>
    <t>55;59;07.08381N</t>
  </si>
  <si>
    <t>7;45;52.13343E</t>
  </si>
  <si>
    <t>55;59;06.91298N</t>
  </si>
  <si>
    <t>7;45;50.51949E</t>
  </si>
  <si>
    <t>0919_OI104287_SE_BH_078_P09_20230629213759 - 0001.db</t>
  </si>
  <si>
    <t>230629213708.SBD</t>
  </si>
  <si>
    <t>OI104287_SEROV1_ET2200SSS_BH_078_P09.001.jsf</t>
  </si>
  <si>
    <t>003928_20230629_21.32_OI104287SEROV1SPRINTNAV500.bin</t>
  </si>
  <si>
    <t>55;58;59.38658N</t>
  </si>
  <si>
    <t>7;45;52.24628E</t>
  </si>
  <si>
    <t>55;58;59.21266N</t>
  </si>
  <si>
    <t>7;45;50.76722E</t>
  </si>
  <si>
    <t>55;58;59.02205N</t>
  </si>
  <si>
    <t>7;45;51.73914E</t>
  </si>
  <si>
    <t>55;58;58.96613N</t>
  </si>
  <si>
    <t>7;45;50.25244E</t>
  </si>
  <si>
    <t>0920_OI104287_SE_BH_078_P18_20230629215038 - 0001.db</t>
  </si>
  <si>
    <t>230629215008.SBD</t>
  </si>
  <si>
    <t>OI104287_SEROV1_ET2200SSS_BH_078_P18.001.jsf</t>
  </si>
  <si>
    <t>003929_20230629_21.47_OI104287SEROV1SPRINTNAV500.bin</t>
  </si>
  <si>
    <t>55;59;06.61287N</t>
  </si>
  <si>
    <t>7;45;51.53526E</t>
  </si>
  <si>
    <t>55;59;06.62164N</t>
  </si>
  <si>
    <t>7;45;50.00350E</t>
  </si>
  <si>
    <t>55;59;07.07733N</t>
  </si>
  <si>
    <t>7;45;50.99632E</t>
  </si>
  <si>
    <t>55;59;06.83679N</t>
  </si>
  <si>
    <t>7;45;49.48268E</t>
  </si>
  <si>
    <t>0921_OI104287_SE_BH_078_P27_20230629220250 - 0001.db</t>
  </si>
  <si>
    <t>230629220233.SBD</t>
  </si>
  <si>
    <t>OI104287_SEROV1_ET2200SSS_BH_078_P27.001.jsf</t>
  </si>
  <si>
    <t>003930_20230629_22.02_OI104287SEROV1SPRINTNAV500.bin</t>
  </si>
  <si>
    <t>55;58;59.42876N</t>
  </si>
  <si>
    <t>7;45;51.19151E</t>
  </si>
  <si>
    <t>55;58;59.17012N</t>
  </si>
  <si>
    <t>7;45;49.72408E</t>
  </si>
  <si>
    <t>55;58;59.00771N</t>
  </si>
  <si>
    <t>7;45;50.85889E</t>
  </si>
  <si>
    <t>55;58;59.01608N</t>
  </si>
  <si>
    <t>7;45;49.20718E</t>
  </si>
  <si>
    <t>0922_OI104287_SE_BH_078_P36_20230629221640 - 0001.db</t>
  </si>
  <si>
    <t>230629221600.SBD</t>
  </si>
  <si>
    <t>OI104287_SEROV1_ET2200SSS_BH_078_P36.001.jsf</t>
  </si>
  <si>
    <t>55;59;06.51200N</t>
  </si>
  <si>
    <t>7;45;50.60644E</t>
  </si>
  <si>
    <t>55;59;06.58574N</t>
  </si>
  <si>
    <t>7;45;48.95432E</t>
  </si>
  <si>
    <t>003931_20230629_22.17_OI104287SEROV1SPRINTNAV500.bin</t>
  </si>
  <si>
    <t>55;59;06.87160N</t>
  </si>
  <si>
    <t>7;45;50.08961E</t>
  </si>
  <si>
    <t>55;59;06.78730N</t>
  </si>
  <si>
    <t>7;45;48.43742E</t>
  </si>
  <si>
    <t>0923_OI104287_SE_BH_078_P45_20230629222904 - 0001.db</t>
  </si>
  <si>
    <t>230629222840.SBD</t>
  </si>
  <si>
    <t>OI104287_SEROV1_ET2200SSS_BH_078_P45.001.jsf</t>
  </si>
  <si>
    <t>55;58;59.38153N</t>
  </si>
  <si>
    <t>7;45;50.09410E</t>
  </si>
  <si>
    <t>55;58;59.15412N</t>
  </si>
  <si>
    <t>7;45;48.69149E</t>
  </si>
  <si>
    <t>003932_20230629_22.32_OI104287SEROV1SPRINTNAV500.bin</t>
  </si>
  <si>
    <t>55;58;58.94035N</t>
  </si>
  <si>
    <t>7;45;49.82812E</t>
  </si>
  <si>
    <t>55;58;58.95934N</t>
  </si>
  <si>
    <t>7;45;48.17551E</t>
  </si>
  <si>
    <t>0924_OI104287_SE_BH_078_P54_20230629224132 - 0001.db</t>
  </si>
  <si>
    <t>230629224108.SBD</t>
  </si>
  <si>
    <t>OI104287_SEROV1_ET2200SSS_BH_078_P54.001.jsf</t>
  </si>
  <si>
    <t>55;59;06.48904N</t>
  </si>
  <si>
    <t>7;45;49.63947E</t>
  </si>
  <si>
    <t>55;59;06.60444N</t>
  </si>
  <si>
    <t>7;45;47.92777E</t>
  </si>
  <si>
    <t>003933_20230629_22.47_OI104287SEROV1SPRINTNAV500.bin</t>
  </si>
  <si>
    <t>55;59;07.12388N</t>
  </si>
  <si>
    <t>7;45;49.00956E</t>
  </si>
  <si>
    <t>55;59;06.79937N</t>
  </si>
  <si>
    <t>7;45;47.39760E</t>
  </si>
  <si>
    <t>0925_OI104287_SE_BH_078_P63_20230629225306 - 0001.db</t>
  </si>
  <si>
    <t>230629225239.SBD</t>
  </si>
  <si>
    <t>OI104287_SEROV1_ET2200SSS_BH_078_P63.001.jsf</t>
  </si>
  <si>
    <t>55;58;59.44203N</t>
  </si>
  <si>
    <t>7;45;49.09065E</t>
  </si>
  <si>
    <t>55;58;59.12862N</t>
  </si>
  <si>
    <t>7;45;47.65680E</t>
  </si>
  <si>
    <t>55;58;59.00438N</t>
  </si>
  <si>
    <t>7;45;48.67539E</t>
  </si>
  <si>
    <t>55;58;59.10011N</t>
  </si>
  <si>
    <t>7;45;47.12482E</t>
  </si>
  <si>
    <t>0926_OI104287_SE_BH_078_P72_20230629230605 - 0001.db</t>
  </si>
  <si>
    <t>230629230528.SBD</t>
  </si>
  <si>
    <t>OI104287_SEROV1_ET2200SSS_BH_078_P72.001.jsf</t>
  </si>
  <si>
    <t>003934_20230629_23.02_OI104287SEROV1SPRINTNAV500.bin</t>
  </si>
  <si>
    <t>55;59;06.86477N</t>
  </si>
  <si>
    <t>7;45;48.48843E</t>
  </si>
  <si>
    <t>55;59;06.53927N</t>
  </si>
  <si>
    <t>7;45;46.88493E</t>
  </si>
  <si>
    <t>55;59;07.87290N</t>
  </si>
  <si>
    <t>7;45;48.47215E</t>
  </si>
  <si>
    <t>55;59;07.51331N</t>
  </si>
  <si>
    <t>7;45;47.00170E</t>
  </si>
  <si>
    <t>Weather Update: WS 21knots, WG 23knots, WH  1.5-2m</t>
  </si>
  <si>
    <t>55;59;07.88873N</t>
  </si>
  <si>
    <t>7;45;48.59941E</t>
  </si>
  <si>
    <t>55;59;07.71458N</t>
  </si>
  <si>
    <t>7;45;47.39941E</t>
  </si>
  <si>
    <t xml:space="preserve">Recover WROV to deck </t>
  </si>
  <si>
    <t>55;59;07.88569N</t>
  </si>
  <si>
    <t>7;45;48.45530E</t>
  </si>
  <si>
    <t>55;59;07.75018N</t>
  </si>
  <si>
    <t>7;45;47.87014E</t>
  </si>
  <si>
    <t>55;59;33.88403N</t>
  </si>
  <si>
    <t>7;45;46.11970E</t>
  </si>
  <si>
    <t>55;59;33.87452N</t>
  </si>
  <si>
    <t>7;45;45.47576E</t>
  </si>
  <si>
    <t>Transit to CPT_105</t>
  </si>
  <si>
    <t>WROV on deck EOD #026</t>
  </si>
  <si>
    <t>56;00;05.45059N</t>
  </si>
  <si>
    <t>7;45;58.48428E</t>
  </si>
  <si>
    <t>56;00;05.30781N</t>
  </si>
  <si>
    <t>7;45;57.87189E</t>
  </si>
  <si>
    <t>56;00;05.48249N</t>
  </si>
  <si>
    <t>7;45;58.37558E</t>
  </si>
  <si>
    <t>56;00;05.24836N</t>
  </si>
  <si>
    <t>7;45;57.85409E</t>
  </si>
  <si>
    <t>WROV off deck SOD #027</t>
  </si>
  <si>
    <t>OI104287_SE_SVX2_SVP_20230630_0011_560009N_0074597E_076</t>
  </si>
  <si>
    <t>56;00;05.50924N</t>
  </si>
  <si>
    <t>7;45;58.40531E</t>
  </si>
  <si>
    <t>56;00;05.24414N</t>
  </si>
  <si>
    <t>7;45;57.70502E</t>
  </si>
  <si>
    <t>SVP_076</t>
  </si>
  <si>
    <t>56;00;06.75427N</t>
  </si>
  <si>
    <t>7;45;56.09138E</t>
  </si>
  <si>
    <t>56;00;06.23342N</t>
  </si>
  <si>
    <t>7;45;54.85441E</t>
  </si>
  <si>
    <t>0927_OI104287_SE_CPT_105_P50_20230630002257 - 0001.db</t>
  </si>
  <si>
    <t>230630002218.SBD</t>
  </si>
  <si>
    <t>OI104287_SEROV1_ET2200SSS_CPT_105_P50.001.jsf</t>
  </si>
  <si>
    <t>003939_20230630_00.17_OI104287SEROV1SPRINTNAV500.bin</t>
  </si>
  <si>
    <t>56;00;10.96828N</t>
  </si>
  <si>
    <t>7;45;48.33410E</t>
  </si>
  <si>
    <t>56;00;10.42923N</t>
  </si>
  <si>
    <t>7;45;47.09464E</t>
  </si>
  <si>
    <t>56;00;11.34869N</t>
  </si>
  <si>
    <t>7;45;48.18227E</t>
  </si>
  <si>
    <t>56;00;10.97133N</t>
  </si>
  <si>
    <t>7;45;46.84962E</t>
  </si>
  <si>
    <t>0928_OI104287_SE_CPT_105_P41_20230630003324 - 0001.db</t>
  </si>
  <si>
    <t>230630003313.SBD</t>
  </si>
  <si>
    <t>OI104287_SEROV1_ET2200SSS_CPT_105_P41.001.jsf</t>
  </si>
  <si>
    <t>003940_20230630_00.32_OI104287SEROV1SPRINTNAV500.bin</t>
  </si>
  <si>
    <t>56;00;06.97027N</t>
  </si>
  <si>
    <t>7;45;56.36383E</t>
  </si>
  <si>
    <t>56;00;06.55690N</t>
  </si>
  <si>
    <t>7;45;55.00196E</t>
  </si>
  <si>
    <t>56;00;07.12142N</t>
  </si>
  <si>
    <t>7;45;56.77355E</t>
  </si>
  <si>
    <t>56;00;06.74730N</t>
  </si>
  <si>
    <t>7;45;55.40540E</t>
  </si>
  <si>
    <t>0929_OI104287_SE_CPT_105_P32_20230630004610 - 0001.db</t>
  </si>
  <si>
    <t>230630004521.SBD</t>
  </si>
  <si>
    <t>OI104287_SEROV1_ET2200SSS_CPT_105_P32.001.jsf</t>
  </si>
  <si>
    <t>56;00;11.25918N</t>
  </si>
  <si>
    <t>7;45;49.14893E</t>
  </si>
  <si>
    <t>56;00;10.81728N</t>
  </si>
  <si>
    <t>7;45;47.88462E</t>
  </si>
  <si>
    <t>003941_20230630_00.47_OI104287SEROV1SPRINTNAV500.bin</t>
  </si>
  <si>
    <t>56;00;11.56195N</t>
  </si>
  <si>
    <t>7;45;49.19090E</t>
  </si>
  <si>
    <t>56;00;11.14393N</t>
  </si>
  <si>
    <t>7;45;48.04454E</t>
  </si>
  <si>
    <t>0930_OI104287_SE_CPT_105_P23_20230630005813 - 0001.db</t>
  </si>
  <si>
    <t>230630005742.SBD</t>
  </si>
  <si>
    <t>OI104287_SEROV1_ET2200SSS_CPT_105_P23.001.jsf</t>
  </si>
  <si>
    <t>56;00;07.44233N</t>
  </si>
  <si>
    <t>7;45;56.76936E</t>
  </si>
  <si>
    <t>56;00;07.02189N</t>
  </si>
  <si>
    <t>7;45;55.65736E</t>
  </si>
  <si>
    <t>003942_20230630_01.02_OI104287SEROV1SPRINTNAV500.bin</t>
  </si>
  <si>
    <t>56;00;07.53099N</t>
  </si>
  <si>
    <t>7;45;57.65271E</t>
  </si>
  <si>
    <t>56;00;07.14093N</t>
  </si>
  <si>
    <t>7;45;56.15645E</t>
  </si>
  <si>
    <t>0931_OI104287_SE_CPT_105_P14_20230630010830 - 0001.db</t>
  </si>
  <si>
    <t>230630010803.SBD</t>
  </si>
  <si>
    <t>OI104287_SEROV1_ET2200SSS_CPT_105_P14.001.jsf</t>
  </si>
  <si>
    <t>56;00;11.69543N</t>
  </si>
  <si>
    <t>7;45;49.99641E</t>
  </si>
  <si>
    <t>56;00;11.33976N</t>
  </si>
  <si>
    <t>7;45;48.39427E</t>
  </si>
  <si>
    <t>56;00;12.11924N</t>
  </si>
  <si>
    <t>7;45;50.01261E</t>
  </si>
  <si>
    <t>56;00;11.64362N</t>
  </si>
  <si>
    <t>7;45;48.60339E</t>
  </si>
  <si>
    <t>0932_OI104287_SE_CPT_105_P05_20230630012003 - 0001.db</t>
  </si>
  <si>
    <t>230630011935.SBD</t>
  </si>
  <si>
    <t>OI104287_SEROV1_ET2200SSS_CPT_105_P05.001.jsf</t>
  </si>
  <si>
    <t>003943_20230630_01.17_OI104287SEROV1SPRINTNAV500.bin</t>
  </si>
  <si>
    <t>56;00;08.02812N</t>
  </si>
  <si>
    <t>7;45;57.43073E</t>
  </si>
  <si>
    <t>56;00;07.44751N</t>
  </si>
  <si>
    <t>7;45;56.36164E</t>
  </si>
  <si>
    <t>56;00;07.83191N</t>
  </si>
  <si>
    <t>7;45;58.62812E</t>
  </si>
  <si>
    <t>56;00;07.49201N</t>
  </si>
  <si>
    <t>7;45;56.98264E</t>
  </si>
  <si>
    <t>0933_OI104287_SE_CPT_105_S05_20230630013115 - 0001.db</t>
  </si>
  <si>
    <t>230630013011.SBD</t>
  </si>
  <si>
    <t>OI104287_SEROV1_ET2200SSS_CPT_105_S05.001.jsf</t>
  </si>
  <si>
    <t>56;00;11.98658N</t>
  </si>
  <si>
    <t>7;45;50.90747E</t>
  </si>
  <si>
    <t>56;00;11.78288N</t>
  </si>
  <si>
    <t>7;45;49.07140E</t>
  </si>
  <si>
    <t>003944_20230630_01.32_OI104287SEROV1SPRINTNAV500.bin</t>
  </si>
  <si>
    <t>56;00;12.30239N</t>
  </si>
  <si>
    <t>7;45;50.97969E</t>
  </si>
  <si>
    <t>56;00;11.88276N</t>
  </si>
  <si>
    <t>7;45;49.63959E</t>
  </si>
  <si>
    <t>0934_OI104287_SE_CPT_105_S14_20230630014244 - 0001.db</t>
  </si>
  <si>
    <t>230630014213.SBD</t>
  </si>
  <si>
    <t>OI104287_SEROV1_ET2200SSS_CPT_105_S14.001.jsf</t>
  </si>
  <si>
    <t>56;00;08.17511N</t>
  </si>
  <si>
    <t>7;45;58.54450E</t>
  </si>
  <si>
    <t>56;00;07.67789N</t>
  </si>
  <si>
    <t>7;45;57.41655E</t>
  </si>
  <si>
    <t>003945_20230630_01.47_OI104287SEROV1SPRINTNAV500.bin</t>
  </si>
  <si>
    <t>56;00;08.44081N</t>
  </si>
  <si>
    <t>7;45;59.00696E</t>
  </si>
  <si>
    <t>56;00;08.02867N</t>
  </si>
  <si>
    <t>7;45;57.50527E</t>
  </si>
  <si>
    <t>0935_OI104287_SE_CPT_105_S23_20230630015225 - 0001.db</t>
  </si>
  <si>
    <t>230630015137.SBD</t>
  </si>
  <si>
    <t>OI104287_SEROV1_ET2200SSS_CPT_105_S23.001.jsf</t>
  </si>
  <si>
    <t>56;00;12.46349N</t>
  </si>
  <si>
    <t>7;45;51.57425E</t>
  </si>
  <si>
    <t>56;00;12.06441N</t>
  </si>
  <si>
    <t>7;45;50.03880E</t>
  </si>
  <si>
    <t>56;00;12.92367N</t>
  </si>
  <si>
    <t>7;45;51.33348E</t>
  </si>
  <si>
    <t>56;00;12.34066N</t>
  </si>
  <si>
    <t>7;45;50.28412E</t>
  </si>
  <si>
    <t>0936_OI104287_SE_CPT_105_S32_20230630020136 - 0001.db</t>
  </si>
  <si>
    <t>230630020108.SBD</t>
  </si>
  <si>
    <t>OI104287_SEROV1_ET2200SSS_CPT_105_S32.002.jsf</t>
  </si>
  <si>
    <t>56;00;08.44139N</t>
  </si>
  <si>
    <t>7;45;59.50784E</t>
  </si>
  <si>
    <t>56;00;08.16567N</t>
  </si>
  <si>
    <t>7;45;57.99893E</t>
  </si>
  <si>
    <t>003946_20230630_02.02_OI104287SEROV1SPRINTNAV500.bin</t>
  </si>
  <si>
    <t>56;00;08.75487N</t>
  </si>
  <si>
    <t>7;45;59.68905E</t>
  </si>
  <si>
    <t>56;00;08.46817N</t>
  </si>
  <si>
    <t>7;45;58.19537E</t>
  </si>
  <si>
    <t>0937_OI104287_SE_CPT_105_S41_20230630021202 - 0001.db</t>
  </si>
  <si>
    <t>230630021123.SBD</t>
  </si>
  <si>
    <t>OI104287_SEROV1_ET2200SSS_CPT_105_S41.001.jsf</t>
  </si>
  <si>
    <t>56;00;12.76032N</t>
  </si>
  <si>
    <t>7;45;52.28396E</t>
  </si>
  <si>
    <t>56;00;12.49938N</t>
  </si>
  <si>
    <t>7;45;50.74791E</t>
  </si>
  <si>
    <t>56;00;13.31670N</t>
  </si>
  <si>
    <t>7;45;52.00002E</t>
  </si>
  <si>
    <t>56;00;12.75768N</t>
  </si>
  <si>
    <t>7;45;51.02642E</t>
  </si>
  <si>
    <t>0938_OI104287_SE_CPT_105_S50_20230630022118 - 0001.db</t>
  </si>
  <si>
    <t>230630022057.SBD</t>
  </si>
  <si>
    <t>OI104287_SEROV1_ET2200SSS_CPT_105_S50.001.jsf</t>
  </si>
  <si>
    <t>003947_20230630_02.17_OI104287SEROV1SPRINTNAV500.bin</t>
  </si>
  <si>
    <t>56;00;09.38523N</t>
  </si>
  <si>
    <t>7;45;59.13998E</t>
  </si>
  <si>
    <t>56;00;08.79572N</t>
  </si>
  <si>
    <t>7;45;58.34805E</t>
  </si>
  <si>
    <t>56;00;08.95833N</t>
  </si>
  <si>
    <t>7;45;59.94740E</t>
  </si>
  <si>
    <t>56;00;08.73718N</t>
  </si>
  <si>
    <t>7;45;59.41775E</t>
  </si>
  <si>
    <t>WROV on deck EOD #027</t>
  </si>
  <si>
    <t>56;00;08.96284N</t>
  </si>
  <si>
    <t>7;45;59.87930E</t>
  </si>
  <si>
    <t>56;00;08.76072N</t>
  </si>
  <si>
    <t>7;45;59.35348E</t>
  </si>
  <si>
    <t>Transit to CPT_198</t>
  </si>
  <si>
    <t>56;02;13.87251N</t>
  </si>
  <si>
    <t>7;45;19.32628E</t>
  </si>
  <si>
    <t>56;02;13.70150N</t>
  </si>
  <si>
    <t>7;45;18.74265E</t>
  </si>
  <si>
    <t>WROV off deck SOD #028</t>
  </si>
  <si>
    <t>OI104287_SE_SVX2_SVP_20230630_0336_560223N_0074532E_077</t>
  </si>
  <si>
    <t>56;02;13.85032N</t>
  </si>
  <si>
    <t>7;45;19.28404E</t>
  </si>
  <si>
    <t>56;02;13.11943N</t>
  </si>
  <si>
    <t>7;45;17.38388E</t>
  </si>
  <si>
    <t>SVP_077</t>
  </si>
  <si>
    <t>56;02;14.44814N</t>
  </si>
  <si>
    <t>7;45;17.36132E</t>
  </si>
  <si>
    <t>56;02;14.01185N</t>
  </si>
  <si>
    <t>7;45;15.90954E</t>
  </si>
  <si>
    <t>0939_OI104287_SE_CPT_198_P50_20230630034829 - 0001.db</t>
  </si>
  <si>
    <t>230630034741.SBD</t>
  </si>
  <si>
    <t>OI104287_SEROV1_ET2200SSS_CPT_198_P50.001.jsf</t>
  </si>
  <si>
    <t>003953_20230630_03.47_OI104287SEROV1SPRINTNAV500.bin</t>
  </si>
  <si>
    <t>56;02;18.92202N</t>
  </si>
  <si>
    <t>7;45;09.65343E</t>
  </si>
  <si>
    <t>56;02;18.25353N</t>
  </si>
  <si>
    <t>7;45;08.05412E</t>
  </si>
  <si>
    <t>56;02;19.03295N</t>
  </si>
  <si>
    <t>7;45;09.50268E</t>
  </si>
  <si>
    <t>56;02;18.49402N</t>
  </si>
  <si>
    <t>7;45;08.37578E</t>
  </si>
  <si>
    <t>0940_OI104287_SE_CPT_198_P41_20230630040338 - 0001.db</t>
  </si>
  <si>
    <t>230630040305.SBD</t>
  </si>
  <si>
    <t>OI104287_SEROV1_ET2200SSS_CPT_198_P41.001.jsf</t>
  </si>
  <si>
    <t>003954_20230630_04.02_OI104287SEROV1SPRINTNAV500.bin</t>
  </si>
  <si>
    <t>56;02;14.94789N</t>
  </si>
  <si>
    <t>7;45;16.48881E</t>
  </si>
  <si>
    <t>56;02;14.34558N</t>
  </si>
  <si>
    <t>7;45;16.05619E</t>
  </si>
  <si>
    <t>56;02;14.85671N</t>
  </si>
  <si>
    <t>7;45;17.99925E</t>
  </si>
  <si>
    <t>56;02;14.39326N</t>
  </si>
  <si>
    <t>7;45;16.72124E</t>
  </si>
  <si>
    <t>0941_OI104287_SE_CPT_198_P32_20230630041704 - 0001.db</t>
  </si>
  <si>
    <t>230630041622.SBD</t>
  </si>
  <si>
    <t>OI104287_SEROV1_ET2200SSS_CPT_198_P32.001.jsf</t>
  </si>
  <si>
    <t>56;02;19.39067N</t>
  </si>
  <si>
    <t>7;45;09.56868E</t>
  </si>
  <si>
    <t>56;02;18.77797N</t>
  </si>
  <si>
    <t>7;45;08.59877E</t>
  </si>
  <si>
    <t>003955_20230630_04.17_OI104287SEROV1SPRINTNAV500.bin</t>
  </si>
  <si>
    <t>56;02;19.27010N</t>
  </si>
  <si>
    <t>7;45;10.58532E</t>
  </si>
  <si>
    <t>56;02;18.93850N</t>
  </si>
  <si>
    <t>7;45;09.05019E</t>
  </si>
  <si>
    <t>0942_OI104287_SE_CPT_198_P23_20230630042856 - 0001.db</t>
  </si>
  <si>
    <t>230630042812.SBD</t>
  </si>
  <si>
    <t>OI104287_SEROV1_ET2200SSS_CPT_198_P23.001.jsf</t>
  </si>
  <si>
    <t>56;02;15.08978N</t>
  </si>
  <si>
    <t>7;45;18.33463E</t>
  </si>
  <si>
    <t>56;02;14.74555N</t>
  </si>
  <si>
    <t>7;45;16.81901E</t>
  </si>
  <si>
    <t>003956_20230630_04.32_OI104287SEROV1SPRINTNAV500.bin</t>
  </si>
  <si>
    <t>56;02;15.35796N</t>
  </si>
  <si>
    <t>7;45;18.54654E</t>
  </si>
  <si>
    <t>56;02;14.83064N</t>
  </si>
  <si>
    <t>7;45;17.41556E</t>
  </si>
  <si>
    <t>0943_OI104287_SE_CPT_198_P14_20230630044046 - 0001.db</t>
  </si>
  <si>
    <t>230630044003.SBD</t>
  </si>
  <si>
    <t>OI104287_SEROV1_ET2200SSS_CPT_198_P14.001.jsf</t>
  </si>
  <si>
    <t>56;02;19.54907N</t>
  </si>
  <si>
    <t>7;45;10.77142E</t>
  </si>
  <si>
    <t>56;02;19.00443N</t>
  </si>
  <si>
    <t>7;45;09.68477E</t>
  </si>
  <si>
    <t>56;02;19.84576N</t>
  </si>
  <si>
    <t>7;45;11.03882E</t>
  </si>
  <si>
    <t>56;02;19.34012N</t>
  </si>
  <si>
    <t>7;45;09.81512E</t>
  </si>
  <si>
    <t>0944_OI104287_SE_CPT_198_P05_20230630045139 - 0001.db</t>
  </si>
  <si>
    <t>230630045135.SBD</t>
  </si>
  <si>
    <t>OI104287_SEROV1_ET2200SSS_CPT_198_P05.001.jsf</t>
  </si>
  <si>
    <t>003957_20230630_04.47_OI104287SEROV1SPRINTNAV500.bin</t>
  </si>
  <si>
    <t>56;02;15.39404N</t>
  </si>
  <si>
    <t>7;45;19.21597E</t>
  </si>
  <si>
    <t>56;02;15.17524N</t>
  </si>
  <si>
    <t>7;45;17.53053E</t>
  </si>
  <si>
    <t>56;02;15.64200N</t>
  </si>
  <si>
    <t>7;45;19.46490E</t>
  </si>
  <si>
    <t>56;02;15.25415N</t>
  </si>
  <si>
    <t>7;45;18.11834E</t>
  </si>
  <si>
    <t>0945_OI104287_SE_CPT_198_S05_20230630050519 - 0001.db</t>
  </si>
  <si>
    <t>230630050448.SBD</t>
  </si>
  <si>
    <t>OI104287_SEROV1_ET2200SSS_CPT_198_S05.001.jsf</t>
  </si>
  <si>
    <t>003958_20230630_05.02_OI104287SEROV1SPRINTNAV500.bin</t>
  </si>
  <si>
    <t>56;02;20.04236N</t>
  </si>
  <si>
    <t>7;45;11.35431E</t>
  </si>
  <si>
    <t>56;02;19.64353N</t>
  </si>
  <si>
    <t>7;45;09.99828E</t>
  </si>
  <si>
    <t>56;02;20.32098N</t>
  </si>
  <si>
    <t>7;45;11.53701E</t>
  </si>
  <si>
    <t>56;02;19.82835N</t>
  </si>
  <si>
    <t>7;45;10.41560E</t>
  </si>
  <si>
    <t>0946_OI104287_SE_CPT_198_S14_20230630051829 - 0001.db</t>
  </si>
  <si>
    <t>230630051752.SBD</t>
  </si>
  <si>
    <t>OI104287_SEROV1_ET2200SSS_CPT_198_S14.001.jsf</t>
  </si>
  <si>
    <t>003959_20230630_05.17_OI104287SEROV1SPRINTNAV500.bin</t>
  </si>
  <si>
    <t>56;02;16.00762N</t>
  </si>
  <si>
    <t>7;45;19.66046E</t>
  </si>
  <si>
    <t>56;02;15.58984N</t>
  </si>
  <si>
    <t>7;45;18.24628E</t>
  </si>
  <si>
    <t>56;02;15.96481N</t>
  </si>
  <si>
    <t>7;45;20.38250E</t>
  </si>
  <si>
    <t>56;02;15.49449N</t>
  </si>
  <si>
    <t>7;45;19.18653E</t>
  </si>
  <si>
    <t>0947_OI104287_SE_CPT_198_S23_20230630053006 - 0001.db</t>
  </si>
  <si>
    <t>230630052953.SBD</t>
  </si>
  <si>
    <t>OI104287_SEROV1_ET2200SSS_CPT_198_S23.001.jsf</t>
  </si>
  <si>
    <t>56;02;20.49695N</t>
  </si>
  <si>
    <t>7;45;11.91180E</t>
  </si>
  <si>
    <t>56;02;20.09012N</t>
  </si>
  <si>
    <t>7;45;10.66877E</t>
  </si>
  <si>
    <t>003960_20230630_05.32_OI104287SEROV1SPRINTNAV500.bin</t>
  </si>
  <si>
    <t>56;02;21.00277N</t>
  </si>
  <si>
    <t>7;45;11.83809E</t>
  </si>
  <si>
    <t>56;02;20.48737N</t>
  </si>
  <si>
    <t>7;45;10.68265E</t>
  </si>
  <si>
    <t>0948_OI104287_SE_CPT_198_S32_20230630054246 - 0001.db</t>
  </si>
  <si>
    <t>230630054228.SBD</t>
  </si>
  <si>
    <t>OI104287_SEROV1_ET2200SSS_CPT_198_S32.001.jsf</t>
  </si>
  <si>
    <t>56;02;16.57955N</t>
  </si>
  <si>
    <t>7;45;20.06507E</t>
  </si>
  <si>
    <t>56;02;16.04503N</t>
  </si>
  <si>
    <t>7;45;18.89986E</t>
  </si>
  <si>
    <t>003961_20230630_05.47_OI104287SEROV1SPRINTNAV500.bin</t>
  </si>
  <si>
    <t>56;02;16.72656N</t>
  </si>
  <si>
    <t>7;45;20.50777E</t>
  </si>
  <si>
    <t>56;02;16.10372N</t>
  </si>
  <si>
    <t>7;45;19.55466E</t>
  </si>
  <si>
    <t>0949_OI104287_SE_CPT_198_S41_20230630055332 - 0001.db</t>
  </si>
  <si>
    <t>230630055302.SBD</t>
  </si>
  <si>
    <t>OI104287_SEROV1_ET2200SSS_CPT_198_S41.001.jsf</t>
  </si>
  <si>
    <t>56;02;20.83690N</t>
  </si>
  <si>
    <t>7;45;12.87260E</t>
  </si>
  <si>
    <t>56;02;20.26091N</t>
  </si>
  <si>
    <t>7;45;11.85675E</t>
  </si>
  <si>
    <t>56;02;20.89333N</t>
  </si>
  <si>
    <t>7;45;13.54098E</t>
  </si>
  <si>
    <t>56;02;20.56281N</t>
  </si>
  <si>
    <t>7;45;12.05560E</t>
  </si>
  <si>
    <t>0950_OI104287_SE_CPT_198_S50_20230630060359 - 0001.db</t>
  </si>
  <si>
    <t>230630060337.SBD</t>
  </si>
  <si>
    <t>OI104287_SEROV1_ET2200SSS_CPT_198_S50.001.jsf</t>
  </si>
  <si>
    <t>003962_20230630_06.02_OI104287SEROV1SPRINTNAV500.bin</t>
  </si>
  <si>
    <t>56;02;16.62354N</t>
  </si>
  <si>
    <t>7;45;21.48507E</t>
  </si>
  <si>
    <t>56;02;16.18278N</t>
  </si>
  <si>
    <t>7;45;20.16600E</t>
  </si>
  <si>
    <t>CPT_198_P05_INF0001</t>
  </si>
  <si>
    <t>56;02;16.34791N</t>
  </si>
  <si>
    <t>7;45;17.49449E</t>
  </si>
  <si>
    <t>56;02;15.72774N</t>
  </si>
  <si>
    <t>7;45;16.48135E</t>
  </si>
  <si>
    <t>0951_OI104287_SE_CPT_198_P05_INF0001_20230630062117 - 0001.db</t>
  </si>
  <si>
    <t>003963_20230630_06.17_OI104287SEROV1SPRINTNAV500.bin</t>
  </si>
  <si>
    <t>56;02;19.41664N</t>
  </si>
  <si>
    <t>7;45;11.77934E</t>
  </si>
  <si>
    <t>56;02;18.91300N</t>
  </si>
  <si>
    <t>7;45;10.58368E</t>
  </si>
  <si>
    <t>CPT_198_P23_INF0001</t>
  </si>
  <si>
    <t>56;02;18.88932N</t>
  </si>
  <si>
    <t>7;45;11.21496E</t>
  </si>
  <si>
    <t>56;02;18.54788N</t>
  </si>
  <si>
    <t>7;45;09.78585E</t>
  </si>
  <si>
    <t>0952_OI104287_SE_CPT_198_P23_INF0001_20230630063510 - 0001.db</t>
  </si>
  <si>
    <t>003964_20230630_06.32_OI104287SEROV1SPRINTNAV500.bin</t>
  </si>
  <si>
    <t>56;02;17.28362N</t>
  </si>
  <si>
    <t>7;45;14.31797E</t>
  </si>
  <si>
    <t>56;02;16.87831N</t>
  </si>
  <si>
    <t>7;45;12.87908E</t>
  </si>
  <si>
    <t>56;02;16.40488N</t>
  </si>
  <si>
    <t>7;45;15.95101E</t>
  </si>
  <si>
    <t>56;02;15.94983N</t>
  </si>
  <si>
    <t>7;45;15.29397E</t>
  </si>
  <si>
    <t>OI104287_SE_SVX2_SVP_20230630_0659_560227N_0074526E_078</t>
  </si>
  <si>
    <t>56;02;16.39555N</t>
  </si>
  <si>
    <t>7;45;15.94737E</t>
  </si>
  <si>
    <t>56;02;16.01606N</t>
  </si>
  <si>
    <t>7;45;15.45722E</t>
  </si>
  <si>
    <t>SVP_078</t>
  </si>
  <si>
    <t>Subsea transit to BH_087</t>
  </si>
  <si>
    <t>56;02;18.20917N</t>
  </si>
  <si>
    <t>7;44;51.03492E</t>
  </si>
  <si>
    <t>56;02;17.58802N</t>
  </si>
  <si>
    <t>7;44;49.78717E</t>
  </si>
  <si>
    <t>0953_OI104287_SE_BH_087_S72_20230630072126 - 0001.db</t>
  </si>
  <si>
    <t>230630072103.SBD</t>
  </si>
  <si>
    <t>OI104287_SEROV1_ET2200SSS_BH_087_S72.001.jsf</t>
  </si>
  <si>
    <t>003967_20230630_07.11_OI104287SEROV1SPRINTNAV500.bin</t>
  </si>
  <si>
    <t>56;02;10.45617N</t>
  </si>
  <si>
    <t>7;44;51.22758E</t>
  </si>
  <si>
    <t>56;02;10.12608N</t>
  </si>
  <si>
    <t>7;44;50.01559E</t>
  </si>
  <si>
    <t>003968_20230630_07.26_OI104287SEROV1SPRINTNAV500.bin</t>
  </si>
  <si>
    <t>56;02;08.92920N</t>
  </si>
  <si>
    <t>7;44;51.28722E</t>
  </si>
  <si>
    <t>56;02;08.25796N</t>
  </si>
  <si>
    <t>7;44;49.76393E</t>
  </si>
  <si>
    <t>Changing to rotated line plan due to out of spec grad data running lines north to south</t>
  </si>
  <si>
    <t>56;02;09.67902N</t>
  </si>
  <si>
    <t>7;44;49.08792E</t>
  </si>
  <si>
    <t>56;02;09.22928N</t>
  </si>
  <si>
    <t>7;44;47.86654E</t>
  </si>
  <si>
    <t>0954_OI104287_SE_BH_087_P72_20230630074219 - 0001.db</t>
  </si>
  <si>
    <t>230630074151.SBD</t>
  </si>
  <si>
    <t>OI104287_SEROV1_ET2200SSS_BH_087_P72.001.jsf</t>
  </si>
  <si>
    <t>003969_20230630_07.41_OI104287SEROV1SPRINTNAV500.bin</t>
  </si>
  <si>
    <t>56;02;15.18368N</t>
  </si>
  <si>
    <t>7;44;38.97159E</t>
  </si>
  <si>
    <t>56;02;14.75973N</t>
  </si>
  <si>
    <t>7;44;37.62399E</t>
  </si>
  <si>
    <t>56;02;15.07367N</t>
  </si>
  <si>
    <t>7;44;39.84800E</t>
  </si>
  <si>
    <t>56;02;14.67766N</t>
  </si>
  <si>
    <t>7;44;38.51083E</t>
  </si>
  <si>
    <t>0955_OI104287_SE_BH_087_P63_20230630075411 - 0001.db</t>
  </si>
  <si>
    <t>230630075320.SBD</t>
  </si>
  <si>
    <t>OI104287_SEROV1_ET2200SSS_BH_087_P63.001.jsf</t>
  </si>
  <si>
    <t>56;02;09.68537N</t>
  </si>
  <si>
    <t>7;44;49.85164E</t>
  </si>
  <si>
    <t>56;02;09.22898N</t>
  </si>
  <si>
    <t>7;44;48.60492E</t>
  </si>
  <si>
    <t>003970_20230630_07.56_OI104287SEROV1SPRINTNAV500.bin</t>
  </si>
  <si>
    <t>56;02;09.89733N</t>
  </si>
  <si>
    <t>7;44;50.21972E</t>
  </si>
  <si>
    <t>56;02;09.44866N</t>
  </si>
  <si>
    <t>7;44;48.94981E</t>
  </si>
  <si>
    <t>0956_OI104287_SE_BH_087_P54_20230630080439 - 0001.db</t>
  </si>
  <si>
    <t>230630080403.SBD</t>
  </si>
  <si>
    <t>OI104287_SEROV1_ET2200SSS_BH_087_P54.001.jsf</t>
  </si>
  <si>
    <t>56;02;15.51000N</t>
  </si>
  <si>
    <t>7;44;39.89216E</t>
  </si>
  <si>
    <t>56;02;15.07777N</t>
  </si>
  <si>
    <t>7;44;38.53044E</t>
  </si>
  <si>
    <t>003971_20230630_08.11_OI104287SEROV1SPRINTNAV500.bin</t>
  </si>
  <si>
    <t>56;02;15.51977N</t>
  </si>
  <si>
    <t>7;44;40.62440E</t>
  </si>
  <si>
    <t>56;02;15.11006N</t>
  </si>
  <si>
    <t>7;44;39.22446E</t>
  </si>
  <si>
    <t>0957_OI104287_SE_BH_087_P45_20230630081642 - 0001.db</t>
  </si>
  <si>
    <t>230630081558.SBD</t>
  </si>
  <si>
    <t>OI104287_SEROV1_ET2200SSS_BH_087_P45.001.jsf</t>
  </si>
  <si>
    <t>56;02;10.42673N</t>
  </si>
  <si>
    <t>7;44;50.02795E</t>
  </si>
  <si>
    <t>56;02;10.00568N</t>
  </si>
  <si>
    <t>7;44;48.67251E</t>
  </si>
  <si>
    <t>56;02;10.33149N</t>
  </si>
  <si>
    <t>7;44;50.95788E</t>
  </si>
  <si>
    <t>56;02;09.83655N</t>
  </si>
  <si>
    <t>7;44;49.73708E</t>
  </si>
  <si>
    <t>0958_OI104287_SE_BH_087_P36_20230630082836 - 0001.db</t>
  </si>
  <si>
    <t>230630082748.SBD</t>
  </si>
  <si>
    <t>OI104287_SEROV1_ET2200SSS_BH_087_P36.001.jsf</t>
  </si>
  <si>
    <t>003972_20230630_08.26_OI104287SEROV1SPRINTNAV500.bin</t>
  </si>
  <si>
    <t>56;02;15.64131N</t>
  </si>
  <si>
    <t>7;44;41.13832E</t>
  </si>
  <si>
    <t>56;02;15.16679N</t>
  </si>
  <si>
    <t>7;44;39.87231E</t>
  </si>
  <si>
    <t>56;02;16.09328N</t>
  </si>
  <si>
    <t>7;44;41.02448E</t>
  </si>
  <si>
    <t>56;02;15.77602N</t>
  </si>
  <si>
    <t>7;44;39.48638E</t>
  </si>
  <si>
    <t>0959_OI104287_SE_BH_087_P27_20230630084008 - 0001.db</t>
  </si>
  <si>
    <t>230630083949.SBD</t>
  </si>
  <si>
    <t>OI104287_SEROV1_ET2200SSS_BH_087_P27.001.jsf</t>
  </si>
  <si>
    <t>56;02;10.46386N</t>
  </si>
  <si>
    <t>7;44;51.49198E</t>
  </si>
  <si>
    <t>56;02;10.18945N</t>
  </si>
  <si>
    <t>7;44;49.82639E</t>
  </si>
  <si>
    <t>003973_20230630_08.41_OI104287SEROV1SPRINTNAV500.bin</t>
  </si>
  <si>
    <t>56;02;10.67682N</t>
  </si>
  <si>
    <t>7;44;51.82251E</t>
  </si>
  <si>
    <t>56;02;10.25689N</t>
  </si>
  <si>
    <t>7;44;50.45343E</t>
  </si>
  <si>
    <t>0960_OI104287_SE_BH_087_P18_20230630085149 - 0001.db</t>
  </si>
  <si>
    <t>230630085129.SBD</t>
  </si>
  <si>
    <t>OI104287_SEROV1_ET2200SSS_BH_087_P18.001.jsf</t>
  </si>
  <si>
    <t>56;02;16.22734N</t>
  </si>
  <si>
    <t>7;44;41.55244E</t>
  </si>
  <si>
    <t>56;02;15.83893N</t>
  </si>
  <si>
    <t>7;44;40.11522E</t>
  </si>
  <si>
    <t>003974_20230630_08.56_OI104287SEROV1SPRINTNAV500.bin</t>
  </si>
  <si>
    <t>Rotated NW-SE</t>
  </si>
  <si>
    <t>56;02;16.76630N</t>
  </si>
  <si>
    <t>7;44;41.30813E</t>
  </si>
  <si>
    <t>56;02;16.18791N</t>
  </si>
  <si>
    <t>7;44;40.20997E</t>
  </si>
  <si>
    <t>0961_OI104287_SE_BH_087_P09_20230630090225 - 0001.db</t>
  </si>
  <si>
    <t>230630090207.SBD</t>
  </si>
  <si>
    <t>OI104287_SEROV1_ET2200SSS_BH_087_P09.001.jsf</t>
  </si>
  <si>
    <t>56;02;11.19997N</t>
  </si>
  <si>
    <t>7;44;51.60406E</t>
  </si>
  <si>
    <t>56;02;10.61763N</t>
  </si>
  <si>
    <t>7;44;50.52615E</t>
  </si>
  <si>
    <t>56;02;11.14556N</t>
  </si>
  <si>
    <t>7;44;52.49245E</t>
  </si>
  <si>
    <t>56;02;10.67692N</t>
  </si>
  <si>
    <t>7;44;51.16344E</t>
  </si>
  <si>
    <t>0962_OI104287_SE_BH_087_C00_20230630091350 - 0001.db</t>
  </si>
  <si>
    <t>230630091328.SBD</t>
  </si>
  <si>
    <t>OI104287_SEROV1_ET2200SSS_BH_087_C00.001.jsf</t>
  </si>
  <si>
    <t>003975_20230630_09.11_OI104287SEROV1SPRINTNAV500.bin</t>
  </si>
  <si>
    <t>56;02;16.62399N</t>
  </si>
  <si>
    <t>7;44;42.30831E</t>
  </si>
  <si>
    <t>56;02;16.22638N</t>
  </si>
  <si>
    <t>7;44;40.88227E</t>
  </si>
  <si>
    <t>56;02;17.14973N</t>
  </si>
  <si>
    <t>7;44;42.11662E</t>
  </si>
  <si>
    <t>56;02;16.53854N</t>
  </si>
  <si>
    <t>7;44;41.07267E</t>
  </si>
  <si>
    <t>0963_OI104287_SE_BH_087_S09_20230630092536 - 0001.db</t>
  </si>
  <si>
    <t>230630092524.SBD</t>
  </si>
  <si>
    <t>OI104287_SEROV1_ET2200SSS_BH_087_S09.001.jsf</t>
  </si>
  <si>
    <t>56;02;11.53516N</t>
  </si>
  <si>
    <t>7;44;52.49877E</t>
  </si>
  <si>
    <t>56;02;11.03178N</t>
  </si>
  <si>
    <t>7;44;51.25819E</t>
  </si>
  <si>
    <t>003976_20230630_09.26_OI104287SEROV1SPRINTNAV500.bin</t>
  </si>
  <si>
    <t>56;02;11.56374N</t>
  </si>
  <si>
    <t>7;44;53.21619E</t>
  </si>
  <si>
    <t>56;02;11.07493N</t>
  </si>
  <si>
    <t>7;44;51.92566E</t>
  </si>
  <si>
    <t>0964_OI104287_SE_BH_087_S18_20230630093756 - 0001.db</t>
  </si>
  <si>
    <t>230630093727.SBD</t>
  </si>
  <si>
    <t>OI104287_SEROV1_ET2200SSS_BH_087_S18.001.jsf</t>
  </si>
  <si>
    <t>56;02;17.06824N</t>
  </si>
  <si>
    <t>7;44;42.96696E</t>
  </si>
  <si>
    <t>56;02;16.60658N</t>
  </si>
  <si>
    <t>7;44;41.68824E</t>
  </si>
  <si>
    <t>003977_20230630_09.41_OI104287SEROV1SPRINTNAV500.bin</t>
  </si>
  <si>
    <t>56;02;17.27758N</t>
  </si>
  <si>
    <t>7;44;43.32732E</t>
  </si>
  <si>
    <t>56;02;16.95737N</t>
  </si>
  <si>
    <t>7;44;41.78510E</t>
  </si>
  <si>
    <t>0965_OI104287_SE_BH_087_S27_20230630095053 - 0001.db</t>
  </si>
  <si>
    <t>230630095027.SBD</t>
  </si>
  <si>
    <t>OI104287_SEROV1_ET2200SSS_BH_087_S27.001.jsf</t>
  </si>
  <si>
    <t>56;02;12.02895N</t>
  </si>
  <si>
    <t>7;44;53.09607E</t>
  </si>
  <si>
    <t>56;02;11.40700N</t>
  </si>
  <si>
    <t>7;44;52.06446E</t>
  </si>
  <si>
    <t>003978_20230630_09.56_OI104287SEROV1SPRINTNAV500.bin</t>
  </si>
  <si>
    <t>BH_087 lines rotated to NW-SE direction due to weather conditions (Original N-S)</t>
  </si>
  <si>
    <t>CPT_198 lines rotated to NW-SE direction due to weather conditions (Original N-S)</t>
  </si>
  <si>
    <t>CPT_105 lines rotated to NW-SE direction due to weather conditions (Original N-S)</t>
  </si>
  <si>
    <t>56;02;12.07687N</t>
  </si>
  <si>
    <t>7;44;53.80480E</t>
  </si>
  <si>
    <t>56;02;11.48093N</t>
  </si>
  <si>
    <t>7;44;52.67098E</t>
  </si>
  <si>
    <t>0966_OI104287_SE_BH_087_S36_20230630100138 - 0001.db</t>
  </si>
  <si>
    <t>230630100104.SBD</t>
  </si>
  <si>
    <t>OI104287_SEROV1_ET2200SSS_BH_087_S36.001.jsf</t>
  </si>
  <si>
    <t>56;02;17.61865N</t>
  </si>
  <si>
    <t>7;44;43.47862E</t>
  </si>
  <si>
    <t>56;02;17.09602N</t>
  </si>
  <si>
    <t>7;44;42.27544E</t>
  </si>
  <si>
    <t>56;02;17.83765N</t>
  </si>
  <si>
    <t>7;44;43.86068E</t>
  </si>
  <si>
    <t>56;02;17.44997N</t>
  </si>
  <si>
    <t>7;44;42.38860E</t>
  </si>
  <si>
    <t>0967_OI104287_SE_BH_087_S45_20230630101302 - 0001.db</t>
  </si>
  <si>
    <t>230630101227.SBD</t>
  </si>
  <si>
    <t>OI104287_SEROV1_ET2200SSS_BH_087_S45.001.jsf</t>
  </si>
  <si>
    <t>003979_20230630_10.11_OI104287SEROV1SPRINTNAV500.bin</t>
  </si>
  <si>
    <t>56;02;12.27923N</t>
  </si>
  <si>
    <t>7;44;54.16307E</t>
  </si>
  <si>
    <t>56;02;11.83654N</t>
  </si>
  <si>
    <t>7;44;52.77508E</t>
  </si>
  <si>
    <t>56;02;12.37436N</t>
  </si>
  <si>
    <t>7;44;54.77611E</t>
  </si>
  <si>
    <t>56;02;11.87939N</t>
  </si>
  <si>
    <t>7;44;53.43893E</t>
  </si>
  <si>
    <t>0968_OI104287_SE_BH_087_S54_20230630102420 - 0001.db</t>
  </si>
  <si>
    <t>230630102333.SBD</t>
  </si>
  <si>
    <t>OI104287_SEROV1_ET2200SSS_BH_087_S54.001.jsf</t>
  </si>
  <si>
    <t>56;02;17.87248N</t>
  </si>
  <si>
    <t>7;44;44.56096E</t>
  </si>
  <si>
    <t>56;02;17.39596N</t>
  </si>
  <si>
    <t>7;44;43.22323E</t>
  </si>
  <si>
    <t>003980_20230630_10.26_OI104287SEROV1SPRINTNAV500.bin</t>
  </si>
  <si>
    <t>56;02;18.15597N</t>
  </si>
  <si>
    <t>7;44;44.82286E</t>
  </si>
  <si>
    <t>56;02;17.75459N</t>
  </si>
  <si>
    <t>7;44;43.31647E</t>
  </si>
  <si>
    <t>0969_OI104287_SE_BH_087_S63_20230630103506 - 0001.db</t>
  </si>
  <si>
    <t>230630103443.SBD</t>
  </si>
  <si>
    <t>OI104287_SEROV1_ET2200SSS_BH_087_S63.001.jsf</t>
  </si>
  <si>
    <t>56;02;12.77255N</t>
  </si>
  <si>
    <t>7;44;54.75679E</t>
  </si>
  <si>
    <t>56;02;12.30470N</t>
  </si>
  <si>
    <t>7;44;53.40272E</t>
  </si>
  <si>
    <t>003981_20230630_10.41_OI104287SEROV1SPRINTNAV500.bin</t>
  </si>
  <si>
    <t>56;02;12.83381N</t>
  </si>
  <si>
    <t>7;44;55.33153E</t>
  </si>
  <si>
    <t>56;02;12.38044N</t>
  </si>
  <si>
    <t>7;44;54.01376E</t>
  </si>
  <si>
    <t>0970_OI104287_SE_BH_087_S72_20230630104554 - 0001.db</t>
  </si>
  <si>
    <t>230630104527.SBD</t>
  </si>
  <si>
    <t>OI104287_SEROV1_ET2200SSS_BH_087_S72.002.jsf</t>
  </si>
  <si>
    <t>56;02;18.21647N</t>
  </si>
  <si>
    <t>7;44;45.27753E</t>
  </si>
  <si>
    <t>56;02;17.80196N</t>
  </si>
  <si>
    <t>7;44;43.96855E</t>
  </si>
  <si>
    <t>Rotated</t>
  </si>
  <si>
    <t>56;01;20.35277N</t>
  </si>
  <si>
    <t>7;42;42.46803E</t>
  </si>
  <si>
    <t>56;01;20.10176N</t>
  </si>
  <si>
    <t>7;42;40.78244E</t>
  </si>
  <si>
    <t>OI104287_SE_SVX2_SVP_20230630_1127_560134N_0074270E_079</t>
  </si>
  <si>
    <t>56;01;20.35931N</t>
  </si>
  <si>
    <t>7;42;42.47043E</t>
  </si>
  <si>
    <t>56;01;20.10101N</t>
  </si>
  <si>
    <t>7;42;40.78938E</t>
  </si>
  <si>
    <t>SVP_079</t>
  </si>
  <si>
    <t>ROV in TMS, transit to CPT_225</t>
  </si>
  <si>
    <t>56;01;20.38990N</t>
  </si>
  <si>
    <t>7;42;42.50334E</t>
  </si>
  <si>
    <t>56;01;20.09920N</t>
  </si>
  <si>
    <t>7;42;40.78998E</t>
  </si>
  <si>
    <t>56;01;20.69046N</t>
  </si>
  <si>
    <t>7;42;41.91396E</t>
  </si>
  <si>
    <t>7;42;40.74773E</t>
  </si>
  <si>
    <t>0971_OI104287_SE_CPT_225_P50_20230630113943 - 0001.db</t>
  </si>
  <si>
    <t>230630113923.SBD</t>
  </si>
  <si>
    <t>OI104287_SEROV1_ET2200SSS_CPT_225_P50.001.jsf</t>
  </si>
  <si>
    <t>003984_20230630_11.26_OI104287SEROV1SPRINTNAV500.bin</t>
  </si>
  <si>
    <t>56;01;24.98077N</t>
  </si>
  <si>
    <t>7;42;33.86186E</t>
  </si>
  <si>
    <t>56;01;24.42461N</t>
  </si>
  <si>
    <t>7;42;32.73842E</t>
  </si>
  <si>
    <t>003985_20230630_11.41_OI104287SEROV1SPRINTNAV500.bin</t>
  </si>
  <si>
    <t>56;01;25.38197N</t>
  </si>
  <si>
    <t>7;42;33.84864E</t>
  </si>
  <si>
    <t>56;01;24.89262N</t>
  </si>
  <si>
    <t>7;42;32.60777E</t>
  </si>
  <si>
    <t>0972_OI104287_SE_CPT_225_P41_20230630115012 - 0001.db</t>
  </si>
  <si>
    <t>230630114942.SBD</t>
  </si>
  <si>
    <t>OI104287_SEROV1_ET2200SSS_CPT_225_P41.001.jsf</t>
  </si>
  <si>
    <t>56;01;21.03928N</t>
  </si>
  <si>
    <t>7;42;41.92255E</t>
  </si>
  <si>
    <t>56;01;20.45209N</t>
  </si>
  <si>
    <t>7;42;40.84188E</t>
  </si>
  <si>
    <t>56;01;21.02203N</t>
  </si>
  <si>
    <t>7;42;42.73886E</t>
  </si>
  <si>
    <t>56;01;20.52481N</t>
  </si>
  <si>
    <t>7;42;41.45775E</t>
  </si>
  <si>
    <t>0973_OI104287_SE_CPT_225_P32_20230630120018 - 0001.db</t>
  </si>
  <si>
    <t>230630115959.SBD</t>
  </si>
  <si>
    <t>OI104287_SEROV1_ET2200SSS_CPT_225_P32.001.jsf</t>
  </si>
  <si>
    <t>003986_20230630_11.56_OI104287SEROV1SPRINTNAV500.bin</t>
  </si>
  <si>
    <t>56;01;25.33645N</t>
  </si>
  <si>
    <t>7;42;34.72778E</t>
  </si>
  <si>
    <t>56;01;24.85234N</t>
  </si>
  <si>
    <t>7;42;33.44331E</t>
  </si>
  <si>
    <t>CPT_225 lines rotated to NW-SE direction due to weather conditions (Original N-S)</t>
  </si>
  <si>
    <t>56;01;25.70328N</t>
  </si>
  <si>
    <t>7;42;34.78299E</t>
  </si>
  <si>
    <t>56;01;25.19452N</t>
  </si>
  <si>
    <t>7;42;33.56371E</t>
  </si>
  <si>
    <t>0974_OI104287_SE_CPT_225_P23_20230630120945 - 0001.db</t>
  </si>
  <si>
    <t>230630120912.SBD</t>
  </si>
  <si>
    <t>OI104287_SEROV1_ET2200SSS_CPT_225_P23.001.jsf</t>
  </si>
  <si>
    <t>56;01;21.43925N</t>
  </si>
  <si>
    <t>7;42;42.67911E</t>
  </si>
  <si>
    <t>56;01;20.86971N</t>
  </si>
  <si>
    <t>7;42;41.57302E</t>
  </si>
  <si>
    <t>003987_20230630_12.11_OI104287SEROV1SPRINTNAV500.bin</t>
  </si>
  <si>
    <t>56;01;21.37671N</t>
  </si>
  <si>
    <t>7;42;43.44545E</t>
  </si>
  <si>
    <t>56;01;20.91045N</t>
  </si>
  <si>
    <t>7;42;42.22932E</t>
  </si>
  <si>
    <t>0975_OI104287_SE_CPT_225_P14_20230630121930 - 0001.db</t>
  </si>
  <si>
    <t>230630121905.SBD</t>
  </si>
  <si>
    <t>OI104287_SEROV1_ET2200SSS_CPT_225_P14.001.jsf</t>
  </si>
  <si>
    <t>56;01;25.66629N</t>
  </si>
  <si>
    <t>7;42;35.53191E</t>
  </si>
  <si>
    <t>56;01;25.24627N</t>
  </si>
  <si>
    <t>7;42;34.20583E</t>
  </si>
  <si>
    <t>56;01;26.10216N</t>
  </si>
  <si>
    <t>7;42;35.40716E</t>
  </si>
  <si>
    <t>56;01;25.60822N</t>
  </si>
  <si>
    <t>7;42;34.29454E</t>
  </si>
  <si>
    <t>0976_OI104287_SE_CPT_225_P05_20230630122937 - 0001.db</t>
  </si>
  <si>
    <t>230630122929.SBD</t>
  </si>
  <si>
    <t>OI104287_SEROV1_ET2200SSS_CPT_225_P05.001.jsf</t>
  </si>
  <si>
    <t>003988_20230630_12.26_OI104287SEROV1SPRINTNAV500.bin</t>
  </si>
  <si>
    <t>56;01;21.73831N</t>
  </si>
  <si>
    <t>7;42;43.46751E</t>
  </si>
  <si>
    <t>56;01;21.26560N</t>
  </si>
  <si>
    <t>7;42;42.34036E</t>
  </si>
  <si>
    <t>56;01;22.13648N</t>
  </si>
  <si>
    <t>7;42;43.58865E</t>
  </si>
  <si>
    <t>56;01;21.30679N</t>
  </si>
  <si>
    <t>7;42;42.99697E</t>
  </si>
  <si>
    <t>0977_OI104287_SE_CPT_225_S05_20230630124028 - 0001.db</t>
  </si>
  <si>
    <t>230630123949.SBD</t>
  </si>
  <si>
    <t>OI104287_SEROV1_ET2200SSS_CPT_225_S05.001.jsf</t>
  </si>
  <si>
    <t>56;01;26.26950N</t>
  </si>
  <si>
    <t>7;42;35.92976E</t>
  </si>
  <si>
    <t>56;01;25.67430N</t>
  </si>
  <si>
    <t>7;42;34.90950E</t>
  </si>
  <si>
    <t>003989_20230630_12.41_OI104287SEROV1SPRINTNAV500.bin</t>
  </si>
  <si>
    <t>56;01;26.58700N</t>
  </si>
  <si>
    <t>7;42;36.11227E</t>
  </si>
  <si>
    <t>56;01;26.02312N</t>
  </si>
  <si>
    <t>7;42;35.01964E</t>
  </si>
  <si>
    <t>0978_OI104287_SE_CPT_225_S14_20230630125001 - 0001.db</t>
  </si>
  <si>
    <t>230630124905.SBD</t>
  </si>
  <si>
    <t>OI104287_SEROV1_ET2200SSS_CPT_225_S14.001.jsf</t>
  </si>
  <si>
    <t>56;01;22.29719N</t>
  </si>
  <si>
    <t>7;42;43.99202E</t>
  </si>
  <si>
    <t>56;01;21.66391N</t>
  </si>
  <si>
    <t>7;42;43.09111E</t>
  </si>
  <si>
    <t>56;01;22.07273N</t>
  </si>
  <si>
    <t>7;42;45.15382E</t>
  </si>
  <si>
    <t>56;01;21.71883N</t>
  </si>
  <si>
    <t>7;42;43.71996E</t>
  </si>
  <si>
    <t>0979_OI104287_SE_CPT_225_S23_20230630125930 - 0001.db</t>
  </si>
  <si>
    <t>230630125921.SBD</t>
  </si>
  <si>
    <t>OI104287_SEROV1_ET2200SSS_CPT_225_S23.001.jsf</t>
  </si>
  <si>
    <t>003990_20230630_12.56_OI104287SEROV1SPRINTNAV500.bin</t>
  </si>
  <si>
    <t>56;01;26.59564N</t>
  </si>
  <si>
    <t>7;42;36.70905E</t>
  </si>
  <si>
    <t>56;01;26.05435N</t>
  </si>
  <si>
    <t>7;42;35.69043E</t>
  </si>
  <si>
    <t>56;01;27.00108N</t>
  </si>
  <si>
    <t>7;42;36.83637E</t>
  </si>
  <si>
    <t>56;01;26.40453N</t>
  </si>
  <si>
    <t>7;42;35.80540E</t>
  </si>
  <si>
    <t>0980_OI104287_SE_CPT_225_S32_20230630130923 - 0001.db</t>
  </si>
  <si>
    <t>230630130841.SBD</t>
  </si>
  <si>
    <t>OI104287_SEROV1_ET2200SSS_CPT_225_S32.001.jsf</t>
  </si>
  <si>
    <t>56;01;22.54850N</t>
  </si>
  <si>
    <t>7;42;45.08127E</t>
  </si>
  <si>
    <t>56;01;22.03355N</t>
  </si>
  <si>
    <t>7;42;43.89799E</t>
  </si>
  <si>
    <t>003991_20230630_13.11_OI104287SEROV1SPRINTNAV500.bin</t>
  </si>
  <si>
    <t>56;01;22.55791N</t>
  </si>
  <si>
    <t>7;42;45.91354E</t>
  </si>
  <si>
    <t>56;01;22.08651N</t>
  </si>
  <si>
    <t>7;42;44.54977E</t>
  </si>
  <si>
    <t>0981_OI104287_SE_CPT_225_S41_20230630131927 - 0001.db</t>
  </si>
  <si>
    <t>230630131856.SBD</t>
  </si>
  <si>
    <t>OI104287_SEROV1_ET2200SSS_CPT_225_S41.001.jsf</t>
  </si>
  <si>
    <t>56;01;26.90508N</t>
  </si>
  <si>
    <t>7;42;37.80066E</t>
  </si>
  <si>
    <t>56;01;26.46775N</t>
  </si>
  <si>
    <t>7;42;36.43273E</t>
  </si>
  <si>
    <t>56;01;27.32528N</t>
  </si>
  <si>
    <t>7;42;37.80711E</t>
  </si>
  <si>
    <t>56;01;26.83090N</t>
  </si>
  <si>
    <t>7;42;36.51873E</t>
  </si>
  <si>
    <t>0982_OI104287_SE_CPT_225_S50_20230630132858 - 0001.db</t>
  </si>
  <si>
    <t>230630132840.SBD</t>
  </si>
  <si>
    <t>OI104287_SEROV1_ET2200SSS_CPT_225_S50.001.jsf</t>
  </si>
  <si>
    <t>003992_20230630_13.26_OI104287SEROV1SPRINTNAV500.bin</t>
  </si>
  <si>
    <t>56;01;22.86058N</t>
  </si>
  <si>
    <t>7;42;46.05492E</t>
  </si>
  <si>
    <t>56;01;22.43081N</t>
  </si>
  <si>
    <t>7;42;44.66926E</t>
  </si>
  <si>
    <t>56;01;21.80669N</t>
  </si>
  <si>
    <t>7;42;47.71941E</t>
  </si>
  <si>
    <t>56;01;21.79215N</t>
  </si>
  <si>
    <t>7;42;47.07540E</t>
  </si>
  <si>
    <t>ROV in latch. Transit to CPT_250</t>
  </si>
  <si>
    <t>OI104287_SE_SVX2_SVP_20230630_1412_560121N_0074556E_080</t>
  </si>
  <si>
    <t>56;01;12.60388N</t>
  </si>
  <si>
    <t>7;45;33.75562E</t>
  </si>
  <si>
    <t>56;01;12.13650N</t>
  </si>
  <si>
    <t>7;45;33.40371E</t>
  </si>
  <si>
    <t>SVP_080</t>
  </si>
  <si>
    <t>56;01;12.91159N</t>
  </si>
  <si>
    <t>7;45;35.68780E</t>
  </si>
  <si>
    <t>56;01;12.00962N</t>
  </si>
  <si>
    <t>7;45;35.45258E</t>
  </si>
  <si>
    <t>0983_OI104287_SE_CPT_250_S50_20230630142535 - 0001.db</t>
  </si>
  <si>
    <t>230630142455.SBD</t>
  </si>
  <si>
    <t>OI104287_SEROV1_ET2200SSS_CPT_250_S50.001.jsf</t>
  </si>
  <si>
    <t>003995_20230630_14.11_OI104287SEROV1SPRINTNAV500.bin</t>
  </si>
  <si>
    <t>56;01;14.39907N</t>
  </si>
  <si>
    <t>7;45;46.57379E</t>
  </si>
  <si>
    <t>56;01;13.52077N</t>
  </si>
  <si>
    <t>7;45;46.19543E</t>
  </si>
  <si>
    <t>003996_20230630_14.26_OI104287SEROV1SPRINTNAV500.bin</t>
  </si>
  <si>
    <t>56;01;14.74042N</t>
  </si>
  <si>
    <t>7;45;46.44492E</t>
  </si>
  <si>
    <t>56;01;13.86356N</t>
  </si>
  <si>
    <t>7;45;46.51408E</t>
  </si>
  <si>
    <t>0984_OI104287_SE_CPT_250_S41_20230630143523 - 0001.db</t>
  </si>
  <si>
    <t>230630143503.SBD</t>
  </si>
  <si>
    <t>OI104287_SEROV1_ET2200SSS_CPT_250_S41.001.jsf</t>
  </si>
  <si>
    <t>56;01;13.23221N</t>
  </si>
  <si>
    <t>7;45;35.70155E</t>
  </si>
  <si>
    <t>56;01;12.34290N</t>
  </si>
  <si>
    <t>7;45;35.68885E</t>
  </si>
  <si>
    <t>56;01;13.38442N</t>
  </si>
  <si>
    <t>7;45;34.77710E</t>
  </si>
  <si>
    <t>56;01;12.58581N</t>
  </si>
  <si>
    <t>7;45;35.24498E</t>
  </si>
  <si>
    <t>0985_OI104287_SE_CPT_250_S32_20230630144411 - 0001.db</t>
  </si>
  <si>
    <t>230630144357.SBD</t>
  </si>
  <si>
    <t>OI104287_SEROV1_ET2200SSS_CPT_250_S32.001.jsf</t>
  </si>
  <si>
    <t>003997_20230630_14.41_OI104287SEROV1SPRINTNAV500.bin</t>
  </si>
  <si>
    <t>56;01;14.97550N</t>
  </si>
  <si>
    <t>7;45;46.12326E</t>
  </si>
  <si>
    <t>56;01;14.10315N</t>
  </si>
  <si>
    <t>7;45;46.03098E</t>
  </si>
  <si>
    <t>56;01;15.32407N</t>
  </si>
  <si>
    <t>7;45;46.58484E</t>
  </si>
  <si>
    <t>56;01;14.43402N</t>
  </si>
  <si>
    <t>7;45;46.23043E</t>
  </si>
  <si>
    <t>0986_OI104287_SE_CPT_250_S23_20230630145422 - 0001.db</t>
  </si>
  <si>
    <t>230630145410.SBD</t>
  </si>
  <si>
    <t>OI104287_SEROV1_ET2200SSS_CPT_250_S23.001.jsf</t>
  </si>
  <si>
    <t>56;01;13.76085N</t>
  </si>
  <si>
    <t>7;45;35.64121E</t>
  </si>
  <si>
    <t>56;01;12.91909N</t>
  </si>
  <si>
    <t>7;45;35.48487E</t>
  </si>
  <si>
    <t>003998_20230630_14.56_OI104287SEROV1SPRINTNAV500.bin</t>
  </si>
  <si>
    <t>56;01;13.94984N</t>
  </si>
  <si>
    <t>7;45;34.71240E</t>
  </si>
  <si>
    <t>56;01;13.14676N</t>
  </si>
  <si>
    <t>7;45;34.97009E</t>
  </si>
  <si>
    <t>0987_OI104287_SE_CPT_250_S14_20230630150352 - 0001.db</t>
  </si>
  <si>
    <t>230630150315.SBD</t>
  </si>
  <si>
    <t>OI104287_SEROV1_ET2200SSS_CPT_250_S14.001.jsf</t>
  </si>
  <si>
    <t>56;01;15.44565N</t>
  </si>
  <si>
    <t>7;45;45.34617E</t>
  </si>
  <si>
    <t>56;01;14.66350N</t>
  </si>
  <si>
    <t>7;45;45.74763E</t>
  </si>
  <si>
    <t>56;01;15.84439N</t>
  </si>
  <si>
    <t>7;45;45.94873E</t>
  </si>
  <si>
    <t>56;01;14.99255N</t>
  </si>
  <si>
    <t>7;45;45.96037E</t>
  </si>
  <si>
    <t>0988_OI104287_SE_CPT_250_S05_20230630151347 - 0001.db</t>
  </si>
  <si>
    <t>230630151320.SBD</t>
  </si>
  <si>
    <t>OI104287_SEROV1_ET2200SSS_CPT_250_S05.001.jsf</t>
  </si>
  <si>
    <t>003999_20230630_15.11_OI104287SEROV1SPRINTNAV500.bin</t>
  </si>
  <si>
    <t>56;01;14.32496N</t>
  </si>
  <si>
    <t>7;45;35.18921E</t>
  </si>
  <si>
    <t>56;01;13.48034N</t>
  </si>
  <si>
    <t>7;45;35.22778E</t>
  </si>
  <si>
    <t>56;01;14.52424N</t>
  </si>
  <si>
    <t>7;45;34.40586E</t>
  </si>
  <si>
    <t>56;01;13.72234N</t>
  </si>
  <si>
    <t>7;45;34.78843E</t>
  </si>
  <si>
    <t>0989_OI104287_SE_CPT_250_P05_20230630152349 - 0001.db</t>
  </si>
  <si>
    <t>230630152316.SBD</t>
  </si>
  <si>
    <t>OI104287_SEROV1_ET2200SSS_CPT_250_P05.001.jsf</t>
  </si>
  <si>
    <t>56;01;15.98914N</t>
  </si>
  <si>
    <t>7;45;44.97748E</t>
  </si>
  <si>
    <t>56;01;15.23139N</t>
  </si>
  <si>
    <t>7;45;45.48813E</t>
  </si>
  <si>
    <t>004000_20230630_15.26_OI104287SEROV1SPRINTNAV500.bin</t>
  </si>
  <si>
    <t>56;01;16.35488N</t>
  </si>
  <si>
    <t>7;45;45.42348E</t>
  </si>
  <si>
    <t>56;01;15.55954N</t>
  </si>
  <si>
    <t>7;45;45.71988E</t>
  </si>
  <si>
    <t>0990_OI104287_SE_CPT_250_P14_20230630153341 - 0001.db</t>
  </si>
  <si>
    <t>230630153300.SBD</t>
  </si>
  <si>
    <t>OI104287_SEROV1_ET2200SSS_CPT_250_P14.001.jsf</t>
  </si>
  <si>
    <t>56;01;14.86327N</t>
  </si>
  <si>
    <t>7;45;34.77372E</t>
  </si>
  <si>
    <t>56;01;14.05366N</t>
  </si>
  <si>
    <t>7;45;35.01897E</t>
  </si>
  <si>
    <t>56;01;15.15707N</t>
  </si>
  <si>
    <t>7;45;34.57732E</t>
  </si>
  <si>
    <t>56;01;14.27696N</t>
  </si>
  <si>
    <t>7;45;34.48397E</t>
  </si>
  <si>
    <t>0991_OI104287_SE_CPT_250_P23_20230630154426 - 0001.db</t>
  </si>
  <si>
    <t>230630154340.SBD</t>
  </si>
  <si>
    <t>OI104287_SEROV1_ET2200SSS_CPT_250_P23.001.jsf</t>
  </si>
  <si>
    <t>004001_20230630_15.41_OI104287SEROV1SPRINTNAV500.bin</t>
  </si>
  <si>
    <t>56;01;16.69160N</t>
  </si>
  <si>
    <t>7;45;45.65362E</t>
  </si>
  <si>
    <t>56;01;15.80139N</t>
  </si>
  <si>
    <t>7;45;45.29049E</t>
  </si>
  <si>
    <t>56;01;16.95074N</t>
  </si>
  <si>
    <t>7;45;45.42323E</t>
  </si>
  <si>
    <t>56;01;16.12607N</t>
  </si>
  <si>
    <t>7;45;45.52827E</t>
  </si>
  <si>
    <t>0992_OI104287_SE_CPT_250_P32_20230630155518 - 0001.db</t>
  </si>
  <si>
    <t>230630155438.SBD</t>
  </si>
  <si>
    <t>OI104287_SEROV1_ET2200SSS_CPT_250_P32.001.jsf</t>
  </si>
  <si>
    <t>56;01;15.41478N</t>
  </si>
  <si>
    <t>7;45;34.48394E</t>
  </si>
  <si>
    <t>56;01;14.60752N</t>
  </si>
  <si>
    <t>7;45;34.71782E</t>
  </si>
  <si>
    <t>004002_20230630_15.56_OI104287SEROV1SPRINTNAV500.bin</t>
  </si>
  <si>
    <t>56;01;15.77035N</t>
  </si>
  <si>
    <t>7;45;34.19626E</t>
  </si>
  <si>
    <t>56;01;14.83987N</t>
  </si>
  <si>
    <t>7;45;34.20968E</t>
  </si>
  <si>
    <t>0993_OI104287_SE_CPT_250_P41_20230630160528 - 0001.db</t>
  </si>
  <si>
    <t>230630160447.SBD</t>
  </si>
  <si>
    <t>OI104287_SEROV1_ET2200SSS_CPT_250_P41.001.jsf</t>
  </si>
  <si>
    <t>56;01;17.23593N</t>
  </si>
  <si>
    <t>7;45;45.03730E</t>
  </si>
  <si>
    <t>56;01;16.37185N</t>
  </si>
  <si>
    <t>7;45;45.05150E</t>
  </si>
  <si>
    <t>56;01;17.46667N</t>
  </si>
  <si>
    <t>7;45;44.84963E</t>
  </si>
  <si>
    <t>56;01;16.69789N</t>
  </si>
  <si>
    <t>7;45;45.29351E</t>
  </si>
  <si>
    <t>0994_OI104287_SE_CPT_250_P50_20230630161528 - 0001.db</t>
  </si>
  <si>
    <t>230630161432.SBD</t>
  </si>
  <si>
    <t>OI104287_SEROV1_ET2200SSS_CPT_250_P50.001.jsf</t>
  </si>
  <si>
    <t>004003_20230630_16.11_OI104287SEROV1SPRINTNAV500.bin</t>
  </si>
  <si>
    <t>56;01;15.97607N</t>
  </si>
  <si>
    <t>7;45;34.06805E</t>
  </si>
  <si>
    <t>56;01;15.17074N</t>
  </si>
  <si>
    <t>7;45;34.45862E</t>
  </si>
  <si>
    <t>56;01;15.78894N</t>
  </si>
  <si>
    <t>7;45;32.64001E</t>
  </si>
  <si>
    <t>56;01;15.35571N</t>
  </si>
  <si>
    <t>7;45;32.61403E</t>
  </si>
  <si>
    <t>Transit to BH_131, ROV latched</t>
  </si>
  <si>
    <t>56;00;26.02187N</t>
  </si>
  <si>
    <t>7;42;59.35177E</t>
  </si>
  <si>
    <t>56;00;25.69303N</t>
  </si>
  <si>
    <t>7;42;59.63689E</t>
  </si>
  <si>
    <t>On location waiting for rotated lines</t>
  </si>
  <si>
    <t>OI104287_SE_SVX2_SVP_20230630_1747_560037N_0074292E_081</t>
  </si>
  <si>
    <t>56;00;22.41345N</t>
  </si>
  <si>
    <t>7;42;55.16019E</t>
  </si>
  <si>
    <t>56;00;21.66575N</t>
  </si>
  <si>
    <t>7;42;55.42538E</t>
  </si>
  <si>
    <t>SVP_081</t>
  </si>
  <si>
    <t>56;00;22.61000N</t>
  </si>
  <si>
    <t>7;42;56.73061E</t>
  </si>
  <si>
    <t>56;00;21.92057N</t>
  </si>
  <si>
    <t>7;42;57.29774E</t>
  </si>
  <si>
    <t>0995_OI104287_SE_BH_131_P72_20230630175533 - 0001.db</t>
  </si>
  <si>
    <t>230630175451.SBD</t>
  </si>
  <si>
    <t>OI104287_SEROV1_ET2200SSS_BH_131_P72.001.jsf</t>
  </si>
  <si>
    <t>004009_20230630_17.41_OI104287SEROV1SPRINTNAV500.bin</t>
  </si>
  <si>
    <t>56;00;24.41555N</t>
  </si>
  <si>
    <t>7;43;09.71075E</t>
  </si>
  <si>
    <t>56;00;23.78131N</t>
  </si>
  <si>
    <t>7;43;10.50014E</t>
  </si>
  <si>
    <t>004010_20230630_17.56_OI104287SEROV1SPRINTNAV500.bin</t>
  </si>
  <si>
    <t>56;00;24.38670N</t>
  </si>
  <si>
    <t>7;43;10.94264E</t>
  </si>
  <si>
    <t>56;00;23.55620N</t>
  </si>
  <si>
    <t>7;43;11.03423E</t>
  </si>
  <si>
    <t>0996_OI104287_SE_BH_131_P63_20230630180700 - 0001.db</t>
  </si>
  <si>
    <t>230630180602.SBD</t>
  </si>
  <si>
    <t>OI104287_SEROV1_ET2200SSS_BH_131_P63.001.jsf</t>
  </si>
  <si>
    <t>56;00;22.52990N</t>
  </si>
  <si>
    <t>7;42;57.46861E</t>
  </si>
  <si>
    <t>56;00;21.68385N</t>
  </si>
  <si>
    <t>7;42;57.70449E</t>
  </si>
  <si>
    <t>004011_20230630_18.11_OI104287SEROV1SPRINTNAV500.bin</t>
  </si>
  <si>
    <t>56;00;22.15060N</t>
  </si>
  <si>
    <t>7;42;56.86512E</t>
  </si>
  <si>
    <t>56;00;21.35796N</t>
  </si>
  <si>
    <t>7;42;57.51107E</t>
  </si>
  <si>
    <t>0997_OI104287_SE_BH_131_P54_20230630181808 - 0001.db</t>
  </si>
  <si>
    <t>230630181723.SBD</t>
  </si>
  <si>
    <t>OI104287_SEROV1_ET2200SSS_BH_131_P54.001.jsf</t>
  </si>
  <si>
    <t>56;00;23.98853N</t>
  </si>
  <si>
    <t>7;43;09.96024E</t>
  </si>
  <si>
    <t>56;00;23.21990N</t>
  </si>
  <si>
    <t>7;43;10.78801E</t>
  </si>
  <si>
    <t>56;00;23.75317N</t>
  </si>
  <si>
    <t>7;43;10.74014E</t>
  </si>
  <si>
    <t>56;00;22.98891N</t>
  </si>
  <si>
    <t>7;43;11.31003E</t>
  </si>
  <si>
    <t>0998_OI104287_SE_BH_131_P45_20230630182905 - 0001.db</t>
  </si>
  <si>
    <t>230630182811.SBD</t>
  </si>
  <si>
    <t>OI104287_SEROV1_ET2200SSS_BH_131_P45.001.jsf</t>
  </si>
  <si>
    <t>004012_20230630_18.26_OI104287SEROV1SPRINTNAV500.bin</t>
  </si>
  <si>
    <t>56;00;22.31191N</t>
  </si>
  <si>
    <t>7;43;00.18880E</t>
  </si>
  <si>
    <t>56;00;21.62124N</t>
  </si>
  <si>
    <t>7;43;01.53640E</t>
  </si>
  <si>
    <t>56;00;21.82197N</t>
  </si>
  <si>
    <t>7;42;56.60788E</t>
  </si>
  <si>
    <t>56;00;21.11656N</t>
  </si>
  <si>
    <t>7;42;57.94921E</t>
  </si>
  <si>
    <t>Motion (-5 pitch) on ROV, grad data slightly affected</t>
  </si>
  <si>
    <t>56;00;21.53985N</t>
  </si>
  <si>
    <t>7;42;56.89497E</t>
  </si>
  <si>
    <t>56;00;20.77800N</t>
  </si>
  <si>
    <t>7;42;57.67462E</t>
  </si>
  <si>
    <t>0999_OI104287_SE_BH_131_P36_20230630184104 - 0001.db</t>
  </si>
  <si>
    <t>230630184012.SBD</t>
  </si>
  <si>
    <t>OI104287_SEROV1_ET2200SSS_BH_131_P36.001.jsf</t>
  </si>
  <si>
    <t>56;00;23.40307N</t>
  </si>
  <si>
    <t>7;43;10.23463E</t>
  </si>
  <si>
    <t>56;00;22.65835N</t>
  </si>
  <si>
    <t>7;43;11.08432E</t>
  </si>
  <si>
    <t>004013_20230630_18.41_OI104287SEROV1SPRINTNAV500.bin</t>
  </si>
  <si>
    <t>56;00;23.20420N</t>
  </si>
  <si>
    <t>7;43;10.93303E</t>
  </si>
  <si>
    <t>56;00;22.42434N</t>
  </si>
  <si>
    <t>7;43;11.55233E</t>
  </si>
  <si>
    <t>1000_OI104287_SE_BH_131_P27_20230630185159 - 0001.db</t>
  </si>
  <si>
    <t>230630185119.SBD</t>
  </si>
  <si>
    <t>OI104287_SEROV1_ET2200SSS_BH_131_P27.001.jsf</t>
  </si>
  <si>
    <t>56;00;21.36786N</t>
  </si>
  <si>
    <t>7;42;57.61356E</t>
  </si>
  <si>
    <t>56;00;20.54807N</t>
  </si>
  <si>
    <t>7;42;58.15862E</t>
  </si>
  <si>
    <t>004014_20230630_18.56_OI104287SEROV1SPRINTNAV500.bin</t>
  </si>
  <si>
    <t>56;00;20.94963N</t>
  </si>
  <si>
    <t>7;42;56.66446E</t>
  </si>
  <si>
    <t>56;00;20.21102N</t>
  </si>
  <si>
    <t>7;42;57.90787E</t>
  </si>
  <si>
    <t>1001_OI104287_SE_BH_131_P18_20230630190204 - 0001.db</t>
  </si>
  <si>
    <t>230630190131.SBD</t>
  </si>
  <si>
    <t>OI104287_SEROV1_ET2200SSS_BH_131_P18.001.jsf</t>
  </si>
  <si>
    <t>56;00;22.76756N</t>
  </si>
  <si>
    <t>7;43;09.89604E</t>
  </si>
  <si>
    <t>56;00;22.09408N</t>
  </si>
  <si>
    <t>7;43;11.34805E</t>
  </si>
  <si>
    <t>56;00;22.70133N</t>
  </si>
  <si>
    <t>7;43;11.82807E</t>
  </si>
  <si>
    <t>56;00;21.87048N</t>
  </si>
  <si>
    <t>7;43;11.89603E</t>
  </si>
  <si>
    <t>1002_OI104287_SE_BH_131_P09_20230630191143 - 0001.db</t>
  </si>
  <si>
    <t>230630191114.SBD</t>
  </si>
  <si>
    <t>OI104287_SEROV1_ET2200SSS_BH_131_P09.001.jsf</t>
  </si>
  <si>
    <t>004015_20230630_19.11_OI104287SEROV1SPRINTNAV500.bin</t>
  </si>
  <si>
    <t>56;00;20.88469N</t>
  </si>
  <si>
    <t>7;42;58.65278E</t>
  </si>
  <si>
    <t>56;00;19.97550N</t>
  </si>
  <si>
    <t>7;42;58.37920E</t>
  </si>
  <si>
    <t>56;00;20.37820N</t>
  </si>
  <si>
    <t>7;42;57.12585E</t>
  </si>
  <si>
    <t>56;00;19.64856N</t>
  </si>
  <si>
    <t>7;42;58.15530E</t>
  </si>
  <si>
    <t>1003_OI104287_SE_BH_131_C00_20230630192200 - 0001.db</t>
  </si>
  <si>
    <t>230630192127.SBD</t>
  </si>
  <si>
    <t>OI104287_SEROV1_ET2200SSS_BH_131_C00.001.jsf</t>
  </si>
  <si>
    <t>56;00;22.19886N</t>
  </si>
  <si>
    <t>7;43;10.32418E</t>
  </si>
  <si>
    <t>56;00;21.53614N</t>
  </si>
  <si>
    <t>7;43;11.62596E</t>
  </si>
  <si>
    <t>004016_20230630_19.26_OI104287SEROV1SPRINTNAV500.bin</t>
  </si>
  <si>
    <t>56;00;22.22552N</t>
  </si>
  <si>
    <t>7;43;12.21255E</t>
  </si>
  <si>
    <t>56;00;21.30621N</t>
  </si>
  <si>
    <t>7;43;12.12837E</t>
  </si>
  <si>
    <t>1004_OI104287_SE_BH_131_S09_20230630193202 - 0001.db</t>
  </si>
  <si>
    <t>230630193129.SBD</t>
  </si>
  <si>
    <t>OI104287_SEROV1_ET2200SSS_BH_131_S09.001.jsf</t>
  </si>
  <si>
    <t>56;00;20.34133N</t>
  </si>
  <si>
    <t>7;42;58.71584E</t>
  </si>
  <si>
    <t>56;00;19.40821N</t>
  </si>
  <si>
    <t>7;42;58.58469E</t>
  </si>
  <si>
    <t>56;00;19.77150N</t>
  </si>
  <si>
    <t>7;42;56.96479E</t>
  </si>
  <si>
    <t>56;00;19.08278N</t>
  </si>
  <si>
    <t>7;42;58.33726E</t>
  </si>
  <si>
    <t>1005_OI104287_SE_BH_131_S18_20230630194241 - 0001.db</t>
  </si>
  <si>
    <t>230630194209.SBD</t>
  </si>
  <si>
    <t>OI104287_SEROV1_ET2200SSS_BH_131_S18.001.jsf</t>
  </si>
  <si>
    <t>004017_20230630_19.41_OI104287SEROV1SPRINTNAV500.bin</t>
  </si>
  <si>
    <t>56;00;21.67110N</t>
  </si>
  <si>
    <t>7;43;10.75694E</t>
  </si>
  <si>
    <t>56;00;20.97474N</t>
  </si>
  <si>
    <t>7;43;11.86827E</t>
  </si>
  <si>
    <t>56;00;21.60663N</t>
  </si>
  <si>
    <t>7;43;12.52080E</t>
  </si>
  <si>
    <t>56;00;20.73364N</t>
  </si>
  <si>
    <t>1006_OI104287_SE_BH_131_S27_20230630195334 - 0001.db</t>
  </si>
  <si>
    <t>230630195246.SBD</t>
  </si>
  <si>
    <t>OI104287_SEROV1_ET2200SSS_BH_131_S27.001.jsf</t>
  </si>
  <si>
    <t>56;00;19.72759N</t>
  </si>
  <si>
    <t>7;42;58.90018E</t>
  </si>
  <si>
    <t>56;00;18.83444N</t>
  </si>
  <si>
    <t>7;42;58.78626E</t>
  </si>
  <si>
    <t>004018_20230630_19.56_OI104287SEROV1SPRINTNAV500.bin</t>
  </si>
  <si>
    <t>56;00;19.17234N</t>
  </si>
  <si>
    <t>7;42;57.14376E</t>
  </si>
  <si>
    <t>56;00;18.50342N</t>
  </si>
  <si>
    <t>7;42;58.54275E</t>
  </si>
  <si>
    <t>1007_OI104287_SE_BH_131_S36_20230630200402 - 0001.db</t>
  </si>
  <si>
    <t>230630200335.SBD</t>
  </si>
  <si>
    <t>OI104287_SEROV1_ET2200SSS_BH_131_S36.001.jsf</t>
  </si>
  <si>
    <t>56;00;21.18849N</t>
  </si>
  <si>
    <t>7;43;11.58235E</t>
  </si>
  <si>
    <t>56;00;20.40474N</t>
  </si>
  <si>
    <t>7;43;12.12898E</t>
  </si>
  <si>
    <t>56;00;20.94751N</t>
  </si>
  <si>
    <t>7;43;12.17279E</t>
  </si>
  <si>
    <t>56;00;20.16922N</t>
  </si>
  <si>
    <t>7;43;12.58100E</t>
  </si>
  <si>
    <t>1008_OI104287_SE_BH_131_S45_20230630201617 - 0001.db</t>
  </si>
  <si>
    <t>230630201520.SBD</t>
  </si>
  <si>
    <t>OI104287_SEROV1_ET2200SSS_BH_131_S45.001.jsf</t>
  </si>
  <si>
    <t>004019_20230630_20.11_OI104287SEROV1SPRINTNAV500.bin</t>
  </si>
  <si>
    <t>56;00;19.03860N</t>
  </si>
  <si>
    <t>7;42;58.42865E</t>
  </si>
  <si>
    <t>56;00;18.25599N</t>
  </si>
  <si>
    <t>7;42;58.95252E</t>
  </si>
  <si>
    <t>56;00;18.73034N</t>
  </si>
  <si>
    <t>7;42;58.09710E</t>
  </si>
  <si>
    <t>56;00;17.92708N</t>
  </si>
  <si>
    <t>7;42;58.69061E</t>
  </si>
  <si>
    <t>1009_OI104287_SE_BH_131_S54_20230630202754 - 0001.db</t>
  </si>
  <si>
    <t>230630202723.SBD</t>
  </si>
  <si>
    <t>OI104287_SEROV1_ET2200SSS_BH_131_S54.001.jsf</t>
  </si>
  <si>
    <t>004020_20230630_20.26_OI104287SEROV1SPRINTNAV500.bin</t>
  </si>
  <si>
    <t>56;00;20.63827N</t>
  </si>
  <si>
    <t>7;43;11.87774E</t>
  </si>
  <si>
    <t>56;00;19.84530N</t>
  </si>
  <si>
    <t>7;43;12.38939E</t>
  </si>
  <si>
    <t>56;00;20.36862N</t>
  </si>
  <si>
    <t>7;43;12.20641E</t>
  </si>
  <si>
    <t>56;00;19.61506N</t>
  </si>
  <si>
    <t>7;43;12.86464E</t>
  </si>
  <si>
    <t>1010_OI104287_SE_BH_131_S63_20230630204030 - 0001.db</t>
  </si>
  <si>
    <t>230630203939.SBD</t>
  </si>
  <si>
    <t>OI104287_SEROV1_ET2200SSS_BH_131_S63.001.jsf</t>
  </si>
  <si>
    <t>56;00;18.43438N</t>
  </si>
  <si>
    <t>7;42;58.25111E</t>
  </si>
  <si>
    <t>56;00;17.68583N</t>
  </si>
  <si>
    <t>7;42;59.11396E</t>
  </si>
  <si>
    <t>004021_20230630_20.41_OI104287SEROV1SPRINTNAV500.bin</t>
  </si>
  <si>
    <t>56;00;18.17305N</t>
  </si>
  <si>
    <t>7;42;58.41713E</t>
  </si>
  <si>
    <t>56;00;17.35180N</t>
  </si>
  <si>
    <t>7;42;58.89278E</t>
  </si>
  <si>
    <t>1011_OI104287_SE_BH_131_S72_20230630205233 - 0001.db</t>
  </si>
  <si>
    <t>230630205212.SBD</t>
  </si>
  <si>
    <t>OI104287_SEROV1_ET2200SSS_BH_131_S72.001.jsf</t>
  </si>
  <si>
    <t>56;00;20.10313N</t>
  </si>
  <si>
    <t>7;43;12.34095E</t>
  </si>
  <si>
    <t>56;00;19.28510N</t>
  </si>
  <si>
    <t>7;43;12.68057E</t>
  </si>
  <si>
    <t>004022_20230630_20.56_OI104287SEROV1SPRINTNAV500.bin</t>
  </si>
  <si>
    <t>BH_131_P45_RR0001</t>
  </si>
  <si>
    <t>56;00;23.73854N</t>
  </si>
  <si>
    <t>7;43;10.67072E</t>
  </si>
  <si>
    <t>56;00;22.98861N</t>
  </si>
  <si>
    <t>7;43;11.28287E</t>
  </si>
  <si>
    <t>1012_OI104287_SE_BH_131_P45_RR0001_20230630211115 - 0001.db</t>
  </si>
  <si>
    <t>230630211002.SBD</t>
  </si>
  <si>
    <t>OI104287_SEROV1_ET2200SSS_BH_131_P45_RR0001.001.jsf</t>
  </si>
  <si>
    <t xml:space="preserve"> Rotated ES-WN </t>
  </si>
  <si>
    <t>56;00;21.89122N</t>
  </si>
  <si>
    <t>7;42;57.09719E</t>
  </si>
  <si>
    <t>56;00;21.11385N</t>
  </si>
  <si>
    <t>7;42;57.90757E</t>
  </si>
  <si>
    <t>004023_20230630_21.11_OI104287SEROV1SPRINTNAV500.bin</t>
  </si>
  <si>
    <t>56;00;21.64336N</t>
  </si>
  <si>
    <t>7;42;55.11467E</t>
  </si>
  <si>
    <t>56;00;21.23862N</t>
  </si>
  <si>
    <t>7;42;55.35659E</t>
  </si>
  <si>
    <t>Transit to CPT_131, ROV latched</t>
  </si>
  <si>
    <t>OI104287_SE_SVX2_SVP_20230630_2149_560010N_0074067E_082</t>
  </si>
  <si>
    <t>56;00;06.34063N</t>
  </si>
  <si>
    <t>7;40;40.36468E</t>
  </si>
  <si>
    <t>56;00;06.33209N</t>
  </si>
  <si>
    <t>7;40;41.25834E</t>
  </si>
  <si>
    <t>SVP_082</t>
  </si>
  <si>
    <t>OI104287_SE_SVX2_SVP_20230630_2201_560010N_0074067E_083</t>
  </si>
  <si>
    <t>56;00;06.34556N</t>
  </si>
  <si>
    <t>7;40;40.32587E</t>
  </si>
  <si>
    <t>56;00;06.21275N</t>
  </si>
  <si>
    <t>7;40;41.76950E</t>
  </si>
  <si>
    <t>SVP_083</t>
  </si>
  <si>
    <t>56;00;06.33729N</t>
  </si>
  <si>
    <t>7;40;40.33790E</t>
  </si>
  <si>
    <t>56;00;06.11664N</t>
  </si>
  <si>
    <t>7;40;41.61350E</t>
  </si>
  <si>
    <t>Re-do SVP</t>
  </si>
  <si>
    <t>56;00;05.32340N</t>
  </si>
  <si>
    <t>7;40;40.24469E</t>
  </si>
  <si>
    <t>56;00;05.05796N</t>
  </si>
  <si>
    <t>7;40;41.64850E</t>
  </si>
  <si>
    <t>1013_OI104287_SE_CPT_282_P50_20230630221022 - 0001.db</t>
  </si>
  <si>
    <t>230630220948.SBD</t>
  </si>
  <si>
    <t>OI104287_SEROV1_ET2200SSS_CPT_282_P50.001.jsf</t>
  </si>
  <si>
    <t>004026_20230630_21.56_OI104287SEROV1SPRINTNAV500.bin</t>
  </si>
  <si>
    <t>55;59;59.39354N</t>
  </si>
  <si>
    <t>7;40;40.34526E</t>
  </si>
  <si>
    <t>55;59;59.13826N</t>
  </si>
  <si>
    <t>7;40;41.84554E</t>
  </si>
  <si>
    <t>004027_20230630_22.11_OI104287SEROV1SPRINTNAV500.bin</t>
  </si>
  <si>
    <t>55;59;59.22622N</t>
  </si>
  <si>
    <t>7;40;40.93399E</t>
  </si>
  <si>
    <t>55;59;59.05754N</t>
  </si>
  <si>
    <t>7;40;42.37602E</t>
  </si>
  <si>
    <t>1014_OI104287_SE_CPT_282_P41_20230630222015 - 0001.db</t>
  </si>
  <si>
    <t>230630221940.SBD</t>
  </si>
  <si>
    <t>OI104287_SEROV1_ET2200SSS_CPT_282_P41.001.jsf</t>
  </si>
  <si>
    <t>56;00;04.93925N</t>
  </si>
  <si>
    <t>7;40;40.73771E</t>
  </si>
  <si>
    <t>56;00;04.83572N</t>
  </si>
  <si>
    <t>7;40;42.17083E</t>
  </si>
  <si>
    <t>56;00;05.11037N</t>
  </si>
  <si>
    <t>7;40;41.28785E</t>
  </si>
  <si>
    <t>56;00;04.94043N</t>
  </si>
  <si>
    <t>7;40;42.69345E</t>
  </si>
  <si>
    <t>1015_OI104287_SE_CPT_282_P32_20230630223034 - 0001.db</t>
  </si>
  <si>
    <t>230630223012.SBD</t>
  </si>
  <si>
    <t>OI104287_SEROV1_ET2200SSS_CPT_282_P32.001.jsf</t>
  </si>
  <si>
    <t>004028_20230630_22.26_OI104287SEROV1SPRINTNAV500.bin</t>
  </si>
  <si>
    <t>55;59;59.43670N</t>
  </si>
  <si>
    <t>7;40;41.40162E</t>
  </si>
  <si>
    <t>55;59;59.26031N</t>
  </si>
  <si>
    <t>7;40;42.88718E</t>
  </si>
  <si>
    <t>55;59;59.34179N</t>
  </si>
  <si>
    <t>7;40;41.95361E</t>
  </si>
  <si>
    <t>55;59;59.07021N</t>
  </si>
  <si>
    <t>7;40;43.40347E</t>
  </si>
  <si>
    <t>1016_OI104287_SE_CPT_282_P23_20230630224022 - 0001.db</t>
  </si>
  <si>
    <t>230630223942.SBD</t>
  </si>
  <si>
    <t>OI104287_SEROV1_ET2200SSS_CPT_282_P23.001.jsf</t>
  </si>
  <si>
    <t>56;00;05.06304N</t>
  </si>
  <si>
    <t>7;40;41.82449E</t>
  </si>
  <si>
    <t>56;00;04.83316N</t>
  </si>
  <si>
    <t>7;40;43.21276E</t>
  </si>
  <si>
    <t>004029_20230630_22.41_OI104287SEROV1SPRINTNAV500.bin</t>
  </si>
  <si>
    <t>56;00;05.19163N</t>
  </si>
  <si>
    <t>7;40;42.34055E</t>
  </si>
  <si>
    <t>56;00;04.91780N</t>
  </si>
  <si>
    <t>7;40;43.73841E</t>
  </si>
  <si>
    <t>1017_OI104287_SE_CPT_282_P14_20230630225000 - 0001.db</t>
  </si>
  <si>
    <t>230630224918.SBD</t>
  </si>
  <si>
    <t>OI104287_SEROV1_ET2200SSS_CPT_282_P14.001.jsf</t>
  </si>
  <si>
    <t>55;59;59.50999N</t>
  </si>
  <si>
    <t>7;40;42.41968E</t>
  </si>
  <si>
    <t>55;59;59.20947N</t>
  </si>
  <si>
    <t>7;40;43.91071E</t>
  </si>
  <si>
    <t>55;59;59.18027N</t>
  </si>
  <si>
    <t>7;40;42.99754E</t>
  </si>
  <si>
    <t>55;59;59.03657N</t>
  </si>
  <si>
    <t>7;40;44.44450E</t>
  </si>
  <si>
    <t>1018_OI104287_SE_CPT_282_P05_20230630230005 - 0001.db</t>
  </si>
  <si>
    <t>230630225947.SBD</t>
  </si>
  <si>
    <t>OI104287_SEROV1_ET2200SSS_CPT_282_P05.001.jsf</t>
  </si>
  <si>
    <t>004030_20230630_22.56_OI104287SEROV1SPRINTNAV500.bin</t>
  </si>
  <si>
    <t>56;00;04.89645N</t>
  </si>
  <si>
    <t>7;40;42.81729E</t>
  </si>
  <si>
    <t>56;00;04.81913N</t>
  </si>
  <si>
    <t>7;40;44.24535E</t>
  </si>
  <si>
    <t>56;00;05.25812N</t>
  </si>
  <si>
    <t>7;40;43.29775E</t>
  </si>
  <si>
    <t>56;00;04.95431N</t>
  </si>
  <si>
    <t>7;40;44.77522E</t>
  </si>
  <si>
    <t>1019_OI104287_SE_CPT_282_S05_20230630230917 - 0001.db</t>
  </si>
  <si>
    <t>230630230848.SBD</t>
  </si>
  <si>
    <t>OI104287_SEROV1_ET2200SSS_CPT_282_S05.001.jsf</t>
  </si>
  <si>
    <t>55;59;59.54838N</t>
  </si>
  <si>
    <t>7;40;43.45977E</t>
  </si>
  <si>
    <t>55;59;59.22908N</t>
  </si>
  <si>
    <t>7;40;44.96049E</t>
  </si>
  <si>
    <t>004031_20230630_23.11_OI104287SEROV1SPRINTNAV500.bin</t>
  </si>
  <si>
    <t>55;59;58.96714N</t>
  </si>
  <si>
    <t>7;40;43.98039E</t>
  </si>
  <si>
    <t>55;59;59.06493N</t>
  </si>
  <si>
    <t>7;40;45.47558E</t>
  </si>
  <si>
    <t>1020_OI104287_SE_CPT_282_S14_20230630231832 - 0001.db</t>
  </si>
  <si>
    <t>230630231755.SBD</t>
  </si>
  <si>
    <t>OI104287_SEROV1_ET2200SSS_CPT_282_S14.001.jsf</t>
  </si>
  <si>
    <t>56;00;04.57353N</t>
  </si>
  <si>
    <t>7;40;43.85421E</t>
  </si>
  <si>
    <t>56;00;04.74339N</t>
  </si>
  <si>
    <t>7;40;45.28668E</t>
  </si>
  <si>
    <t>56;00;05.51706N</t>
  </si>
  <si>
    <t>7;40;44.34911E</t>
  </si>
  <si>
    <t>56;00;04.92745N</t>
  </si>
  <si>
    <t>7;40;45.80418E</t>
  </si>
  <si>
    <t>1021_OI104287_SE_CPT_282_S23_20230630232736 - 0001.db</t>
  </si>
  <si>
    <t>230630232706.SBD</t>
  </si>
  <si>
    <t>OI104287_SEROV1_ET2200SSS_CPT_282_S23.001.jsf</t>
  </si>
  <si>
    <t>004032_20230630_23.26_OI104287SEROV1SPRINTNAV500.bin</t>
  </si>
  <si>
    <t>55;59;59.72092N</t>
  </si>
  <si>
    <t>7;40;44.48219E</t>
  </si>
  <si>
    <t>55;59;59.26197N</t>
  </si>
  <si>
    <t>7;40;45.99821E</t>
  </si>
  <si>
    <t>55;59;59.05532N</t>
  </si>
  <si>
    <t>7;40;44.99663E</t>
  </si>
  <si>
    <t>55;59;59.07051N</t>
  </si>
  <si>
    <t>7;40;46.51389E</t>
  </si>
  <si>
    <t>1022_OI104287_SE_CPT_282_S32_20230630233713 - 0001.db</t>
  </si>
  <si>
    <t>230630233648.SBD</t>
  </si>
  <si>
    <t>OI104287_SEROV1_ET2200SSS_CPT_282_S32.001.jsf</t>
  </si>
  <si>
    <t>56;00;04.68471N</t>
  </si>
  <si>
    <t>7;40;44.92916E</t>
  </si>
  <si>
    <t>56;00;04.85036N</t>
  </si>
  <si>
    <t>7;40;46.32590E</t>
  </si>
  <si>
    <t>004033_20230630_23.41_OI104287SEROV1SPRINTNAV500.bin</t>
  </si>
  <si>
    <t>56;00;05.06712N</t>
  </si>
  <si>
    <t>7;40;45.35284E</t>
  </si>
  <si>
    <t>56;00;04.97181N</t>
  </si>
  <si>
    <t>7;40;46.85879E</t>
  </si>
  <si>
    <t>1023_OI104287_SE_CPT_282_S41_20230630234813 - 0001.db</t>
  </si>
  <si>
    <t>230630234747.SBD</t>
  </si>
  <si>
    <t>OI104287_SEROV1_ET2200SSS_CPT_282_S41.001.jsf</t>
  </si>
  <si>
    <t>55;59;59.40942N</t>
  </si>
  <si>
    <t>7;40;45.48724E</t>
  </si>
  <si>
    <t>55;59;59.26394N</t>
  </si>
  <si>
    <t>7;40;47.03773E</t>
  </si>
  <si>
    <t>55;59;58.98544N</t>
  </si>
  <si>
    <t>7;40;46.10534E</t>
  </si>
  <si>
    <t>55;59;59.06342N</t>
  </si>
  <si>
    <t>7;40;47.55070E</t>
  </si>
  <si>
    <t>1024_OI104287_SE_CPT_282_S50_20230630235810 - 0001.db</t>
  </si>
  <si>
    <t>230630235742.SBD</t>
  </si>
  <si>
    <t>OI104287_SEROV1_ET2200SSS_CPT_282_S50.001.jsf</t>
  </si>
  <si>
    <t>004034_20230630_23.56_OI104287SEROV1SPRINTNAV500.bin</t>
  </si>
  <si>
    <t>Poor USBL quality on CPT_282_S23, will re-run line</t>
  </si>
  <si>
    <t>56;00;01.08830N</t>
  </si>
  <si>
    <t>7;40;46.14771E</t>
  </si>
  <si>
    <t>56;00;01.27102N</t>
  </si>
  <si>
    <t>7;40;47.47828E</t>
  </si>
  <si>
    <t>56;00;04.62524N</t>
  </si>
  <si>
    <t>7;40;46.01186E</t>
  </si>
  <si>
    <t>56;00;04.80238N</t>
  </si>
  <si>
    <t>7;40;47.36663E</t>
  </si>
  <si>
    <t>CPT_282_S23_RR0001</t>
  </si>
  <si>
    <t>56;00;04.85137N</t>
  </si>
  <si>
    <t>7;40;44.37997E</t>
  </si>
  <si>
    <t>56;00;04.91116N</t>
  </si>
  <si>
    <t>7;40;45.81112E</t>
  </si>
  <si>
    <t>1025_OI104287_SE_CPT_282_S23_RR0001_20230701001021 - 0001.db</t>
  </si>
  <si>
    <t>230701000937.SBD</t>
  </si>
  <si>
    <t>OI104287_SEROV1_ET2200SSS_CPT_282_S23_RR0001.001.jsf</t>
  </si>
  <si>
    <t>Log on, re-run due to poor usbl</t>
  </si>
  <si>
    <t>55;59;59.26237N</t>
  </si>
  <si>
    <t>7;40;44.48595E</t>
  </si>
  <si>
    <t>55;59;59.25956N</t>
  </si>
  <si>
    <t>7;40;45.98946E</t>
  </si>
  <si>
    <t>004035_20230701_00.11_OI104287SEROV1SPRINTNAV500.bin</t>
  </si>
  <si>
    <t>55;59;58.52711N</t>
  </si>
  <si>
    <t>7;40;44.54376E</t>
  </si>
  <si>
    <t>55;59;58.34104N</t>
  </si>
  <si>
    <t>7;40;45.08119E</t>
  </si>
  <si>
    <t>WROV in latch, transit to CPT_211</t>
  </si>
  <si>
    <t>55;59;49.74004N</t>
  </si>
  <si>
    <t>7;42;45.75714E</t>
  </si>
  <si>
    <t>55;59;49.55156N</t>
  </si>
  <si>
    <t>7;42;46.34306E</t>
  </si>
  <si>
    <t>55;59;49.74921N</t>
  </si>
  <si>
    <t>7;42;45.77688E</t>
  </si>
  <si>
    <t>55;59;49.56348N</t>
  </si>
  <si>
    <t>7;42;46.36810E</t>
  </si>
  <si>
    <t>Weather Update: WS 25knots, WG 29knots, WH 1m</t>
  </si>
  <si>
    <t>55;59;49.65039N</t>
  </si>
  <si>
    <t>7;42;45.84872E</t>
  </si>
  <si>
    <t>55;59;49.66833N</t>
  </si>
  <si>
    <t>7;42;44.63667E</t>
  </si>
  <si>
    <t xml:space="preserve">Change vessel heading 180° for drift off position </t>
  </si>
  <si>
    <t>OI104287_SE_SVX2_SVP_20230701_0052_555982N_0074276E_084</t>
  </si>
  <si>
    <t>55;59;49.59903N</t>
  </si>
  <si>
    <t>7;42;45.77663E</t>
  </si>
  <si>
    <t>55;59;49.64223N</t>
  </si>
  <si>
    <t>7;42;44.64844E</t>
  </si>
  <si>
    <t>SVP_084</t>
  </si>
  <si>
    <t>55;59;49.62267N</t>
  </si>
  <si>
    <t>7;42;45.78116E</t>
  </si>
  <si>
    <t>55;59;49.53571N</t>
  </si>
  <si>
    <t>7;42;44.24409E</t>
  </si>
  <si>
    <t>OI104287_SE_SVX2_SVP_20230701_0101_555982N_0074276E_085</t>
  </si>
  <si>
    <t>55;59;49.59779N</t>
  </si>
  <si>
    <t>7;42;45.72772E</t>
  </si>
  <si>
    <t>55;59;49.52711N</t>
  </si>
  <si>
    <t>7;42;44.23896E</t>
  </si>
  <si>
    <t>SVP_085</t>
  </si>
  <si>
    <t>55;59;48.29754N</t>
  </si>
  <si>
    <t>7;42;48.78357E</t>
  </si>
  <si>
    <t>55;59;48.15793N</t>
  </si>
  <si>
    <t>7;42;47.27395E</t>
  </si>
  <si>
    <t>1026_OI104287_SE_CPT_211_P50_20230701011230 - 0001.db</t>
  </si>
  <si>
    <t>230701011154.SBD</t>
  </si>
  <si>
    <t>OI104287_SEROV1_ET2200SSS_CPT_211_P50.001.jsf</t>
  </si>
  <si>
    <t>004039_20230701_01.11_OI104287SEROV1SPRINTNAV500.bin</t>
  </si>
  <si>
    <t>55;59;43.92403N</t>
  </si>
  <si>
    <t>7;42;49.03340E</t>
  </si>
  <si>
    <t>55;59;43.67636N</t>
  </si>
  <si>
    <t>7;42;47.41668E</t>
  </si>
  <si>
    <t>Vessel struggle with heading using N-S lines, change to rotated line plan</t>
  </si>
  <si>
    <t>55;59;42.92245N</t>
  </si>
  <si>
    <t>7;42;49.08225E</t>
  </si>
  <si>
    <t>55;59;42.71092N</t>
  </si>
  <si>
    <t>7;42;47.44414E</t>
  </si>
  <si>
    <t>55;59;42.19633N</t>
  </si>
  <si>
    <t>7;42;49.06905E</t>
  </si>
  <si>
    <t>55;59;41.73054N</t>
  </si>
  <si>
    <t>7;42;49.56301E</t>
  </si>
  <si>
    <t>BH_131 lines rotated to NW-SE  direction due to weather conditions (Original N-S)</t>
  </si>
  <si>
    <t>CPT_211 lines rotated to NE-SW  direction due to weather conditions (Original N-S)</t>
  </si>
  <si>
    <t>55;59;43.58026N</t>
  </si>
  <si>
    <t>7;42;45.54136E</t>
  </si>
  <si>
    <t>55;59;42.85968N</t>
  </si>
  <si>
    <t>7;42;46.31499E</t>
  </si>
  <si>
    <t>1027_OI104287_SE_CPT_211_P50_20230701013529 - 0001.db</t>
  </si>
  <si>
    <t>230701013454.SBD</t>
  </si>
  <si>
    <t>OI104287_SEROV1_ET2200SSS_CPT_211_P50.002.jsf</t>
  </si>
  <si>
    <t>004040_20230701_01.26_OI104287SEROV1SPRINTNAV500.bin</t>
  </si>
  <si>
    <t>55;59;45.73526N</t>
  </si>
  <si>
    <t>7;42;55.31101E</t>
  </si>
  <si>
    <t>55;59;44.99108N</t>
  </si>
  <si>
    <t>7;42;56.22140E</t>
  </si>
  <si>
    <t>55;59;46.05729N</t>
  </si>
  <si>
    <t>7;42;55.37143E</t>
  </si>
  <si>
    <t>55;59;45.38652N</t>
  </si>
  <si>
    <t>7;42;56.59255E</t>
  </si>
  <si>
    <t>1028_OI104287_SE_CPT_211_P41_20230701014541 - 0001.db</t>
  </si>
  <si>
    <t>230701014447.SBD</t>
  </si>
  <si>
    <t>OI104287_SEROV1_ET2200SSS_CPT_211_P41.001.jsf</t>
  </si>
  <si>
    <t>004041_20230701_01.41_OI104287SEROV1SPRINTNAV500.bin</t>
  </si>
  <si>
    <t>55;59;43.72426N</t>
  </si>
  <si>
    <t>7;42;44.97698E</t>
  </si>
  <si>
    <t>55;59;43.14393N</t>
  </si>
  <si>
    <t>7;42;46.22507E</t>
  </si>
  <si>
    <t>55;59;44.08117N</t>
  </si>
  <si>
    <t>7;42;44.79339E</t>
  </si>
  <si>
    <t>55;59;43.36390N</t>
  </si>
  <si>
    <t>7;42;45.75917E</t>
  </si>
  <si>
    <t>1029_OI104287_SE_CPT_211_P32_20230701015605 - 0001.db</t>
  </si>
  <si>
    <t>230701015521.SBD</t>
  </si>
  <si>
    <t>OI104287_SEROV1_ET2200SSS_CPT_211_P32.001.jsf</t>
  </si>
  <si>
    <t>55;59;46.29275N</t>
  </si>
  <si>
    <t>7;42;55.05075E</t>
  </si>
  <si>
    <t>55;59;45.55414N</t>
  </si>
  <si>
    <t>7;42;55.93926E</t>
  </si>
  <si>
    <t>004042_20230701_01.56_OI104287SEROV1SPRINTNAV500.bin</t>
  </si>
  <si>
    <t>55;59;46.77951N</t>
  </si>
  <si>
    <t>7;42;55.73461E</t>
  </si>
  <si>
    <t>55;59;45.90206N</t>
  </si>
  <si>
    <t>7;42;56.15260E</t>
  </si>
  <si>
    <t>1030_OI104287_SE_CPT_211_P23_20230701020550 - 0001.db</t>
  </si>
  <si>
    <t>230701020503.SBD</t>
  </si>
  <si>
    <t>OI104287_SEROV1_ET2200SSS_CPT_211_P23.001.jsf</t>
  </si>
  <si>
    <t>55;59;44.51643N</t>
  </si>
  <si>
    <t>7;42;45.58911E</t>
  </si>
  <si>
    <t>55;59;43.70895N</t>
  </si>
  <si>
    <t>7;42;45.95259E</t>
  </si>
  <si>
    <t>55;59;44.65002N</t>
  </si>
  <si>
    <t>7;42;44.54073E</t>
  </si>
  <si>
    <t>55;59;43.92078N</t>
  </si>
  <si>
    <t>7;42;45.43781E</t>
  </si>
  <si>
    <t>1031_OI104287_SE_CPT_211_P14_20230701021548 - 0001.db</t>
  </si>
  <si>
    <t>230701021521.SBD</t>
  </si>
  <si>
    <t>OI104287_SEROV1_ET2200SSS_CPT_211_P14.001.jsf</t>
  </si>
  <si>
    <t>004043_20230701_02.11_OI104287SEROV1SPRINTNAV500.bin</t>
  </si>
  <si>
    <t>55;59;46.82665N</t>
  </si>
  <si>
    <t>7;42;54.63918E</t>
  </si>
  <si>
    <t>55;59;46.12188N</t>
  </si>
  <si>
    <t>7;42;55.66950E</t>
  </si>
  <si>
    <t>55;59;47.13230N</t>
  </si>
  <si>
    <t>7;42;54.58198E</t>
  </si>
  <si>
    <t>55;59;46.46678N</t>
  </si>
  <si>
    <t>7;42;55.85296E</t>
  </si>
  <si>
    <t>1032_OI104287_SE_CPT_211_P05_20230701022529 - 0001.db</t>
  </si>
  <si>
    <t>230701022451.SBD</t>
  </si>
  <si>
    <t>OI104287_SEROV1_ET2200SSS_CPT_211_P05.001.jsf</t>
  </si>
  <si>
    <t>55;59;44.84322N</t>
  </si>
  <si>
    <t>7;42;44.37065E</t>
  </si>
  <si>
    <t>55;59;44.23671N</t>
  </si>
  <si>
    <t>7;42;45.54463E</t>
  </si>
  <si>
    <t>004044_20230701_02.26_OI104287SEROV1SPRINTNAV500.bin</t>
  </si>
  <si>
    <t>55;59;45.14346N</t>
  </si>
  <si>
    <t>7;42;43.95014E</t>
  </si>
  <si>
    <t>55;59;44.44054N</t>
  </si>
  <si>
    <t>7;42;45.02291E</t>
  </si>
  <si>
    <t>1033_OI104287_SE_CPT_211_S05_20230701023507 - 0001.db</t>
  </si>
  <si>
    <t>230701023417.SBD</t>
  </si>
  <si>
    <t>OI104287_SEROV1_ET2200SSS_CPT_211_S05.001.jsf</t>
  </si>
  <si>
    <t>55;59;47.35276N</t>
  </si>
  <si>
    <t>7;42;54.19279E</t>
  </si>
  <si>
    <t>55;59;46.67318N</t>
  </si>
  <si>
    <t>7;42;55.41513E</t>
  </si>
  <si>
    <t>55;59;47.67162N</t>
  </si>
  <si>
    <t>7;42;54.20218E</t>
  </si>
  <si>
    <t>55;59;47.02411N</t>
  </si>
  <si>
    <t>7;42;55.56751E</t>
  </si>
  <si>
    <t>1034_OI104287_SE_CPT_211_S14_20230701024444 - 0001.db</t>
  </si>
  <si>
    <t>230701024424.SBD</t>
  </si>
  <si>
    <t>OI104287_SEROV1_ET2200SSS_CPT_211_S14.001.jsf</t>
  </si>
  <si>
    <t>004045_20230701_02.41_OI104287SEROV1SPRINTNAV500.bin</t>
  </si>
  <si>
    <t>55;59;45.36968N</t>
  </si>
  <si>
    <t>7;42;43.89865E</t>
  </si>
  <si>
    <t>55;59;44.79117N</t>
  </si>
  <si>
    <t>7;42;45.18645E</t>
  </si>
  <si>
    <t>55;59;45.66196N</t>
  </si>
  <si>
    <t>7;42;43.45383E</t>
  </si>
  <si>
    <t>55;59;44.99621N</t>
  </si>
  <si>
    <t>7;42;44.66473E</t>
  </si>
  <si>
    <t>1035_OI104287_SE_CPT_211_S23_20230701025421 - 0001.db</t>
  </si>
  <si>
    <t>230701025416.SBD</t>
  </si>
  <si>
    <t>OI104287_SEROV1_ET2200SSS_CPT_211_S23.001.jsf</t>
  </si>
  <si>
    <t>55;59;47.87660N</t>
  </si>
  <si>
    <t>7;42;53.73174E</t>
  </si>
  <si>
    <t>55;59;47.24001N</t>
  </si>
  <si>
    <t>7;42;55.08652E</t>
  </si>
  <si>
    <t>004046_20230701_02.56_OI104287SEROV1SPRINTNAV500.bin</t>
  </si>
  <si>
    <t>55;59;48.21789N</t>
  </si>
  <si>
    <t>7;42;53.99041E</t>
  </si>
  <si>
    <t>55;59;47.58959N</t>
  </si>
  <si>
    <t>7;42;55.29111E</t>
  </si>
  <si>
    <t>1036_OI104287_SE_CPT_211_S32_20230701030326 - 0001.db</t>
  </si>
  <si>
    <t>230701030307.SBD</t>
  </si>
  <si>
    <t>OI104287_SEROV1_ET2200SSS_CPT_211_S32.001.jsf</t>
  </si>
  <si>
    <t>55;59;45.90949N</t>
  </si>
  <si>
    <t>7;42;43.71760E</t>
  </si>
  <si>
    <t>55;59;45.33281N</t>
  </si>
  <si>
    <t>7;42;44.78935E</t>
  </si>
  <si>
    <t>55;59;46.25410N</t>
  </si>
  <si>
    <t>7;42;43.26638E</t>
  </si>
  <si>
    <t>55;59;45.53981N</t>
  </si>
  <si>
    <t>7;42;44.27457E</t>
  </si>
  <si>
    <t>1037_OI104287_SE_CPT_211_S41_20230701031253 - 0001.db</t>
  </si>
  <si>
    <t>230701031222.SBD</t>
  </si>
  <si>
    <t>OI104287_SEROV1_ET2200SSS_CPT_211_S41.001.jsf</t>
  </si>
  <si>
    <t>004047_20230701_03.11_OI104287SEROV1SPRINTNAV500.bin</t>
  </si>
  <si>
    <t>55;59;48.46888N</t>
  </si>
  <si>
    <t>7;42;53.64471E</t>
  </si>
  <si>
    <t>55;59;47.79206N</t>
  </si>
  <si>
    <t>7;42;54.75520E</t>
  </si>
  <si>
    <t>55;59;48.73800N</t>
  </si>
  <si>
    <t>7;42;53.58454E</t>
  </si>
  <si>
    <t>55;59;48.12006N</t>
  </si>
  <si>
    <t>7;42;54.86896E</t>
  </si>
  <si>
    <t>1038_OI104287_SE_CPT_211_S50_20230701032235 - 0001.db</t>
  </si>
  <si>
    <t>230701032226.SBD</t>
  </si>
  <si>
    <t>OI104287_SEROV1_ET2200SSS_CPT_211_S50.001.jsf</t>
  </si>
  <si>
    <t>55;59;46.41789N</t>
  </si>
  <si>
    <t>7;42;43.28102E</t>
  </si>
  <si>
    <t>55;59;45.87249N</t>
  </si>
  <si>
    <t>7;42;44.41458E</t>
  </si>
  <si>
    <t>004048_20230701_03.26_OI104287SEROV1SPRINTNAV500.bin</t>
  </si>
  <si>
    <t>Transit to CPT_062, ROV latched</t>
  </si>
  <si>
    <t>55;59;35.77233N</t>
  </si>
  <si>
    <t>7;42;41.65785E</t>
  </si>
  <si>
    <t>55;59;35.56687N</t>
  </si>
  <si>
    <t>7;42;42.19733E</t>
  </si>
  <si>
    <t>55;59;08.80845N</t>
  </si>
  <si>
    <t>7;41;54.60594E</t>
  </si>
  <si>
    <t>55;59;08.66690N</t>
  </si>
  <si>
    <t>7;41;55.22807E</t>
  </si>
  <si>
    <t>OI104287_SE_SVX2_SVP_20230701_0402_555914N_0074190E_086</t>
  </si>
  <si>
    <t>55;59;08.80196N</t>
  </si>
  <si>
    <t>7;41;54.56618E</t>
  </si>
  <si>
    <t>55;59;08.52311N</t>
  </si>
  <si>
    <t>7;41;54.90037E</t>
  </si>
  <si>
    <t>SVP_086</t>
  </si>
  <si>
    <t>55;59;07.65642N</t>
  </si>
  <si>
    <t>7;41;54.41920E</t>
  </si>
  <si>
    <t>55;59;07.69693N</t>
  </si>
  <si>
    <t>7;41;56.07145E</t>
  </si>
  <si>
    <t>1039_OI104287_SE_CPT_062_S50_20230701041137 - 0001.db</t>
  </si>
  <si>
    <t>230701041122.SBD</t>
  </si>
  <si>
    <t>OI104287_SEROV1_ET2200SSS_CPT_062_S50.001.jsf</t>
  </si>
  <si>
    <t>004051_20230701_04.11_OI104287SEROV1SPRINTNAV500.bin</t>
  </si>
  <si>
    <t>55;59;01.59251N</t>
  </si>
  <si>
    <t>7;41;54.70680E</t>
  </si>
  <si>
    <t>55;59;01.56841N</t>
  </si>
  <si>
    <t>7;41;56.27453E</t>
  </si>
  <si>
    <t>55;59;01.47203N</t>
  </si>
  <si>
    <t>7;41;54.20778E</t>
  </si>
  <si>
    <t>55;59;01.39280N</t>
  </si>
  <si>
    <t>7;41;55.75401E</t>
  </si>
  <si>
    <t>1040_OI104287_SE_CPT_062_S41_20230701042136 - 0001.db</t>
  </si>
  <si>
    <t>230701042117.SBD</t>
  </si>
  <si>
    <t>OI104287_SEROV1_ET2200SSS_CPT_062_S41.001.jsf</t>
  </si>
  <si>
    <t>55;59;07.63578N</t>
  </si>
  <si>
    <t>7;41;54.04455E</t>
  </si>
  <si>
    <t>55;59;07.60384N</t>
  </si>
  <si>
    <t>7;41;55.54762E</t>
  </si>
  <si>
    <t>004052_20230701_04.26_OI104287SEROV1SPRINTNAV500.bin</t>
  </si>
  <si>
    <t>55;59;07.75371N</t>
  </si>
  <si>
    <t>7;41;53.63327E</t>
  </si>
  <si>
    <t>55;59;07.71443N</t>
  </si>
  <si>
    <t>7;41;55.03223E</t>
  </si>
  <si>
    <t>1041_OI104287_SE_CPT_062_S32_20230701043125 - 0001.db</t>
  </si>
  <si>
    <t>230701043105.SBD</t>
  </si>
  <si>
    <t>OI104287_SEROV1_ET2200SSS_CPT_062_S32.001.jsf</t>
  </si>
  <si>
    <t>55;59;01.76501N</t>
  </si>
  <si>
    <t>7;41;53.73960E</t>
  </si>
  <si>
    <t>55;59;01.68791N</t>
  </si>
  <si>
    <t>7;41;55.22293E</t>
  </si>
  <si>
    <t>55;59;01.48442N</t>
  </si>
  <si>
    <t>7;41;53.23954E</t>
  </si>
  <si>
    <t>55;59;01.45360N</t>
  </si>
  <si>
    <t>7;41;54.71117E</t>
  </si>
  <si>
    <t>1042_OI104287_SE_CPT_062_S23_20230701044121 - 0001.db</t>
  </si>
  <si>
    <t>230701044056.SBD</t>
  </si>
  <si>
    <t>OI104287_SEROV1_ET2200SSS_CPT_062_S23.001.jsf</t>
  </si>
  <si>
    <t>004053_20230701_04.41_OI104287SEROV1SPRINTNAV500.bin</t>
  </si>
  <si>
    <t>55;59;07.39918N</t>
  </si>
  <si>
    <t>7;41;53.00757E</t>
  </si>
  <si>
    <t>55;59;07.51437N</t>
  </si>
  <si>
    <t>7;41;54.50779E</t>
  </si>
  <si>
    <t>55;59;08.98820N</t>
  </si>
  <si>
    <t>7;41;52.40587E</t>
  </si>
  <si>
    <t>55;59;08.50274N</t>
  </si>
  <si>
    <t>7;41;53.95378E</t>
  </si>
  <si>
    <t>Object with possible rope seen in Grad/MBES and visual, move vessel ROV/vessel to target location to confirm no line rope crossing to south west</t>
  </si>
  <si>
    <t>55;59;05.75882N</t>
  </si>
  <si>
    <t>7;41;52.60057E</t>
  </si>
  <si>
    <t>55;59;05.54169N</t>
  </si>
  <si>
    <t>7;41;54.34425E</t>
  </si>
  <si>
    <t>Fishing gear found with attached rope, ROV follow rope SW to rule out it is a hazard for the remaining lines</t>
  </si>
  <si>
    <t>55;59;05.78069N</t>
  </si>
  <si>
    <t>7;41;52.61252E</t>
  </si>
  <si>
    <t>55;59;05.04335N</t>
  </si>
  <si>
    <t>7;41;54.02771E</t>
  </si>
  <si>
    <t>End of the rope near line S14, postpone this line for now</t>
  </si>
  <si>
    <t>55;59;07.70909N</t>
  </si>
  <si>
    <t>7;41;51.45049E</t>
  </si>
  <si>
    <t>55;59;07.75773N</t>
  </si>
  <si>
    <t>7;41;52.95560E</t>
  </si>
  <si>
    <t>1043_OI104287_SE_CPT_062_P05_20230701051920 - 0001.db</t>
  </si>
  <si>
    <t>230701051900.SBD</t>
  </si>
  <si>
    <t>OI104287_SEROV1_ET2200SSS_CPT_062_P05.001.jsf</t>
  </si>
  <si>
    <t>004055_20230701_05.11_OI104287SEROV1SPRINTNAV500.bin</t>
  </si>
  <si>
    <t>55;59;01.82422N</t>
  </si>
  <si>
    <t>7;41;51.64042E</t>
  </si>
  <si>
    <t>55;59;01.80438N</t>
  </si>
  <si>
    <t>7;41;53.13876E</t>
  </si>
  <si>
    <t>55;59;01.66169N</t>
  </si>
  <si>
    <t>7;41;51.16628E</t>
  </si>
  <si>
    <t>55;59;01.60191N</t>
  </si>
  <si>
    <t>7;41;52.62820E</t>
  </si>
  <si>
    <t>1044_OI104287_SE_CPT_062_P14_20230701052845 - 0001.db</t>
  </si>
  <si>
    <t>230701052830.SBD</t>
  </si>
  <si>
    <t>OI104287_SEROV1_ET2200SSS_CPT_062_P14.001.jsf</t>
  </si>
  <si>
    <t>004056_20230701_05.26_OI104287SEROV1SPRINTNAV500.bin</t>
  </si>
  <si>
    <t>55;59;07.60218N</t>
  </si>
  <si>
    <t>7;41;50.89964E</t>
  </si>
  <si>
    <t>55;59;07.55103N</t>
  </si>
  <si>
    <t>7;41;52.43327E</t>
  </si>
  <si>
    <t>55;59;07.80338N</t>
  </si>
  <si>
    <t>7;41;50.51509E</t>
  </si>
  <si>
    <t>55;59;07.73932N</t>
  </si>
  <si>
    <t>7;41;51.91668E</t>
  </si>
  <si>
    <t>1045_OI104287_SE_CPT_062_P23_20230701053846 - 0001.db</t>
  </si>
  <si>
    <t>230701053827.SBD</t>
  </si>
  <si>
    <t>OI104287_SEROV1_ET2200SSS_CPT_062_P23.001.jsf</t>
  </si>
  <si>
    <t>55;59;01.84701N</t>
  </si>
  <si>
    <t>7;41;50.55801E</t>
  </si>
  <si>
    <t>55;59;01.81962N</t>
  </si>
  <si>
    <t>7;41;52.10829E</t>
  </si>
  <si>
    <t>004057_20230701_05.41_OI104287SEROV1SPRINTNAV500.bin</t>
  </si>
  <si>
    <t>55;59;01.69657N</t>
  </si>
  <si>
    <t>7;41;50.09541E</t>
  </si>
  <si>
    <t>55;59;01.66437N</t>
  </si>
  <si>
    <t>7;41;51.59230E</t>
  </si>
  <si>
    <t>1046_OI104287_SE_CPT_062_P32_20230701054729 - 0001.db</t>
  </si>
  <si>
    <t>230701054708.SBD</t>
  </si>
  <si>
    <t>OI104287_SEROV1_ET2200SSS_CPT_062_P32.001.jsf</t>
  </si>
  <si>
    <t>55;59;07.39053N</t>
  </si>
  <si>
    <t>7;41;49.89505E</t>
  </si>
  <si>
    <t>55;59;07.47574N</t>
  </si>
  <si>
    <t>7;41;51.39707E</t>
  </si>
  <si>
    <t>55;59;07.70365N</t>
  </si>
  <si>
    <t>7;41;49.47928E</t>
  </si>
  <si>
    <t>55;59;07.66509N</t>
  </si>
  <si>
    <t>7;41;50.86961E</t>
  </si>
  <si>
    <t>1047_OI104287_SE_CPT_062_P41_20230701055707 - 0001.db</t>
  </si>
  <si>
    <t>230701055649.SBD</t>
  </si>
  <si>
    <t>OI104287_SEROV1_ET2200SSS_CPT_062_P41.001.jsf</t>
  </si>
  <si>
    <t>004058_20230701_05.56_OI104287SEROV1SPRINTNAV500.bin</t>
  </si>
  <si>
    <t>55;59;01.81603N</t>
  </si>
  <si>
    <t>7;41;49.57605E</t>
  </si>
  <si>
    <t>55;59;01.85523N</t>
  </si>
  <si>
    <t>7;41;51.06786E</t>
  </si>
  <si>
    <t>55;59;01.88877N</t>
  </si>
  <si>
    <t>7;41;49.06464E</t>
  </si>
  <si>
    <t>55;59;01.68549N</t>
  </si>
  <si>
    <t>7;41;50.55247E</t>
  </si>
  <si>
    <t>1048_OI104287_SE_CPT_062_P50_20230701060604 - 0001.db</t>
  </si>
  <si>
    <t>230701060535.SBD</t>
  </si>
  <si>
    <t>OI104287_SEROV1_ET2200SSS_CPT_062_P50.001.jsf</t>
  </si>
  <si>
    <t>55;59;07.59591N</t>
  </si>
  <si>
    <t>7;41;48.82141E</t>
  </si>
  <si>
    <t>55;59;07.48525N</t>
  </si>
  <si>
    <t>7;41;50.35271E</t>
  </si>
  <si>
    <t>55;59;07.69631N</t>
  </si>
  <si>
    <t>7;41;52.56851E</t>
  </si>
  <si>
    <t>55;59;07.72831N</t>
  </si>
  <si>
    <t>7;41;53.98969E</t>
  </si>
  <si>
    <t>1049_OI104287_SE_CPT_062_S14_20230701063701 - 0001.db</t>
  </si>
  <si>
    <t>230701063613.SBD</t>
  </si>
  <si>
    <t>OI104287_SEROV1_ET2200SSS_CPT_062_S14.001.jsf</t>
  </si>
  <si>
    <t>004060_20230701_06.26_OI104287SEROV1SPRINTNAV500.bin</t>
  </si>
  <si>
    <t>55;59;01.66523N</t>
  </si>
  <si>
    <t>7;41;52.71125E</t>
  </si>
  <si>
    <t>55;59;01.53235N</t>
  </si>
  <si>
    <t>7;41;54.18975E</t>
  </si>
  <si>
    <t>004061_20230701_06.41_OI104287SEROV1SPRINTNAV500.bin</t>
  </si>
  <si>
    <t>55;59;01.69754N</t>
  </si>
  <si>
    <t>7;41;52.17125E</t>
  </si>
  <si>
    <t>55;59;01.59949N</t>
  </si>
  <si>
    <t>7;41;53.67044E</t>
  </si>
  <si>
    <t>1050_OI104287_SE_CPT_062_S05_20230701064746 - 0001.db</t>
  </si>
  <si>
    <t>230701064656.SBD</t>
  </si>
  <si>
    <t>OI104287_SEROV1_ET2200SSS_CPT_062_S05.001.jsf</t>
  </si>
  <si>
    <t>55;59;07.62281N</t>
  </si>
  <si>
    <t>7;41;51.92859E</t>
  </si>
  <si>
    <t>55;59;07.55405N</t>
  </si>
  <si>
    <t>7;41;53.47008E</t>
  </si>
  <si>
    <t>55;59;08.23769N</t>
  </si>
  <si>
    <t>7;41;51.91939E</t>
  </si>
  <si>
    <t>55;59;08.11243N</t>
  </si>
  <si>
    <t>7;41;52.91909E</t>
  </si>
  <si>
    <t>WROV return to TMS for subsea transit to BH_113</t>
  </si>
  <si>
    <t>CPT_250 lines rotated to E-W  direction due to proximity to infrastructure buffer zone</t>
  </si>
  <si>
    <t>55;58;41.83521N</t>
  </si>
  <si>
    <t>7;42;29.07493E</t>
  </si>
  <si>
    <t>55;58;41.37751N</t>
  </si>
  <si>
    <t>7;42;30.31116E</t>
  </si>
  <si>
    <t>55;58;40.48469N</t>
  </si>
  <si>
    <t>7;42;29.00962E</t>
  </si>
  <si>
    <t>55;58;40.51512N</t>
  </si>
  <si>
    <t>7;42;30.37875E</t>
  </si>
  <si>
    <t>1051_OI104287_SE_BH_113_P72_20230701073021 - 0001.db</t>
  </si>
  <si>
    <t>230701072942.SBD</t>
  </si>
  <si>
    <t>OI104287_SEROV1_ET2200SSS_CPT_113_P72.001.jsf</t>
  </si>
  <si>
    <t>004064_20230701_07.26_OI104287SEROV1SPRINTNAV500.bin</t>
  </si>
  <si>
    <t>55;58;33.03267N</t>
  </si>
  <si>
    <t>7;42;29.23353E</t>
  </si>
  <si>
    <t>55;58;32.97412N</t>
  </si>
  <si>
    <t>7;42;30.62950E</t>
  </si>
  <si>
    <t>55;58;32.89658N</t>
  </si>
  <si>
    <t>7;42;29.70997E</t>
  </si>
  <si>
    <t>55;58;32.79503N</t>
  </si>
  <si>
    <t>7;42;31.15877E</t>
  </si>
  <si>
    <t>1052_OI104287_SE_BH_113_P63_20230701074113 - 0001.db</t>
  </si>
  <si>
    <t>230701074055.SBD</t>
  </si>
  <si>
    <t>OI104287_SEROV1_ET2200SSS_CPT_113_P63.001.jsf</t>
  </si>
  <si>
    <t>55;58;40.95128N</t>
  </si>
  <si>
    <t>7;42;29.36626E</t>
  </si>
  <si>
    <t>55;58;40.79107N</t>
  </si>
  <si>
    <t>7;42;30.88871E</t>
  </si>
  <si>
    <t>004065_20230701_07.41_OI104287SEROV1SPRINTNAV500.bin</t>
  </si>
  <si>
    <t>55;58;41.31562N</t>
  </si>
  <si>
    <t>7;42;29.95552E</t>
  </si>
  <si>
    <t>55;58;40.98962N</t>
  </si>
  <si>
    <t>7;42;31.40862E</t>
  </si>
  <si>
    <t>1053_OI104287_SE_BH_113_P54_20230701075241 - 0001.db</t>
  </si>
  <si>
    <t>230701075214.SBD</t>
  </si>
  <si>
    <t>OI104287_SEROV1_ET2200SSS_CPT_113_P54.001.jsf</t>
  </si>
  <si>
    <t>55;58;33.35690N</t>
  </si>
  <si>
    <t>7;42;30.18210E</t>
  </si>
  <si>
    <t>55;58;32.98030N</t>
  </si>
  <si>
    <t>7;42;31.67174E</t>
  </si>
  <si>
    <t>004066_20230701_07.56_OI104287SEROV1SPRINTNAV500.bin</t>
  </si>
  <si>
    <t>55;58;32.91616N</t>
  </si>
  <si>
    <t>7;42;30.74225E</t>
  </si>
  <si>
    <t>55;58;32.80514N</t>
  </si>
  <si>
    <t>7;42;32.18140E</t>
  </si>
  <si>
    <t>1054_OI104287_SE_BH_113_P45_20230701080333 - 0001.db</t>
  </si>
  <si>
    <t>230701080247.SBD</t>
  </si>
  <si>
    <t>OI104287_SEROV1_ET2200SSS_CPT_113_P45.001.jsf</t>
  </si>
  <si>
    <t>55;58;40.64872N</t>
  </si>
  <si>
    <t>7;42;30.39729E</t>
  </si>
  <si>
    <t>55;58;40.64909N</t>
  </si>
  <si>
    <t>7;42;31.93094E</t>
  </si>
  <si>
    <t>55;58;41.22868N</t>
  </si>
  <si>
    <t>7;42;31.16054E</t>
  </si>
  <si>
    <t>55;58;40.83950N</t>
  </si>
  <si>
    <t>7;42;32.44784E</t>
  </si>
  <si>
    <t>1055_OI104287_SE_BH_113_P36_20230701081906 - 0001.db</t>
  </si>
  <si>
    <t>230701081823.SBD</t>
  </si>
  <si>
    <t>OI104287_SEROV1_ET2200SSS_CPT_113_P36.001.jsf</t>
  </si>
  <si>
    <t>004067_20230701_08.11_OI104287SEROV1SPRINTNAV500.bin</t>
  </si>
  <si>
    <t>55;58;33.39099N</t>
  </si>
  <si>
    <t>7;42;31.27365E</t>
  </si>
  <si>
    <t>55;58;32.98468N</t>
  </si>
  <si>
    <t>7;42;32.70191E</t>
  </si>
  <si>
    <t>55;58;33.03973N</t>
  </si>
  <si>
    <t>7;42;31.80633E</t>
  </si>
  <si>
    <t>55;58;32.79971N</t>
  </si>
  <si>
    <t>7;42;33.22967E</t>
  </si>
  <si>
    <t>1056_OI104287_SE_BH_113_P27_20230701083335 - 0001.db</t>
  </si>
  <si>
    <t>230701083248.SBD</t>
  </si>
  <si>
    <t>OI104287_SEROV1_ET2200SSS_CPT_113_P27.001.jsf</t>
  </si>
  <si>
    <t>004068_20230701_08.26_OI104287SEROV1SPRINTNAV500.bin</t>
  </si>
  <si>
    <t>55;58;40.91162N</t>
  </si>
  <si>
    <t>7;42;31.50401E</t>
  </si>
  <si>
    <t>55;58;40.67142N</t>
  </si>
  <si>
    <t>7;42;32.97168E</t>
  </si>
  <si>
    <t>55;58;41.33981N</t>
  </si>
  <si>
    <t>7;42;32.18229E</t>
  </si>
  <si>
    <t>55;58;40.89819N</t>
  </si>
  <si>
    <t>7;42;33.48525E</t>
  </si>
  <si>
    <t>1057_OI104287_SE_BH_113_P18_20230701084553 - 0001.db</t>
  </si>
  <si>
    <t>230701084505.SBD</t>
  </si>
  <si>
    <t>OI104287_SEROV1_ET2200SSS_CPT_113_P18.001.jsf</t>
  </si>
  <si>
    <t>004069_20230701_08.41_OI104287SEROV1SPRINTNAV500.bin</t>
  </si>
  <si>
    <t>55;58;33.34492N</t>
  </si>
  <si>
    <t>7;42;32.26763E</t>
  </si>
  <si>
    <t>55;58;32.96461N</t>
  </si>
  <si>
    <t>7;42;33.74657E</t>
  </si>
  <si>
    <t>55;58;33.10649N</t>
  </si>
  <si>
    <t>7;42;32.83784E</t>
  </si>
  <si>
    <t>55;58;32.87696N</t>
  </si>
  <si>
    <t>7;42;34.27040E</t>
  </si>
  <si>
    <t>1058_OI104287_SE_BH_113_P09_20230701085735 - 0001.db</t>
  </si>
  <si>
    <t>230701085604.SBD</t>
  </si>
  <si>
    <t>OI104287_SEROV1_ET2200SSS_CPT_113_P09.001.jsf</t>
  </si>
  <si>
    <t>004070_20230701_08.56_OI104287SEROV1SPRINTNAV500.bin</t>
  </si>
  <si>
    <t>55;58;40.88826N</t>
  </si>
  <si>
    <t>7;42;32.57864E</t>
  </si>
  <si>
    <t>55;58;40.66946N</t>
  </si>
  <si>
    <t>7;42;34.00818E</t>
  </si>
  <si>
    <t>55;58;41.39014N</t>
  </si>
  <si>
    <t>7;42;33.16674E</t>
  </si>
  <si>
    <t>55;58;40.84523N</t>
  </si>
  <si>
    <t>7;42;34.53051E</t>
  </si>
  <si>
    <t>1059_OI104287_SE_BH_113_C00_20230701090837 - 0001.db</t>
  </si>
  <si>
    <t>230701090717.SBD</t>
  </si>
  <si>
    <t>OI104287_SEROV1_ET2200SSS_CPT_113_C00.001.jsf</t>
  </si>
  <si>
    <t>55;58;33.38145N</t>
  </si>
  <si>
    <t>7;42;33.33764E</t>
  </si>
  <si>
    <t>55;58;33.04020N</t>
  </si>
  <si>
    <t>7;42;34.78699E</t>
  </si>
  <si>
    <t>004071_20230701_09.11_OI104287SEROV1SPRINTNAV500.bin</t>
  </si>
  <si>
    <t>55;58;32.37357N</t>
  </si>
  <si>
    <t>7;42;33.89983E</t>
  </si>
  <si>
    <t>55;58;32.39114N</t>
  </si>
  <si>
    <t>7;42;35.32018E</t>
  </si>
  <si>
    <t>1060_OI104287_SE_BH_113_S09_20230701091947 - 0001.db</t>
  </si>
  <si>
    <t>230701091940.SBD</t>
  </si>
  <si>
    <t>OI104287_SEROV1_ET2200SSS_CPT_113_S09.001.jsf</t>
  </si>
  <si>
    <t>55;58;40.91603N</t>
  </si>
  <si>
    <t>7;42;33.65002E</t>
  </si>
  <si>
    <t>55;58;40.68742N</t>
  </si>
  <si>
    <t>7;42;35.04529E</t>
  </si>
  <si>
    <t>004072_20230701_09.26_OI104287SEROV1SPRINTNAV500.bin</t>
  </si>
  <si>
    <t>55;58;41.20580N</t>
  </si>
  <si>
    <t>7;42;34.18275E</t>
  </si>
  <si>
    <t>55;58;40.90453N</t>
  </si>
  <si>
    <t>7;42;35.56309E</t>
  </si>
  <si>
    <t>1061_OI104287_SE_BH_113_S18_20230701093207 - 0001.db</t>
  </si>
  <si>
    <t>230701093124.SBD</t>
  </si>
  <si>
    <t>OI104287_SEROV1_ET2200SSS_CPT_113_S18.001.jsf</t>
  </si>
  <si>
    <t>55;58;33.26519N</t>
  </si>
  <si>
    <t>7;42;34.40027E</t>
  </si>
  <si>
    <t>55;58;33.06389N</t>
  </si>
  <si>
    <t>7;42;35.82350E</t>
  </si>
  <si>
    <t>55;58;33.32302N</t>
  </si>
  <si>
    <t>7;42;34.87951E</t>
  </si>
  <si>
    <t>55;58;32.96854N</t>
  </si>
  <si>
    <t>7;42;36.34070E</t>
  </si>
  <si>
    <t>1062_OI104287_SE_BH_113_S27_20230701094514 - 0001.db</t>
  </si>
  <si>
    <t>230701094320.SBD</t>
  </si>
  <si>
    <t>OI104287_SEROV1_ET2200SSS_CPT_113_S27.001.jsf</t>
  </si>
  <si>
    <t>004073_20230701_09.41_OI104287SEROV1SPRINTNAV500.bin</t>
  </si>
  <si>
    <t>55;58;40.96020N</t>
  </si>
  <si>
    <t>7;42;34.63239E</t>
  </si>
  <si>
    <t>55;58;40.63793N</t>
  </si>
  <si>
    <t>7;42;36.08632E</t>
  </si>
  <si>
    <t>55;58;40.67701N</t>
  </si>
  <si>
    <t>7;42;35.15465E</t>
  </si>
  <si>
    <t>55;58;40.84116N</t>
  </si>
  <si>
    <t>7;42;36.60141E</t>
  </si>
  <si>
    <t>1063_OI104287_SE_BH_113_S36_20230701095725 - 0001.db</t>
  </si>
  <si>
    <t>230701095648.SBD</t>
  </si>
  <si>
    <t>OI104287_SEROV1_ET2200SSS_CPT_113_S36.001.jsf</t>
  </si>
  <si>
    <t>004074_20230701_09.56_OI104287SEROV1SPRINTNAV500.bin</t>
  </si>
  <si>
    <t>55;58;32.78970N</t>
  </si>
  <si>
    <t>7;42;35.40585E</t>
  </si>
  <si>
    <t>55;58;32.92403N</t>
  </si>
  <si>
    <t>7;42;36.85940E</t>
  </si>
  <si>
    <t>55;58;33.27652N</t>
  </si>
  <si>
    <t>7;42;35.93832E</t>
  </si>
  <si>
    <t>55;58;33.07596N</t>
  </si>
  <si>
    <t>7;42;37.36845E</t>
  </si>
  <si>
    <t>1064_OI104287_SE_BH_113_S45_20230701100957 - 0001.db</t>
  </si>
  <si>
    <t>230701100933.SBD</t>
  </si>
  <si>
    <t>OI104287_SEROV1_ET2200SSS_CPT_113_S45.001.jsf</t>
  </si>
  <si>
    <t>55;58;40.92531N</t>
  </si>
  <si>
    <t>7;42;35.67566E</t>
  </si>
  <si>
    <t>55;58;40.62435N</t>
  </si>
  <si>
    <t>7;42;37.12464E</t>
  </si>
  <si>
    <t>004075_20230701_10.11_OI104287SEROV1SPRINTNAV500.bin</t>
  </si>
  <si>
    <t>55;58;41.18936N</t>
  </si>
  <si>
    <t>7;42;36.19799E</t>
  </si>
  <si>
    <t>55;58;40.83135N</t>
  </si>
  <si>
    <t>7;42;37.64848E</t>
  </si>
  <si>
    <t>1065_OI104287_SE_BH_113_S54_20230701102053 - 0001.db</t>
  </si>
  <si>
    <t>230701102032.SBD</t>
  </si>
  <si>
    <t>OI104287_SEROV1_ET2200SSS_CPT_113_S54.001.jsf</t>
  </si>
  <si>
    <t>55;58;33.28336N</t>
  </si>
  <si>
    <t>7;42;36.45485E</t>
  </si>
  <si>
    <t>55;58;33.02542N</t>
  </si>
  <si>
    <t>7;42;37.90556E</t>
  </si>
  <si>
    <t>004076_20230701_10.26_OI104287SEROV1SPRINTNAV500.bin</t>
  </si>
  <si>
    <t>55;58;33.39596N</t>
  </si>
  <si>
    <t>7;42;37.03410E</t>
  </si>
  <si>
    <t>55;58;33.05906N</t>
  </si>
  <si>
    <t>7;42;38.41763E</t>
  </si>
  <si>
    <t>1066_OI104287_SE_BH_113_S63_20230701103210 - 0001.db</t>
  </si>
  <si>
    <t>230701103142.SBD</t>
  </si>
  <si>
    <t>OI104287_SEROV1_ET2200SSS_CPT_113_S63.001.jsf</t>
  </si>
  <si>
    <t>55;58;41.00493N</t>
  </si>
  <si>
    <t>7;42;36.75298E</t>
  </si>
  <si>
    <t>55;58;40.63491N</t>
  </si>
  <si>
    <t>7;42;38.15390E</t>
  </si>
  <si>
    <t>55;58;41.07495N</t>
  </si>
  <si>
    <t>7;42;37.29672E</t>
  </si>
  <si>
    <t>55;58;40.82139N</t>
  </si>
  <si>
    <t>7;42;38.67261E</t>
  </si>
  <si>
    <t>1067_OI104287_SE_BH_113_S72_20230701104311 - 0001.db</t>
  </si>
  <si>
    <t>230701104256.SBD</t>
  </si>
  <si>
    <t>OI104287_SEROV1_ET2200SSS_CPT_113_S72.001.jsf</t>
  </si>
  <si>
    <t>004077_20230701_10.41_OI104287SEROV1SPRINTNAV500.bin</t>
  </si>
  <si>
    <t>55;58;33.32665N</t>
  </si>
  <si>
    <t>7;42;37.55344E</t>
  </si>
  <si>
    <t>55;58;33.04654N</t>
  </si>
  <si>
    <t>7;42;38.93332E</t>
  </si>
  <si>
    <t>55;58;32.04605N</t>
  </si>
  <si>
    <t>7;42;37.66227E</t>
  </si>
  <si>
    <t>55;58;31.74842N</t>
  </si>
  <si>
    <t>7;42;38.37207E</t>
  </si>
  <si>
    <t>Transit to CPT_143, ROV to latch</t>
  </si>
  <si>
    <t>55;58;13.51492N</t>
  </si>
  <si>
    <t>7;39;39.35005E</t>
  </si>
  <si>
    <t>55;58;13.15980N</t>
  </si>
  <si>
    <t>7;39;39.50973E</t>
  </si>
  <si>
    <t>OI104287_SE_SVX2_SVP_20230701_1126_555822N_0073965E_087</t>
  </si>
  <si>
    <t>55;58;13.55087N</t>
  </si>
  <si>
    <t>7;39;39.37222E</t>
  </si>
  <si>
    <t>55;58;13.13612N</t>
  </si>
  <si>
    <t>7;39;39.65306E</t>
  </si>
  <si>
    <t>SVP_087</t>
  </si>
  <si>
    <t>55;58;12.85556N</t>
  </si>
  <si>
    <t>7;39;37.01987E</t>
  </si>
  <si>
    <t>55;58;12.24867N</t>
  </si>
  <si>
    <t>7;39;38.32658E</t>
  </si>
  <si>
    <t>1068_OI104287_SE_CPT_143_P50_20230701114136 - 0001.db</t>
  </si>
  <si>
    <t>230701114112.SBD</t>
  </si>
  <si>
    <t>OI104287_SEROV1_ET2200SSS_CPT_143_P50.001.jsf</t>
  </si>
  <si>
    <t>004081_20230701_11.41_OI104287SEROV1SPRINTNAV500.bin</t>
  </si>
  <si>
    <t>55;58;10.80993N</t>
  </si>
  <si>
    <t>7;39;27.60579E</t>
  </si>
  <si>
    <t>55;58;10.07503N</t>
  </si>
  <si>
    <t>7;39;28.28921E</t>
  </si>
  <si>
    <t>55;58;10.97910N</t>
  </si>
  <si>
    <t>7;39;26.75833E</t>
  </si>
  <si>
    <t>55;58;10.27373N</t>
  </si>
  <si>
    <t>7;39;27.76689E</t>
  </si>
  <si>
    <t>1069_OI104287_SE_CPT_143_P41_20230701115009 - 0001.db</t>
  </si>
  <si>
    <t>230701114952.SBD</t>
  </si>
  <si>
    <t>OI104287_SEROV1_ET2200SSS_CPT_143_P41.001.jsf</t>
  </si>
  <si>
    <t>55;58;13.09433N</t>
  </si>
  <si>
    <t>7;39;36.67900E</t>
  </si>
  <si>
    <t>55;58;12.45070N</t>
  </si>
  <si>
    <t>7;39;37.81089E</t>
  </si>
  <si>
    <t>55;58;13.48342N</t>
  </si>
  <si>
    <t>7;39;36.76600E</t>
  </si>
  <si>
    <t>55;58;12.79122N</t>
  </si>
  <si>
    <t>7;39;37.96840E</t>
  </si>
  <si>
    <t>1070_OI104287_SE_CPT_143_P32_20230701115919 - 0001.db</t>
  </si>
  <si>
    <t>230701115854.SBD</t>
  </si>
  <si>
    <t>OI104287_SEROV1_ET2200SSS_CPT_143_P32.001.jsf</t>
  </si>
  <si>
    <t>004082_20230701_11.56_OI104287SEROV1SPRINTNAV500.bin</t>
  </si>
  <si>
    <t>55;58;11.27745N</t>
  </si>
  <si>
    <t>7;39;26.93383E</t>
  </si>
  <si>
    <t>55;58;10.62421N</t>
  </si>
  <si>
    <t>7;39;27.96514E</t>
  </si>
  <si>
    <t>55;58;11.57978N</t>
  </si>
  <si>
    <t>7;39;26.62331E</t>
  </si>
  <si>
    <t>55;58;10.81627N</t>
  </si>
  <si>
    <t>7;39;27.40328E</t>
  </si>
  <si>
    <t>1071_OI104287_SE_CPT_143_P23_20230701120845 - 0001.db</t>
  </si>
  <si>
    <t>230701120746.SBD</t>
  </si>
  <si>
    <t>OI104287_SEROV1_ET2200SSS_CPT_143_P23.001.jsf</t>
  </si>
  <si>
    <t>55;58;13.70671N</t>
  </si>
  <si>
    <t>7;39;36.60918E</t>
  </si>
  <si>
    <t>55;58;12.99807N</t>
  </si>
  <si>
    <t>7;39;37.45905E</t>
  </si>
  <si>
    <t>004083_20230701_12.11_OI104287SEROV1SPRINTNAV500.bin</t>
  </si>
  <si>
    <t>55;58;14.05261N</t>
  </si>
  <si>
    <t>7;39;36.49374E</t>
  </si>
  <si>
    <t>55;58;13.34236N</t>
  </si>
  <si>
    <t>7;39;37.62048E</t>
  </si>
  <si>
    <t>1072_OI104287_SE_CPT_143_P14_20230701121715 - 0001.db</t>
  </si>
  <si>
    <t>230701121657.SBD</t>
  </si>
  <si>
    <t>OI104287_SEROV1_ET2200SSS_CPT_143_P14.001.jsf</t>
  </si>
  <si>
    <t>55;58;11.82342N</t>
  </si>
  <si>
    <t>7;39;26.49249E</t>
  </si>
  <si>
    <t>55;58;11.16329N</t>
  </si>
  <si>
    <t>7;39;27.57286E</t>
  </si>
  <si>
    <t>55;58;12.17726N</t>
  </si>
  <si>
    <t>7;39;26.57233E</t>
  </si>
  <si>
    <t>55;58;11.38945N</t>
  </si>
  <si>
    <t>7;39;27.11511E</t>
  </si>
  <si>
    <t>1073_OI104287_SE_CPT_143_P05_20230701122525 - 0001.db</t>
  </si>
  <si>
    <t>230701122449.SBD</t>
  </si>
  <si>
    <t>OI104287_SEROV1_ET2200SSS_CPT_143_P05.001.jsf</t>
  </si>
  <si>
    <t>55;58;14.33905N</t>
  </si>
  <si>
    <t>7;39;36.52861E</t>
  </si>
  <si>
    <t>55;58;13.55887N</t>
  </si>
  <si>
    <t>7;39;37.18235E</t>
  </si>
  <si>
    <t>004084_20230701_12.26_OI104287SEROV1SPRINTNAV500.bin</t>
  </si>
  <si>
    <t>55;58;14.59216N</t>
  </si>
  <si>
    <t>7;39;36.24480E</t>
  </si>
  <si>
    <t>55;58;13.89894N</t>
  </si>
  <si>
    <t>7;39;37.32537E</t>
  </si>
  <si>
    <t>1074_OI104287_SE_CPT_143_S05_20230701123349 - 0001.db</t>
  </si>
  <si>
    <t>230701123346.SBD</t>
  </si>
  <si>
    <t>OI104287_SEROV1_ET2200SSS_CPT_143_S05.001.jsf</t>
  </si>
  <si>
    <t>55;58;12.96640N</t>
  </si>
  <si>
    <t>7;39;28.69974E</t>
  </si>
  <si>
    <t>55;58;12.21005N</t>
  </si>
  <si>
    <t>7;39;29.52367E</t>
  </si>
  <si>
    <t>Weather Update: WS 20knots, WG 20knots, WH  1.5-2m</t>
  </si>
  <si>
    <t>55;58;12.42428N</t>
  </si>
  <si>
    <t>7;39;26.32332E</t>
  </si>
  <si>
    <t>55;58;11.73450N</t>
  </si>
  <si>
    <t>7;39;27.31185E</t>
  </si>
  <si>
    <t>55;58;12.66645N</t>
  </si>
  <si>
    <t>7;39;25.92010E</t>
  </si>
  <si>
    <t>55;58;11.93305N</t>
  </si>
  <si>
    <t>7;39;26.78560E</t>
  </si>
  <si>
    <t>1075_OI104287_SE_CPT_143_S14_20230701124407 - 0001.db</t>
  </si>
  <si>
    <t>230701124350.SBD</t>
  </si>
  <si>
    <t>OI104287_SEROV1_ET2200SSS_CPT_143_S14.001.jsf</t>
  </si>
  <si>
    <t>004085_20230701_12.41_OI104287SEROV1SPRINTNAV500.bin</t>
  </si>
  <si>
    <t>55;58;14.77555N</t>
  </si>
  <si>
    <t>7;39;35.84623E</t>
  </si>
  <si>
    <t>55;58;14.10232N</t>
  </si>
  <si>
    <t>7;39;36.81482E</t>
  </si>
  <si>
    <t>55;58;15.16742N</t>
  </si>
  <si>
    <t>7;39;35.86092E</t>
  </si>
  <si>
    <t>55;58;14.43771N</t>
  </si>
  <si>
    <t>7;39;36.92043E</t>
  </si>
  <si>
    <t>1076_OI104287_SE_CPT_143_S23_20230701125220 - 0001.db</t>
  </si>
  <si>
    <t>230701125146.SBD</t>
  </si>
  <si>
    <t>OI104287_SEROV1_ET2200SSS_CPT_143_S23.001.jsf</t>
  </si>
  <si>
    <t>55;58;13.00801N</t>
  </si>
  <si>
    <t>7;39;26.02652E</t>
  </si>
  <si>
    <t>55;58;12.28398N</t>
  </si>
  <si>
    <t>7;39;26.96906E</t>
  </si>
  <si>
    <t>004086_20230701_12.56_OI104287SEROV1SPRINTNAV500.bin</t>
  </si>
  <si>
    <t>55;58;13.29218N</t>
  </si>
  <si>
    <t>7;39;25.91168E</t>
  </si>
  <si>
    <t>55;58;12.47830N</t>
  </si>
  <si>
    <t>7;39;26.42893E</t>
  </si>
  <si>
    <t>1077_OI104287_SE_CPT_143_S32_20230701130059 - 0001.db</t>
  </si>
  <si>
    <t>230701130000.SBD</t>
  </si>
  <si>
    <t>OI104287_SEROV1_ET2200SSS_CPT_143_S32.001.jsf</t>
  </si>
  <si>
    <t>55;58;15.41514N</t>
  </si>
  <si>
    <t>7;39;35.77729E</t>
  </si>
  <si>
    <t>55;58;14.63626N</t>
  </si>
  <si>
    <t>7;39;36.40384E</t>
  </si>
  <si>
    <t>55;58;15.65459N</t>
  </si>
  <si>
    <t>7;39;35.24812E</t>
  </si>
  <si>
    <t>55;58;14.98523N</t>
  </si>
  <si>
    <t>7;39;36.56014E</t>
  </si>
  <si>
    <t>1078_OI104287_SE_CPT_143_S41_20230701130924 - 0001.db</t>
  </si>
  <si>
    <t>230701130904.SBD</t>
  </si>
  <si>
    <t>OI104287_SEROV1_ET2200SSS_CPT_143_S41.001.jsf</t>
  </si>
  <si>
    <t>55;58;13.50065N</t>
  </si>
  <si>
    <t>7;39;25.51133E</t>
  </si>
  <si>
    <t>55;58;12.82441N</t>
  </si>
  <si>
    <t>7;39;26.57589E</t>
  </si>
  <si>
    <t>004087_20230701_13.11_OI104287SEROV1SPRINTNAV500.bin</t>
  </si>
  <si>
    <t>Rotated 248degree</t>
  </si>
  <si>
    <t>55;58;13.70665N</t>
  </si>
  <si>
    <t>7;39;25.02196E</t>
  </si>
  <si>
    <t>55;58;13.02040N</t>
  </si>
  <si>
    <t>7;39;26.03576E</t>
  </si>
  <si>
    <t>1079_OI104287_SE_CPT_143_S50_20230701131732 - 0001.db</t>
  </si>
  <si>
    <t>230701131707.SBD</t>
  </si>
  <si>
    <t>OI104287_SEROV1_ET2200SSS_CPT_143_S50.001.jsf</t>
  </si>
  <si>
    <t>CPT_143 lines rotated to ENE-WSW  direction due to weather conditions (Original N-S)</t>
  </si>
  <si>
    <t>55;58;15.84902N</t>
  </si>
  <si>
    <t>7;39;34.88065E</t>
  </si>
  <si>
    <t>55;58;15.17895N</t>
  </si>
  <si>
    <t>7;39;36.02695E</t>
  </si>
  <si>
    <t>BH_055 lines rotated to ENE-WSW  direction due to weather conditions (Original N-S)</t>
  </si>
  <si>
    <t>55;58;16.41437N</t>
  </si>
  <si>
    <t>7;39;37.50609E</t>
  </si>
  <si>
    <t>55;58;16.02204N</t>
  </si>
  <si>
    <t>7;39;37.65247E</t>
  </si>
  <si>
    <t>Transit to BH_055, ROV to latch.</t>
  </si>
  <si>
    <t>55;58;10.68494N</t>
  </si>
  <si>
    <t>7;39;31.21926E</t>
  </si>
  <si>
    <t>55;58;10.48963N</t>
  </si>
  <si>
    <t>7;39;31.75208E</t>
  </si>
  <si>
    <t>55;57;42.24231N</t>
  </si>
  <si>
    <t>7;39;20.67081E</t>
  </si>
  <si>
    <t>55;57;42.03656N</t>
  </si>
  <si>
    <t>7;39;21.13687E</t>
  </si>
  <si>
    <t>OI104287_SE_SVX2_SVP_20230701_1349_555770N_0073939E_088</t>
  </si>
  <si>
    <t>55;57;42.24241N</t>
  </si>
  <si>
    <t>7;39;23.73194E</t>
  </si>
  <si>
    <t>55;57;41.38055N</t>
  </si>
  <si>
    <t>7;39;24.09310E</t>
  </si>
  <si>
    <t>SVP_088</t>
  </si>
  <si>
    <t>55;57;41.71940N</t>
  </si>
  <si>
    <t>7;39;21.21749E</t>
  </si>
  <si>
    <t>55;57;40.99884N</t>
  </si>
  <si>
    <t>7;39;22.41598E</t>
  </si>
  <si>
    <t>1080_OI104287_SE_BH_055_S72_20230701140131 - 0001.db</t>
  </si>
  <si>
    <t>230701140103.SBD</t>
  </si>
  <si>
    <t>OI104287_SEROV1_ET2200SSS_BH_055_S72.001.jsf</t>
  </si>
  <si>
    <t>004090_20230701_13.56_OI104287SEROV1SPRINTNAV500.bin</t>
  </si>
  <si>
    <t>55;57;38.92881N</t>
  </si>
  <si>
    <t>7;39;08.55175E</t>
  </si>
  <si>
    <t>55;57;38.26319N</t>
  </si>
  <si>
    <t>7;39;09.76427E</t>
  </si>
  <si>
    <t>55;57;38.69345N</t>
  </si>
  <si>
    <t>7;39;08.69032E</t>
  </si>
  <si>
    <t>55;57;37.91467N</t>
  </si>
  <si>
    <t>7;39;09.57477E</t>
  </si>
  <si>
    <t>1081_OI104287_SE_BH_055_S63_20230701141130 - 0001.db</t>
  </si>
  <si>
    <t>230701141116.SBD</t>
  </si>
  <si>
    <t>OI104287_SEROV1_ET2200SSS_BH_055_S63.001.jsf</t>
  </si>
  <si>
    <t>004091_20230701_14.11_OI104287SEROV1SPRINTNAV500.bin</t>
  </si>
  <si>
    <t>55;57;41.37180N</t>
  </si>
  <si>
    <t>7;39;21.20710E</t>
  </si>
  <si>
    <t>55;57;40.65425N</t>
  </si>
  <si>
    <t>7;39;22.24006E</t>
  </si>
  <si>
    <t>55;57;41.19371N</t>
  </si>
  <si>
    <t>7;39;21.59486E</t>
  </si>
  <si>
    <t>55;57;40.45389N</t>
  </si>
  <si>
    <t>7;39;22.75575E</t>
  </si>
  <si>
    <t>1082_OI104287_SE_BH_055_S54_20230701142101 - 0001.db</t>
  </si>
  <si>
    <t>230701142029.SBD</t>
  </si>
  <si>
    <t>OI104287_SEROV1_ET2200SSS_BH_055_S54.001.jsf</t>
  </si>
  <si>
    <t>55;57;38.44497N</t>
  </si>
  <si>
    <t>7;39;09.19055E</t>
  </si>
  <si>
    <t>55;57;37.70375N</t>
  </si>
  <si>
    <t>7;39;10.04821E</t>
  </si>
  <si>
    <t>004092_20230701_14.26_OI104287SEROV1SPRINTNAV500.bin</t>
  </si>
  <si>
    <t>55;57;38.14719N</t>
  </si>
  <si>
    <t>7;39;09.20180E</t>
  </si>
  <si>
    <t>55;57;37.35629N</t>
  </si>
  <si>
    <t>7;39;09.88859E</t>
  </si>
  <si>
    <t>1083_OI104287_SE_BH_055_S45_20230701143102 - 0001.db</t>
  </si>
  <si>
    <t>230701143047.SBD</t>
  </si>
  <si>
    <t>OI104287_SEROV1_ET2200SSS_BH_055_S45.001.jsf</t>
  </si>
  <si>
    <t>55;57;40.82738N</t>
  </si>
  <si>
    <t>7;39;21.63166E</t>
  </si>
  <si>
    <t>55;57;40.09903N</t>
  </si>
  <si>
    <t>7;39;22.55237E</t>
  </si>
  <si>
    <t>55;57;40.63974N</t>
  </si>
  <si>
    <t>7;39;22.22220E</t>
  </si>
  <si>
    <t>55;57;39.89173N</t>
  </si>
  <si>
    <t>7;39;23.04543E</t>
  </si>
  <si>
    <t>1084_OI104287_SE_BH_055_S36_20230701144035 - 0001.db</t>
  </si>
  <si>
    <t>230701144031.SBD</t>
  </si>
  <si>
    <t>OI104287_SEROV1_ET2200SSS_BH_055_S36.001.jsf</t>
  </si>
  <si>
    <t>55;57;37.91933N</t>
  </si>
  <si>
    <t>7;39;09.73246E</t>
  </si>
  <si>
    <t>55;57;37.14914N</t>
  </si>
  <si>
    <t>7;39;10.38285E</t>
  </si>
  <si>
    <t>004093_20230701_14.41_OI104287SEROV1SPRINTNAV500.bin</t>
  </si>
  <si>
    <t>55;57;37.68538N</t>
  </si>
  <si>
    <t>7;39;10.01042E</t>
  </si>
  <si>
    <t>55;57;36.81872N</t>
  </si>
  <si>
    <t>7;39;10.23711E</t>
  </si>
  <si>
    <t>1085_OI104287_SE_BH_055_S27_20230701145028 - 0001.db</t>
  </si>
  <si>
    <t>230701145023.SBD</t>
  </si>
  <si>
    <t>OI104287_SEROV1_ET2200SSS_BH_055_S27.001.jsf</t>
  </si>
  <si>
    <t>55;57;40.36895N</t>
  </si>
  <si>
    <t>7;39;22.59216E</t>
  </si>
  <si>
    <t>55;57;39.55935N</t>
  </si>
  <si>
    <t>7;39;22.90904E</t>
  </si>
  <si>
    <t>55;57;40.06079N</t>
  </si>
  <si>
    <t>7;39;22.25941E</t>
  </si>
  <si>
    <t>55;57;39.35281N</t>
  </si>
  <si>
    <t>7;39;23.42322E</t>
  </si>
  <si>
    <t>1086_OI104287_SE_BH_055_S18_20230701150100 - 0001.db</t>
  </si>
  <si>
    <t>230701150027.SBD</t>
  </si>
  <si>
    <t>OI104287_SEROV1_ET2200SSS_BH_055_S18.001.jsf</t>
  </si>
  <si>
    <t>004094_20230701_14.56_OI104287SEROV1SPRINTNAV500.bin</t>
  </si>
  <si>
    <t>55;57;37.27972N</t>
  </si>
  <si>
    <t>7;39;09.66946E</t>
  </si>
  <si>
    <t>55;57;36.61097N</t>
  </si>
  <si>
    <t>7;39;10.76124E</t>
  </si>
  <si>
    <t>55;57;37.22770N</t>
  </si>
  <si>
    <t>7;39;10.64125E</t>
  </si>
  <si>
    <t>55;57;36.34739N</t>
  </si>
  <si>
    <t>7;39;10.96794E</t>
  </si>
  <si>
    <t>1087_OI104287_SE_BH_055_S09_20230701151049 - 0001.db</t>
  </si>
  <si>
    <t>230701151032.SBD</t>
  </si>
  <si>
    <t>OI104287_SEROV1_ET2200SSS_BH_055_S09.001.jsf</t>
  </si>
  <si>
    <t>55;57;39.85322N</t>
  </si>
  <si>
    <t>7;39;22.94284E</t>
  </si>
  <si>
    <t>55;57;39.01047N</t>
  </si>
  <si>
    <t>7;39;23.25303E</t>
  </si>
  <si>
    <t>004095_20230701_15.11_OI104287SEROV1SPRINTNAV500.bin</t>
  </si>
  <si>
    <t>55;57;39.67858N</t>
  </si>
  <si>
    <t>7;39;23.30660E</t>
  </si>
  <si>
    <t>55;57;38.80136N</t>
  </si>
  <si>
    <t>7;39;23.76178E</t>
  </si>
  <si>
    <t>1088_OI104287_SE_BH_055_C00_20230701152037 - 0001.db</t>
  </si>
  <si>
    <t>230701151953.SBD</t>
  </si>
  <si>
    <t>OI104287_SEROV1_ET2200SSS_BH_055_C00.001.jsf</t>
  </si>
  <si>
    <t>55;57;36.97215N</t>
  </si>
  <si>
    <t>7;39;11.15276E</t>
  </si>
  <si>
    <t>55;57;36.14703N</t>
  </si>
  <si>
    <t>7;39;11.52044E</t>
  </si>
  <si>
    <t>55;57;36.57017N</t>
  </si>
  <si>
    <t>7;39;10.66594E</t>
  </si>
  <si>
    <t>55;57;35.78749N</t>
  </si>
  <si>
    <t>7;39;11.28297E</t>
  </si>
  <si>
    <t>1089_OI104287_SE_BH_055_P09_20230701153003 - 0001.db</t>
  </si>
  <si>
    <t>230701152931.SBD</t>
  </si>
  <si>
    <t>OI104287_SEROV1_ET2200SSS_BH_055_P09.001.jsf</t>
  </si>
  <si>
    <t>004096_20230701_15.26_OI104287SEROV1SPRINTNAV500.bin</t>
  </si>
  <si>
    <t>55;57;39.18295N</t>
  </si>
  <si>
    <t>7;39;22.82708E</t>
  </si>
  <si>
    <t>55;57;38.45254N</t>
  </si>
  <si>
    <t>7;39;23.61271E</t>
  </si>
  <si>
    <t>55;57;39.01544N</t>
  </si>
  <si>
    <t>7;39;23.34834E</t>
  </si>
  <si>
    <t>55;57;38.26606N</t>
  </si>
  <si>
    <t>7;39;24.17035E</t>
  </si>
  <si>
    <t>1090_OI104287_SE_BH_055_P18_20230701154012 - 0001.db</t>
  </si>
  <si>
    <t>230701153936.SBD</t>
  </si>
  <si>
    <t>OI104287_SEROV1_ET2200SSS_BH_055_P18.001.jsf</t>
  </si>
  <si>
    <t>55;57;36.32565N</t>
  </si>
  <si>
    <t>7;39;11.03292E</t>
  </si>
  <si>
    <t>55;57;35.57854N</t>
  </si>
  <si>
    <t>7;39;11.75400E</t>
  </si>
  <si>
    <t>004097_20230701_15.41_OI104287SEROV1SPRINTNAV500.bin</t>
  </si>
  <si>
    <t>55;57;36.11540N</t>
  </si>
  <si>
    <t>7;39;11.50824E</t>
  </si>
  <si>
    <t>55;57;35.22142N</t>
  </si>
  <si>
    <t>7;39;11.54971E</t>
  </si>
  <si>
    <t>1091_OI104287_SE_BH_055_P27_20230701155150 - 0001.db</t>
  </si>
  <si>
    <t>230701155045.SBD</t>
  </si>
  <si>
    <t>OI104287_SEROV1_ET2200SSS_BH_055_P27.001.jsf</t>
  </si>
  <si>
    <t>55;57;38.70895N</t>
  </si>
  <si>
    <t>7;39;23.55226E</t>
  </si>
  <si>
    <t>55;57;37.93082N</t>
  </si>
  <si>
    <t>7;39;24.05568E</t>
  </si>
  <si>
    <t>004098_20230701_15.56_OI104287SEROV1SPRINTNAV500.bin</t>
  </si>
  <si>
    <t>55;57;38.42538N</t>
  </si>
  <si>
    <t>7;39;23.71706E</t>
  </si>
  <si>
    <t>55;57;37.73679N</t>
  </si>
  <si>
    <t>7;39;24.57439E</t>
  </si>
  <si>
    <t>1092_OI104287_SE_BH_055_P36_20230701160420 - 0001.db</t>
  </si>
  <si>
    <t>230701160333.SBD</t>
  </si>
  <si>
    <t>OI104287_SEROV1_ET2200SSS_BH_055_P36.001.jsf</t>
  </si>
  <si>
    <t>55;57;35.70412N</t>
  </si>
  <si>
    <t>7;39;11.14851E</t>
  </si>
  <si>
    <t>55;57;35.02000N</t>
  </si>
  <si>
    <t>7;39;12.03221E</t>
  </si>
  <si>
    <t>55;57;35.55866N</t>
  </si>
  <si>
    <t>7;39;11.72653E</t>
  </si>
  <si>
    <t>55;57;34.67450N</t>
  </si>
  <si>
    <t>7;39;11.90608E</t>
  </si>
  <si>
    <t>1093_OI104287_SE_BH_055_P45_20230701161510 - 0001.db</t>
  </si>
  <si>
    <t>230701161453.SBD</t>
  </si>
  <si>
    <t>OI104287_SEROV1_ET2200SSS_BH_055_P45.001.jsf</t>
  </si>
  <si>
    <t>004099_20230701_16.11_OI104287SEROV1SPRINTNAV500.bin</t>
  </si>
  <si>
    <t>55;57;38.08590N</t>
  </si>
  <si>
    <t>7;39;23.60467E</t>
  </si>
  <si>
    <t>55;57;37.40064N</t>
  </si>
  <si>
    <t>7;39;24.47481E</t>
  </si>
  <si>
    <t>55;57;37.80811N</t>
  </si>
  <si>
    <t>7;39;23.73956E</t>
  </si>
  <si>
    <t>55;57;37.19304N</t>
  </si>
  <si>
    <t>7;39;24.95519E</t>
  </si>
  <si>
    <t>1094_OI104287_SE_BH_055_P54_20230701162528 - 0001.db</t>
  </si>
  <si>
    <t>230701162437.SBD</t>
  </si>
  <si>
    <t>OI104287_SEROV1_ET2200SSS_BH_055_P54.001.jsf</t>
  </si>
  <si>
    <t>55;57;35.19097N</t>
  </si>
  <si>
    <t>7;39;11.64050E</t>
  </si>
  <si>
    <t>55;57;34.47549N</t>
  </si>
  <si>
    <t>7;39;12.43836E</t>
  </si>
  <si>
    <t>004100_20230701_16.26_OI104287SEROV1SPRINTNAV500.bin</t>
  </si>
  <si>
    <t>55;57;34.88884N</t>
  </si>
  <si>
    <t>7;39;11.53831E</t>
  </si>
  <si>
    <t>55;57;34.12365N</t>
  </si>
  <si>
    <t>7;39;12.23891E</t>
  </si>
  <si>
    <t>1095_OI104287_SE_BH_055_P63_20230701163513 - 0001.db</t>
  </si>
  <si>
    <t>230701163442.SBD</t>
  </si>
  <si>
    <t>OI104287_SEROV1_ET2200SSS_BH_055_P63.001.jsf</t>
  </si>
  <si>
    <t>55;57;37.62363N</t>
  </si>
  <si>
    <t>7;39;24.25034E</t>
  </si>
  <si>
    <t>55;57;36.84316N</t>
  </si>
  <si>
    <t>7;39;24.78290E</t>
  </si>
  <si>
    <t>55;57;37.27341N</t>
  </si>
  <si>
    <t>7;39;24.16100E</t>
  </si>
  <si>
    <t>55;57;36.66393N</t>
  </si>
  <si>
    <t>7;39;25.39333E</t>
  </si>
  <si>
    <t>1096_OI104287_SE_BH_055_P72_20230701164508 - 0001.db</t>
  </si>
  <si>
    <t>230701164418.SBD</t>
  </si>
  <si>
    <t>OI104287_SEROV1_ET2200SSS_BH_055_P72.001.jsf</t>
  </si>
  <si>
    <t>004101_20230701_16.41_OI104287SEROV1SPRINTNAV500.bin</t>
  </si>
  <si>
    <t>55;57;34.56606N</t>
  </si>
  <si>
    <t>7;39;11.56840E</t>
  </si>
  <si>
    <t>55;57;33.91515N</t>
  </si>
  <si>
    <t>7;39;12.70149E</t>
  </si>
  <si>
    <t>55;57;34.09387N</t>
  </si>
  <si>
    <t>7;39;09.51815E</t>
  </si>
  <si>
    <t>55;57;33.71177N</t>
  </si>
  <si>
    <t>7;39;09.67978E</t>
  </si>
  <si>
    <t>Transit to CPT_037, ROV latched</t>
  </si>
  <si>
    <t>OI104287_SE_SVX2_SVP_20230701_1717_555743N_0073754E_089</t>
  </si>
  <si>
    <t>55;57;25.86379N</t>
  </si>
  <si>
    <t>7;37;32.62355E</t>
  </si>
  <si>
    <t>55;57;25.09278N</t>
  </si>
  <si>
    <t>7;37;33.25755E</t>
  </si>
  <si>
    <t>SVP_089</t>
  </si>
  <si>
    <t>55;57;25.49998N</t>
  </si>
  <si>
    <t>7;37;29.52627E</t>
  </si>
  <si>
    <t>55;57;24.69914N</t>
  </si>
  <si>
    <t>7;37;30.40814E</t>
  </si>
  <si>
    <t>1097_OI104287_SE_CPT_037_S50_20230701172721 - 0001.db</t>
  </si>
  <si>
    <t>230701172700.SBD</t>
  </si>
  <si>
    <t>OI104287_SEROV1_ET2200SSS_CPT_037_S50.001.jsf</t>
  </si>
  <si>
    <t>004104_20230701_17.26_OI104287SEROV1SPRINTNAV500.bin</t>
  </si>
  <si>
    <t>CPT_037 lines rotated to ENE-WSW  direction due to weather conditions (Original N-S)</t>
  </si>
  <si>
    <t>55;57;24.58286N</t>
  </si>
  <si>
    <t>7;37;21.25331E</t>
  </si>
  <si>
    <t>55;57;23.78273N</t>
  </si>
  <si>
    <t>7;37;22.13932E</t>
  </si>
  <si>
    <t>Weather Update: WS30 knots, WG32 knots, WH 2 m</t>
  </si>
  <si>
    <t>55;57;24.30074N</t>
  </si>
  <si>
    <t>7;37;18.69886E</t>
  </si>
  <si>
    <t>55;57;23.50075N</t>
  </si>
  <si>
    <t>7;37;19.58533E</t>
  </si>
  <si>
    <t>55;57;24.00064N</t>
  </si>
  <si>
    <t>7;37;19.05058E</t>
  </si>
  <si>
    <t>55;57;23.16521N</t>
  </si>
  <si>
    <t>7;37;19.26698E</t>
  </si>
  <si>
    <t>1098_OI104287_SE_CPT_037_S41_20230701173611 - 0001.db</t>
  </si>
  <si>
    <t>230701173532.SBD</t>
  </si>
  <si>
    <t>OI104287_SEROV1_ET2200SSS_CPT_037_S41.001.jsf</t>
  </si>
  <si>
    <t>55;57;25.17527N</t>
  </si>
  <si>
    <t>7;37;29.75606E</t>
  </si>
  <si>
    <t>55;57;24.36918N</t>
  </si>
  <si>
    <t>7;37;30.18484E</t>
  </si>
  <si>
    <t>55;57;24.85735N</t>
  </si>
  <si>
    <t>7;37;29.61084E</t>
  </si>
  <si>
    <t>55;57;24.13291N</t>
  </si>
  <si>
    <t>7;37;30.70717E</t>
  </si>
  <si>
    <t>1099_OI104287_SE_CPT_037_S32_20230701174457 - 0001.db</t>
  </si>
  <si>
    <t>230701174352.SBD</t>
  </si>
  <si>
    <t>OI104287_SEROV1_ET2200SSS_CPT_037_S32.001.jsf</t>
  </si>
  <si>
    <t>004105_20230701_17.41_OI104287SEROV1SPRINTNAV500.bin</t>
  </si>
  <si>
    <t>55;57;23.65294N</t>
  </si>
  <si>
    <t>7;37;18.59861E</t>
  </si>
  <si>
    <t>55;57;22.91838N</t>
  </si>
  <si>
    <t>7;37;19.70421E</t>
  </si>
  <si>
    <t>55;57;23.40956N</t>
  </si>
  <si>
    <t>7;37;18.68158E</t>
  </si>
  <si>
    <t>55;57;22.60109N</t>
  </si>
  <si>
    <t>7;37;19.45286E</t>
  </si>
  <si>
    <t>1100_OI104287_SE_CPT_037_S23_20230701175433 - 0001.db</t>
  </si>
  <si>
    <t>230701175352.SBD</t>
  </si>
  <si>
    <t>OI104287_SEROV1_ET2200SSS_CPT_037_S23.001.jsf</t>
  </si>
  <si>
    <t>55;57;24.60353N</t>
  </si>
  <si>
    <t>7;37;29.57459E</t>
  </si>
  <si>
    <t>55;57;23.81668N</t>
  </si>
  <si>
    <t>7;37;30.48508E</t>
  </si>
  <si>
    <t>004106_20230701_17.56_OI104287SEROV1SPRINTNAV500.bin</t>
  </si>
  <si>
    <t>55;57;24.23060N</t>
  </si>
  <si>
    <t>7;37;29.99148E</t>
  </si>
  <si>
    <t>55;57;23.56261N</t>
  </si>
  <si>
    <t>7;37;30.94857E</t>
  </si>
  <si>
    <t>1101_OI104287_SE_CPT_037_S14_20230701180328 - 0001.db</t>
  </si>
  <si>
    <t>230701180242.SBD</t>
  </si>
  <si>
    <t>OI104287_SEROV1_ET2200SSS_CPT_037_S14.001.jsf</t>
  </si>
  <si>
    <t>55;57;23.10020N</t>
  </si>
  <si>
    <t>7;37;19.13771E</t>
  </si>
  <si>
    <t>55;57;22.35320N</t>
  </si>
  <si>
    <t>7;37;20.00264E</t>
  </si>
  <si>
    <t>55;57;22.78022N</t>
  </si>
  <si>
    <t>7;37;18.92774E</t>
  </si>
  <si>
    <t>55;57;22.02475N</t>
  </si>
  <si>
    <t>7;37;19.67404E</t>
  </si>
  <si>
    <t>1102_OI104287_SE_CPT_037_S05_20230701181201 - 0001.db</t>
  </si>
  <si>
    <t>230701181116.SBD</t>
  </si>
  <si>
    <t>OI104287_SEROV1_ET2200SSS_CPT_037_S05.001.jsf</t>
  </si>
  <si>
    <t>004107_20230701_18.11_OI104287SEROV1SPRINTNAV500.bin</t>
  </si>
  <si>
    <t>55;57;23.99203N</t>
  </si>
  <si>
    <t>7;37;29.76704E</t>
  </si>
  <si>
    <t>55;57;23.23913N</t>
  </si>
  <si>
    <t>7;37;30.66613E</t>
  </si>
  <si>
    <t>55;57;23.72250N</t>
  </si>
  <si>
    <t>7;37;30.15082E</t>
  </si>
  <si>
    <t>55;57;22.99788N</t>
  </si>
  <si>
    <t>7;37;31.15979E</t>
  </si>
  <si>
    <t>1103_OI104287_SE_CPT_037_P05_20230701182048 - 0001.db</t>
  </si>
  <si>
    <t>230701181946.SBD</t>
  </si>
  <si>
    <t>OI104287_SEROV1_ET2200SSS_CPT_037_P05.001.jsf</t>
  </si>
  <si>
    <t>55;57;22.55027N</t>
  </si>
  <si>
    <t>7;37;19.17784E</t>
  </si>
  <si>
    <t>55;57;21.77430N</t>
  </si>
  <si>
    <t>7;37;20.07174E</t>
  </si>
  <si>
    <t>55;57;22.22937N</t>
  </si>
  <si>
    <t>7;37;18.94771E</t>
  </si>
  <si>
    <t>55;57;21.44629N</t>
  </si>
  <si>
    <t>7;37;19.75762E</t>
  </si>
  <si>
    <t>1104_OI104287_SE_CPT_037_P14_20230701182957 - 0001.db</t>
  </si>
  <si>
    <t>230701182911.SBD</t>
  </si>
  <si>
    <t>OI104287_SEROV1_ET2200SSS_CPT_037_P14.001.jsf</t>
  </si>
  <si>
    <t>004108_20230701_18.26_OI104287SEROV1SPRINTNAV500.bin</t>
  </si>
  <si>
    <t>55;57;23.42354N</t>
  </si>
  <si>
    <t>7;37;29.97054E</t>
  </si>
  <si>
    <t>55;57;22.68452N</t>
  </si>
  <si>
    <t>7;37;30.97301E</t>
  </si>
  <si>
    <t>55;57;23.25811N</t>
  </si>
  <si>
    <t>7;37;31.23758E</t>
  </si>
  <si>
    <t>55;57;22.43528N</t>
  </si>
  <si>
    <t>7;37;31.40270E</t>
  </si>
  <si>
    <t>1105_OI104287_SE_CPT_037_P23_20230701184133 - 0001.db</t>
  </si>
  <si>
    <t>230701184038.SBD</t>
  </si>
  <si>
    <t>OI104287_SEROV1_ET2200SSS_CPT_037_P23.001.jsf</t>
  </si>
  <si>
    <t>004109_20230701_18.41_OI104287SEROV1SPRINTNAV500.bin</t>
  </si>
  <si>
    <t>55;57;22.02929N</t>
  </si>
  <si>
    <t>7;37;19.58586E</t>
  </si>
  <si>
    <t>55;57;21.20610N</t>
  </si>
  <si>
    <t>7;37;20.26758E</t>
  </si>
  <si>
    <t>55;57;21.63523N</t>
  </si>
  <si>
    <t>7;37;18.97105E</t>
  </si>
  <si>
    <t>55;57;20.87508N</t>
  </si>
  <si>
    <t>7;37;19.97458E</t>
  </si>
  <si>
    <t>1106_OI104287_SE_CPT_037_P32_20230701185051 - 0001.db</t>
  </si>
  <si>
    <t>230701185012.SBD</t>
  </si>
  <si>
    <t>OI104287_SEROV1_ET2200SSS_CPT_037_P32.001.jsf</t>
  </si>
  <si>
    <t>55;57;22.86299N</t>
  </si>
  <si>
    <t>7;37;30.01752E</t>
  </si>
  <si>
    <t>55;57;22.10818N</t>
  </si>
  <si>
    <t>7;37;31.12328E</t>
  </si>
  <si>
    <t>55;57;22.57669N</t>
  </si>
  <si>
    <t>7;37;30.47437E</t>
  </si>
  <si>
    <t>55;57;21.85999N</t>
  </si>
  <si>
    <t>7;37;31.58978E</t>
  </si>
  <si>
    <t>1107_OI104287_SE_CPT_037_P41_20230701190027 - 0001.db</t>
  </si>
  <si>
    <t>230701185940.SBD</t>
  </si>
  <si>
    <t>OI104287_SEROV1_ET2200SSS_CPT_037_P41.001.jsf</t>
  </si>
  <si>
    <t>004110_20230701_18.56_OI104287SEROV1SPRINTNAV500.bin</t>
  </si>
  <si>
    <t>55;57;21.39404N</t>
  </si>
  <si>
    <t>7;37;19.35636E</t>
  </si>
  <si>
    <t>55;57;20.62916N</t>
  </si>
  <si>
    <t>7;37;20.43022E</t>
  </si>
  <si>
    <t>55;57;21.05911N</t>
  </si>
  <si>
    <t>7;37;19.11154E</t>
  </si>
  <si>
    <t>55;57;20.30870N</t>
  </si>
  <si>
    <t>7;37;20.13571E</t>
  </si>
  <si>
    <t>1108_OI104287_SE_CPT_037_P50_20230701190929 - 0001.db</t>
  </si>
  <si>
    <t>230701190846.SBD</t>
  </si>
  <si>
    <t>OI104287_SEROV1_ET2200SSS_CPT_037_P50.001.jsf</t>
  </si>
  <si>
    <t>55;57;22.30470N</t>
  </si>
  <si>
    <t>7;37;30.25501E</t>
  </si>
  <si>
    <t>55;57;21.55115N</t>
  </si>
  <si>
    <t>7;37;31.43378E</t>
  </si>
  <si>
    <t>004111_20230701_19.11_OI104287SEROV1SPRINTNAV500.bin</t>
  </si>
  <si>
    <t>CPT_037_P41_RR0001</t>
  </si>
  <si>
    <t>55;57;22.60370N</t>
  </si>
  <si>
    <t>7;37;31.40888E</t>
  </si>
  <si>
    <t>55;57;21.87161N</t>
  </si>
  <si>
    <t>7;37;31.67941E</t>
  </si>
  <si>
    <t>1109_OI104287_SE_CPT_037_P41_RR0001_20230701192024 - 0001.db</t>
  </si>
  <si>
    <t>230701191940.SBD</t>
  </si>
  <si>
    <t>OI104287_SEROV1_ET2200SSS_CPT_037_P41_RR0001.001.jsf</t>
  </si>
  <si>
    <t>55;57;21.36213N</t>
  </si>
  <si>
    <t>7;37;19.72638E</t>
  </si>
  <si>
    <t>55;57;20.62494N</t>
  </si>
  <si>
    <t>7;37;20.35599E</t>
  </si>
  <si>
    <t>55;57;21.22528N</t>
  </si>
  <si>
    <t>7;37;17.91702E</t>
  </si>
  <si>
    <t>55;57;20.37388N</t>
  </si>
  <si>
    <t>7;37;18.50959E</t>
  </si>
  <si>
    <t>Weather Update: WS 29 knots, WG 32 knots, WH  2.0-2.5 m</t>
  </si>
  <si>
    <t>55;57;21.19548N</t>
  </si>
  <si>
    <t>7;37;18.06753E</t>
  </si>
  <si>
    <t>55;57;20.81534N</t>
  </si>
  <si>
    <t>7;37;18.07356E</t>
  </si>
  <si>
    <t>WROV on deck EOD #028</t>
  </si>
  <si>
    <t>Transit to Esbjerg, WOW</t>
  </si>
  <si>
    <t>55;57;20.35384N</t>
  </si>
  <si>
    <t>7;37;21.24067E</t>
  </si>
  <si>
    <t>55;57;20.01359N</t>
  </si>
  <si>
    <t>7;37;21.20753E</t>
  </si>
  <si>
    <t>MBES data was not logged</t>
  </si>
  <si>
    <t>Infill for 10 m from southern part should be done for grad only</t>
  </si>
  <si>
    <t>55;49;31.72301N</t>
  </si>
  <si>
    <t>7;32;51.14437E</t>
  </si>
  <si>
    <t>Sync Qinsy data</t>
  </si>
  <si>
    <t>55;33;58.58213N</t>
  </si>
  <si>
    <t>7;25;26.16975E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</si>
</sst>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hh:mm:ss;@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b/>
      <sz val="24"/>
      <name val="Trebuchet MS"/>
      <family val="2"/>
    </font>
    <font>
      <b/>
      <sz val="24"/>
      <color theme="0"/>
      <name val="Trebuchet MS"/>
      <family val="2"/>
    </font>
    <font>
      <b/>
      <sz val="12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28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vertAlign val="superscript"/>
      <sz val="12"/>
      <color indexed="8"/>
      <name val="Calibri"/>
      <family val="2"/>
      <scheme val="minor"/>
    </font>
    <font>
      <b/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51C3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DDDDDD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4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3" fillId="0" borderId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9" fillId="0" borderId="0" applyNumberFormat="0" applyFill="0" applyBorder="0" applyAlignment="0" applyProtection="0"/>
    <xf numFmtId="9" fontId="20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4" fillId="0" borderId="8" applyNumberFormat="0" applyFill="0" applyAlignment="0" applyProtection="0"/>
    <xf numFmtId="0" fontId="24" fillId="0" borderId="0" applyNumberFormat="0" applyFill="0" applyBorder="0" applyAlignment="0" applyProtection="0"/>
    <xf numFmtId="0" fontId="25" fillId="7" borderId="0" applyNumberFormat="0" applyBorder="0" applyAlignment="0" applyProtection="0"/>
    <xf numFmtId="0" fontId="26" fillId="8" borderId="9" applyNumberFormat="0" applyAlignment="0" applyProtection="0"/>
    <xf numFmtId="0" fontId="27" fillId="9" borderId="10" applyNumberFormat="0" applyAlignment="0" applyProtection="0"/>
    <xf numFmtId="0" fontId="28" fillId="9" borderId="9" applyNumberFormat="0" applyAlignment="0" applyProtection="0"/>
    <xf numFmtId="0" fontId="29" fillId="0" borderId="11" applyNumberFormat="0" applyFill="0" applyAlignment="0" applyProtection="0"/>
    <xf numFmtId="0" fontId="1" fillId="10" borderId="12" applyNumberFormat="0" applyAlignment="0" applyProtection="0"/>
    <xf numFmtId="0" fontId="17" fillId="0" borderId="0" applyNumberFormat="0" applyFill="0" applyBorder="0" applyAlignment="0" applyProtection="0"/>
    <xf numFmtId="0" fontId="20" fillId="11" borderId="13" applyNumberFormat="0" applyFont="0" applyAlignment="0" applyProtection="0"/>
    <xf numFmtId="0" fontId="30" fillId="0" borderId="0" applyNumberFormat="0" applyFill="0" applyBorder="0" applyAlignment="0" applyProtection="0"/>
    <xf numFmtId="0" fontId="2" fillId="0" borderId="14" applyNumberFormat="0" applyFill="0" applyAlignment="0" applyProtection="0"/>
    <xf numFmtId="0" fontId="3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3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3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3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3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31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</cellStyleXfs>
  <cellXfs count="180">
    <xf numFmtId="0" fontId="0" fillId="0" borderId="0" xfId="0"/>
    <xf numFmtId="0" fontId="6" fillId="2" borderId="0" xfId="1" applyFont="1" applyFill="1" applyBorder="1" applyAlignment="1">
      <alignment vertical="center" wrapText="1"/>
    </xf>
    <xf numFmtId="0" fontId="6" fillId="2" borderId="0" xfId="1" applyFont="1" applyFill="1" applyBorder="1" applyAlignment="1">
      <alignment horizontal="center" vertical="center" wrapText="1"/>
    </xf>
    <xf numFmtId="0" fontId="2" fillId="2" borderId="0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Fill="1"/>
    <xf numFmtId="166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/>
    </xf>
    <xf numFmtId="49" fontId="0" fillId="0" borderId="0" xfId="0" quotePrefix="1" applyNumberFormat="1" applyFill="1" applyAlignment="1">
      <alignment horizontal="center"/>
    </xf>
    <xf numFmtId="0" fontId="12" fillId="6" borderId="1" xfId="0" applyFont="1" applyFill="1" applyBorder="1" applyAlignment="1">
      <alignment vertical="center"/>
    </xf>
    <xf numFmtId="0" fontId="12" fillId="6" borderId="2" xfId="0" applyFont="1" applyFill="1" applyBorder="1" applyAlignment="1">
      <alignment vertical="center"/>
    </xf>
    <xf numFmtId="20" fontId="12" fillId="6" borderId="2" xfId="0" applyNumberFormat="1" applyFont="1" applyFill="1" applyBorder="1" applyAlignment="1">
      <alignment vertical="center"/>
    </xf>
    <xf numFmtId="164" fontId="12" fillId="6" borderId="2" xfId="0" applyNumberFormat="1" applyFont="1" applyFill="1" applyBorder="1" applyAlignment="1">
      <alignment vertical="center"/>
    </xf>
    <xf numFmtId="2" fontId="12" fillId="6" borderId="2" xfId="0" applyNumberFormat="1" applyFont="1" applyFill="1" applyBorder="1" applyAlignment="1">
      <alignment vertical="center" wrapText="1"/>
    </xf>
    <xf numFmtId="0" fontId="12" fillId="6" borderId="3" xfId="0" applyFont="1" applyFill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9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0" fontId="12" fillId="6" borderId="2" xfId="0" applyFont="1" applyFill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2" fillId="0" borderId="0" xfId="0" applyNumberFormat="1" applyFont="1" applyAlignment="1">
      <alignment horizontal="center"/>
    </xf>
    <xf numFmtId="0" fontId="4" fillId="2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/>
    </xf>
    <xf numFmtId="0" fontId="8" fillId="0" borderId="0" xfId="0" applyFont="1" applyFill="1"/>
    <xf numFmtId="0" fontId="9" fillId="0" borderId="0" xfId="2" applyFill="1" applyAlignment="1">
      <alignment horizontal="center"/>
    </xf>
    <xf numFmtId="21" fontId="0" fillId="0" borderId="0" xfId="0" applyNumberFormat="1" applyFill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8" fillId="0" borderId="0" xfId="3" applyFont="1" applyFill="1" applyAlignment="1">
      <alignment horizontal="center"/>
    </xf>
    <xf numFmtId="1" fontId="4" fillId="2" borderId="0" xfId="1" applyNumberFormat="1" applyFont="1" applyFill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65" fontId="12" fillId="6" borderId="2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/>
    <xf numFmtId="0" fontId="0" fillId="0" borderId="0" xfId="0" applyFill="1" applyAlignment="1">
      <alignment wrapText="1"/>
    </xf>
    <xf numFmtId="0" fontId="0" fillId="0" borderId="0" xfId="0" applyFill="1" applyAlignment="1">
      <alignment horizontal="center" vertical="center"/>
    </xf>
    <xf numFmtId="21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vertical="center"/>
    </xf>
    <xf numFmtId="1" fontId="0" fillId="0" borderId="0" xfId="0" applyNumberFormat="1" applyFill="1" applyAlignment="1">
      <alignment horizontal="center"/>
    </xf>
    <xf numFmtId="0" fontId="0" fillId="0" borderId="0" xfId="0" applyAlignment="1">
      <alignment horizontal="left" vertical="top"/>
    </xf>
    <xf numFmtId="0" fontId="10" fillId="0" borderId="0" xfId="3" applyFill="1"/>
    <xf numFmtId="0" fontId="17" fillId="0" borderId="0" xfId="0" applyFont="1" applyFill="1"/>
    <xf numFmtId="0" fontId="2" fillId="0" borderId="0" xfId="0" applyFont="1" applyFill="1"/>
    <xf numFmtId="20" fontId="0" fillId="0" borderId="0" xfId="0" applyNumberFormat="1" applyFill="1" applyAlignment="1">
      <alignment wrapText="1"/>
    </xf>
    <xf numFmtId="0" fontId="5" fillId="2" borderId="0" xfId="1" applyFont="1" applyFill="1" applyBorder="1" applyAlignment="1">
      <alignment horizontal="center" vertical="center" wrapText="1"/>
    </xf>
    <xf numFmtId="0" fontId="7" fillId="3" borderId="0" xfId="0" applyFont="1" applyFill="1"/>
    <xf numFmtId="14" fontId="0" fillId="36" borderId="0" xfId="0" applyNumberFormat="1" applyFill="1" applyAlignment="1">
      <alignment horizontal="center"/>
    </xf>
    <xf numFmtId="0" fontId="0" fillId="36" borderId="0" xfId="0" applyFill="1" applyAlignment="1">
      <alignment horizontal="center"/>
    </xf>
    <xf numFmtId="21" fontId="0" fillId="36" borderId="0" xfId="0" applyNumberFormat="1" applyFill="1" applyAlignment="1">
      <alignment horizontal="center"/>
    </xf>
    <xf numFmtId="0" fontId="0" fillId="36" borderId="0" xfId="0" applyFill="1"/>
    <xf numFmtId="14" fontId="0" fillId="37" borderId="0" xfId="0" applyNumberFormat="1" applyFill="1" applyAlignment="1">
      <alignment horizontal="center"/>
    </xf>
    <xf numFmtId="0" fontId="0" fillId="37" borderId="0" xfId="0" applyFill="1" applyAlignment="1">
      <alignment horizontal="center"/>
    </xf>
    <xf numFmtId="21" fontId="0" fillId="37" borderId="0" xfId="0" applyNumberFormat="1" applyFill="1" applyAlignment="1">
      <alignment horizontal="center"/>
    </xf>
    <xf numFmtId="0" fontId="0" fillId="37" borderId="0" xfId="0" applyFill="1"/>
    <xf numFmtId="0" fontId="0" fillId="38" borderId="0" xfId="0" applyFill="1" applyAlignment="1">
      <alignment horizontal="center"/>
    </xf>
    <xf numFmtId="14" fontId="0" fillId="39" borderId="0" xfId="0" applyNumberFormat="1" applyFill="1" applyAlignment="1">
      <alignment horizontal="center"/>
    </xf>
    <xf numFmtId="0" fontId="0" fillId="39" borderId="0" xfId="0" applyFill="1" applyAlignment="1">
      <alignment horizontal="center"/>
    </xf>
    <xf numFmtId="21" fontId="0" fillId="39" borderId="0" xfId="0" applyNumberFormat="1" applyFill="1" applyAlignment="1">
      <alignment horizontal="center"/>
    </xf>
    <xf numFmtId="0" fontId="0" fillId="39" borderId="0" xfId="0" applyFill="1"/>
    <xf numFmtId="14" fontId="0" fillId="40" borderId="0" xfId="0" applyNumberFormat="1" applyFill="1" applyAlignment="1">
      <alignment horizontal="center"/>
    </xf>
    <xf numFmtId="0" fontId="0" fillId="40" borderId="0" xfId="0" applyFill="1" applyAlignment="1">
      <alignment horizontal="center"/>
    </xf>
    <xf numFmtId="21" fontId="0" fillId="40" borderId="0" xfId="0" applyNumberFormat="1" applyFill="1" applyAlignment="1">
      <alignment horizontal="center"/>
    </xf>
    <xf numFmtId="0" fontId="0" fillId="40" borderId="0" xfId="0" applyFill="1"/>
    <xf numFmtId="0" fontId="0" fillId="36" borderId="0" xfId="0" applyFont="1" applyFill="1"/>
    <xf numFmtId="21" fontId="10" fillId="5" borderId="0" xfId="3" applyNumberFormat="1" applyAlignment="1">
      <alignment horizontal="center"/>
    </xf>
    <xf numFmtId="21" fontId="17" fillId="0" borderId="0" xfId="0" applyNumberFormat="1" applyFont="1" applyFill="1" applyAlignment="1">
      <alignment horizontal="center"/>
    </xf>
    <xf numFmtId="0" fontId="17" fillId="0" borderId="0" xfId="0" applyFont="1" applyFill="1" applyAlignment="1">
      <alignment horizontal="center"/>
    </xf>
    <xf numFmtId="14" fontId="17" fillId="0" borderId="0" xfId="0" applyNumberFormat="1" applyFont="1" applyFill="1" applyAlignment="1">
      <alignment horizontal="center"/>
    </xf>
    <xf numFmtId="0" fontId="0" fillId="42" borderId="0" xfId="0" applyFill="1"/>
    <xf numFmtId="0" fontId="0" fillId="36" borderId="0" xfId="0" applyFill="1" applyAlignment="1">
      <alignment wrapText="1"/>
    </xf>
    <xf numFmtId="0" fontId="0" fillId="41" borderId="0" xfId="0" applyFill="1"/>
    <xf numFmtId="0" fontId="10" fillId="5" borderId="0" xfId="3"/>
    <xf numFmtId="0" fontId="10" fillId="5" borderId="0" xfId="3" applyAlignment="1">
      <alignment wrapText="1"/>
    </xf>
    <xf numFmtId="1" fontId="10" fillId="5" borderId="0" xfId="3" applyNumberFormat="1" applyAlignment="1">
      <alignment horizontal="center"/>
    </xf>
    <xf numFmtId="14" fontId="10" fillId="5" borderId="0" xfId="3" applyNumberFormat="1" applyAlignment="1">
      <alignment horizontal="center"/>
    </xf>
    <xf numFmtId="0" fontId="0" fillId="43" borderId="0" xfId="0" applyFill="1"/>
    <xf numFmtId="0" fontId="10" fillId="5" borderId="0" xfId="3" applyAlignment="1">
      <alignment horizontal="center"/>
    </xf>
    <xf numFmtId="0" fontId="0" fillId="44" borderId="0" xfId="0" applyFill="1" applyAlignment="1">
      <alignment horizontal="center"/>
    </xf>
    <xf numFmtId="0" fontId="25" fillId="7" borderId="0" xfId="11" applyAlignment="1">
      <alignment wrapText="1"/>
    </xf>
    <xf numFmtId="1" fontId="10" fillId="5" borderId="0" xfId="3" applyNumberFormat="1" applyAlignment="1">
      <alignment horizontal="center" vertical="center"/>
    </xf>
    <xf numFmtId="0" fontId="0" fillId="39" borderId="0" xfId="0" applyFill="1" applyAlignment="1">
      <alignment wrapText="1"/>
    </xf>
    <xf numFmtId="1" fontId="0" fillId="44" borderId="0" xfId="0" applyNumberFormat="1" applyFill="1" applyAlignment="1">
      <alignment horizontal="center"/>
    </xf>
    <xf numFmtId="0" fontId="0" fillId="40" borderId="0" xfId="0" applyFill="1" applyAlignment="1">
      <alignment wrapText="1"/>
    </xf>
    <xf numFmtId="14" fontId="0" fillId="44" borderId="0" xfId="0" applyNumberFormat="1" applyFill="1" applyAlignment="1">
      <alignment horizontal="center"/>
    </xf>
    <xf numFmtId="1" fontId="0" fillId="37" borderId="0" xfId="0" applyNumberFormat="1" applyFill="1" applyAlignment="1">
      <alignment horizontal="center"/>
    </xf>
    <xf numFmtId="21" fontId="0" fillId="44" borderId="0" xfId="0" applyNumberFormat="1" applyFill="1" applyAlignment="1">
      <alignment horizontal="center"/>
    </xf>
    <xf numFmtId="1" fontId="0" fillId="39" borderId="0" xfId="0" applyNumberFormat="1" applyFill="1" applyAlignment="1">
      <alignment horizontal="center"/>
    </xf>
    <xf numFmtId="1" fontId="0" fillId="36" borderId="0" xfId="0" applyNumberFormat="1" applyFill="1" applyAlignment="1">
      <alignment horizontal="center"/>
    </xf>
    <xf numFmtId="21" fontId="10" fillId="5" borderId="0" xfId="3" applyNumberFormat="1" applyAlignment="1">
      <alignment horizontal="center" vertical="center"/>
    </xf>
    <xf numFmtId="1" fontId="0" fillId="40" borderId="0" xfId="0" applyNumberFormat="1" applyFill="1" applyAlignment="1">
      <alignment horizontal="center"/>
    </xf>
    <xf numFmtId="0" fontId="0" fillId="0" borderId="0" xfId="0"/>
    <xf numFmtId="0" fontId="10" fillId="5" borderId="0" xfId="3" applyAlignment="1">
      <alignment vertical="center"/>
    </xf>
    <xf numFmtId="0" fontId="0" fillId="0" borderId="0" xfId="0"/>
    <xf numFmtId="0" fontId="0" fillId="37" borderId="0" xfId="0" applyFill="1"/>
    <xf numFmtId="0" fontId="0" fillId="37" borderId="0" xfId="0" applyFill="1" applyAlignment="1">
      <alignment wrapText="1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Fill="1" applyAlignment="1">
      <alignment horizontal="center"/>
    </xf>
    <xf numFmtId="0" fontId="0" fillId="38" borderId="0" xfId="0" applyFill="1"/>
    <xf numFmtId="0" fontId="0" fillId="38" borderId="0" xfId="0" applyFill="1" applyAlignment="1">
      <alignment wrapText="1"/>
    </xf>
    <xf numFmtId="0" fontId="10" fillId="5" borderId="0" xfId="3"/>
    <xf numFmtId="0" fontId="10" fillId="5" borderId="0" xfId="3" applyAlignment="1">
      <alignment wrapText="1"/>
    </xf>
    <xf numFmtId="0" fontId="0" fillId="36" borderId="0" xfId="0" applyFill="1"/>
    <xf numFmtId="0" fontId="0" fillId="36" borderId="0" xfId="0" applyFill="1" applyAlignment="1">
      <alignment wrapText="1"/>
    </xf>
    <xf numFmtId="0" fontId="0" fillId="39" borderId="0" xfId="0" applyFill="1"/>
    <xf numFmtId="0" fontId="0" fillId="39" borderId="0" xfId="0" applyFill="1" applyAlignment="1">
      <alignment wrapText="1"/>
    </xf>
    <xf numFmtId="0" fontId="0" fillId="40" borderId="0" xfId="0" applyFill="1"/>
    <xf numFmtId="0" fontId="0" fillId="40" borderId="0" xfId="0" applyFill="1" applyAlignment="1">
      <alignment wrapText="1"/>
    </xf>
    <xf numFmtId="0" fontId="0" fillId="0" borderId="0" xfId="0" applyFill="1" applyAlignment="1">
      <alignment horizontal="left"/>
    </xf>
    <xf numFmtId="0" fontId="10" fillId="5" borderId="0" xfId="3" applyAlignment="1">
      <alignment horizontal="center" vertical="center"/>
    </xf>
    <xf numFmtId="14" fontId="10" fillId="5" borderId="0" xfId="3" applyNumberFormat="1" applyAlignment="1">
      <alignment horizontal="center" vertical="center"/>
    </xf>
    <xf numFmtId="9" fontId="0" fillId="0" borderId="0" xfId="5" applyFont="1"/>
    <xf numFmtId="0" fontId="0" fillId="44" borderId="0" xfId="0" applyFill="1"/>
    <xf numFmtId="0" fontId="0" fillId="44" borderId="0" xfId="0" applyFill="1" applyAlignment="1">
      <alignment wrapText="1"/>
    </xf>
    <xf numFmtId="0" fontId="25" fillId="7" borderId="0" xfId="11"/>
    <xf numFmtId="0" fontId="10" fillId="5" borderId="0" xfId="3" applyAlignment="1">
      <alignment horizontal="center"/>
    </xf>
    <xf numFmtId="0" fontId="0" fillId="0" borderId="0" xfId="0" applyFill="1" applyAlignment="1">
      <alignment horizontal="left" wrapText="1"/>
    </xf>
    <xf numFmtId="0" fontId="0" fillId="0" borderId="0" xfId="0" applyFill="1" applyAlignment="1">
      <alignment horizontal="right"/>
    </xf>
    <xf numFmtId="0" fontId="18" fillId="0" borderId="0" xfId="4" applyFont="1" applyFill="1" applyAlignment="1">
      <alignment vertical="center"/>
    </xf>
    <xf numFmtId="14" fontId="0" fillId="38" borderId="0" xfId="0" applyNumberFormat="1" applyFill="1" applyAlignment="1">
      <alignment horizontal="center"/>
    </xf>
    <xf numFmtId="1" fontId="0" fillId="38" borderId="0" xfId="0" applyNumberFormat="1" applyFill="1" applyAlignment="1">
      <alignment horizontal="center"/>
    </xf>
    <xf numFmtId="21" fontId="0" fillId="38" borderId="0" xfId="0" applyNumberFormat="1" applyFill="1" applyAlignment="1">
      <alignment horizontal="center"/>
    </xf>
    <xf numFmtId="0" fontId="0" fillId="36" borderId="0" xfId="0" applyFill="1" applyAlignment="1">
      <alignment horizontal="center" vertical="center" wrapText="1"/>
    </xf>
    <xf numFmtId="14" fontId="25" fillId="7" borderId="0" xfId="11" applyNumberFormat="1" applyAlignment="1">
      <alignment horizontal="center"/>
    </xf>
    <xf numFmtId="1" fontId="25" fillId="7" borderId="0" xfId="11" applyNumberFormat="1" applyAlignment="1">
      <alignment horizontal="center"/>
    </xf>
    <xf numFmtId="21" fontId="25" fillId="7" borderId="0" xfId="11" applyNumberFormat="1" applyAlignment="1">
      <alignment horizontal="center"/>
    </xf>
    <xf numFmtId="0" fontId="25" fillId="7" borderId="0" xfId="11" applyAlignment="1">
      <alignment horizontal="center"/>
    </xf>
    <xf numFmtId="164" fontId="0" fillId="0" borderId="0" xfId="0" applyNumberFormat="1" applyFill="1"/>
    <xf numFmtId="14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0" fontId="17" fillId="0" borderId="0" xfId="0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2" fillId="0" borderId="0" xfId="0" applyFont="1" applyFill="1" applyAlignment="1">
      <alignment vertical="top" wrapText="1"/>
    </xf>
    <xf numFmtId="0" fontId="2" fillId="0" borderId="0" xfId="0" applyFont="1" applyAlignment="1">
      <alignment wrapText="1"/>
    </xf>
    <xf numFmtId="0" fontId="2" fillId="0" borderId="0" xfId="0" applyFont="1" applyAlignment="1"/>
    <xf numFmtId="14" fontId="17" fillId="0" borderId="0" xfId="0" applyNumberFormat="1" applyFont="1" applyAlignment="1">
      <alignment horizontal="center"/>
    </xf>
    <xf numFmtId="21" fontId="17" fillId="0" borderId="0" xfId="0" applyNumberFormat="1" applyFont="1" applyAlignment="1">
      <alignment horizontal="center"/>
    </xf>
    <xf numFmtId="0" fontId="0" fillId="0" borderId="0" xfId="0"/>
    <xf numFmtId="0" fontId="0" fillId="37" borderId="0" xfId="0" applyFill="1"/>
    <xf numFmtId="0" fontId="0" fillId="37" borderId="0" xfId="0" applyFill="1" applyAlignment="1">
      <alignment wrapText="1"/>
    </xf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38" borderId="0" xfId="0" applyFill="1"/>
    <xf numFmtId="0" fontId="0" fillId="38" borderId="0" xfId="0" applyFill="1" applyAlignment="1">
      <alignment wrapText="1"/>
    </xf>
    <xf numFmtId="0" fontId="10" fillId="5" borderId="0" xfId="3"/>
    <xf numFmtId="0" fontId="10" fillId="5" borderId="0" xfId="3" applyAlignment="1">
      <alignment wrapText="1"/>
    </xf>
    <xf numFmtId="0" fontId="0" fillId="36" borderId="0" xfId="0" applyFill="1"/>
    <xf numFmtId="0" fontId="0" fillId="36" borderId="0" xfId="0" applyFill="1" applyAlignment="1">
      <alignment wrapText="1"/>
    </xf>
    <xf numFmtId="0" fontId="0" fillId="39" borderId="0" xfId="0" applyFill="1"/>
    <xf numFmtId="0" fontId="0" fillId="39" borderId="0" xfId="0" applyFill="1" applyAlignment="1">
      <alignment wrapText="1"/>
    </xf>
    <xf numFmtId="0" fontId="0" fillId="40" borderId="0" xfId="0" applyFill="1"/>
    <xf numFmtId="0" fontId="0" fillId="40" borderId="0" xfId="0" applyFill="1" applyAlignment="1">
      <alignment wrapText="1"/>
    </xf>
    <xf numFmtId="0" fontId="0" fillId="44" borderId="0" xfId="0" applyFill="1"/>
    <xf numFmtId="0" fontId="0" fillId="44" borderId="0" xfId="0" applyFill="1" applyAlignment="1">
      <alignment wrapText="1"/>
    </xf>
    <xf numFmtId="0" fontId="10" fillId="5" borderId="0" xfId="3" applyAlignment="1">
      <alignment horizontal="center"/>
    </xf>
    <xf numFmtId="0" fontId="17" fillId="0" borderId="0" xfId="0" applyFont="1"/>
    <xf numFmtId="0" fontId="17" fillId="0" borderId="0" xfId="0" applyFont="1" applyAlignment="1">
      <alignment wrapText="1"/>
    </xf>
  </cellXfs>
  <cellStyles count="45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3" builtinId="27" customBuiltin="1"/>
    <cellStyle name="Calculation" xfId="14" builtinId="22" customBuiltin="1"/>
    <cellStyle name="Check Cell" xfId="16" builtinId="23" customBuiltin="1"/>
    <cellStyle name="Explanatory Text" xfId="19" builtinId="53" customBuiltin="1"/>
    <cellStyle name="Good" xfId="2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Hyperlink" xfId="4" builtinId="8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1" xr:uid="{295A1A56-9B8F-4FF6-A364-94ECB31CB572}"/>
    <cellStyle name="Note" xfId="18" builtinId="10" customBuiltin="1"/>
    <cellStyle name="Output" xfId="13" builtinId="21" customBuiltin="1"/>
    <cellStyle name="Percent" xfId="5" builtinId="5"/>
    <cellStyle name="Title" xfId="6" builtinId="15" customBuiltin="1"/>
    <cellStyle name="Total" xfId="20" builtinId="25" customBuiltin="1"/>
    <cellStyle name="Warning Text" xfId="17" builtinId="11" customBuiltin="1"/>
  </cellStyles>
  <dxfs count="1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6EFCE"/>
      <color rgb="FF99CCFF"/>
      <color rgb="FF66CCFF"/>
      <color rgb="FF00CCFF"/>
      <color rgb="FF99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57149</xdr:colOff>
      <xdr:row>0</xdr:row>
      <xdr:rowOff>0</xdr:rowOff>
    </xdr:from>
    <xdr:to>
      <xdr:col>3</xdr:col>
      <xdr:colOff>70381</xdr:colOff>
      <xdr:row>1</xdr:row>
      <xdr:rowOff>96864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325" t="29019" r="12872" b="27059"/>
        <a:stretch/>
      </xdr:blipFill>
      <xdr:spPr>
        <a:xfrm>
          <a:off x="57149" y="0"/>
          <a:ext cx="1604467" cy="10045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123825</xdr:colOff>
          <xdr:row>0</xdr:row>
          <xdr:rowOff>190500</xdr:rowOff>
        </xdr:from>
        <xdr:to>
          <xdr:col>25</xdr:col>
          <xdr:colOff>276225</xdr:colOff>
          <xdr:row>0</xdr:row>
          <xdr:rowOff>904875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Obtain SVP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1FDED-4B95-47AF-B12A-9D4784B9D8AC}">
  <sheetPr codeName="Sheet2"/>
  <dimension ref="A1:D18"/>
  <sheetViews>
    <sheetView workbookViewId="0">
      <selection activeCell="A4" sqref="A4"/>
    </sheetView>
  </sheetViews>
  <sheetFormatPr defaultRowHeight="15" x14ac:dyDescent="0.25"/>
  <cols>
    <col min="1" max="1" width="63.42578125" customWidth="1"/>
    <col min="2" max="2" width="15.5703125" style="12" customWidth="1"/>
    <col min="3" max="3" width="110" customWidth="1"/>
    <col min="4" max="4" width="9.140625" style="38"/>
  </cols>
  <sheetData>
    <row r="1" spans="1:4" s="8" customFormat="1" x14ac:dyDescent="0.25">
      <c r="A1" s="8" t="s">
        <v>27</v>
      </c>
      <c r="B1" s="11" t="s">
        <v>1</v>
      </c>
      <c r="C1" s="8" t="s">
        <v>28</v>
      </c>
      <c r="D1" s="5" t="s">
        <v>57</v>
      </c>
    </row>
    <row r="2" spans="1:4" x14ac:dyDescent="0.25">
      <c r="A2" s="37" t="s">
        <v>95</v>
      </c>
      <c r="B2" s="40">
        <v>45093</v>
      </c>
      <c r="C2" t="s">
        <v>96</v>
      </c>
      <c r="D2" s="38" t="s">
        <v>97</v>
      </c>
    </row>
    <row r="3" spans="1:4" s="14" customFormat="1" x14ac:dyDescent="0.25">
      <c r="A3" s="37" t="s">
        <v>9750</v>
      </c>
      <c r="B3" s="42">
        <v>45098</v>
      </c>
      <c r="C3" s="14" t="s">
        <v>9751</v>
      </c>
      <c r="D3" s="16" t="s">
        <v>177</v>
      </c>
    </row>
    <row r="4" spans="1:4" x14ac:dyDescent="0.25">
      <c r="A4" s="51"/>
      <c r="B4" s="40"/>
    </row>
    <row r="5" spans="1:4" x14ac:dyDescent="0.25">
      <c r="A5" s="37"/>
      <c r="B5" s="40"/>
    </row>
    <row r="6" spans="1:4" s="14" customFormat="1" x14ac:dyDescent="0.25">
      <c r="B6" s="42"/>
      <c r="D6" s="16"/>
    </row>
    <row r="7" spans="1:4" s="14" customFormat="1" x14ac:dyDescent="0.25">
      <c r="B7" s="42"/>
      <c r="D7" s="16"/>
    </row>
    <row r="8" spans="1:4" s="14" customFormat="1" x14ac:dyDescent="0.25">
      <c r="B8" s="42"/>
      <c r="D8" s="16"/>
    </row>
    <row r="9" spans="1:4" s="14" customFormat="1" x14ac:dyDescent="0.25">
      <c r="B9" s="42"/>
      <c r="D9" s="16"/>
    </row>
    <row r="10" spans="1:4" s="14" customFormat="1" x14ac:dyDescent="0.25">
      <c r="B10" s="42"/>
      <c r="D10" s="16"/>
    </row>
    <row r="11" spans="1:4" s="14" customFormat="1" x14ac:dyDescent="0.25">
      <c r="B11" s="42"/>
      <c r="D11" s="16"/>
    </row>
    <row r="12" spans="1:4" s="14" customFormat="1" x14ac:dyDescent="0.25">
      <c r="B12" s="42"/>
      <c r="D12" s="16"/>
    </row>
    <row r="13" spans="1:4" s="14" customFormat="1" x14ac:dyDescent="0.25">
      <c r="B13" s="42"/>
      <c r="D13" s="16"/>
    </row>
    <row r="14" spans="1:4" s="14" customFormat="1" x14ac:dyDescent="0.25">
      <c r="B14" s="42"/>
      <c r="D14" s="16"/>
    </row>
    <row r="15" spans="1:4" s="14" customFormat="1" x14ac:dyDescent="0.25">
      <c r="B15" s="42"/>
      <c r="D15" s="16"/>
    </row>
    <row r="16" spans="1:4" s="14" customFormat="1" x14ac:dyDescent="0.25">
      <c r="B16" s="42"/>
      <c r="D16" s="16"/>
    </row>
    <row r="17" spans="2:4" s="14" customFormat="1" x14ac:dyDescent="0.25">
      <c r="B17" s="42"/>
      <c r="D17" s="16"/>
    </row>
    <row r="18" spans="2:4" s="14" customFormat="1" x14ac:dyDescent="0.25">
      <c r="B18" s="42"/>
      <c r="D18" s="16"/>
    </row>
  </sheetData>
  <pageMargins left="0.7" right="0.7" top="0.75" bottom="0.75" header="0.3" footer="0.3"/>
  <pageSetup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F0540-E2C4-45F3-8530-D7417DAEC6D2}">
  <sheetPr codeName="Sheet1"/>
  <dimension ref="A1:X2699"/>
  <sheetViews>
    <sheetView tabSelected="1" zoomScaleNormal="100" workbookViewId="0">
      <pane ySplit="3" topLeftCell="A2682" activePane="bottomLeft" state="frozen"/>
      <selection pane="bottomLeft" activeCell="E2706" sqref="E2706"/>
    </sheetView>
  </sheetViews>
  <sheetFormatPr defaultRowHeight="15" x14ac:dyDescent="0.25"/>
  <cols>
    <col min="1" max="1" width="12.42578125" style="38" customWidth="1"/>
    <col min="2" max="2" width="11.28515625" style="46" hidden="1" customWidth="1"/>
    <col min="3" max="3" width="11.42578125" style="38" customWidth="1"/>
    <col min="4" max="4" width="12" style="38" customWidth="1"/>
    <col min="5" max="5" width="84.5703125" style="7" bestFit="1" customWidth="1"/>
    <col min="6" max="6" width="14.28515625" style="38" customWidth="1"/>
    <col min="7" max="7" width="23.140625" style="38" customWidth="1"/>
    <col min="8" max="8" width="18.28515625" customWidth="1"/>
    <col min="9" max="9" width="68.5703125" bestFit="1" customWidth="1"/>
    <col min="10" max="10" width="19" customWidth="1"/>
    <col min="11" max="11" width="48.140625" bestFit="1" customWidth="1"/>
    <col min="12" max="12" width="57.5703125" bestFit="1" customWidth="1"/>
    <col min="13" max="13" width="93.5703125" bestFit="1" customWidth="1"/>
    <col min="14" max="14" width="37.85546875" bestFit="1" customWidth="1"/>
    <col min="15" max="15" width="15.28515625" bestFit="1" customWidth="1"/>
    <col min="16" max="16" width="14.85546875" bestFit="1" customWidth="1"/>
    <col min="17" max="17" width="11.28515625" customWidth="1"/>
    <col min="18" max="18" width="15.28515625" customWidth="1"/>
    <col min="19" max="19" width="15.28515625" bestFit="1" customWidth="1"/>
    <col min="20" max="20" width="13.85546875" bestFit="1" customWidth="1"/>
    <col min="21" max="21" width="14.28515625" customWidth="1"/>
    <col min="22" max="22" width="13.5703125" customWidth="1"/>
    <col min="23" max="23" width="16.140625" customWidth="1"/>
  </cols>
  <sheetData>
    <row r="1" spans="1:23" s="3" customFormat="1" ht="71.25" customHeight="1" x14ac:dyDescent="0.25">
      <c r="A1" s="32"/>
      <c r="B1" s="44"/>
      <c r="C1" s="32"/>
      <c r="D1" s="32"/>
      <c r="E1" s="63"/>
      <c r="F1" s="63"/>
      <c r="G1" s="63"/>
      <c r="H1" s="63"/>
      <c r="I1" s="63"/>
      <c r="J1" s="2"/>
      <c r="K1" s="1"/>
      <c r="L1" s="1"/>
      <c r="M1" s="1"/>
    </row>
    <row r="2" spans="1:23" s="4" customFormat="1" ht="18.75" customHeight="1" x14ac:dyDescent="0.25">
      <c r="A2" s="33"/>
      <c r="B2" s="45"/>
      <c r="C2" s="33"/>
      <c r="D2" s="33"/>
      <c r="E2" s="64" t="s">
        <v>62</v>
      </c>
      <c r="F2" s="64"/>
      <c r="G2" s="64"/>
      <c r="H2" s="64"/>
      <c r="I2" s="64"/>
      <c r="J2" s="64"/>
      <c r="K2" s="64"/>
      <c r="L2" s="64"/>
      <c r="M2" s="64"/>
    </row>
    <row r="3" spans="1:23" s="5" customFormat="1" x14ac:dyDescent="0.25">
      <c r="A3" s="49" t="s">
        <v>1</v>
      </c>
      <c r="B3" s="31" t="s">
        <v>55</v>
      </c>
      <c r="C3" s="5" t="s">
        <v>2</v>
      </c>
      <c r="D3" s="5" t="s">
        <v>3</v>
      </c>
      <c r="E3" s="6" t="s">
        <v>0</v>
      </c>
      <c r="F3" s="5" t="s">
        <v>4</v>
      </c>
      <c r="G3" s="5" t="s">
        <v>5</v>
      </c>
      <c r="H3" s="5" t="s">
        <v>17377</v>
      </c>
      <c r="I3" s="5" t="s">
        <v>6</v>
      </c>
      <c r="J3" s="5" t="s">
        <v>7</v>
      </c>
      <c r="K3" s="5" t="s">
        <v>17378</v>
      </c>
      <c r="L3" s="5" t="s">
        <v>8</v>
      </c>
      <c r="M3" s="5" t="s">
        <v>9</v>
      </c>
      <c r="N3" s="5" t="s">
        <v>29</v>
      </c>
      <c r="O3" s="5" t="s">
        <v>10</v>
      </c>
      <c r="P3" s="5" t="s">
        <v>11</v>
      </c>
      <c r="Q3" s="5" t="s">
        <v>12</v>
      </c>
      <c r="R3" s="5" t="s">
        <v>13</v>
      </c>
      <c r="S3" s="5" t="s">
        <v>49</v>
      </c>
      <c r="T3" s="5" t="s">
        <v>50</v>
      </c>
      <c r="U3" s="5" t="s">
        <v>51</v>
      </c>
      <c r="V3" s="5" t="s">
        <v>52</v>
      </c>
      <c r="W3" s="5" t="s">
        <v>53</v>
      </c>
    </row>
    <row r="4" spans="1:23" s="14" customFormat="1" x14ac:dyDescent="0.25">
      <c r="A4" s="50">
        <v>45091</v>
      </c>
      <c r="B4" s="16">
        <v>165</v>
      </c>
      <c r="C4" s="36">
        <v>0.92958333333333332</v>
      </c>
      <c r="D4" s="16" t="s">
        <v>61</v>
      </c>
      <c r="E4" s="14" t="s">
        <v>74</v>
      </c>
      <c r="F4" s="16" t="s">
        <v>60</v>
      </c>
      <c r="G4" s="16" t="s">
        <v>59</v>
      </c>
      <c r="I4" s="14" t="s">
        <v>68</v>
      </c>
      <c r="O4" s="14" t="s">
        <v>66</v>
      </c>
      <c r="P4" s="14" t="s">
        <v>67</v>
      </c>
      <c r="Q4" s="14">
        <v>-169210.83</v>
      </c>
      <c r="R4" s="14">
        <v>6388328.7300000004</v>
      </c>
    </row>
    <row r="5" spans="1:23" s="14" customFormat="1" x14ac:dyDescent="0.25">
      <c r="A5" s="50">
        <v>45091</v>
      </c>
      <c r="B5" s="16">
        <v>165</v>
      </c>
      <c r="C5" s="36">
        <v>0.97142361111111108</v>
      </c>
      <c r="D5" s="16" t="s">
        <v>61</v>
      </c>
      <c r="E5" s="14" t="s">
        <v>70</v>
      </c>
      <c r="F5" s="16" t="s">
        <v>60</v>
      </c>
      <c r="G5" s="16" t="s">
        <v>59</v>
      </c>
      <c r="I5" s="14" t="s">
        <v>73</v>
      </c>
      <c r="O5" s="14" t="s">
        <v>71</v>
      </c>
      <c r="P5" s="14" t="s">
        <v>72</v>
      </c>
      <c r="Q5" s="14">
        <v>-169211.02</v>
      </c>
      <c r="R5" s="14">
        <v>6388328.75</v>
      </c>
    </row>
    <row r="6" spans="1:23" s="72" customFormat="1" x14ac:dyDescent="0.25">
      <c r="A6" s="69">
        <v>45092</v>
      </c>
      <c r="B6" s="70">
        <v>166</v>
      </c>
      <c r="C6" s="71">
        <v>1.1574074074074073E-5</v>
      </c>
      <c r="D6" s="70" t="s">
        <v>61</v>
      </c>
      <c r="E6" s="72" t="s">
        <v>77</v>
      </c>
      <c r="F6" s="73" t="s">
        <v>60</v>
      </c>
      <c r="G6" s="70"/>
      <c r="O6" s="72" t="s">
        <v>75</v>
      </c>
      <c r="P6" s="72" t="s">
        <v>76</v>
      </c>
      <c r="Q6" s="72">
        <v>-169210.86</v>
      </c>
      <c r="R6" s="72">
        <v>6388328.8099999996</v>
      </c>
    </row>
    <row r="7" spans="1:23" s="14" customFormat="1" x14ac:dyDescent="0.25">
      <c r="A7" s="50">
        <v>45092</v>
      </c>
      <c r="B7" s="16">
        <v>166</v>
      </c>
      <c r="C7" s="36">
        <v>3.472222222222222E-6</v>
      </c>
      <c r="D7" s="16" t="s">
        <v>61</v>
      </c>
      <c r="E7" s="14" t="s">
        <v>80</v>
      </c>
      <c r="F7" s="16" t="s">
        <v>60</v>
      </c>
      <c r="G7" s="16"/>
      <c r="O7" s="14" t="s">
        <v>78</v>
      </c>
      <c r="P7" s="14" t="s">
        <v>79</v>
      </c>
      <c r="Q7" s="14">
        <v>-169210.49</v>
      </c>
      <c r="R7" s="14">
        <v>6388328.7699999996</v>
      </c>
    </row>
    <row r="8" spans="1:23" s="72" customFormat="1" x14ac:dyDescent="0.25">
      <c r="A8" s="69">
        <v>45093</v>
      </c>
      <c r="B8" s="70">
        <v>167</v>
      </c>
      <c r="C8" s="71">
        <v>0</v>
      </c>
      <c r="D8" s="70" t="s">
        <v>61</v>
      </c>
      <c r="E8" s="72" t="s">
        <v>77</v>
      </c>
      <c r="F8" s="70" t="s">
        <v>60</v>
      </c>
      <c r="G8" s="70"/>
      <c r="O8" s="72" t="s">
        <v>81</v>
      </c>
      <c r="P8" s="72" t="s">
        <v>82</v>
      </c>
      <c r="Q8" s="72">
        <v>-169210.68</v>
      </c>
      <c r="R8" s="72">
        <v>6388328.7999999998</v>
      </c>
      <c r="S8" s="72" t="s">
        <v>83</v>
      </c>
      <c r="T8" s="72" t="s">
        <v>84</v>
      </c>
      <c r="U8" s="72">
        <v>-169208.62</v>
      </c>
      <c r="V8" s="72">
        <v>6388339.79</v>
      </c>
      <c r="W8" s="72">
        <v>348.82</v>
      </c>
    </row>
    <row r="9" spans="1:23" s="14" customFormat="1" x14ac:dyDescent="0.25">
      <c r="A9" s="50">
        <v>45093</v>
      </c>
      <c r="B9" s="16">
        <v>167</v>
      </c>
      <c r="C9" s="36">
        <v>0</v>
      </c>
      <c r="D9" s="16" t="s">
        <v>61</v>
      </c>
      <c r="E9" s="14" t="s">
        <v>80</v>
      </c>
      <c r="F9" s="16" t="s">
        <v>60</v>
      </c>
      <c r="G9" s="16"/>
      <c r="O9" s="14" t="s">
        <v>85</v>
      </c>
      <c r="P9" s="14" t="s">
        <v>86</v>
      </c>
      <c r="Q9" s="14">
        <v>-169210.48</v>
      </c>
      <c r="R9" s="14">
        <v>6388328.9699999997</v>
      </c>
      <c r="S9" s="14" t="s">
        <v>87</v>
      </c>
      <c r="T9" s="14" t="s">
        <v>88</v>
      </c>
      <c r="U9" s="14">
        <v>-169207.85</v>
      </c>
      <c r="V9" s="14">
        <v>6388340.0199999996</v>
      </c>
      <c r="W9" s="14">
        <v>349.18</v>
      </c>
    </row>
    <row r="10" spans="1:23" s="14" customFormat="1" x14ac:dyDescent="0.25">
      <c r="A10" s="50">
        <v>45093</v>
      </c>
      <c r="B10" s="16">
        <v>167</v>
      </c>
      <c r="C10" s="36">
        <v>0.16388888888888889</v>
      </c>
      <c r="D10" s="16" t="s">
        <v>61</v>
      </c>
      <c r="E10" s="14" t="s">
        <v>94</v>
      </c>
      <c r="F10" s="16" t="s">
        <v>60</v>
      </c>
      <c r="G10" s="16"/>
      <c r="O10" s="14" t="s">
        <v>89</v>
      </c>
      <c r="P10" s="14" t="s">
        <v>90</v>
      </c>
      <c r="Q10" s="14">
        <v>-169210.4</v>
      </c>
      <c r="R10" s="14">
        <v>6388328.79</v>
      </c>
      <c r="S10" s="14" t="s">
        <v>91</v>
      </c>
      <c r="T10" s="14" t="s">
        <v>92</v>
      </c>
      <c r="U10" s="14">
        <v>-169207.66</v>
      </c>
      <c r="V10" s="14">
        <v>6388340.0499999998</v>
      </c>
      <c r="W10" s="14">
        <v>349.16</v>
      </c>
    </row>
    <row r="11" spans="1:23" s="14" customFormat="1" x14ac:dyDescent="0.25">
      <c r="A11" s="50">
        <v>45093</v>
      </c>
      <c r="B11" s="16">
        <v>167</v>
      </c>
      <c r="C11" s="36">
        <v>0.1657986111111111</v>
      </c>
      <c r="D11" s="16" t="s">
        <v>61</v>
      </c>
      <c r="E11" s="14" t="s">
        <v>74</v>
      </c>
      <c r="F11" s="16" t="s">
        <v>60</v>
      </c>
      <c r="G11" s="16" t="s">
        <v>59</v>
      </c>
      <c r="I11" s="14" t="s">
        <v>93</v>
      </c>
      <c r="O11" s="14" t="s">
        <v>89</v>
      </c>
      <c r="P11" s="14" t="s">
        <v>90</v>
      </c>
      <c r="Q11" s="14">
        <v>-169210.4</v>
      </c>
      <c r="R11" s="14">
        <v>6388328.79</v>
      </c>
      <c r="S11" s="14" t="s">
        <v>91</v>
      </c>
      <c r="T11" s="14" t="s">
        <v>92</v>
      </c>
      <c r="U11" s="14">
        <v>-169207.66</v>
      </c>
      <c r="V11" s="14">
        <v>6388340.0499999998</v>
      </c>
      <c r="W11" s="14">
        <v>349.16</v>
      </c>
    </row>
    <row r="12" spans="1:23" s="14" customFormat="1" x14ac:dyDescent="0.25">
      <c r="A12" s="50">
        <v>45093</v>
      </c>
      <c r="B12" s="16">
        <v>167</v>
      </c>
      <c r="C12" s="36">
        <v>0.92391203703703706</v>
      </c>
      <c r="D12" s="16" t="s">
        <v>63</v>
      </c>
      <c r="E12" s="14" t="s">
        <v>102</v>
      </c>
      <c r="F12" s="16" t="s">
        <v>60</v>
      </c>
      <c r="G12" s="16" t="s">
        <v>98</v>
      </c>
      <c r="O12" s="14" t="s">
        <v>100</v>
      </c>
      <c r="P12" s="14" t="s">
        <v>101</v>
      </c>
      <c r="Q12" s="14">
        <v>-168700.22</v>
      </c>
      <c r="R12" s="14">
        <v>6387723.21</v>
      </c>
    </row>
    <row r="13" spans="1:23" s="14" customFormat="1" x14ac:dyDescent="0.25">
      <c r="A13" s="50">
        <v>45093</v>
      </c>
      <c r="B13" s="16">
        <v>167</v>
      </c>
      <c r="C13" s="36">
        <v>0.97225694444444455</v>
      </c>
      <c r="D13" s="16" t="s">
        <v>63</v>
      </c>
      <c r="E13" s="14" t="s">
        <v>117</v>
      </c>
      <c r="F13" s="16" t="s">
        <v>60</v>
      </c>
      <c r="G13" s="16" t="s">
        <v>98</v>
      </c>
      <c r="O13" s="14" t="s">
        <v>103</v>
      </c>
      <c r="P13" s="14" t="s">
        <v>104</v>
      </c>
      <c r="Q13" s="14">
        <v>-168694.24</v>
      </c>
      <c r="R13" s="14">
        <v>6387730.8799999999</v>
      </c>
    </row>
    <row r="14" spans="1:23" s="72" customFormat="1" x14ac:dyDescent="0.25">
      <c r="A14" s="69">
        <v>45094</v>
      </c>
      <c r="B14" s="70">
        <v>168</v>
      </c>
      <c r="C14" s="71">
        <v>0</v>
      </c>
      <c r="D14" s="70" t="s">
        <v>63</v>
      </c>
      <c r="E14" s="72" t="s">
        <v>77</v>
      </c>
      <c r="F14" s="70" t="s">
        <v>6095</v>
      </c>
      <c r="G14" s="70" t="s">
        <v>98</v>
      </c>
      <c r="O14" s="72" t="s">
        <v>105</v>
      </c>
      <c r="P14" s="72" t="s">
        <v>106</v>
      </c>
      <c r="Q14" s="72">
        <v>-159608.65</v>
      </c>
      <c r="R14" s="72">
        <v>6385245.7000000002</v>
      </c>
    </row>
    <row r="15" spans="1:23" s="14" customFormat="1" x14ac:dyDescent="0.25">
      <c r="A15" s="50">
        <v>45094</v>
      </c>
      <c r="B15" s="16">
        <v>168</v>
      </c>
      <c r="C15" s="36">
        <v>4.1400462962962965E-2</v>
      </c>
      <c r="D15" s="16" t="s">
        <v>63</v>
      </c>
      <c r="E15" s="14" t="s">
        <v>65</v>
      </c>
      <c r="F15" s="16" t="s">
        <v>6095</v>
      </c>
      <c r="G15" s="16" t="s">
        <v>98</v>
      </c>
      <c r="I15" s="14" t="s">
        <v>109</v>
      </c>
      <c r="O15" s="14" t="s">
        <v>107</v>
      </c>
      <c r="P15" s="14" t="s">
        <v>108</v>
      </c>
      <c r="Q15" s="14">
        <v>-143778.5</v>
      </c>
      <c r="R15" s="14">
        <v>6379307.3700000001</v>
      </c>
    </row>
    <row r="16" spans="1:23" s="14" customFormat="1" x14ac:dyDescent="0.25">
      <c r="A16" s="50">
        <v>45094</v>
      </c>
      <c r="B16" s="16">
        <v>168</v>
      </c>
      <c r="C16" s="36">
        <v>4.2685185185185187E-2</v>
      </c>
      <c r="D16" s="16" t="s">
        <v>63</v>
      </c>
      <c r="E16" s="14" t="s">
        <v>70</v>
      </c>
      <c r="F16" s="16" t="s">
        <v>6095</v>
      </c>
      <c r="G16" s="16" t="s">
        <v>98</v>
      </c>
      <c r="I16" s="14" t="s">
        <v>109</v>
      </c>
      <c r="O16" s="14" t="s">
        <v>110</v>
      </c>
      <c r="P16" s="14" t="s">
        <v>111</v>
      </c>
      <c r="Q16" s="14">
        <v>-143298.57999999999</v>
      </c>
      <c r="R16" s="14">
        <v>6379113.7800000003</v>
      </c>
    </row>
    <row r="17" spans="1:23" s="14" customFormat="1" x14ac:dyDescent="0.25">
      <c r="A17" s="50">
        <v>45094</v>
      </c>
      <c r="B17" s="16">
        <v>168</v>
      </c>
      <c r="C17" s="36">
        <v>0.10346064814814815</v>
      </c>
      <c r="D17" s="16" t="s">
        <v>63</v>
      </c>
      <c r="E17" s="14" t="s">
        <v>116</v>
      </c>
      <c r="F17" s="16" t="s">
        <v>6095</v>
      </c>
      <c r="G17" s="16" t="s">
        <v>98</v>
      </c>
      <c r="O17" s="14" t="s">
        <v>112</v>
      </c>
      <c r="P17" s="14" t="s">
        <v>113</v>
      </c>
      <c r="Q17" s="14">
        <v>-122868.39</v>
      </c>
      <c r="R17" s="14">
        <v>6371523</v>
      </c>
      <c r="S17" s="14" t="s">
        <v>114</v>
      </c>
      <c r="T17" s="14" t="s">
        <v>115</v>
      </c>
      <c r="U17" s="14">
        <v>-122858.2</v>
      </c>
      <c r="V17" s="14">
        <v>6371529.7300000004</v>
      </c>
      <c r="W17" s="14">
        <v>35.630000000000003</v>
      </c>
    </row>
    <row r="18" spans="1:23" s="77" customFormat="1" x14ac:dyDescent="0.25">
      <c r="A18" s="74">
        <v>45094</v>
      </c>
      <c r="B18" s="75">
        <v>168</v>
      </c>
      <c r="C18" s="76">
        <v>0.11052083333333333</v>
      </c>
      <c r="D18" s="75" t="s">
        <v>63</v>
      </c>
      <c r="E18" s="77" t="s">
        <v>122</v>
      </c>
      <c r="F18" s="75" t="s">
        <v>6095</v>
      </c>
      <c r="G18" s="75" t="s">
        <v>98</v>
      </c>
      <c r="O18" s="77" t="s">
        <v>118</v>
      </c>
      <c r="P18" s="77" t="s">
        <v>119</v>
      </c>
      <c r="Q18" s="77">
        <v>-122869.06</v>
      </c>
      <c r="R18" s="77">
        <v>6371520.6500000004</v>
      </c>
      <c r="S18" s="77" t="s">
        <v>120</v>
      </c>
      <c r="T18" s="77" t="s">
        <v>121</v>
      </c>
      <c r="U18" s="77">
        <v>-122867.38</v>
      </c>
      <c r="V18" s="77">
        <v>6371531.6200000001</v>
      </c>
      <c r="W18" s="77">
        <v>343.9</v>
      </c>
    </row>
    <row r="19" spans="1:23" s="68" customFormat="1" x14ac:dyDescent="0.25">
      <c r="A19" s="65">
        <v>45094</v>
      </c>
      <c r="B19" s="66">
        <v>168</v>
      </c>
      <c r="C19" s="67">
        <v>0.12406250000000001</v>
      </c>
      <c r="D19" s="66" t="s">
        <v>63</v>
      </c>
      <c r="E19" s="68" t="s">
        <v>128</v>
      </c>
      <c r="F19" s="66" t="s">
        <v>6095</v>
      </c>
      <c r="G19" s="66" t="s">
        <v>98</v>
      </c>
      <c r="M19" s="68" t="s">
        <v>123</v>
      </c>
      <c r="O19" s="68" t="s">
        <v>124</v>
      </c>
      <c r="P19" s="68" t="s">
        <v>125</v>
      </c>
      <c r="Q19" s="68">
        <v>-122868.3</v>
      </c>
      <c r="R19" s="68">
        <v>6371520.9299999997</v>
      </c>
      <c r="S19" s="68" t="s">
        <v>126</v>
      </c>
      <c r="T19" s="68" t="s">
        <v>127</v>
      </c>
      <c r="U19" s="68">
        <v>-122866.96</v>
      </c>
      <c r="V19" s="68">
        <v>6371540.5099999998</v>
      </c>
      <c r="W19" s="68">
        <v>334.25</v>
      </c>
    </row>
    <row r="20" spans="1:23" s="14" customFormat="1" x14ac:dyDescent="0.25">
      <c r="A20" s="50">
        <v>45094</v>
      </c>
      <c r="B20" s="16">
        <v>168</v>
      </c>
      <c r="C20" s="36">
        <v>0.13034722222222223</v>
      </c>
      <c r="D20" s="16" t="s">
        <v>63</v>
      </c>
      <c r="E20" s="14" t="s">
        <v>159</v>
      </c>
      <c r="F20" s="16" t="s">
        <v>6095</v>
      </c>
      <c r="G20" s="16" t="s">
        <v>98</v>
      </c>
      <c r="I20" s="14" t="s">
        <v>133</v>
      </c>
      <c r="J20" s="14" t="s">
        <v>134</v>
      </c>
      <c r="L20" s="14" t="s">
        <v>135</v>
      </c>
      <c r="O20" s="14" t="s">
        <v>129</v>
      </c>
      <c r="P20" s="14" t="s">
        <v>130</v>
      </c>
      <c r="Q20" s="14">
        <v>-122844.95</v>
      </c>
      <c r="R20" s="14">
        <v>6371517</v>
      </c>
      <c r="S20" s="14" t="s">
        <v>131</v>
      </c>
      <c r="T20" s="14" t="s">
        <v>132</v>
      </c>
      <c r="U20" s="14">
        <v>-122837.16</v>
      </c>
      <c r="V20" s="14">
        <v>6371538.4800000004</v>
      </c>
      <c r="W20" s="14">
        <v>90.3</v>
      </c>
    </row>
    <row r="21" spans="1:23" s="14" customFormat="1" x14ac:dyDescent="0.25">
      <c r="A21" s="50">
        <v>45094</v>
      </c>
      <c r="B21" s="16">
        <v>168</v>
      </c>
      <c r="C21" s="36">
        <v>0.13041666666666665</v>
      </c>
      <c r="D21" s="16" t="s">
        <v>63</v>
      </c>
      <c r="E21" s="14" t="s">
        <v>70</v>
      </c>
      <c r="F21" s="16" t="s">
        <v>6095</v>
      </c>
      <c r="G21" s="16" t="s">
        <v>98</v>
      </c>
      <c r="I21" s="14" t="s">
        <v>133</v>
      </c>
      <c r="J21" s="14" t="s">
        <v>134</v>
      </c>
      <c r="L21" s="14" t="s">
        <v>135</v>
      </c>
      <c r="O21" s="14" t="s">
        <v>136</v>
      </c>
      <c r="P21" s="14" t="s">
        <v>137</v>
      </c>
      <c r="Q21" s="14">
        <v>-122842.39</v>
      </c>
      <c r="R21" s="14">
        <v>6371516.5999999996</v>
      </c>
      <c r="S21" s="14" t="s">
        <v>138</v>
      </c>
      <c r="T21" s="14" t="s">
        <v>139</v>
      </c>
      <c r="U21" s="14">
        <v>-122833.65</v>
      </c>
      <c r="V21" s="14">
        <v>6371538.4199999999</v>
      </c>
      <c r="W21" s="14">
        <v>88.88</v>
      </c>
    </row>
    <row r="22" spans="1:23" s="14" customFormat="1" x14ac:dyDescent="0.25">
      <c r="A22" s="50">
        <v>45094</v>
      </c>
      <c r="B22" s="16">
        <v>168</v>
      </c>
      <c r="C22" s="36">
        <v>0.13158564814814813</v>
      </c>
      <c r="D22" s="16" t="s">
        <v>63</v>
      </c>
      <c r="E22" s="14" t="s">
        <v>160</v>
      </c>
      <c r="F22" s="16" t="s">
        <v>6095</v>
      </c>
      <c r="G22" s="16" t="s">
        <v>98</v>
      </c>
      <c r="I22" s="14" t="s">
        <v>144</v>
      </c>
      <c r="J22" s="14" t="s">
        <v>134</v>
      </c>
      <c r="L22" s="14" t="s">
        <v>135</v>
      </c>
      <c r="O22" s="14" t="s">
        <v>140</v>
      </c>
      <c r="P22" s="14" t="s">
        <v>141</v>
      </c>
      <c r="Q22" s="14">
        <v>-122791.87</v>
      </c>
      <c r="R22" s="14">
        <v>6371509.46</v>
      </c>
      <c r="S22" s="14" t="s">
        <v>142</v>
      </c>
      <c r="T22" s="14" t="s">
        <v>143</v>
      </c>
      <c r="U22" s="14">
        <v>-122775.81</v>
      </c>
      <c r="V22" s="14">
        <v>6371538.5499999998</v>
      </c>
      <c r="W22" s="14">
        <v>89.08</v>
      </c>
    </row>
    <row r="23" spans="1:23" s="14" customFormat="1" x14ac:dyDescent="0.25">
      <c r="A23" s="50">
        <v>45094</v>
      </c>
      <c r="B23" s="16">
        <v>168</v>
      </c>
      <c r="C23" s="36">
        <v>0.1345486111111111</v>
      </c>
      <c r="D23" s="16" t="s">
        <v>63</v>
      </c>
      <c r="E23" s="14" t="s">
        <v>70</v>
      </c>
      <c r="F23" s="16" t="s">
        <v>6095</v>
      </c>
      <c r="G23" s="16" t="s">
        <v>98</v>
      </c>
      <c r="I23" s="14" t="s">
        <v>144</v>
      </c>
      <c r="J23" s="14" t="s">
        <v>134</v>
      </c>
      <c r="L23" s="14" t="s">
        <v>135</v>
      </c>
      <c r="O23" s="14" t="s">
        <v>145</v>
      </c>
      <c r="P23" s="14" t="s">
        <v>146</v>
      </c>
      <c r="Q23" s="14">
        <v>-122660.94</v>
      </c>
      <c r="R23" s="14">
        <v>6371490.0700000003</v>
      </c>
      <c r="S23" s="14" t="s">
        <v>147</v>
      </c>
      <c r="T23" s="14" t="s">
        <v>148</v>
      </c>
      <c r="U23" s="14">
        <v>-122642.24000000001</v>
      </c>
      <c r="V23" s="14">
        <v>6371535.5800000001</v>
      </c>
      <c r="W23" s="14">
        <v>92.43</v>
      </c>
    </row>
    <row r="24" spans="1:23" s="14" customFormat="1" x14ac:dyDescent="0.25">
      <c r="A24" s="50">
        <v>45094</v>
      </c>
      <c r="B24" s="16">
        <v>168</v>
      </c>
      <c r="C24" s="36">
        <v>0.13474537037037038</v>
      </c>
      <c r="D24" s="16" t="s">
        <v>63</v>
      </c>
      <c r="E24" s="14" t="s">
        <v>65</v>
      </c>
      <c r="F24" s="16" t="s">
        <v>6095</v>
      </c>
      <c r="G24" s="16" t="s">
        <v>98</v>
      </c>
      <c r="I24" s="14" t="s">
        <v>153</v>
      </c>
      <c r="J24" s="14" t="s">
        <v>134</v>
      </c>
      <c r="L24" s="14" t="s">
        <v>135</v>
      </c>
      <c r="O24" s="14" t="s">
        <v>149</v>
      </c>
      <c r="P24" s="14" t="s">
        <v>150</v>
      </c>
      <c r="Q24" s="14">
        <v>-122652.26</v>
      </c>
      <c r="R24" s="14">
        <v>6371488.9699999997</v>
      </c>
      <c r="S24" s="14" t="s">
        <v>151</v>
      </c>
      <c r="T24" s="14" t="s">
        <v>152</v>
      </c>
      <c r="U24" s="14">
        <v>-122633.41</v>
      </c>
      <c r="V24" s="14">
        <v>6371535.3700000001</v>
      </c>
      <c r="W24" s="14">
        <v>92.32</v>
      </c>
    </row>
    <row r="25" spans="1:23" s="14" customFormat="1" x14ac:dyDescent="0.25">
      <c r="A25" s="50">
        <v>45094</v>
      </c>
      <c r="B25" s="16">
        <v>168</v>
      </c>
      <c r="C25" s="36">
        <v>0.14237268518518517</v>
      </c>
      <c r="D25" s="16" t="s">
        <v>63</v>
      </c>
      <c r="E25" s="14" t="s">
        <v>70</v>
      </c>
      <c r="F25" s="16" t="s">
        <v>6095</v>
      </c>
      <c r="G25" s="16" t="s">
        <v>98</v>
      </c>
      <c r="I25" s="14" t="s">
        <v>153</v>
      </c>
      <c r="J25" s="14" t="s">
        <v>134</v>
      </c>
      <c r="L25" s="14" t="s">
        <v>158</v>
      </c>
      <c r="O25" s="14" t="s">
        <v>154</v>
      </c>
      <c r="P25" s="14" t="s">
        <v>155</v>
      </c>
      <c r="Q25" s="14">
        <v>-122328.99</v>
      </c>
      <c r="R25" s="14">
        <v>6371439.46</v>
      </c>
      <c r="S25" s="14" t="s">
        <v>156</v>
      </c>
      <c r="T25" s="14" t="s">
        <v>157</v>
      </c>
      <c r="U25" s="14">
        <v>-122321.21</v>
      </c>
      <c r="V25" s="14">
        <v>6371481.1299999999</v>
      </c>
      <c r="W25" s="14">
        <v>22.81</v>
      </c>
    </row>
    <row r="26" spans="1:23" s="14" customFormat="1" x14ac:dyDescent="0.25">
      <c r="A26" s="50">
        <v>45094</v>
      </c>
      <c r="B26" s="16">
        <v>168</v>
      </c>
      <c r="C26" s="36">
        <v>0.14508101851851851</v>
      </c>
      <c r="D26" s="16" t="s">
        <v>63</v>
      </c>
      <c r="E26" s="14" t="s">
        <v>165</v>
      </c>
      <c r="F26" s="16" t="s">
        <v>6095</v>
      </c>
      <c r="G26" s="16" t="s">
        <v>98</v>
      </c>
      <c r="O26" s="14" t="s">
        <v>161</v>
      </c>
      <c r="P26" s="14" t="s">
        <v>162</v>
      </c>
      <c r="Q26" s="14">
        <v>-122326.15</v>
      </c>
      <c r="R26" s="14">
        <v>6371440.1299999999</v>
      </c>
      <c r="S26" s="14" t="s">
        <v>163</v>
      </c>
      <c r="T26" s="14" t="s">
        <v>164</v>
      </c>
      <c r="U26" s="14">
        <v>-122325.55</v>
      </c>
      <c r="V26" s="14">
        <v>6371452.2000000002</v>
      </c>
      <c r="W26" s="14">
        <v>344.05</v>
      </c>
    </row>
    <row r="27" spans="1:23" s="81" customFormat="1" x14ac:dyDescent="0.25">
      <c r="A27" s="78">
        <v>45094</v>
      </c>
      <c r="B27" s="79">
        <v>168</v>
      </c>
      <c r="C27" s="80">
        <v>0.15284722222222222</v>
      </c>
      <c r="D27" s="79" t="s">
        <v>175</v>
      </c>
      <c r="E27" s="81" t="s">
        <v>176</v>
      </c>
      <c r="F27" s="79" t="s">
        <v>6095</v>
      </c>
      <c r="G27" s="79" t="s">
        <v>98</v>
      </c>
      <c r="O27" s="81" t="s">
        <v>166</v>
      </c>
      <c r="P27" s="81" t="s">
        <v>167</v>
      </c>
      <c r="Q27" s="81">
        <v>-122326.21</v>
      </c>
      <c r="R27" s="81">
        <v>6371439.5899999999</v>
      </c>
      <c r="S27" s="81" t="s">
        <v>168</v>
      </c>
      <c r="T27" s="81" t="s">
        <v>169</v>
      </c>
      <c r="U27" s="81">
        <v>-122326.31</v>
      </c>
      <c r="V27" s="81">
        <v>6371450.9000000004</v>
      </c>
      <c r="W27" s="81">
        <v>340.21</v>
      </c>
    </row>
    <row r="28" spans="1:23" s="14" customFormat="1" x14ac:dyDescent="0.25">
      <c r="A28" s="50">
        <v>45094</v>
      </c>
      <c r="B28" s="16">
        <v>168</v>
      </c>
      <c r="C28" s="36">
        <v>0.15390046296296298</v>
      </c>
      <c r="D28" s="16" t="s">
        <v>175</v>
      </c>
      <c r="E28" s="14" t="s">
        <v>174</v>
      </c>
      <c r="F28" s="16" t="s">
        <v>6095</v>
      </c>
      <c r="G28" s="16" t="s">
        <v>98</v>
      </c>
      <c r="O28" s="14" t="s">
        <v>170</v>
      </c>
      <c r="P28" s="14" t="s">
        <v>171</v>
      </c>
      <c r="Q28" s="14">
        <v>-122326.23</v>
      </c>
      <c r="R28" s="14">
        <v>6371439.8200000003</v>
      </c>
      <c r="S28" s="14" t="s">
        <v>172</v>
      </c>
      <c r="T28" s="14" t="s">
        <v>173</v>
      </c>
      <c r="U28" s="14">
        <v>-122326.07</v>
      </c>
      <c r="V28" s="14">
        <v>6371449.8799999999</v>
      </c>
      <c r="W28" s="14">
        <v>341.13</v>
      </c>
    </row>
    <row r="29" spans="1:23" s="72" customFormat="1" x14ac:dyDescent="0.25">
      <c r="A29" s="69">
        <v>45095</v>
      </c>
      <c r="B29" s="70">
        <v>169</v>
      </c>
      <c r="C29" s="71">
        <v>1.1574074074074073E-5</v>
      </c>
      <c r="D29" s="70" t="s">
        <v>177</v>
      </c>
      <c r="E29" s="72" t="s">
        <v>77</v>
      </c>
      <c r="F29" s="70" t="s">
        <v>6095</v>
      </c>
      <c r="G29" s="70" t="s">
        <v>98</v>
      </c>
      <c r="O29" s="72" t="s">
        <v>6083</v>
      </c>
      <c r="P29" s="72" t="s">
        <v>6084</v>
      </c>
      <c r="Q29" s="72">
        <v>232334.57</v>
      </c>
      <c r="R29" s="72">
        <v>6249852.8399999999</v>
      </c>
    </row>
    <row r="30" spans="1:23" s="14" customFormat="1" x14ac:dyDescent="0.25">
      <c r="A30" s="50">
        <v>45095</v>
      </c>
      <c r="B30" s="16">
        <v>169</v>
      </c>
      <c r="C30" s="36">
        <v>0.2848148148148148</v>
      </c>
      <c r="D30" s="16" t="s">
        <v>177</v>
      </c>
      <c r="E30" s="14" t="s">
        <v>6087</v>
      </c>
      <c r="F30" s="16" t="s">
        <v>6096</v>
      </c>
      <c r="G30" s="16" t="s">
        <v>98</v>
      </c>
      <c r="O30" s="14" t="s">
        <v>6085</v>
      </c>
      <c r="P30" s="14" t="s">
        <v>6086</v>
      </c>
      <c r="Q30" s="14">
        <v>375609.14</v>
      </c>
      <c r="R30" s="14">
        <v>6207714.8700000001</v>
      </c>
    </row>
    <row r="31" spans="1:23" s="14" customFormat="1" x14ac:dyDescent="0.25">
      <c r="A31" s="50">
        <v>45095</v>
      </c>
      <c r="B31" s="16">
        <v>169</v>
      </c>
      <c r="C31" s="36">
        <v>0.30597222222222226</v>
      </c>
      <c r="D31" s="16" t="s">
        <v>177</v>
      </c>
      <c r="E31" s="14" t="s">
        <v>6090</v>
      </c>
      <c r="F31" s="16" t="s">
        <v>6096</v>
      </c>
      <c r="G31" s="16" t="s">
        <v>98</v>
      </c>
      <c r="O31" s="14" t="s">
        <v>6088</v>
      </c>
      <c r="P31" s="14" t="s">
        <v>6089</v>
      </c>
      <c r="Q31" s="14">
        <v>375609.03</v>
      </c>
      <c r="R31" s="14">
        <v>6207714.8200000003</v>
      </c>
    </row>
    <row r="32" spans="1:23" s="14" customFormat="1" x14ac:dyDescent="0.25">
      <c r="A32" s="50">
        <v>45095</v>
      </c>
      <c r="B32" s="16">
        <v>169</v>
      </c>
      <c r="C32" s="36">
        <v>0.33068287037037036</v>
      </c>
      <c r="D32" s="16" t="s">
        <v>177</v>
      </c>
      <c r="E32" s="14" t="s">
        <v>6097</v>
      </c>
      <c r="F32" s="16" t="s">
        <v>6096</v>
      </c>
      <c r="G32" s="16" t="s">
        <v>98</v>
      </c>
      <c r="O32" s="14" t="s">
        <v>6091</v>
      </c>
      <c r="P32" s="14" t="s">
        <v>6092</v>
      </c>
      <c r="Q32" s="14">
        <v>376770.68</v>
      </c>
      <c r="R32" s="14">
        <v>6208216.0499999998</v>
      </c>
      <c r="S32" s="14" t="s">
        <v>6093</v>
      </c>
      <c r="T32" s="14" t="s">
        <v>6094</v>
      </c>
      <c r="U32" s="14">
        <v>376766.13</v>
      </c>
      <c r="V32" s="14">
        <v>6208226.3200000003</v>
      </c>
      <c r="W32" s="14">
        <v>322.58</v>
      </c>
    </row>
    <row r="33" spans="1:23" s="14" customFormat="1" x14ac:dyDescent="0.25">
      <c r="A33" s="50">
        <v>45095</v>
      </c>
      <c r="B33" s="16">
        <v>169</v>
      </c>
      <c r="C33" s="36">
        <v>0.3351041666666667</v>
      </c>
      <c r="D33" s="16" t="s">
        <v>177</v>
      </c>
      <c r="E33" s="14" t="s">
        <v>6102</v>
      </c>
      <c r="F33" s="16" t="s">
        <v>99</v>
      </c>
      <c r="G33" s="16" t="s">
        <v>98</v>
      </c>
      <c r="O33" s="14" t="s">
        <v>6098</v>
      </c>
      <c r="P33" s="14" t="s">
        <v>6099</v>
      </c>
      <c r="Q33" s="14">
        <v>377120.35</v>
      </c>
      <c r="R33" s="14">
        <v>6208382.5300000003</v>
      </c>
      <c r="S33" s="14" t="s">
        <v>6100</v>
      </c>
      <c r="T33" s="14" t="s">
        <v>6101</v>
      </c>
      <c r="U33" s="14">
        <v>377122.89</v>
      </c>
      <c r="V33" s="14">
        <v>6208393.5700000003</v>
      </c>
      <c r="W33" s="14">
        <v>359.85</v>
      </c>
    </row>
    <row r="34" spans="1:23" s="14" customFormat="1" x14ac:dyDescent="0.25">
      <c r="A34" s="50">
        <v>45095</v>
      </c>
      <c r="B34" s="16">
        <v>169</v>
      </c>
      <c r="C34" s="36">
        <v>0.34675925925925927</v>
      </c>
      <c r="D34" s="16" t="s">
        <v>177</v>
      </c>
      <c r="E34" s="14" t="s">
        <v>6103</v>
      </c>
      <c r="F34" s="16" t="s">
        <v>99</v>
      </c>
      <c r="G34" s="16" t="s">
        <v>98</v>
      </c>
      <c r="O34" s="14" t="s">
        <v>6104</v>
      </c>
      <c r="P34" s="14" t="s">
        <v>6105</v>
      </c>
      <c r="Q34" s="14">
        <v>377125.06</v>
      </c>
      <c r="R34" s="14">
        <v>6208381.2400000002</v>
      </c>
      <c r="S34" s="14" t="s">
        <v>6106</v>
      </c>
      <c r="T34" s="14" t="s">
        <v>6107</v>
      </c>
      <c r="U34" s="14">
        <v>377123.37</v>
      </c>
      <c r="V34" s="14">
        <v>6208369.9100000001</v>
      </c>
      <c r="W34" s="14">
        <v>179.31</v>
      </c>
    </row>
    <row r="35" spans="1:23" s="77" customFormat="1" x14ac:dyDescent="0.25">
      <c r="A35" s="74">
        <v>45095</v>
      </c>
      <c r="B35" s="75">
        <v>169</v>
      </c>
      <c r="C35" s="76">
        <v>0.35480324074074071</v>
      </c>
      <c r="D35" s="75" t="s">
        <v>177</v>
      </c>
      <c r="E35" s="77" t="s">
        <v>6113</v>
      </c>
      <c r="F35" s="75" t="s">
        <v>6125</v>
      </c>
      <c r="G35" s="75" t="s">
        <v>6108</v>
      </c>
      <c r="O35" s="77" t="s">
        <v>6109</v>
      </c>
      <c r="P35" s="77" t="s">
        <v>6110</v>
      </c>
      <c r="Q35" s="77">
        <v>377124.74</v>
      </c>
      <c r="R35" s="77">
        <v>6208381.4000000004</v>
      </c>
      <c r="S35" s="77" t="s">
        <v>6111</v>
      </c>
      <c r="T35" s="77" t="s">
        <v>6112</v>
      </c>
      <c r="U35" s="77">
        <v>377122.35</v>
      </c>
      <c r="V35" s="77">
        <v>6208369.6299999999</v>
      </c>
      <c r="W35" s="77">
        <v>179.37</v>
      </c>
    </row>
    <row r="36" spans="1:23" s="68" customFormat="1" x14ac:dyDescent="0.25">
      <c r="A36" s="65">
        <v>45095</v>
      </c>
      <c r="B36" s="66">
        <v>169</v>
      </c>
      <c r="C36" s="67">
        <v>0.3621759259259259</v>
      </c>
      <c r="D36" s="66" t="s">
        <v>177</v>
      </c>
      <c r="E36" s="68" t="s">
        <v>6119</v>
      </c>
      <c r="F36" s="66" t="s">
        <v>6125</v>
      </c>
      <c r="G36" s="66" t="s">
        <v>6108</v>
      </c>
      <c r="M36" s="68" t="s">
        <v>6114</v>
      </c>
      <c r="O36" s="68" t="s">
        <v>6115</v>
      </c>
      <c r="P36" s="68" t="s">
        <v>6116</v>
      </c>
      <c r="Q36" s="68">
        <v>377124.85</v>
      </c>
      <c r="R36" s="68">
        <v>6208381.79</v>
      </c>
      <c r="S36" s="68" t="s">
        <v>6117</v>
      </c>
      <c r="T36" s="68" t="s">
        <v>6118</v>
      </c>
      <c r="U36" s="68">
        <v>377127.36</v>
      </c>
      <c r="V36" s="68">
        <v>6208364.5800000001</v>
      </c>
      <c r="W36" s="68">
        <v>185.26</v>
      </c>
    </row>
    <row r="37" spans="1:23" s="14" customFormat="1" x14ac:dyDescent="0.25">
      <c r="A37" s="50">
        <v>45095</v>
      </c>
      <c r="B37" s="16">
        <v>169</v>
      </c>
      <c r="C37" s="36">
        <v>0.3666550925925926</v>
      </c>
      <c r="D37" s="16" t="s">
        <v>177</v>
      </c>
      <c r="E37" s="14" t="s">
        <v>6124</v>
      </c>
      <c r="F37" s="16" t="s">
        <v>6125</v>
      </c>
      <c r="G37" s="16" t="s">
        <v>6108</v>
      </c>
      <c r="O37" s="14" t="s">
        <v>6120</v>
      </c>
      <c r="P37" s="14" t="s">
        <v>6121</v>
      </c>
      <c r="Q37" s="14">
        <v>377124.93</v>
      </c>
      <c r="R37" s="14">
        <v>6208381.2400000002</v>
      </c>
      <c r="S37" s="14" t="s">
        <v>6122</v>
      </c>
      <c r="T37" s="14" t="s">
        <v>6123</v>
      </c>
      <c r="U37" s="14">
        <v>377124.92</v>
      </c>
      <c r="V37" s="14">
        <v>6208363.9500000002</v>
      </c>
      <c r="W37" s="14">
        <v>183.57</v>
      </c>
    </row>
    <row r="38" spans="1:23" s="14" customFormat="1" x14ac:dyDescent="0.25">
      <c r="A38" s="50">
        <v>45095</v>
      </c>
      <c r="B38" s="16">
        <v>169</v>
      </c>
      <c r="C38" s="36">
        <v>0.36825231481481485</v>
      </c>
      <c r="D38" s="16" t="s">
        <v>177</v>
      </c>
      <c r="E38" s="14" t="s">
        <v>6130</v>
      </c>
      <c r="F38" s="16" t="s">
        <v>6125</v>
      </c>
      <c r="G38" s="16" t="s">
        <v>6108</v>
      </c>
      <c r="O38" s="14" t="s">
        <v>6126</v>
      </c>
      <c r="P38" s="14" t="s">
        <v>6127</v>
      </c>
      <c r="Q38" s="14">
        <v>377125.02</v>
      </c>
      <c r="R38" s="14">
        <v>6208381.6600000001</v>
      </c>
      <c r="S38" s="14" t="s">
        <v>6128</v>
      </c>
      <c r="T38" s="14" t="s">
        <v>6129</v>
      </c>
      <c r="U38" s="14">
        <v>377121.65</v>
      </c>
      <c r="V38" s="14">
        <v>6208370.54</v>
      </c>
      <c r="W38" s="14">
        <v>178.82</v>
      </c>
    </row>
    <row r="39" spans="1:23" s="81" customFormat="1" x14ac:dyDescent="0.25">
      <c r="A39" s="78">
        <v>45095</v>
      </c>
      <c r="B39" s="79">
        <v>169</v>
      </c>
      <c r="C39" s="80">
        <v>0.37427083333333333</v>
      </c>
      <c r="D39" s="79" t="s">
        <v>177</v>
      </c>
      <c r="E39" s="81" t="s">
        <v>6135</v>
      </c>
      <c r="F39" s="79" t="s">
        <v>6125</v>
      </c>
      <c r="G39" s="79" t="s">
        <v>98</v>
      </c>
      <c r="O39" s="81" t="s">
        <v>6131</v>
      </c>
      <c r="P39" s="81" t="s">
        <v>6132</v>
      </c>
      <c r="Q39" s="81">
        <v>377124.98</v>
      </c>
      <c r="R39" s="81">
        <v>6208381.7199999997</v>
      </c>
      <c r="S39" s="81" t="s">
        <v>6133</v>
      </c>
      <c r="T39" s="81" t="s">
        <v>6134</v>
      </c>
      <c r="U39" s="81">
        <v>377121.32</v>
      </c>
      <c r="V39" s="81">
        <v>6208370.0800000001</v>
      </c>
      <c r="W39" s="81">
        <v>179.57</v>
      </c>
    </row>
    <row r="40" spans="1:23" s="14" customFormat="1" x14ac:dyDescent="0.25">
      <c r="A40" s="50">
        <v>45095</v>
      </c>
      <c r="B40" s="16">
        <v>169</v>
      </c>
      <c r="C40" s="36">
        <v>0.37508101851851849</v>
      </c>
      <c r="D40" s="16" t="s">
        <v>177</v>
      </c>
      <c r="E40" s="14" t="s">
        <v>6136</v>
      </c>
      <c r="F40" s="16" t="s">
        <v>6125</v>
      </c>
      <c r="G40" s="16" t="s">
        <v>98</v>
      </c>
      <c r="O40" s="14" t="s">
        <v>6137</v>
      </c>
      <c r="P40" s="14" t="s">
        <v>6105</v>
      </c>
      <c r="Q40" s="14">
        <v>377125.05</v>
      </c>
      <c r="R40" s="14">
        <v>6208380.7999999998</v>
      </c>
      <c r="S40" s="14" t="s">
        <v>6138</v>
      </c>
      <c r="T40" s="14" t="s">
        <v>6139</v>
      </c>
      <c r="U40" s="14">
        <v>377122.91</v>
      </c>
      <c r="V40" s="14">
        <v>6208369.3799999999</v>
      </c>
      <c r="W40" s="14">
        <v>179.4</v>
      </c>
    </row>
    <row r="41" spans="1:23" s="14" customFormat="1" x14ac:dyDescent="0.25">
      <c r="A41" s="50">
        <v>45095</v>
      </c>
      <c r="B41" s="16">
        <v>169</v>
      </c>
      <c r="C41" s="36">
        <v>0.37787037037037036</v>
      </c>
      <c r="D41" s="16" t="s">
        <v>177</v>
      </c>
      <c r="E41" s="14" t="s">
        <v>6146</v>
      </c>
      <c r="F41" s="16" t="s">
        <v>6145</v>
      </c>
      <c r="G41" s="16" t="s">
        <v>6140</v>
      </c>
      <c r="O41" s="14" t="s">
        <v>6141</v>
      </c>
      <c r="P41" s="14" t="s">
        <v>6142</v>
      </c>
      <c r="Q41" s="14">
        <v>377125.44</v>
      </c>
      <c r="R41" s="14">
        <v>6208394.9900000002</v>
      </c>
      <c r="S41" s="14" t="s">
        <v>6143</v>
      </c>
      <c r="T41" s="14" t="s">
        <v>6144</v>
      </c>
      <c r="U41" s="14">
        <v>377123.3</v>
      </c>
      <c r="V41" s="14">
        <v>6208384.6600000001</v>
      </c>
      <c r="W41" s="14">
        <v>179.17</v>
      </c>
    </row>
    <row r="42" spans="1:23" s="90" customFormat="1" x14ac:dyDescent="0.25">
      <c r="A42" s="93">
        <v>45095</v>
      </c>
      <c r="B42" s="95">
        <v>169</v>
      </c>
      <c r="C42" s="83">
        <v>0.37990740740740742</v>
      </c>
      <c r="D42" s="95" t="s">
        <v>177</v>
      </c>
      <c r="E42" s="90" t="s">
        <v>6153</v>
      </c>
      <c r="F42" s="95" t="s">
        <v>6145</v>
      </c>
      <c r="G42" s="95" t="s">
        <v>6140</v>
      </c>
      <c r="I42" s="90" t="s">
        <v>6151</v>
      </c>
      <c r="L42" s="90" t="s">
        <v>6152</v>
      </c>
      <c r="O42" s="90" t="s">
        <v>6147</v>
      </c>
      <c r="P42" s="90" t="s">
        <v>6148</v>
      </c>
      <c r="Q42" s="90">
        <v>377125.12</v>
      </c>
      <c r="R42" s="90">
        <v>6208396.46</v>
      </c>
      <c r="S42" s="90" t="s">
        <v>6149</v>
      </c>
      <c r="T42" s="90" t="s">
        <v>6150</v>
      </c>
      <c r="U42" s="90">
        <v>377123.08</v>
      </c>
      <c r="V42" s="90">
        <v>6208385.3600000003</v>
      </c>
      <c r="W42" s="90">
        <v>179.55</v>
      </c>
    </row>
    <row r="43" spans="1:23" s="90" customFormat="1" x14ac:dyDescent="0.25">
      <c r="A43" s="93">
        <v>45095</v>
      </c>
      <c r="B43" s="95">
        <v>169</v>
      </c>
      <c r="C43" s="83">
        <v>0.39819444444444446</v>
      </c>
      <c r="D43" s="95" t="s">
        <v>177</v>
      </c>
      <c r="E43" s="90" t="s">
        <v>6206</v>
      </c>
      <c r="F43" s="95" t="s">
        <v>6145</v>
      </c>
      <c r="G43" s="95" t="s">
        <v>6140</v>
      </c>
      <c r="I43" s="90" t="s">
        <v>6151</v>
      </c>
      <c r="L43" s="90" t="s">
        <v>6158</v>
      </c>
      <c r="O43" s="90" t="s">
        <v>6154</v>
      </c>
      <c r="P43" s="90" t="s">
        <v>6155</v>
      </c>
      <c r="Q43" s="90">
        <v>377125.43</v>
      </c>
      <c r="R43" s="90">
        <v>6208396.8399999999</v>
      </c>
      <c r="S43" s="90" t="s">
        <v>6156</v>
      </c>
      <c r="T43" s="90" t="s">
        <v>6157</v>
      </c>
      <c r="U43" s="90">
        <v>377123.19</v>
      </c>
      <c r="V43" s="90">
        <v>6208386.3499999996</v>
      </c>
      <c r="W43" s="90">
        <v>178.65</v>
      </c>
    </row>
    <row r="44" spans="1:23" s="90" customFormat="1" x14ac:dyDescent="0.25">
      <c r="A44" s="93">
        <v>45095</v>
      </c>
      <c r="B44" s="95">
        <v>169</v>
      </c>
      <c r="C44" s="83">
        <v>0.4060185185185185</v>
      </c>
      <c r="D44" s="95" t="s">
        <v>177</v>
      </c>
      <c r="E44" s="90" t="s">
        <v>6207</v>
      </c>
      <c r="F44" s="95" t="s">
        <v>6145</v>
      </c>
      <c r="G44" s="95" t="s">
        <v>6140</v>
      </c>
      <c r="I44" s="90" t="s">
        <v>6163</v>
      </c>
      <c r="L44" s="90" t="s">
        <v>6164</v>
      </c>
      <c r="O44" s="90" t="s">
        <v>6159</v>
      </c>
      <c r="P44" s="90" t="s">
        <v>6160</v>
      </c>
      <c r="Q44" s="90">
        <v>377125.18</v>
      </c>
      <c r="R44" s="90">
        <v>6208396.4000000004</v>
      </c>
      <c r="S44" s="90" t="s">
        <v>6161</v>
      </c>
      <c r="T44" s="90" t="s">
        <v>6162</v>
      </c>
      <c r="U44" s="90">
        <v>377122.8</v>
      </c>
      <c r="V44" s="90">
        <v>6208385.0999999996</v>
      </c>
      <c r="W44" s="90">
        <v>178.01</v>
      </c>
    </row>
    <row r="45" spans="1:23" s="90" customFormat="1" x14ac:dyDescent="0.25">
      <c r="A45" s="93">
        <v>45095</v>
      </c>
      <c r="B45" s="95">
        <v>169</v>
      </c>
      <c r="C45" s="83">
        <v>0.40636574074074078</v>
      </c>
      <c r="D45" s="95" t="s">
        <v>177</v>
      </c>
      <c r="E45" s="90" t="s">
        <v>70</v>
      </c>
      <c r="F45" s="95" t="s">
        <v>6145</v>
      </c>
      <c r="G45" s="95" t="s">
        <v>6140</v>
      </c>
      <c r="I45" s="90" t="s">
        <v>6163</v>
      </c>
      <c r="L45" s="90" t="s">
        <v>6164</v>
      </c>
      <c r="O45" s="90" t="s">
        <v>6165</v>
      </c>
      <c r="P45" s="90" t="s">
        <v>6166</v>
      </c>
      <c r="Q45" s="90">
        <v>377125.15</v>
      </c>
      <c r="R45" s="90">
        <v>6208396.1399999997</v>
      </c>
      <c r="S45" s="90" t="s">
        <v>6167</v>
      </c>
      <c r="T45" s="90" t="s">
        <v>6168</v>
      </c>
      <c r="U45" s="90">
        <v>377123.38</v>
      </c>
      <c r="V45" s="90">
        <v>6208384.6799999997</v>
      </c>
      <c r="W45" s="90">
        <v>174.39</v>
      </c>
    </row>
    <row r="46" spans="1:23" s="90" customFormat="1" x14ac:dyDescent="0.25">
      <c r="A46" s="93">
        <v>45095</v>
      </c>
      <c r="B46" s="95">
        <v>169</v>
      </c>
      <c r="C46" s="83">
        <v>0.40686342592592589</v>
      </c>
      <c r="D46" s="95" t="s">
        <v>177</v>
      </c>
      <c r="E46" s="90" t="s">
        <v>6207</v>
      </c>
      <c r="F46" s="95" t="s">
        <v>6145</v>
      </c>
      <c r="G46" s="95" t="s">
        <v>6140</v>
      </c>
      <c r="I46" s="90" t="s">
        <v>6173</v>
      </c>
      <c r="L46" s="90" t="s">
        <v>6164</v>
      </c>
      <c r="O46" s="90" t="s">
        <v>6169</v>
      </c>
      <c r="P46" s="90" t="s">
        <v>6170</v>
      </c>
      <c r="Q46" s="90">
        <v>377124.77</v>
      </c>
      <c r="R46" s="90">
        <v>6208396.3099999996</v>
      </c>
      <c r="S46" s="90" t="s">
        <v>6171</v>
      </c>
      <c r="T46" s="90" t="s">
        <v>6172</v>
      </c>
      <c r="U46" s="90">
        <v>377123.47</v>
      </c>
      <c r="V46" s="90">
        <v>6208385.29</v>
      </c>
      <c r="W46" s="90">
        <v>176.67</v>
      </c>
    </row>
    <row r="47" spans="1:23" s="90" customFormat="1" x14ac:dyDescent="0.25">
      <c r="A47" s="93">
        <v>45095</v>
      </c>
      <c r="B47" s="95">
        <v>169</v>
      </c>
      <c r="C47" s="83">
        <v>0.4070023148148148</v>
      </c>
      <c r="D47" s="95" t="s">
        <v>177</v>
      </c>
      <c r="E47" s="90" t="s">
        <v>70</v>
      </c>
      <c r="F47" s="95" t="s">
        <v>6145</v>
      </c>
      <c r="G47" s="95" t="s">
        <v>6140</v>
      </c>
      <c r="I47" s="90" t="s">
        <v>6173</v>
      </c>
      <c r="L47" s="90" t="s">
        <v>6164</v>
      </c>
      <c r="O47" s="90" t="s">
        <v>6174</v>
      </c>
      <c r="P47" s="90" t="s">
        <v>6175</v>
      </c>
      <c r="Q47" s="90">
        <v>377124.89</v>
      </c>
      <c r="R47" s="90">
        <v>6208396.4100000001</v>
      </c>
      <c r="S47" s="90" t="s">
        <v>6176</v>
      </c>
      <c r="T47" s="90" t="s">
        <v>6177</v>
      </c>
      <c r="U47" s="90">
        <v>377123.65</v>
      </c>
      <c r="V47" s="90">
        <v>6208385.3200000003</v>
      </c>
      <c r="W47" s="90">
        <v>175.47</v>
      </c>
    </row>
    <row r="48" spans="1:23" s="90" customFormat="1" x14ac:dyDescent="0.25">
      <c r="A48" s="93">
        <v>45095</v>
      </c>
      <c r="B48" s="95">
        <v>169</v>
      </c>
      <c r="C48" s="83">
        <v>0.40795138888888888</v>
      </c>
      <c r="D48" s="95" t="s">
        <v>177</v>
      </c>
      <c r="E48" s="90" t="s">
        <v>6207</v>
      </c>
      <c r="F48" s="95" t="s">
        <v>6145</v>
      </c>
      <c r="G48" s="95" t="s">
        <v>6140</v>
      </c>
      <c r="I48" s="90" t="s">
        <v>6182</v>
      </c>
      <c r="L48" s="90" t="s">
        <v>6164</v>
      </c>
      <c r="O48" s="90" t="s">
        <v>6178</v>
      </c>
      <c r="P48" s="90" t="s">
        <v>6179</v>
      </c>
      <c r="Q48" s="90">
        <v>377124.92</v>
      </c>
      <c r="R48" s="90">
        <v>6208396.5099999998</v>
      </c>
      <c r="S48" s="90" t="s">
        <v>6180</v>
      </c>
      <c r="T48" s="90" t="s">
        <v>6181</v>
      </c>
      <c r="U48" s="90">
        <v>377123.73</v>
      </c>
      <c r="V48" s="90">
        <v>6208385.6399999997</v>
      </c>
      <c r="W48" s="90">
        <v>176.63</v>
      </c>
    </row>
    <row r="49" spans="1:24" s="90" customFormat="1" x14ac:dyDescent="0.25">
      <c r="A49" s="93">
        <v>45095</v>
      </c>
      <c r="B49" s="95">
        <v>169</v>
      </c>
      <c r="C49" s="83">
        <v>0.40826388888888893</v>
      </c>
      <c r="D49" s="95" t="s">
        <v>177</v>
      </c>
      <c r="E49" s="90" t="s">
        <v>70</v>
      </c>
      <c r="F49" s="95" t="s">
        <v>6145</v>
      </c>
      <c r="G49" s="95" t="s">
        <v>6140</v>
      </c>
      <c r="I49" s="90" t="s">
        <v>6182</v>
      </c>
      <c r="L49" s="90" t="s">
        <v>6164</v>
      </c>
      <c r="O49" s="90" t="s">
        <v>6183</v>
      </c>
      <c r="P49" s="90" t="s">
        <v>6184</v>
      </c>
      <c r="Q49" s="90">
        <v>377125</v>
      </c>
      <c r="R49" s="90">
        <v>6208396.4699999997</v>
      </c>
      <c r="S49" s="90" t="s">
        <v>6185</v>
      </c>
      <c r="T49" s="90" t="s">
        <v>6186</v>
      </c>
      <c r="U49" s="90">
        <v>377123.77</v>
      </c>
      <c r="V49" s="90">
        <v>6208385.71</v>
      </c>
      <c r="W49" s="90">
        <v>176.77</v>
      </c>
    </row>
    <row r="50" spans="1:24" s="14" customFormat="1" x14ac:dyDescent="0.25">
      <c r="A50" s="50">
        <v>45095</v>
      </c>
      <c r="B50" s="16">
        <v>169</v>
      </c>
      <c r="C50" s="36">
        <v>0.40995370370370371</v>
      </c>
      <c r="D50" s="16" t="s">
        <v>177</v>
      </c>
      <c r="E50" s="14" t="s">
        <v>6192</v>
      </c>
      <c r="F50" s="16" t="s">
        <v>6145</v>
      </c>
      <c r="G50" s="16" t="s">
        <v>6140</v>
      </c>
      <c r="I50" s="14" t="s">
        <v>6191</v>
      </c>
      <c r="L50" s="14" t="s">
        <v>6164</v>
      </c>
      <c r="O50" s="14" t="s">
        <v>6187</v>
      </c>
      <c r="P50" s="14" t="s">
        <v>6188</v>
      </c>
      <c r="Q50" s="14">
        <v>377124.98</v>
      </c>
      <c r="R50" s="14">
        <v>6208396.5199999996</v>
      </c>
      <c r="S50" s="14" t="s">
        <v>6189</v>
      </c>
      <c r="T50" s="14" t="s">
        <v>6190</v>
      </c>
      <c r="U50" s="14">
        <v>377123.52</v>
      </c>
      <c r="V50" s="14">
        <v>6208385.8899999997</v>
      </c>
      <c r="W50" s="14">
        <v>176.54</v>
      </c>
    </row>
    <row r="51" spans="1:24" s="14" customFormat="1" x14ac:dyDescent="0.25">
      <c r="A51" s="50">
        <v>45095</v>
      </c>
      <c r="B51" s="16">
        <v>169</v>
      </c>
      <c r="C51" s="36">
        <v>0.40995370370370371</v>
      </c>
      <c r="D51" s="16" t="s">
        <v>177</v>
      </c>
      <c r="E51" s="14" t="s">
        <v>65</v>
      </c>
      <c r="F51" s="16" t="s">
        <v>6145</v>
      </c>
      <c r="G51" s="16" t="s">
        <v>6140</v>
      </c>
      <c r="I51" s="14" t="s">
        <v>6191</v>
      </c>
      <c r="L51" s="14" t="s">
        <v>6164</v>
      </c>
      <c r="O51" s="14" t="s">
        <v>6187</v>
      </c>
      <c r="P51" s="14" t="s">
        <v>6188</v>
      </c>
      <c r="Q51" s="14">
        <v>377124.98</v>
      </c>
      <c r="R51" s="14">
        <v>6208396.5199999996</v>
      </c>
      <c r="S51" s="14" t="s">
        <v>6189</v>
      </c>
      <c r="T51" s="14" t="s">
        <v>6190</v>
      </c>
      <c r="U51" s="14">
        <v>377123.52</v>
      </c>
      <c r="V51" s="14">
        <v>6208385.8899999997</v>
      </c>
      <c r="W51" s="14">
        <v>176.54</v>
      </c>
    </row>
    <row r="52" spans="1:24" s="14" customFormat="1" x14ac:dyDescent="0.25">
      <c r="A52" s="50">
        <v>45095</v>
      </c>
      <c r="B52" s="16">
        <v>169</v>
      </c>
      <c r="C52" s="36">
        <v>0.42767361111111107</v>
      </c>
      <c r="D52" s="16" t="s">
        <v>97</v>
      </c>
      <c r="E52" s="14" t="s">
        <v>70</v>
      </c>
      <c r="F52" s="16" t="s">
        <v>6145</v>
      </c>
      <c r="G52" s="16" t="s">
        <v>6140</v>
      </c>
      <c r="I52" s="14" t="s">
        <v>6191</v>
      </c>
      <c r="L52" s="14" t="s">
        <v>6197</v>
      </c>
      <c r="O52" s="14" t="s">
        <v>6193</v>
      </c>
      <c r="P52" s="14" t="s">
        <v>6194</v>
      </c>
      <c r="Q52" s="14">
        <v>377124.98</v>
      </c>
      <c r="R52" s="14">
        <v>6208397.04</v>
      </c>
      <c r="S52" s="14" t="s">
        <v>6195</v>
      </c>
      <c r="T52" s="14" t="s">
        <v>6196</v>
      </c>
      <c r="U52" s="14">
        <v>377123.46</v>
      </c>
      <c r="V52" s="14">
        <v>6208385.6799999997</v>
      </c>
      <c r="W52" s="14">
        <v>177.51</v>
      </c>
    </row>
    <row r="53" spans="1:24" s="14" customFormat="1" x14ac:dyDescent="0.25">
      <c r="A53" s="50">
        <v>45095</v>
      </c>
      <c r="B53" s="16">
        <v>169</v>
      </c>
      <c r="C53" s="36">
        <v>0.43313657407407408</v>
      </c>
      <c r="D53" s="16" t="s">
        <v>97</v>
      </c>
      <c r="E53" s="14" t="s">
        <v>65</v>
      </c>
      <c r="F53" s="16" t="s">
        <v>6205</v>
      </c>
      <c r="G53" s="16" t="s">
        <v>6198</v>
      </c>
      <c r="H53" s="14">
        <v>1E-3</v>
      </c>
      <c r="I53" s="14" t="s">
        <v>6203</v>
      </c>
      <c r="L53" s="14" t="s">
        <v>6204</v>
      </c>
      <c r="O53" s="14" t="s">
        <v>6199</v>
      </c>
      <c r="P53" s="14" t="s">
        <v>6200</v>
      </c>
      <c r="Q53" s="14">
        <v>377124.63</v>
      </c>
      <c r="R53" s="14">
        <v>6208396.5099999998</v>
      </c>
      <c r="S53" s="14" t="s">
        <v>6201</v>
      </c>
      <c r="T53" s="14" t="s">
        <v>6202</v>
      </c>
      <c r="U53" s="14">
        <v>377122.67</v>
      </c>
      <c r="V53" s="14">
        <v>6208385.4100000001</v>
      </c>
      <c r="W53" s="14">
        <v>177.64</v>
      </c>
      <c r="X53" s="14">
        <v>500.11</v>
      </c>
    </row>
    <row r="54" spans="1:24" s="14" customFormat="1" x14ac:dyDescent="0.25">
      <c r="A54" s="50">
        <v>45095</v>
      </c>
      <c r="B54" s="16">
        <v>169</v>
      </c>
      <c r="C54" s="36">
        <v>0.44126157407407413</v>
      </c>
      <c r="D54" s="16" t="s">
        <v>97</v>
      </c>
      <c r="E54" s="14" t="s">
        <v>70</v>
      </c>
      <c r="F54" s="16" t="s">
        <v>6205</v>
      </c>
      <c r="G54" s="16" t="s">
        <v>6198</v>
      </c>
      <c r="H54" s="14">
        <v>5.0999999999999997E-2</v>
      </c>
      <c r="I54" s="14" t="s">
        <v>6203</v>
      </c>
      <c r="L54" s="14" t="s">
        <v>6204</v>
      </c>
      <c r="O54" s="14" t="s">
        <v>6208</v>
      </c>
      <c r="P54" s="14" t="s">
        <v>6209</v>
      </c>
      <c r="Q54" s="14">
        <v>376608.43</v>
      </c>
      <c r="R54" s="14">
        <v>6208410.9500000002</v>
      </c>
      <c r="S54" s="14" t="s">
        <v>6210</v>
      </c>
      <c r="T54" s="14" t="s">
        <v>6211</v>
      </c>
      <c r="U54" s="14">
        <v>376606.33</v>
      </c>
      <c r="V54" s="14">
        <v>6208399.9699999997</v>
      </c>
      <c r="W54" s="14">
        <v>178.97</v>
      </c>
      <c r="X54" s="14">
        <v>500.11</v>
      </c>
    </row>
    <row r="55" spans="1:24" s="14" customFormat="1" x14ac:dyDescent="0.25">
      <c r="A55" s="50">
        <v>45095</v>
      </c>
      <c r="B55" s="16">
        <v>169</v>
      </c>
      <c r="C55" s="36">
        <v>0.44668981481481485</v>
      </c>
      <c r="D55" s="16" t="s">
        <v>97</v>
      </c>
      <c r="E55" s="14" t="s">
        <v>65</v>
      </c>
      <c r="F55" s="16" t="s">
        <v>6205</v>
      </c>
      <c r="G55" s="16" t="s">
        <v>6235</v>
      </c>
      <c r="H55" s="14">
        <v>0</v>
      </c>
      <c r="I55" s="14" t="s">
        <v>6217</v>
      </c>
      <c r="L55" s="14" t="s">
        <v>6236</v>
      </c>
      <c r="O55" s="14" t="s">
        <v>6208</v>
      </c>
      <c r="P55" s="14" t="s">
        <v>6209</v>
      </c>
      <c r="Q55" s="14">
        <v>376608.43</v>
      </c>
      <c r="R55" s="14">
        <v>6208410.9500000002</v>
      </c>
      <c r="S55" s="14" t="s">
        <v>6210</v>
      </c>
      <c r="T55" s="14" t="s">
        <v>6211</v>
      </c>
      <c r="U55" s="14">
        <v>376607.33</v>
      </c>
      <c r="V55" s="14">
        <v>6208400.9699999997</v>
      </c>
      <c r="W55" s="14">
        <v>357.62</v>
      </c>
      <c r="X55" s="14">
        <v>500.11</v>
      </c>
    </row>
    <row r="56" spans="1:24" s="14" customFormat="1" x14ac:dyDescent="0.25">
      <c r="A56" s="50">
        <v>45095</v>
      </c>
      <c r="B56" s="16">
        <v>169</v>
      </c>
      <c r="C56" s="36">
        <v>0.45658564814814812</v>
      </c>
      <c r="D56" s="16" t="s">
        <v>97</v>
      </c>
      <c r="E56" s="14" t="s">
        <v>70</v>
      </c>
      <c r="F56" s="16" t="s">
        <v>6205</v>
      </c>
      <c r="G56" s="16" t="s">
        <v>6235</v>
      </c>
      <c r="H56" s="14">
        <v>-0.10199999999999999</v>
      </c>
      <c r="I56" s="14" t="s">
        <v>6217</v>
      </c>
      <c r="L56" s="14" t="s">
        <v>6218</v>
      </c>
      <c r="O56" s="14" t="s">
        <v>6213</v>
      </c>
      <c r="P56" s="14" t="s">
        <v>6214</v>
      </c>
      <c r="Q56" s="14">
        <v>376569.73</v>
      </c>
      <c r="R56" s="14">
        <v>6207909.4100000001</v>
      </c>
      <c r="S56" s="14" t="s">
        <v>6215</v>
      </c>
      <c r="T56" s="14" t="s">
        <v>6216</v>
      </c>
      <c r="U56" s="14">
        <v>376571.04</v>
      </c>
      <c r="V56" s="14">
        <v>6207920.2199999997</v>
      </c>
      <c r="W56" s="14">
        <v>357.37</v>
      </c>
      <c r="X56" s="14">
        <v>500.11</v>
      </c>
    </row>
    <row r="57" spans="1:24" s="14" customFormat="1" x14ac:dyDescent="0.25">
      <c r="A57" s="50">
        <v>45095</v>
      </c>
      <c r="B57" s="16">
        <v>169</v>
      </c>
      <c r="C57" s="36">
        <v>0.45726851851851852</v>
      </c>
      <c r="D57" s="16" t="s">
        <v>97</v>
      </c>
      <c r="E57" s="14" t="s">
        <v>65</v>
      </c>
      <c r="F57" s="16" t="s">
        <v>6205</v>
      </c>
      <c r="G57" s="16" t="s">
        <v>6212</v>
      </c>
      <c r="H57" s="14">
        <v>-2.3E-2</v>
      </c>
      <c r="I57" s="14" t="s">
        <v>6223</v>
      </c>
      <c r="L57" s="14" t="s">
        <v>6218</v>
      </c>
      <c r="O57" s="14" t="s">
        <v>6219</v>
      </c>
      <c r="P57" s="14" t="s">
        <v>6220</v>
      </c>
      <c r="Q57" s="14">
        <v>376602.06</v>
      </c>
      <c r="R57" s="14">
        <v>6207908.7000000002</v>
      </c>
      <c r="S57" s="14" t="s">
        <v>6221</v>
      </c>
      <c r="T57" s="14" t="s">
        <v>6222</v>
      </c>
      <c r="U57" s="14">
        <v>376604.53</v>
      </c>
      <c r="V57" s="14">
        <v>6207919.4500000002</v>
      </c>
      <c r="W57" s="14">
        <v>358.62</v>
      </c>
      <c r="X57" s="14">
        <v>500.11</v>
      </c>
    </row>
    <row r="58" spans="1:24" s="14" customFormat="1" x14ac:dyDescent="0.25">
      <c r="A58" s="50">
        <v>45095</v>
      </c>
      <c r="B58" s="16">
        <v>169</v>
      </c>
      <c r="C58" s="36">
        <v>0.46341435185185187</v>
      </c>
      <c r="D58" s="16" t="s">
        <v>97</v>
      </c>
      <c r="E58" s="14" t="s">
        <v>70</v>
      </c>
      <c r="F58" s="16" t="s">
        <v>6205</v>
      </c>
      <c r="G58" s="16" t="s">
        <v>6212</v>
      </c>
      <c r="H58" s="14">
        <v>1.244</v>
      </c>
      <c r="I58" s="14" t="s">
        <v>6223</v>
      </c>
      <c r="L58" s="14" t="s">
        <v>6228</v>
      </c>
      <c r="O58" s="14" t="s">
        <v>6224</v>
      </c>
      <c r="P58" s="14" t="s">
        <v>6225</v>
      </c>
      <c r="Q58" s="14">
        <v>377139.86</v>
      </c>
      <c r="R58" s="14">
        <v>6207893.8899999997</v>
      </c>
      <c r="S58" s="14" t="s">
        <v>6226</v>
      </c>
      <c r="T58" s="14" t="s">
        <v>6227</v>
      </c>
      <c r="U58" s="14">
        <v>377141.76000000001</v>
      </c>
      <c r="V58" s="14">
        <v>6207904.5899999999</v>
      </c>
      <c r="W58" s="14">
        <v>358.99</v>
      </c>
      <c r="X58" s="14">
        <v>500.11</v>
      </c>
    </row>
    <row r="59" spans="1:24" s="14" customFormat="1" x14ac:dyDescent="0.25">
      <c r="A59" s="50">
        <v>45095</v>
      </c>
      <c r="B59" s="16">
        <v>169</v>
      </c>
      <c r="C59" s="36">
        <v>0.46748842592592593</v>
      </c>
      <c r="D59" s="16" t="s">
        <v>97</v>
      </c>
      <c r="E59" s="14" t="s">
        <v>65</v>
      </c>
      <c r="F59" s="16" t="s">
        <v>6205</v>
      </c>
      <c r="G59" s="16" t="s">
        <v>6229</v>
      </c>
      <c r="H59" s="14">
        <v>-4.0000000000000001E-3</v>
      </c>
      <c r="I59" s="14" t="s">
        <v>6234</v>
      </c>
      <c r="L59" s="14" t="s">
        <v>6228</v>
      </c>
      <c r="O59" s="14" t="s">
        <v>6230</v>
      </c>
      <c r="P59" s="14" t="s">
        <v>6231</v>
      </c>
      <c r="Q59" s="14">
        <v>377113.65</v>
      </c>
      <c r="R59" s="14">
        <v>6207891.9900000002</v>
      </c>
      <c r="S59" s="14" t="s">
        <v>6232</v>
      </c>
      <c r="T59" s="14" t="s">
        <v>6233</v>
      </c>
      <c r="U59" s="14">
        <v>377103.35999999999</v>
      </c>
      <c r="V59" s="14">
        <v>6207894.6500000004</v>
      </c>
      <c r="W59" s="14">
        <v>267.82</v>
      </c>
      <c r="X59" s="14">
        <v>500.11</v>
      </c>
    </row>
    <row r="60" spans="1:24" s="14" customFormat="1" x14ac:dyDescent="0.25">
      <c r="A60" s="50">
        <v>45095</v>
      </c>
      <c r="B60" s="16">
        <v>169</v>
      </c>
      <c r="C60" s="36">
        <v>0.47452546296296294</v>
      </c>
      <c r="D60" s="16" t="s">
        <v>97</v>
      </c>
      <c r="E60" s="14" t="s">
        <v>70</v>
      </c>
      <c r="F60" s="16" t="s">
        <v>6205</v>
      </c>
      <c r="G60" s="16" t="s">
        <v>6229</v>
      </c>
      <c r="H60" s="14">
        <v>1.226</v>
      </c>
      <c r="I60" s="14" t="s">
        <v>6234</v>
      </c>
      <c r="J60" s="14" t="s">
        <v>134</v>
      </c>
      <c r="K60" s="14" t="s">
        <v>6082</v>
      </c>
      <c r="L60" s="14" t="s">
        <v>6241</v>
      </c>
      <c r="O60" s="14" t="s">
        <v>6237</v>
      </c>
      <c r="P60" s="14" t="s">
        <v>6238</v>
      </c>
      <c r="Q60" s="14">
        <v>377130.47</v>
      </c>
      <c r="R60" s="14">
        <v>6208507.0999999996</v>
      </c>
      <c r="S60" s="14" t="s">
        <v>6239</v>
      </c>
      <c r="T60" s="14" t="s">
        <v>6240</v>
      </c>
      <c r="U60" s="14">
        <v>377119.27</v>
      </c>
      <c r="V60" s="14">
        <v>6208509.1799999997</v>
      </c>
      <c r="W60" s="14">
        <v>268.88</v>
      </c>
      <c r="X60" s="14">
        <v>500.11</v>
      </c>
    </row>
    <row r="61" spans="1:24" s="14" customFormat="1" x14ac:dyDescent="0.25">
      <c r="A61" s="50">
        <v>45095</v>
      </c>
      <c r="B61" s="16">
        <v>169</v>
      </c>
      <c r="C61" s="36">
        <v>0.47515046296296298</v>
      </c>
      <c r="D61" s="16" t="s">
        <v>97</v>
      </c>
      <c r="E61" s="14" t="s">
        <v>6246</v>
      </c>
      <c r="F61" s="16" t="s">
        <v>6205</v>
      </c>
      <c r="G61" s="16" t="s">
        <v>6229</v>
      </c>
      <c r="H61" s="14">
        <v>1.238</v>
      </c>
      <c r="O61" s="14" t="s">
        <v>6242</v>
      </c>
      <c r="P61" s="14" t="s">
        <v>6243</v>
      </c>
      <c r="Q61" s="14">
        <v>377130.9</v>
      </c>
      <c r="R61" s="14">
        <v>6208512.9199999999</v>
      </c>
      <c r="S61" s="14" t="s">
        <v>6244</v>
      </c>
      <c r="T61" s="14" t="s">
        <v>6245</v>
      </c>
      <c r="U61" s="14">
        <v>377119.67</v>
      </c>
      <c r="V61" s="14">
        <v>6208515.1900000004</v>
      </c>
      <c r="W61" s="14">
        <v>269.27</v>
      </c>
      <c r="X61" s="14">
        <v>500.11</v>
      </c>
    </row>
    <row r="62" spans="1:24" s="14" customFormat="1" x14ac:dyDescent="0.25">
      <c r="A62" s="50">
        <v>45095</v>
      </c>
      <c r="B62" s="16">
        <v>169</v>
      </c>
      <c r="C62" s="36">
        <v>0.4788310185185185</v>
      </c>
      <c r="D62" s="16" t="s">
        <v>97</v>
      </c>
      <c r="E62" s="14" t="s">
        <v>6253</v>
      </c>
      <c r="F62" s="16" t="s">
        <v>6252</v>
      </c>
      <c r="G62" s="16" t="s">
        <v>6247</v>
      </c>
      <c r="H62" s="14">
        <v>-5.7000000000000002E-2</v>
      </c>
      <c r="O62" s="14" t="s">
        <v>6248</v>
      </c>
      <c r="P62" s="14" t="s">
        <v>6249</v>
      </c>
      <c r="Q62" s="14">
        <v>377156.42</v>
      </c>
      <c r="R62" s="14">
        <v>6208512.0199999996</v>
      </c>
      <c r="S62" s="14" t="s">
        <v>6250</v>
      </c>
      <c r="T62" s="14" t="s">
        <v>6251</v>
      </c>
      <c r="U62" s="14">
        <v>377165.42</v>
      </c>
      <c r="V62" s="14">
        <v>6208514.6600000001</v>
      </c>
      <c r="W62" s="14">
        <v>59.06</v>
      </c>
      <c r="X62" s="14">
        <v>50.75</v>
      </c>
    </row>
    <row r="63" spans="1:24" s="77" customFormat="1" x14ac:dyDescent="0.25">
      <c r="A63" s="74">
        <v>45095</v>
      </c>
      <c r="B63" s="75">
        <v>169</v>
      </c>
      <c r="C63" s="76">
        <v>0.49074074074074076</v>
      </c>
      <c r="D63" s="75" t="s">
        <v>97</v>
      </c>
      <c r="E63" s="77" t="s">
        <v>6258</v>
      </c>
      <c r="F63" s="75" t="s">
        <v>6252</v>
      </c>
      <c r="G63" s="75" t="s">
        <v>6247</v>
      </c>
      <c r="H63" s="77">
        <v>-5.7000000000000002E-2</v>
      </c>
      <c r="O63" s="77" t="s">
        <v>6254</v>
      </c>
      <c r="P63" s="77" t="s">
        <v>6255</v>
      </c>
      <c r="Q63" s="77">
        <v>377152.9</v>
      </c>
      <c r="R63" s="77">
        <v>6208519.6900000004</v>
      </c>
      <c r="S63" s="77" t="s">
        <v>6256</v>
      </c>
      <c r="T63" s="77" t="s">
        <v>6257</v>
      </c>
      <c r="U63" s="77">
        <v>377164.25</v>
      </c>
      <c r="V63" s="77">
        <v>6208517.5300000003</v>
      </c>
      <c r="W63" s="77">
        <v>89.12</v>
      </c>
      <c r="X63" s="77">
        <v>50.75</v>
      </c>
    </row>
    <row r="64" spans="1:24" s="68" customFormat="1" x14ac:dyDescent="0.25">
      <c r="A64" s="65">
        <v>45095</v>
      </c>
      <c r="B64" s="66">
        <v>169</v>
      </c>
      <c r="C64" s="67">
        <v>0.49458333333333332</v>
      </c>
      <c r="D64" s="66" t="s">
        <v>97</v>
      </c>
      <c r="E64" s="68" t="s">
        <v>6264</v>
      </c>
      <c r="F64" s="66"/>
      <c r="G64" s="66" t="s">
        <v>6247</v>
      </c>
      <c r="H64" s="68">
        <v>-5.8000000000000003E-2</v>
      </c>
      <c r="M64" s="68" t="s">
        <v>6259</v>
      </c>
      <c r="O64" s="68" t="s">
        <v>6260</v>
      </c>
      <c r="P64" s="68" t="s">
        <v>6261</v>
      </c>
      <c r="Q64" s="68">
        <v>377152.7</v>
      </c>
      <c r="R64" s="68">
        <v>6208520.21</v>
      </c>
      <c r="S64" s="68" t="s">
        <v>6262</v>
      </c>
      <c r="T64" s="68" t="s">
        <v>6263</v>
      </c>
      <c r="U64" s="68">
        <v>377168.33</v>
      </c>
      <c r="V64" s="68">
        <v>6208520.21</v>
      </c>
      <c r="W64" s="68">
        <v>107.91</v>
      </c>
      <c r="X64" s="68">
        <v>50.75</v>
      </c>
    </row>
    <row r="65" spans="1:24" s="68" customFormat="1" x14ac:dyDescent="0.25">
      <c r="A65" s="65">
        <v>45095</v>
      </c>
      <c r="B65" s="66">
        <v>169</v>
      </c>
      <c r="C65" s="67">
        <v>0.49769675925925921</v>
      </c>
      <c r="D65" s="66" t="s">
        <v>97</v>
      </c>
      <c r="E65" s="68" t="s">
        <v>6270</v>
      </c>
      <c r="F65" s="66"/>
      <c r="G65" s="66" t="s">
        <v>6247</v>
      </c>
      <c r="H65" s="68">
        <v>-5.8999999999999997E-2</v>
      </c>
      <c r="M65" s="68" t="s">
        <v>6265</v>
      </c>
      <c r="O65" s="68" t="s">
        <v>6266</v>
      </c>
      <c r="P65" s="68" t="s">
        <v>6267</v>
      </c>
      <c r="Q65" s="68">
        <v>377152.91</v>
      </c>
      <c r="R65" s="68">
        <v>6208520.1799999997</v>
      </c>
      <c r="S65" s="68" t="s">
        <v>6268</v>
      </c>
      <c r="T65" s="68" t="s">
        <v>6269</v>
      </c>
      <c r="U65" s="68">
        <v>377169.76</v>
      </c>
      <c r="V65" s="68">
        <v>6208519.6100000003</v>
      </c>
      <c r="W65" s="68">
        <v>88.77</v>
      </c>
      <c r="X65" s="68">
        <v>50.75</v>
      </c>
    </row>
    <row r="66" spans="1:24" s="90" customFormat="1" x14ac:dyDescent="0.25">
      <c r="A66" s="93">
        <v>45095</v>
      </c>
      <c r="B66" s="95">
        <v>169</v>
      </c>
      <c r="C66" s="83">
        <v>0.49925925925925929</v>
      </c>
      <c r="D66" s="95" t="s">
        <v>97</v>
      </c>
      <c r="E66" s="90" t="s">
        <v>6207</v>
      </c>
      <c r="F66" s="95" t="s">
        <v>6252</v>
      </c>
      <c r="G66" s="95" t="s">
        <v>6247</v>
      </c>
      <c r="H66" s="90">
        <v>-6.0999999999999999E-2</v>
      </c>
      <c r="I66" s="90" t="s">
        <v>6275</v>
      </c>
      <c r="J66" s="90" t="s">
        <v>134</v>
      </c>
      <c r="K66" s="90" t="s">
        <v>6082</v>
      </c>
      <c r="L66" s="90" t="s">
        <v>6276</v>
      </c>
      <c r="O66" s="90" t="s">
        <v>6271</v>
      </c>
      <c r="P66" s="90" t="s">
        <v>6272</v>
      </c>
      <c r="Q66" s="90">
        <v>377152.8</v>
      </c>
      <c r="R66" s="90">
        <v>6208520.0300000003</v>
      </c>
      <c r="S66" s="90" t="s">
        <v>6273</v>
      </c>
      <c r="T66" s="90" t="s">
        <v>6274</v>
      </c>
      <c r="U66" s="90">
        <v>377174.39</v>
      </c>
      <c r="V66" s="90">
        <v>6208524.5899999999</v>
      </c>
      <c r="W66" s="90">
        <v>124.65</v>
      </c>
      <c r="X66" s="90">
        <v>50.75</v>
      </c>
    </row>
    <row r="67" spans="1:24" s="90" customFormat="1" x14ac:dyDescent="0.25">
      <c r="A67" s="93">
        <v>45095</v>
      </c>
      <c r="B67" s="95">
        <v>169</v>
      </c>
      <c r="C67" s="83">
        <v>0.49949074074074074</v>
      </c>
      <c r="D67" s="95" t="s">
        <v>97</v>
      </c>
      <c r="E67" s="90" t="s">
        <v>70</v>
      </c>
      <c r="F67" s="95" t="s">
        <v>6252</v>
      </c>
      <c r="G67" s="95" t="s">
        <v>6247</v>
      </c>
      <c r="H67" s="90">
        <v>-5.6000000000000001E-2</v>
      </c>
      <c r="I67" s="90" t="s">
        <v>6275</v>
      </c>
      <c r="J67" s="90" t="s">
        <v>134</v>
      </c>
      <c r="K67" s="90" t="s">
        <v>6082</v>
      </c>
      <c r="L67" s="90" t="s">
        <v>6276</v>
      </c>
      <c r="O67" s="90" t="s">
        <v>6277</v>
      </c>
      <c r="P67" s="90" t="s">
        <v>6278</v>
      </c>
      <c r="Q67" s="90">
        <v>377152.85</v>
      </c>
      <c r="R67" s="90">
        <v>6208520.0300000003</v>
      </c>
      <c r="S67" s="90" t="s">
        <v>6279</v>
      </c>
      <c r="T67" s="90" t="s">
        <v>6280</v>
      </c>
      <c r="U67" s="90">
        <v>377174.52</v>
      </c>
      <c r="V67" s="90">
        <v>6208520.5</v>
      </c>
      <c r="W67" s="90">
        <v>134.84</v>
      </c>
      <c r="X67" s="90">
        <v>50.75</v>
      </c>
    </row>
    <row r="68" spans="1:24" s="14" customFormat="1" x14ac:dyDescent="0.25">
      <c r="A68" s="50">
        <v>45095</v>
      </c>
      <c r="B68" s="16">
        <v>169</v>
      </c>
      <c r="C68" s="36">
        <v>0.51687499999999997</v>
      </c>
      <c r="D68" s="16" t="s">
        <v>97</v>
      </c>
      <c r="E68" s="14" t="s">
        <v>6293</v>
      </c>
      <c r="F68" s="16" t="s">
        <v>6252</v>
      </c>
      <c r="G68" s="16" t="s">
        <v>6247</v>
      </c>
      <c r="H68" s="14">
        <v>-4.7E-2</v>
      </c>
      <c r="I68" s="14" t="s">
        <v>6285</v>
      </c>
      <c r="J68" s="14" t="s">
        <v>6286</v>
      </c>
      <c r="K68" s="14" t="s">
        <v>6287</v>
      </c>
      <c r="L68" s="14" t="s">
        <v>6288</v>
      </c>
      <c r="O68" s="14" t="s">
        <v>6281</v>
      </c>
      <c r="P68" s="14" t="s">
        <v>6282</v>
      </c>
      <c r="Q68" s="14">
        <v>377153.01</v>
      </c>
      <c r="R68" s="14">
        <v>6208519.25</v>
      </c>
      <c r="S68" s="14" t="s">
        <v>6283</v>
      </c>
      <c r="T68" s="14" t="s">
        <v>6284</v>
      </c>
      <c r="U68" s="14">
        <v>377172.75</v>
      </c>
      <c r="V68" s="14">
        <v>6208512.5700000003</v>
      </c>
      <c r="W68" s="14">
        <v>180.13</v>
      </c>
      <c r="X68" s="14">
        <v>50.75</v>
      </c>
    </row>
    <row r="69" spans="1:24" s="14" customFormat="1" ht="15.75" customHeight="1" x14ac:dyDescent="0.25">
      <c r="A69" s="50">
        <v>45095</v>
      </c>
      <c r="B69" s="16">
        <v>169</v>
      </c>
      <c r="C69" s="36">
        <v>0.51984953703703707</v>
      </c>
      <c r="D69" s="16" t="s">
        <v>97</v>
      </c>
      <c r="E69" s="14" t="s">
        <v>70</v>
      </c>
      <c r="F69" s="16" t="s">
        <v>6252</v>
      </c>
      <c r="G69" s="16" t="s">
        <v>6247</v>
      </c>
      <c r="H69" s="14">
        <v>7.9000000000000001E-2</v>
      </c>
      <c r="I69" s="14" t="s">
        <v>6285</v>
      </c>
      <c r="J69" s="14" t="s">
        <v>6286</v>
      </c>
      <c r="K69" s="14" t="s">
        <v>6287</v>
      </c>
      <c r="L69" s="14" t="s">
        <v>6288</v>
      </c>
      <c r="O69" s="14" t="s">
        <v>6289</v>
      </c>
      <c r="P69" s="14" t="s">
        <v>6290</v>
      </c>
      <c r="Q69" s="14">
        <v>377152.25</v>
      </c>
      <c r="R69" s="14">
        <v>6208391.9000000004</v>
      </c>
      <c r="S69" s="14" t="s">
        <v>6291</v>
      </c>
      <c r="T69" s="14" t="s">
        <v>6292</v>
      </c>
      <c r="U69" s="14">
        <v>377172.71</v>
      </c>
      <c r="V69" s="14">
        <v>6208387.3899999997</v>
      </c>
      <c r="W69" s="14">
        <v>179.67</v>
      </c>
      <c r="X69" s="14">
        <v>50.75</v>
      </c>
    </row>
    <row r="70" spans="1:24" s="14" customFormat="1" x14ac:dyDescent="0.25">
      <c r="A70" s="50">
        <v>45095</v>
      </c>
      <c r="B70" s="16">
        <v>169</v>
      </c>
      <c r="C70" s="36">
        <v>0.52362268518518518</v>
      </c>
      <c r="D70" s="16" t="s">
        <v>97</v>
      </c>
      <c r="E70" s="14" t="s">
        <v>65</v>
      </c>
      <c r="F70" s="16" t="s">
        <v>6252</v>
      </c>
      <c r="G70" s="16" t="s">
        <v>6294</v>
      </c>
      <c r="H70" s="14">
        <v>7.1999999999999995E-2</v>
      </c>
      <c r="I70" s="14" t="s">
        <v>6299</v>
      </c>
      <c r="J70" s="14" t="s">
        <v>6286</v>
      </c>
      <c r="K70" s="14" t="s">
        <v>6300</v>
      </c>
      <c r="L70" s="14" t="s">
        <v>6288</v>
      </c>
      <c r="O70" s="14" t="s">
        <v>6295</v>
      </c>
      <c r="P70" s="14" t="s">
        <v>6296</v>
      </c>
      <c r="Q70" s="14">
        <v>377158.44</v>
      </c>
      <c r="R70" s="14">
        <v>6208391.4100000001</v>
      </c>
      <c r="S70" s="14" t="s">
        <v>6297</v>
      </c>
      <c r="T70" s="14" t="s">
        <v>6298</v>
      </c>
      <c r="U70" s="14">
        <v>377181.78</v>
      </c>
      <c r="V70" s="14">
        <v>6208382.9800000004</v>
      </c>
      <c r="W70" s="14">
        <v>357.25</v>
      </c>
      <c r="X70" s="14">
        <v>50.75</v>
      </c>
    </row>
    <row r="71" spans="1:24" s="14" customFormat="1" x14ac:dyDescent="0.25">
      <c r="A71" s="50">
        <v>45095</v>
      </c>
      <c r="B71" s="16">
        <v>169</v>
      </c>
      <c r="C71" s="36">
        <v>0.52649305555555559</v>
      </c>
      <c r="D71" s="16" t="s">
        <v>97</v>
      </c>
      <c r="E71" s="14" t="s">
        <v>70</v>
      </c>
      <c r="F71" s="16" t="s">
        <v>6252</v>
      </c>
      <c r="G71" s="16" t="s">
        <v>6294</v>
      </c>
      <c r="H71" s="14">
        <v>-5.6000000000000001E-2</v>
      </c>
      <c r="I71" s="14" t="s">
        <v>6299</v>
      </c>
      <c r="J71" s="14" t="s">
        <v>6305</v>
      </c>
      <c r="K71" s="14" t="s">
        <v>6300</v>
      </c>
      <c r="L71" s="14" t="s">
        <v>6306</v>
      </c>
      <c r="O71" s="14" t="s">
        <v>6301</v>
      </c>
      <c r="P71" s="14" t="s">
        <v>6302</v>
      </c>
      <c r="Q71" s="14">
        <v>377159.93</v>
      </c>
      <c r="R71" s="14">
        <v>6208515.0300000003</v>
      </c>
      <c r="S71" s="14" t="s">
        <v>6303</v>
      </c>
      <c r="T71" s="14" t="s">
        <v>6304</v>
      </c>
      <c r="U71" s="14">
        <v>377181.65</v>
      </c>
      <c r="V71" s="14">
        <v>6208511.4699999997</v>
      </c>
      <c r="W71" s="14">
        <v>0.61</v>
      </c>
      <c r="X71" s="14">
        <v>50.75</v>
      </c>
    </row>
    <row r="72" spans="1:24" s="90" customFormat="1" x14ac:dyDescent="0.25">
      <c r="A72" s="93">
        <v>45095</v>
      </c>
      <c r="B72" s="95">
        <v>169</v>
      </c>
      <c r="C72" s="83">
        <v>0.52717592592592599</v>
      </c>
      <c r="D72" s="95" t="s">
        <v>97</v>
      </c>
      <c r="E72" s="90" t="s">
        <v>6207</v>
      </c>
      <c r="F72" s="95" t="s">
        <v>6252</v>
      </c>
      <c r="G72" s="95" t="s">
        <v>6247</v>
      </c>
      <c r="H72" s="90">
        <v>-6.9000000000000006E-2</v>
      </c>
      <c r="I72" s="90" t="s">
        <v>6311</v>
      </c>
      <c r="J72" s="90" t="s">
        <v>6305</v>
      </c>
      <c r="K72" s="90" t="s">
        <v>6300</v>
      </c>
      <c r="L72" s="90" t="s">
        <v>6306</v>
      </c>
      <c r="O72" s="90" t="s">
        <v>6307</v>
      </c>
      <c r="P72" s="90" t="s">
        <v>6308</v>
      </c>
      <c r="Q72" s="90">
        <v>377160.21</v>
      </c>
      <c r="R72" s="90">
        <v>6208523.3399999999</v>
      </c>
      <c r="S72" s="90" t="s">
        <v>6309</v>
      </c>
      <c r="T72" s="90" t="s">
        <v>6310</v>
      </c>
      <c r="U72" s="90">
        <v>377181.25</v>
      </c>
      <c r="V72" s="90">
        <v>6208527.7400000002</v>
      </c>
      <c r="W72" s="90">
        <v>74.47</v>
      </c>
      <c r="X72" s="90">
        <v>50.75</v>
      </c>
    </row>
    <row r="73" spans="1:24" s="90" customFormat="1" x14ac:dyDescent="0.25">
      <c r="A73" s="93">
        <v>45095</v>
      </c>
      <c r="B73" s="95">
        <v>169</v>
      </c>
      <c r="C73" s="83">
        <v>0.52722222222222226</v>
      </c>
      <c r="D73" s="95" t="s">
        <v>97</v>
      </c>
      <c r="E73" s="90" t="s">
        <v>70</v>
      </c>
      <c r="F73" s="95" t="s">
        <v>6252</v>
      </c>
      <c r="G73" s="95" t="s">
        <v>6247</v>
      </c>
      <c r="H73" s="90">
        <v>-6.9000000000000006E-2</v>
      </c>
      <c r="I73" s="90" t="s">
        <v>6311</v>
      </c>
      <c r="J73" s="90" t="s">
        <v>6305</v>
      </c>
      <c r="K73" s="90" t="s">
        <v>6300</v>
      </c>
      <c r="L73" s="90" t="s">
        <v>6306</v>
      </c>
      <c r="O73" s="90" t="s">
        <v>6312</v>
      </c>
      <c r="P73" s="90" t="s">
        <v>6313</v>
      </c>
      <c r="Q73" s="90">
        <v>377160.17</v>
      </c>
      <c r="R73" s="90">
        <v>6208523.3399999999</v>
      </c>
      <c r="S73" s="90" t="s">
        <v>6314</v>
      </c>
      <c r="T73" s="90" t="s">
        <v>6315</v>
      </c>
      <c r="U73" s="90">
        <v>377181.29</v>
      </c>
      <c r="V73" s="90">
        <v>6208528.0300000003</v>
      </c>
      <c r="W73" s="90">
        <v>75.91</v>
      </c>
      <c r="X73" s="90">
        <v>50.75</v>
      </c>
    </row>
    <row r="74" spans="1:24" s="14" customFormat="1" x14ac:dyDescent="0.25">
      <c r="A74" s="50">
        <v>45095</v>
      </c>
      <c r="B74" s="16">
        <v>169</v>
      </c>
      <c r="C74" s="36">
        <v>0.53047453703703706</v>
      </c>
      <c r="D74" s="16" t="s">
        <v>97</v>
      </c>
      <c r="E74" s="14" t="s">
        <v>65</v>
      </c>
      <c r="F74" s="16" t="s">
        <v>6252</v>
      </c>
      <c r="G74" s="16" t="s">
        <v>6247</v>
      </c>
      <c r="H74" s="14">
        <v>-3.7999999999999999E-2</v>
      </c>
      <c r="I74" s="14" t="s">
        <v>6320</v>
      </c>
      <c r="J74" s="14" t="s">
        <v>6305</v>
      </c>
      <c r="K74" s="14" t="s">
        <v>6321</v>
      </c>
      <c r="L74" s="14" t="s">
        <v>6306</v>
      </c>
      <c r="O74" s="14" t="s">
        <v>6316</v>
      </c>
      <c r="P74" s="14" t="s">
        <v>6317</v>
      </c>
      <c r="Q74" s="14">
        <v>377145.45</v>
      </c>
      <c r="R74" s="14">
        <v>6208508.0999999996</v>
      </c>
      <c r="S74" s="14" t="s">
        <v>6318</v>
      </c>
      <c r="T74" s="14" t="s">
        <v>6319</v>
      </c>
      <c r="U74" s="14">
        <v>377164.26</v>
      </c>
      <c r="V74" s="14">
        <v>6208504.2199999997</v>
      </c>
      <c r="W74" s="14">
        <v>180.58</v>
      </c>
      <c r="X74" s="14">
        <v>50.75</v>
      </c>
    </row>
    <row r="75" spans="1:24" s="14" customFormat="1" x14ac:dyDescent="0.25">
      <c r="A75" s="50">
        <v>45095</v>
      </c>
      <c r="B75" s="16">
        <v>169</v>
      </c>
      <c r="C75" s="36">
        <v>0.53320601851851845</v>
      </c>
      <c r="D75" s="16" t="s">
        <v>97</v>
      </c>
      <c r="E75" s="14" t="s">
        <v>70</v>
      </c>
      <c r="F75" s="16" t="s">
        <v>6252</v>
      </c>
      <c r="G75" s="16" t="s">
        <v>6247</v>
      </c>
      <c r="H75" s="14">
        <v>8.3000000000000004E-2</v>
      </c>
      <c r="I75" s="14" t="s">
        <v>6320</v>
      </c>
      <c r="J75" s="14" t="s">
        <v>6325</v>
      </c>
      <c r="K75" s="14" t="s">
        <v>6326</v>
      </c>
      <c r="L75" s="14" t="s">
        <v>6306</v>
      </c>
      <c r="O75" s="14" t="s">
        <v>6322</v>
      </c>
      <c r="P75" s="14" t="s">
        <v>6323</v>
      </c>
      <c r="Q75" s="14">
        <v>377144.47</v>
      </c>
      <c r="R75" s="14">
        <v>6208389.29</v>
      </c>
      <c r="S75" s="14" t="s">
        <v>6167</v>
      </c>
      <c r="T75" s="14" t="s">
        <v>6324</v>
      </c>
      <c r="U75" s="14">
        <v>377164.26</v>
      </c>
      <c r="V75" s="14">
        <v>6208383.5099999998</v>
      </c>
      <c r="W75" s="14">
        <v>180.33</v>
      </c>
      <c r="X75" s="14">
        <v>50.75</v>
      </c>
    </row>
    <row r="76" spans="1:24" s="14" customFormat="1" x14ac:dyDescent="0.25">
      <c r="A76" s="50">
        <v>45095</v>
      </c>
      <c r="B76" s="16">
        <v>169</v>
      </c>
      <c r="C76" s="36">
        <v>0.5444444444444444</v>
      </c>
      <c r="D76" s="16" t="s">
        <v>97</v>
      </c>
      <c r="E76" s="14" t="s">
        <v>6331</v>
      </c>
      <c r="F76" s="16" t="s">
        <v>6252</v>
      </c>
      <c r="G76" s="16" t="s">
        <v>6247</v>
      </c>
      <c r="H76" s="14">
        <v>8.5000000000000006E-2</v>
      </c>
      <c r="O76" s="14" t="s">
        <v>6327</v>
      </c>
      <c r="P76" s="14" t="s">
        <v>6328</v>
      </c>
      <c r="Q76" s="14">
        <v>377144.55</v>
      </c>
      <c r="R76" s="14">
        <v>6208377.7999999998</v>
      </c>
      <c r="S76" s="14" t="s">
        <v>6329</v>
      </c>
      <c r="T76" s="14" t="s">
        <v>6330</v>
      </c>
      <c r="U76" s="14">
        <v>377164.85</v>
      </c>
      <c r="V76" s="14">
        <v>6208375.4000000004</v>
      </c>
      <c r="W76" s="14">
        <v>89.91</v>
      </c>
      <c r="X76" s="14">
        <v>50.75</v>
      </c>
    </row>
    <row r="77" spans="1:24" s="14" customFormat="1" x14ac:dyDescent="0.25">
      <c r="A77" s="50">
        <v>45095</v>
      </c>
      <c r="B77" s="16">
        <v>169</v>
      </c>
      <c r="C77" s="36">
        <v>0.55142361111111116</v>
      </c>
      <c r="D77" s="16" t="s">
        <v>97</v>
      </c>
      <c r="E77" s="14" t="s">
        <v>6130</v>
      </c>
      <c r="F77" s="16" t="s">
        <v>6252</v>
      </c>
      <c r="G77" s="16" t="s">
        <v>6247</v>
      </c>
      <c r="H77" s="14">
        <v>8.5000000000000006E-2</v>
      </c>
      <c r="O77" s="14" t="s">
        <v>6332</v>
      </c>
      <c r="P77" s="14" t="s">
        <v>6333</v>
      </c>
      <c r="Q77" s="14">
        <v>377144.35</v>
      </c>
      <c r="R77" s="14">
        <v>6208377.5199999996</v>
      </c>
      <c r="S77" s="14" t="s">
        <v>6334</v>
      </c>
      <c r="T77" s="14" t="s">
        <v>6335</v>
      </c>
      <c r="U77" s="14">
        <v>377155.89</v>
      </c>
      <c r="V77" s="14">
        <v>6208375.5800000001</v>
      </c>
      <c r="W77" s="14">
        <v>91.71</v>
      </c>
      <c r="X77" s="14">
        <v>50.75</v>
      </c>
    </row>
    <row r="78" spans="1:24" s="81" customFormat="1" x14ac:dyDescent="0.25">
      <c r="A78" s="78">
        <v>45095</v>
      </c>
      <c r="B78" s="79">
        <v>169</v>
      </c>
      <c r="C78" s="80">
        <v>0.55638888888888893</v>
      </c>
      <c r="D78" s="79" t="s">
        <v>97</v>
      </c>
      <c r="E78" s="81" t="s">
        <v>6340</v>
      </c>
      <c r="F78" s="79" t="s">
        <v>6252</v>
      </c>
      <c r="G78" s="79" t="s">
        <v>6247</v>
      </c>
      <c r="H78" s="81">
        <v>8.5000000000000006E-2</v>
      </c>
      <c r="O78" s="81" t="s">
        <v>6336</v>
      </c>
      <c r="P78" s="81" t="s">
        <v>6337</v>
      </c>
      <c r="Q78" s="81">
        <v>377144.27</v>
      </c>
      <c r="R78" s="81">
        <v>6208377.6900000004</v>
      </c>
      <c r="S78" s="81" t="s">
        <v>6338</v>
      </c>
      <c r="T78" s="81" t="s">
        <v>6339</v>
      </c>
      <c r="U78" s="81">
        <v>377155.32</v>
      </c>
      <c r="V78" s="81">
        <v>6208375.6500000004</v>
      </c>
      <c r="W78" s="81">
        <v>85.83</v>
      </c>
      <c r="X78" s="81">
        <v>50.75</v>
      </c>
    </row>
    <row r="79" spans="1:24" s="77" customFormat="1" x14ac:dyDescent="0.25">
      <c r="A79" s="74">
        <v>45095</v>
      </c>
      <c r="B79" s="75">
        <v>169</v>
      </c>
      <c r="C79" s="76">
        <v>0.57016203703703705</v>
      </c>
      <c r="D79" s="75" t="s">
        <v>97</v>
      </c>
      <c r="E79" s="77" t="s">
        <v>6346</v>
      </c>
      <c r="F79" s="75" t="s">
        <v>6252</v>
      </c>
      <c r="G79" s="75" t="s">
        <v>6341</v>
      </c>
      <c r="O79" s="77" t="s">
        <v>6342</v>
      </c>
      <c r="P79" s="77" t="s">
        <v>6343</v>
      </c>
      <c r="Q79" s="77">
        <v>377152.31</v>
      </c>
      <c r="R79" s="77">
        <v>6208437.5</v>
      </c>
      <c r="S79" s="77" t="s">
        <v>6344</v>
      </c>
      <c r="T79" s="77" t="s">
        <v>6345</v>
      </c>
      <c r="U79" s="77">
        <v>377163.24</v>
      </c>
      <c r="V79" s="77">
        <v>6208435.3700000001</v>
      </c>
      <c r="W79" s="77">
        <v>86.12</v>
      </c>
    </row>
    <row r="80" spans="1:24" s="14" customFormat="1" x14ac:dyDescent="0.25">
      <c r="A80" s="50">
        <v>45095</v>
      </c>
      <c r="B80" s="16">
        <v>169</v>
      </c>
      <c r="C80" s="36">
        <v>0.57645833333333341</v>
      </c>
      <c r="D80" s="16" t="s">
        <v>97</v>
      </c>
      <c r="E80" s="14" t="s">
        <v>6363</v>
      </c>
      <c r="F80" s="16" t="s">
        <v>6252</v>
      </c>
      <c r="G80" s="16" t="s">
        <v>6341</v>
      </c>
      <c r="O80" s="14" t="s">
        <v>6347</v>
      </c>
      <c r="P80" s="14" t="s">
        <v>6348</v>
      </c>
      <c r="Q80" s="14">
        <v>377152.4</v>
      </c>
      <c r="R80" s="14">
        <v>6208437.29</v>
      </c>
      <c r="S80" s="14" t="s">
        <v>6349</v>
      </c>
      <c r="T80" s="14" t="s">
        <v>6350</v>
      </c>
      <c r="U80" s="14">
        <v>377168.07</v>
      </c>
      <c r="V80" s="14">
        <v>6208437.1600000001</v>
      </c>
      <c r="W80" s="14">
        <v>99.46</v>
      </c>
    </row>
    <row r="81" spans="1:24" s="14" customFormat="1" x14ac:dyDescent="0.25">
      <c r="A81" s="50">
        <v>45095</v>
      </c>
      <c r="B81" s="16">
        <v>169</v>
      </c>
      <c r="C81" s="36">
        <v>0.578125</v>
      </c>
      <c r="D81" s="16" t="s">
        <v>97</v>
      </c>
      <c r="E81" s="14" t="s">
        <v>6355</v>
      </c>
      <c r="F81" s="16" t="s">
        <v>6252</v>
      </c>
      <c r="G81" s="16" t="s">
        <v>6341</v>
      </c>
      <c r="O81" s="14" t="s">
        <v>6351</v>
      </c>
      <c r="P81" s="14" t="s">
        <v>6352</v>
      </c>
      <c r="Q81" s="14">
        <v>377152.17</v>
      </c>
      <c r="R81" s="14">
        <v>6208437.3700000001</v>
      </c>
      <c r="S81" s="14" t="s">
        <v>6353</v>
      </c>
      <c r="T81" s="14" t="s">
        <v>6354</v>
      </c>
      <c r="U81" s="14">
        <v>377168.03</v>
      </c>
      <c r="V81" s="14">
        <v>6208437.2599999998</v>
      </c>
      <c r="W81" s="14">
        <v>100.88</v>
      </c>
    </row>
    <row r="82" spans="1:24" s="14" customFormat="1" x14ac:dyDescent="0.25">
      <c r="A82" s="50">
        <v>45095</v>
      </c>
      <c r="B82" s="16">
        <v>169</v>
      </c>
      <c r="C82" s="36">
        <v>0.58414351851851853</v>
      </c>
      <c r="D82" s="16" t="s">
        <v>97</v>
      </c>
      <c r="E82" s="14" t="s">
        <v>6362</v>
      </c>
      <c r="F82" s="16" t="s">
        <v>6361</v>
      </c>
      <c r="G82" s="16" t="s">
        <v>6356</v>
      </c>
      <c r="O82" s="14" t="s">
        <v>6357</v>
      </c>
      <c r="P82" s="14" t="s">
        <v>6358</v>
      </c>
      <c r="Q82" s="14">
        <v>377154.11</v>
      </c>
      <c r="R82" s="14">
        <v>6208487.3899999997</v>
      </c>
      <c r="S82" s="14" t="s">
        <v>6359</v>
      </c>
      <c r="T82" s="14" t="s">
        <v>6360</v>
      </c>
      <c r="U82" s="14">
        <v>377179.18</v>
      </c>
      <c r="V82" s="14">
        <v>6208487.5800000001</v>
      </c>
      <c r="W82" s="14">
        <v>92.6</v>
      </c>
    </row>
    <row r="83" spans="1:24" s="14" customFormat="1" x14ac:dyDescent="0.25">
      <c r="A83" s="50">
        <v>45095</v>
      </c>
      <c r="B83" s="16">
        <v>169</v>
      </c>
      <c r="C83" s="36">
        <v>0.59016203703703707</v>
      </c>
      <c r="D83" s="16" t="s">
        <v>97</v>
      </c>
      <c r="E83" s="14" t="s">
        <v>6368</v>
      </c>
      <c r="F83" s="16" t="s">
        <v>6361</v>
      </c>
      <c r="G83" s="16" t="s">
        <v>6356</v>
      </c>
      <c r="O83" s="14" t="s">
        <v>6364</v>
      </c>
      <c r="P83" s="14" t="s">
        <v>6365</v>
      </c>
      <c r="Q83" s="14">
        <v>377154.28</v>
      </c>
      <c r="R83" s="14">
        <v>6208488.6100000003</v>
      </c>
      <c r="S83" s="14" t="s">
        <v>6366</v>
      </c>
      <c r="T83" s="14" t="s">
        <v>6367</v>
      </c>
      <c r="U83" s="14">
        <v>377178.27</v>
      </c>
      <c r="V83" s="14">
        <v>6208489.71</v>
      </c>
      <c r="W83" s="14">
        <v>110.61</v>
      </c>
    </row>
    <row r="84" spans="1:24" s="14" customFormat="1" x14ac:dyDescent="0.25">
      <c r="A84" s="50">
        <v>45095</v>
      </c>
      <c r="B84" s="16">
        <v>169</v>
      </c>
      <c r="C84" s="36">
        <v>0.59848379629629633</v>
      </c>
      <c r="D84" s="16" t="s">
        <v>97</v>
      </c>
      <c r="E84" s="14" t="s">
        <v>65</v>
      </c>
      <c r="F84" s="16" t="s">
        <v>6361</v>
      </c>
      <c r="G84" s="16" t="s">
        <v>6356</v>
      </c>
      <c r="I84" s="14" t="s">
        <v>6373</v>
      </c>
      <c r="J84" s="14" t="s">
        <v>6325</v>
      </c>
      <c r="K84" s="14" t="s">
        <v>6326</v>
      </c>
      <c r="L84" s="14" t="s">
        <v>6374</v>
      </c>
      <c r="O84" s="14" t="s">
        <v>6369</v>
      </c>
      <c r="P84" s="14" t="s">
        <v>6370</v>
      </c>
      <c r="Q84" s="14">
        <v>377182.64</v>
      </c>
      <c r="R84" s="14">
        <v>6208519.4800000004</v>
      </c>
      <c r="S84" s="14" t="s">
        <v>6371</v>
      </c>
      <c r="T84" s="14" t="s">
        <v>6372</v>
      </c>
      <c r="U84" s="14">
        <v>377178.41</v>
      </c>
      <c r="V84" s="14">
        <v>6208490.8600000003</v>
      </c>
      <c r="W84" s="14">
        <v>0.98</v>
      </c>
    </row>
    <row r="85" spans="1:24" s="14" customFormat="1" x14ac:dyDescent="0.25">
      <c r="A85" s="50">
        <v>45095</v>
      </c>
      <c r="B85" s="16">
        <v>169</v>
      </c>
      <c r="C85" s="36">
        <v>0.60187500000000005</v>
      </c>
      <c r="D85" s="16" t="s">
        <v>97</v>
      </c>
      <c r="E85" s="14" t="s">
        <v>6379</v>
      </c>
      <c r="F85" s="16" t="s">
        <v>6361</v>
      </c>
      <c r="G85" s="16" t="s">
        <v>6356</v>
      </c>
      <c r="O85" s="14" t="s">
        <v>6375</v>
      </c>
      <c r="P85" s="14" t="s">
        <v>6376</v>
      </c>
      <c r="Q85" s="14">
        <v>377182.67</v>
      </c>
      <c r="R85" s="14">
        <v>6208519.3600000003</v>
      </c>
      <c r="S85" s="14" t="s">
        <v>6377</v>
      </c>
      <c r="T85" s="14" t="s">
        <v>6378</v>
      </c>
      <c r="U85" s="14">
        <v>377178.95</v>
      </c>
      <c r="V85" s="14">
        <v>6208491.0499999998</v>
      </c>
      <c r="W85" s="14">
        <v>341.75</v>
      </c>
    </row>
    <row r="86" spans="1:24" s="14" customFormat="1" x14ac:dyDescent="0.25">
      <c r="A86" s="50">
        <v>45095</v>
      </c>
      <c r="B86" s="16">
        <v>169</v>
      </c>
      <c r="C86" s="36">
        <v>0.60478009259259258</v>
      </c>
      <c r="D86" s="16" t="s">
        <v>97</v>
      </c>
      <c r="E86" s="14" t="s">
        <v>6384</v>
      </c>
      <c r="F86" s="16" t="s">
        <v>6361</v>
      </c>
      <c r="G86" s="16" t="s">
        <v>6356</v>
      </c>
      <c r="O86" s="14" t="s">
        <v>6380</v>
      </c>
      <c r="P86" s="14" t="s">
        <v>6381</v>
      </c>
      <c r="Q86" s="14">
        <v>377182.75</v>
      </c>
      <c r="R86" s="14">
        <v>6208519.1799999997</v>
      </c>
      <c r="S86" s="14" t="s">
        <v>6382</v>
      </c>
      <c r="T86" s="14" t="s">
        <v>6383</v>
      </c>
      <c r="U86" s="14">
        <v>377178.37</v>
      </c>
      <c r="V86" s="14">
        <v>6208490.7699999996</v>
      </c>
      <c r="W86" s="14">
        <v>5.05</v>
      </c>
    </row>
    <row r="87" spans="1:24" s="14" customFormat="1" x14ac:dyDescent="0.25">
      <c r="A87" s="50">
        <v>45095</v>
      </c>
      <c r="B87" s="16">
        <v>169</v>
      </c>
      <c r="C87" s="36">
        <v>0.60775462962962956</v>
      </c>
      <c r="D87" s="16" t="s">
        <v>97</v>
      </c>
      <c r="E87" s="14" t="s">
        <v>6389</v>
      </c>
      <c r="F87" s="16" t="s">
        <v>6361</v>
      </c>
      <c r="G87" s="16" t="s">
        <v>6356</v>
      </c>
      <c r="O87" s="14" t="s">
        <v>6385</v>
      </c>
      <c r="P87" s="14" t="s">
        <v>6386</v>
      </c>
      <c r="Q87" s="14">
        <v>377182.63</v>
      </c>
      <c r="R87" s="14">
        <v>6208519.54</v>
      </c>
      <c r="S87" s="14" t="s">
        <v>6387</v>
      </c>
      <c r="T87" s="14" t="s">
        <v>6388</v>
      </c>
      <c r="U87" s="14">
        <v>377179.54</v>
      </c>
      <c r="V87" s="14">
        <v>6208491.6200000001</v>
      </c>
      <c r="W87" s="14">
        <v>307.56</v>
      </c>
    </row>
    <row r="88" spans="1:24" s="14" customFormat="1" x14ac:dyDescent="0.25">
      <c r="A88" s="50">
        <v>45095</v>
      </c>
      <c r="B88" s="16">
        <v>169</v>
      </c>
      <c r="C88" s="36">
        <v>0.61070601851851858</v>
      </c>
      <c r="D88" s="16" t="s">
        <v>97</v>
      </c>
      <c r="E88" s="14" t="s">
        <v>70</v>
      </c>
      <c r="F88" s="16" t="s">
        <v>6361</v>
      </c>
      <c r="G88" s="16" t="s">
        <v>6356</v>
      </c>
      <c r="I88" s="14" t="s">
        <v>6373</v>
      </c>
      <c r="J88" s="14" t="s">
        <v>6325</v>
      </c>
      <c r="K88" s="14" t="s">
        <v>6326</v>
      </c>
      <c r="L88" s="14" t="s">
        <v>6394</v>
      </c>
      <c r="O88" s="14" t="s">
        <v>6390</v>
      </c>
      <c r="P88" s="14" t="s">
        <v>6391</v>
      </c>
      <c r="Q88" s="14">
        <v>377182.7</v>
      </c>
      <c r="R88" s="14">
        <v>6208519.5199999996</v>
      </c>
      <c r="S88" s="14" t="s">
        <v>6392</v>
      </c>
      <c r="T88" s="14" t="s">
        <v>6393</v>
      </c>
      <c r="U88" s="14">
        <v>377178.43</v>
      </c>
      <c r="V88" s="14">
        <v>6208490.9400000004</v>
      </c>
      <c r="W88" s="14">
        <v>1.54</v>
      </c>
    </row>
    <row r="89" spans="1:24" s="14" customFormat="1" x14ac:dyDescent="0.25">
      <c r="A89" s="50">
        <v>45095</v>
      </c>
      <c r="B89" s="16">
        <v>169</v>
      </c>
      <c r="C89" s="36">
        <v>0.61619212962962966</v>
      </c>
      <c r="D89" s="16" t="s">
        <v>97</v>
      </c>
      <c r="E89" s="14" t="s">
        <v>6456</v>
      </c>
      <c r="F89" s="16" t="s">
        <v>6252</v>
      </c>
      <c r="G89" s="16" t="s">
        <v>6356</v>
      </c>
      <c r="H89" s="14">
        <v>8.5000000000000006E-2</v>
      </c>
      <c r="O89" s="14" t="s">
        <v>6395</v>
      </c>
      <c r="P89" s="14" t="s">
        <v>6396</v>
      </c>
      <c r="Q89" s="14">
        <v>377181.97</v>
      </c>
      <c r="R89" s="14">
        <v>6208519.1200000001</v>
      </c>
      <c r="S89" s="14" t="s">
        <v>6397</v>
      </c>
      <c r="T89" s="14" t="s">
        <v>6398</v>
      </c>
      <c r="U89" s="14">
        <v>377177.43</v>
      </c>
      <c r="V89" s="14">
        <v>6208500.5099999998</v>
      </c>
      <c r="W89" s="14">
        <v>180.37</v>
      </c>
      <c r="X89" s="14">
        <v>50.75</v>
      </c>
    </row>
    <row r="90" spans="1:24" s="14" customFormat="1" x14ac:dyDescent="0.25">
      <c r="A90" s="50">
        <v>45095</v>
      </c>
      <c r="B90" s="16">
        <v>169</v>
      </c>
      <c r="C90" s="36">
        <v>0.62109953703703702</v>
      </c>
      <c r="D90" s="16" t="s">
        <v>97</v>
      </c>
      <c r="E90" s="14" t="s">
        <v>6409</v>
      </c>
      <c r="F90" s="16" t="s">
        <v>6252</v>
      </c>
      <c r="G90" s="16" t="s">
        <v>6410</v>
      </c>
      <c r="H90" s="14">
        <v>5.1999999999999998E-2</v>
      </c>
      <c r="I90" s="14" t="s">
        <v>6403</v>
      </c>
      <c r="J90" s="14" t="s">
        <v>6325</v>
      </c>
      <c r="K90" s="14" t="s">
        <v>6326</v>
      </c>
      <c r="L90" s="14" t="s">
        <v>6404</v>
      </c>
      <c r="O90" s="14" t="s">
        <v>6399</v>
      </c>
      <c r="P90" s="14" t="s">
        <v>6400</v>
      </c>
      <c r="Q90" s="14">
        <v>377154.85</v>
      </c>
      <c r="R90" s="14">
        <v>6208470.0599999996</v>
      </c>
      <c r="S90" s="14" t="s">
        <v>6401</v>
      </c>
      <c r="T90" s="14" t="s">
        <v>6402</v>
      </c>
      <c r="U90" s="14">
        <v>377173.13</v>
      </c>
      <c r="V90" s="14">
        <v>6208466.9699999997</v>
      </c>
      <c r="W90" s="14">
        <v>180.85</v>
      </c>
      <c r="X90" s="14">
        <v>50.75</v>
      </c>
    </row>
    <row r="91" spans="1:24" s="14" customFormat="1" x14ac:dyDescent="0.25">
      <c r="A91" s="50">
        <v>45095</v>
      </c>
      <c r="B91" s="16">
        <v>169</v>
      </c>
      <c r="C91" s="36">
        <v>0.62241898148148145</v>
      </c>
      <c r="D91" s="16" t="s">
        <v>97</v>
      </c>
      <c r="E91" s="14" t="s">
        <v>70</v>
      </c>
      <c r="F91" s="16" t="s">
        <v>6252</v>
      </c>
      <c r="G91" s="16" t="s">
        <v>6410</v>
      </c>
      <c r="H91" s="14">
        <v>-6.0000000000000001E-3</v>
      </c>
      <c r="I91" s="14" t="s">
        <v>6403</v>
      </c>
      <c r="J91" s="14" t="s">
        <v>6325</v>
      </c>
      <c r="K91" s="14" t="s">
        <v>6326</v>
      </c>
      <c r="L91" s="14" t="s">
        <v>6404</v>
      </c>
      <c r="O91" s="14" t="s">
        <v>6405</v>
      </c>
      <c r="P91" s="14" t="s">
        <v>6406</v>
      </c>
      <c r="Q91" s="14">
        <v>377154.37</v>
      </c>
      <c r="R91" s="14">
        <v>6208414.96</v>
      </c>
      <c r="S91" s="14" t="s">
        <v>6407</v>
      </c>
      <c r="T91" s="14" t="s">
        <v>6408</v>
      </c>
      <c r="U91" s="14">
        <v>377173.12</v>
      </c>
      <c r="V91" s="14">
        <v>6208408.9299999997</v>
      </c>
      <c r="W91" s="14">
        <v>179.86</v>
      </c>
      <c r="X91" s="14">
        <v>50.75</v>
      </c>
    </row>
    <row r="92" spans="1:24" s="14" customFormat="1" x14ac:dyDescent="0.25">
      <c r="A92" s="50">
        <v>45095</v>
      </c>
      <c r="B92" s="16">
        <v>169</v>
      </c>
      <c r="C92" s="36">
        <v>0.62456018518518519</v>
      </c>
      <c r="D92" s="16" t="s">
        <v>97</v>
      </c>
      <c r="E92" s="14" t="s">
        <v>6421</v>
      </c>
      <c r="F92" s="16" t="s">
        <v>6252</v>
      </c>
      <c r="G92" s="16" t="s">
        <v>6410</v>
      </c>
      <c r="H92" s="14">
        <v>0</v>
      </c>
      <c r="I92" s="14" t="s">
        <v>6415</v>
      </c>
      <c r="J92" s="14" t="s">
        <v>6325</v>
      </c>
      <c r="K92" s="14" t="s">
        <v>6326</v>
      </c>
      <c r="L92" s="14" t="s">
        <v>6404</v>
      </c>
      <c r="O92" s="14" t="s">
        <v>6411</v>
      </c>
      <c r="P92" s="14" t="s">
        <v>6412</v>
      </c>
      <c r="Q92" s="14">
        <v>377154.04</v>
      </c>
      <c r="R92" s="14">
        <v>6208403.9400000004</v>
      </c>
      <c r="S92" s="14" t="s">
        <v>6413</v>
      </c>
      <c r="T92" s="14" t="s">
        <v>6414</v>
      </c>
      <c r="U92" s="14">
        <v>377172.94</v>
      </c>
      <c r="V92" s="14">
        <v>6208404.5999999996</v>
      </c>
      <c r="W92" s="14">
        <v>359.45</v>
      </c>
      <c r="X92" s="14">
        <v>50.75</v>
      </c>
    </row>
    <row r="93" spans="1:24" s="14" customFormat="1" x14ac:dyDescent="0.25">
      <c r="A93" s="50">
        <v>45095</v>
      </c>
      <c r="B93" s="16">
        <v>169</v>
      </c>
      <c r="C93" s="36">
        <v>0.62599537037037034</v>
      </c>
      <c r="D93" s="16" t="s">
        <v>97</v>
      </c>
      <c r="E93" s="14" t="s">
        <v>70</v>
      </c>
      <c r="F93" s="16" t="s">
        <v>6252</v>
      </c>
      <c r="G93" s="16" t="s">
        <v>6410</v>
      </c>
      <c r="H93" s="14">
        <v>0.06</v>
      </c>
      <c r="I93" s="14" t="s">
        <v>6415</v>
      </c>
      <c r="J93" s="14" t="s">
        <v>6420</v>
      </c>
      <c r="K93" s="14" t="s">
        <v>6326</v>
      </c>
      <c r="L93" s="14" t="s">
        <v>6404</v>
      </c>
      <c r="O93" s="14" t="s">
        <v>6416</v>
      </c>
      <c r="P93" s="14" t="s">
        <v>6417</v>
      </c>
      <c r="Q93" s="14">
        <v>377153.62</v>
      </c>
      <c r="R93" s="14">
        <v>6208457.7199999997</v>
      </c>
      <c r="S93" s="14" t="s">
        <v>6418</v>
      </c>
      <c r="T93" s="14" t="s">
        <v>6419</v>
      </c>
      <c r="U93" s="14">
        <v>377172.94</v>
      </c>
      <c r="V93" s="14">
        <v>6208464.4100000001</v>
      </c>
      <c r="W93" s="14">
        <v>359.43</v>
      </c>
      <c r="X93" s="14">
        <v>50.75</v>
      </c>
    </row>
    <row r="94" spans="1:24" s="14" customFormat="1" x14ac:dyDescent="0.25">
      <c r="A94" s="50">
        <v>45095</v>
      </c>
      <c r="B94" s="16">
        <v>169</v>
      </c>
      <c r="C94" s="36">
        <v>0.62792824074074072</v>
      </c>
      <c r="D94" s="16" t="s">
        <v>97</v>
      </c>
      <c r="E94" s="14" t="s">
        <v>6428</v>
      </c>
      <c r="F94" s="16" t="s">
        <v>6252</v>
      </c>
      <c r="G94" s="16" t="s">
        <v>6410</v>
      </c>
      <c r="H94" s="14">
        <v>0.05</v>
      </c>
      <c r="I94" s="14" t="s">
        <v>6426</v>
      </c>
      <c r="J94" s="14" t="s">
        <v>6427</v>
      </c>
      <c r="K94" s="14" t="s">
        <v>6326</v>
      </c>
      <c r="L94" s="14" t="s">
        <v>6404</v>
      </c>
      <c r="O94" s="14" t="s">
        <v>6422</v>
      </c>
      <c r="P94" s="14" t="s">
        <v>6423</v>
      </c>
      <c r="Q94" s="14">
        <v>377153.98</v>
      </c>
      <c r="R94" s="14">
        <v>6208466.4100000001</v>
      </c>
      <c r="S94" s="14" t="s">
        <v>6424</v>
      </c>
      <c r="T94" s="14" t="s">
        <v>6425</v>
      </c>
      <c r="U94" s="14">
        <v>377173.15</v>
      </c>
      <c r="V94" s="14">
        <v>6208464.9800000004</v>
      </c>
      <c r="W94" s="14">
        <v>181.55</v>
      </c>
      <c r="X94" s="14">
        <v>50.75</v>
      </c>
    </row>
    <row r="95" spans="1:24" s="14" customFormat="1" x14ac:dyDescent="0.25">
      <c r="A95" s="50">
        <v>45095</v>
      </c>
      <c r="B95" s="16">
        <v>169</v>
      </c>
      <c r="C95" s="36">
        <v>0.62967592592592592</v>
      </c>
      <c r="D95" s="16" t="s">
        <v>97</v>
      </c>
      <c r="E95" s="14" t="s">
        <v>70</v>
      </c>
      <c r="F95" s="16" t="s">
        <v>6252</v>
      </c>
      <c r="G95" s="16" t="s">
        <v>6410</v>
      </c>
      <c r="H95" s="14">
        <v>-2.7E-2</v>
      </c>
      <c r="I95" s="14" t="s">
        <v>6426</v>
      </c>
      <c r="J95" s="14" t="s">
        <v>6427</v>
      </c>
      <c r="K95" s="14" t="s">
        <v>6326</v>
      </c>
      <c r="L95" s="14" t="s">
        <v>6433</v>
      </c>
      <c r="O95" s="14" t="s">
        <v>6429</v>
      </c>
      <c r="P95" s="14" t="s">
        <v>6430</v>
      </c>
      <c r="Q95" s="14">
        <v>377154.33</v>
      </c>
      <c r="R95" s="14">
        <v>6208395.7199999997</v>
      </c>
      <c r="S95" s="14" t="s">
        <v>6431</v>
      </c>
      <c r="T95" s="14" t="s">
        <v>6432</v>
      </c>
      <c r="U95" s="14">
        <v>377173.08</v>
      </c>
      <c r="V95" s="14">
        <v>6208388.75</v>
      </c>
      <c r="W95" s="14">
        <v>179.88</v>
      </c>
      <c r="X95" s="14">
        <v>50.75</v>
      </c>
    </row>
    <row r="96" spans="1:24" s="14" customFormat="1" x14ac:dyDescent="0.25">
      <c r="A96" s="50">
        <v>45095</v>
      </c>
      <c r="B96" s="16">
        <v>169</v>
      </c>
      <c r="C96" s="36">
        <v>0.63237268518518519</v>
      </c>
      <c r="D96" s="16" t="s">
        <v>97</v>
      </c>
      <c r="E96" s="14" t="s">
        <v>6440</v>
      </c>
      <c r="F96" s="16" t="s">
        <v>6252</v>
      </c>
      <c r="G96" s="16" t="s">
        <v>6410</v>
      </c>
      <c r="H96" s="14">
        <v>-3.0000000000000001E-3</v>
      </c>
      <c r="I96" s="14" t="s">
        <v>6438</v>
      </c>
      <c r="J96" s="14" t="s">
        <v>6439</v>
      </c>
      <c r="K96" s="14" t="s">
        <v>6326</v>
      </c>
      <c r="L96" s="14" t="s">
        <v>6433</v>
      </c>
      <c r="O96" s="14" t="s">
        <v>6434</v>
      </c>
      <c r="P96" s="14" t="s">
        <v>6435</v>
      </c>
      <c r="Q96" s="14">
        <v>377154.49</v>
      </c>
      <c r="R96" s="14">
        <v>6208398.0099999998</v>
      </c>
      <c r="S96" s="14" t="s">
        <v>6436</v>
      </c>
      <c r="T96" s="14" t="s">
        <v>6437</v>
      </c>
      <c r="U96" s="14">
        <v>377172.76</v>
      </c>
      <c r="V96" s="14">
        <v>6208401.1200000001</v>
      </c>
      <c r="W96" s="14">
        <v>0.28999999999999998</v>
      </c>
      <c r="X96" s="14">
        <v>50.75</v>
      </c>
    </row>
    <row r="97" spans="1:24" s="14" customFormat="1" x14ac:dyDescent="0.25">
      <c r="A97" s="50">
        <v>45095</v>
      </c>
      <c r="B97" s="16">
        <v>169</v>
      </c>
      <c r="C97" s="36">
        <v>0.63378472222222226</v>
      </c>
      <c r="D97" s="16" t="s">
        <v>97</v>
      </c>
      <c r="E97" s="14" t="s">
        <v>70</v>
      </c>
      <c r="F97" s="16" t="s">
        <v>6252</v>
      </c>
      <c r="G97" s="16" t="s">
        <v>6410</v>
      </c>
      <c r="H97" s="14">
        <v>5.8999999999999997E-2</v>
      </c>
      <c r="I97" s="14" t="s">
        <v>6438</v>
      </c>
      <c r="J97" s="14" t="s">
        <v>6439</v>
      </c>
      <c r="K97" s="14" t="s">
        <v>6326</v>
      </c>
      <c r="L97" s="14" t="s">
        <v>6433</v>
      </c>
      <c r="O97" s="14" t="s">
        <v>6441</v>
      </c>
      <c r="P97" s="14" t="s">
        <v>6442</v>
      </c>
      <c r="Q97" s="14">
        <v>377153.93</v>
      </c>
      <c r="R97" s="14">
        <v>6208454.8700000001</v>
      </c>
      <c r="S97" s="14" t="s">
        <v>6443</v>
      </c>
      <c r="T97" s="14" t="s">
        <v>6444</v>
      </c>
      <c r="U97" s="14">
        <v>377173.05</v>
      </c>
      <c r="V97" s="14">
        <v>6208463.5800000001</v>
      </c>
      <c r="W97" s="14">
        <v>0.15</v>
      </c>
      <c r="X97" s="14">
        <v>50.75</v>
      </c>
    </row>
    <row r="98" spans="1:24" s="14" customFormat="1" x14ac:dyDescent="0.25">
      <c r="A98" s="50">
        <v>45095</v>
      </c>
      <c r="B98" s="16">
        <v>169</v>
      </c>
      <c r="C98" s="36">
        <v>0.63576388888888891</v>
      </c>
      <c r="D98" s="16" t="s">
        <v>97</v>
      </c>
      <c r="E98" s="14" t="s">
        <v>6451</v>
      </c>
      <c r="F98" s="16" t="s">
        <v>6252</v>
      </c>
      <c r="G98" s="16" t="s">
        <v>6410</v>
      </c>
      <c r="H98" s="14">
        <v>4.9000000000000002E-2</v>
      </c>
      <c r="I98" s="14" t="s">
        <v>6449</v>
      </c>
      <c r="J98" s="14" t="s">
        <v>6450</v>
      </c>
      <c r="K98" s="14" t="s">
        <v>6326</v>
      </c>
      <c r="L98" s="14" t="s">
        <v>6433</v>
      </c>
      <c r="O98" s="14" t="s">
        <v>6445</v>
      </c>
      <c r="P98" s="14" t="s">
        <v>6446</v>
      </c>
      <c r="Q98" s="14">
        <v>377154.06</v>
      </c>
      <c r="R98" s="14">
        <v>6208462.4900000002</v>
      </c>
      <c r="S98" s="14" t="s">
        <v>6447</v>
      </c>
      <c r="T98" s="14" t="s">
        <v>6448</v>
      </c>
      <c r="U98" s="14">
        <v>377173.08</v>
      </c>
      <c r="V98" s="14">
        <v>6208464.6799999997</v>
      </c>
      <c r="W98" s="14">
        <v>181.17</v>
      </c>
      <c r="X98" s="14">
        <v>50.75</v>
      </c>
    </row>
    <row r="99" spans="1:24" s="14" customFormat="1" x14ac:dyDescent="0.25">
      <c r="A99" s="50">
        <v>45095</v>
      </c>
      <c r="B99" s="16">
        <v>169</v>
      </c>
      <c r="C99" s="36">
        <v>0.63702546296296292</v>
      </c>
      <c r="D99" s="16" t="s">
        <v>97</v>
      </c>
      <c r="E99" s="14" t="s">
        <v>70</v>
      </c>
      <c r="F99" s="16" t="s">
        <v>6252</v>
      </c>
      <c r="G99" s="16" t="s">
        <v>6410</v>
      </c>
      <c r="H99" s="14">
        <v>-6.0000000000000001E-3</v>
      </c>
      <c r="I99" s="14" t="s">
        <v>6449</v>
      </c>
      <c r="J99" s="14" t="s">
        <v>6450</v>
      </c>
      <c r="K99" s="14" t="s">
        <v>6326</v>
      </c>
      <c r="L99" s="14" t="s">
        <v>6433</v>
      </c>
      <c r="O99" s="14" t="s">
        <v>6452</v>
      </c>
      <c r="P99" s="14" t="s">
        <v>6453</v>
      </c>
      <c r="Q99" s="14">
        <v>377154.47</v>
      </c>
      <c r="R99" s="14">
        <v>6208416.5800000001</v>
      </c>
      <c r="S99" s="14" t="s">
        <v>6454</v>
      </c>
      <c r="T99" s="14" t="s">
        <v>6455</v>
      </c>
      <c r="U99" s="14">
        <v>377173.04</v>
      </c>
      <c r="V99" s="14">
        <v>6208409.2300000004</v>
      </c>
      <c r="W99" s="14">
        <v>179.47</v>
      </c>
      <c r="X99" s="14">
        <v>50.75</v>
      </c>
    </row>
    <row r="100" spans="1:24" s="60" customFormat="1" x14ac:dyDescent="0.25">
      <c r="A100" s="50">
        <v>45095</v>
      </c>
      <c r="B100" s="16">
        <v>169</v>
      </c>
      <c r="C100" s="36">
        <v>0.63868055555555558</v>
      </c>
      <c r="D100" s="16" t="s">
        <v>97</v>
      </c>
      <c r="E100" s="14" t="s">
        <v>6472</v>
      </c>
      <c r="F100" s="16" t="s">
        <v>6252</v>
      </c>
      <c r="G100" s="16" t="s">
        <v>6410</v>
      </c>
      <c r="H100" s="14">
        <v>1E-3</v>
      </c>
      <c r="I100" s="14" t="s">
        <v>6461</v>
      </c>
      <c r="J100" s="14" t="s">
        <v>6450</v>
      </c>
      <c r="K100" s="14" t="s">
        <v>6326</v>
      </c>
      <c r="L100" s="14" t="s">
        <v>6433</v>
      </c>
      <c r="M100" s="14"/>
      <c r="N100" s="14"/>
      <c r="O100" s="14" t="s">
        <v>6457</v>
      </c>
      <c r="P100" s="14" t="s">
        <v>6458</v>
      </c>
      <c r="Q100" s="14">
        <v>377154.39</v>
      </c>
      <c r="R100" s="14">
        <v>6208407.3399999999</v>
      </c>
      <c r="S100" s="14" t="s">
        <v>6459</v>
      </c>
      <c r="T100" s="14" t="s">
        <v>6460</v>
      </c>
      <c r="U100" s="14">
        <v>377173.1</v>
      </c>
      <c r="V100" s="14">
        <v>6208405.7599999998</v>
      </c>
      <c r="W100" s="14">
        <v>358.87</v>
      </c>
      <c r="X100" s="60">
        <v>50.75</v>
      </c>
    </row>
    <row r="101" spans="1:24" s="60" customFormat="1" x14ac:dyDescent="0.25">
      <c r="A101" s="50">
        <v>45095</v>
      </c>
      <c r="B101" s="16">
        <v>169</v>
      </c>
      <c r="C101" s="36">
        <v>0.63996527777777779</v>
      </c>
      <c r="D101" s="16" t="s">
        <v>97</v>
      </c>
      <c r="E101" s="14" t="s">
        <v>70</v>
      </c>
      <c r="F101" s="16" t="s">
        <v>6252</v>
      </c>
      <c r="G101" s="16" t="s">
        <v>6410</v>
      </c>
      <c r="H101" s="14">
        <v>5.8000000000000003E-2</v>
      </c>
      <c r="I101" s="14" t="s">
        <v>6461</v>
      </c>
      <c r="J101" s="14" t="s">
        <v>6450</v>
      </c>
      <c r="K101" s="14" t="s">
        <v>6326</v>
      </c>
      <c r="L101" s="14" t="s">
        <v>6465</v>
      </c>
      <c r="M101" s="14"/>
      <c r="N101" s="14"/>
      <c r="O101" s="14" t="s">
        <v>6462</v>
      </c>
      <c r="P101" s="14" t="s">
        <v>6463</v>
      </c>
      <c r="Q101" s="14">
        <v>377154.11</v>
      </c>
      <c r="R101" s="14">
        <v>6208457.1900000004</v>
      </c>
      <c r="S101" s="14" t="s">
        <v>6464</v>
      </c>
      <c r="T101" s="14" t="s">
        <v>6419</v>
      </c>
      <c r="U101" s="14">
        <v>377172.88</v>
      </c>
      <c r="V101" s="14">
        <v>6208462.2699999996</v>
      </c>
      <c r="W101" s="14">
        <v>0.44</v>
      </c>
      <c r="X101" s="60">
        <v>50.75</v>
      </c>
    </row>
    <row r="102" spans="1:24" s="14" customFormat="1" x14ac:dyDescent="0.25">
      <c r="A102" s="50">
        <v>45095</v>
      </c>
      <c r="B102" s="16">
        <v>169</v>
      </c>
      <c r="C102" s="36">
        <v>0.64363425925925932</v>
      </c>
      <c r="D102" s="16" t="s">
        <v>97</v>
      </c>
      <c r="E102" s="14" t="s">
        <v>6473</v>
      </c>
      <c r="F102" s="16" t="s">
        <v>6252</v>
      </c>
      <c r="G102" s="16" t="s">
        <v>6466</v>
      </c>
      <c r="H102" s="14">
        <v>5.1999999999999998E-2</v>
      </c>
      <c r="I102" s="14" t="s">
        <v>6471</v>
      </c>
      <c r="J102" s="14" t="s">
        <v>6450</v>
      </c>
      <c r="K102" s="14" t="s">
        <v>6326</v>
      </c>
      <c r="L102" s="14" t="s">
        <v>6465</v>
      </c>
      <c r="O102" s="14" t="s">
        <v>6467</v>
      </c>
      <c r="P102" s="14" t="s">
        <v>6468</v>
      </c>
      <c r="Q102" s="14">
        <v>377154.72</v>
      </c>
      <c r="R102" s="14">
        <v>6208469.1900000004</v>
      </c>
      <c r="S102" s="14" t="s">
        <v>6469</v>
      </c>
      <c r="T102" s="14" t="s">
        <v>6470</v>
      </c>
      <c r="U102" s="14">
        <v>377177.58</v>
      </c>
      <c r="V102" s="14">
        <v>6208467.2199999997</v>
      </c>
      <c r="W102" s="14">
        <v>180.4</v>
      </c>
      <c r="X102" s="14">
        <v>50.75</v>
      </c>
    </row>
    <row r="103" spans="1:24" s="14" customFormat="1" x14ac:dyDescent="0.25">
      <c r="A103" s="50">
        <v>45095</v>
      </c>
      <c r="B103" s="16">
        <v>169</v>
      </c>
      <c r="C103" s="36">
        <v>0.64515046296296297</v>
      </c>
      <c r="D103" s="16" t="s">
        <v>97</v>
      </c>
      <c r="E103" s="14" t="s">
        <v>70</v>
      </c>
      <c r="F103" s="16" t="s">
        <v>6252</v>
      </c>
      <c r="G103" s="16" t="s">
        <v>6466</v>
      </c>
      <c r="H103" s="14">
        <v>-1.2E-2</v>
      </c>
      <c r="I103" s="14" t="s">
        <v>6471</v>
      </c>
      <c r="J103" s="14" t="s">
        <v>6450</v>
      </c>
      <c r="K103" s="14" t="s">
        <v>6326</v>
      </c>
      <c r="L103" s="14" t="s">
        <v>6465</v>
      </c>
      <c r="O103" s="14" t="s">
        <v>6474</v>
      </c>
      <c r="P103" s="14" t="s">
        <v>6475</v>
      </c>
      <c r="Q103" s="14">
        <v>377154.36</v>
      </c>
      <c r="R103" s="14">
        <v>6208412.0800000001</v>
      </c>
      <c r="S103" s="14" t="s">
        <v>6476</v>
      </c>
      <c r="T103" s="14" t="s">
        <v>6477</v>
      </c>
      <c r="U103" s="14">
        <v>377177.52</v>
      </c>
      <c r="V103" s="14">
        <v>6208403.75</v>
      </c>
      <c r="W103" s="14">
        <v>179.27</v>
      </c>
      <c r="X103" s="14">
        <v>50.75</v>
      </c>
    </row>
    <row r="104" spans="1:24" s="14" customFormat="1" x14ac:dyDescent="0.25">
      <c r="A104" s="50">
        <v>45095</v>
      </c>
      <c r="B104" s="16">
        <v>169</v>
      </c>
      <c r="C104" s="36">
        <v>0.64787037037037043</v>
      </c>
      <c r="D104" s="16" t="s">
        <v>97</v>
      </c>
      <c r="E104" s="14" t="s">
        <v>6484</v>
      </c>
      <c r="F104" s="16" t="s">
        <v>6252</v>
      </c>
      <c r="G104" s="16" t="s">
        <v>6478</v>
      </c>
      <c r="H104" s="14">
        <v>4.0000000000000001E-3</v>
      </c>
      <c r="I104" s="14" t="s">
        <v>6483</v>
      </c>
      <c r="J104" s="14" t="s">
        <v>6450</v>
      </c>
      <c r="K104" s="14" t="s">
        <v>6326</v>
      </c>
      <c r="L104" s="14" t="s">
        <v>6465</v>
      </c>
      <c r="O104" s="14" t="s">
        <v>6479</v>
      </c>
      <c r="P104" s="14" t="s">
        <v>6480</v>
      </c>
      <c r="Q104" s="14">
        <v>377146.94</v>
      </c>
      <c r="R104" s="14">
        <v>6208402.9699999997</v>
      </c>
      <c r="S104" s="14" t="s">
        <v>6481</v>
      </c>
      <c r="T104" s="14" t="s">
        <v>6482</v>
      </c>
      <c r="U104" s="14">
        <v>377168.33</v>
      </c>
      <c r="V104" s="14">
        <v>6208408.0800000001</v>
      </c>
      <c r="W104" s="14">
        <v>359.51</v>
      </c>
      <c r="X104" s="14">
        <v>50.75</v>
      </c>
    </row>
    <row r="105" spans="1:24" s="14" customFormat="1" x14ac:dyDescent="0.25">
      <c r="A105" s="50">
        <v>45095</v>
      </c>
      <c r="B105" s="16">
        <v>169</v>
      </c>
      <c r="C105" s="36">
        <v>0.6495023148148148</v>
      </c>
      <c r="D105" s="16" t="s">
        <v>97</v>
      </c>
      <c r="E105" s="14" t="s">
        <v>70</v>
      </c>
      <c r="F105" s="16" t="s">
        <v>6252</v>
      </c>
      <c r="G105" s="16" t="s">
        <v>6478</v>
      </c>
      <c r="H105" s="14">
        <v>5.8999999999999997E-2</v>
      </c>
      <c r="I105" s="14" t="s">
        <v>6483</v>
      </c>
      <c r="J105" s="14" t="s">
        <v>6450</v>
      </c>
      <c r="K105" s="14" t="s">
        <v>6326</v>
      </c>
      <c r="L105" s="14" t="s">
        <v>6465</v>
      </c>
      <c r="O105" s="14" t="s">
        <v>6485</v>
      </c>
      <c r="P105" s="14" t="s">
        <v>6486</v>
      </c>
      <c r="Q105" s="14">
        <v>377146.53</v>
      </c>
      <c r="R105" s="14">
        <v>6208460.6100000003</v>
      </c>
      <c r="S105" s="14" t="s">
        <v>6487</v>
      </c>
      <c r="T105" s="14" t="s">
        <v>6488</v>
      </c>
      <c r="U105" s="14">
        <v>377168.52</v>
      </c>
      <c r="V105" s="14">
        <v>6208462.9699999997</v>
      </c>
      <c r="W105" s="14">
        <v>0.86</v>
      </c>
      <c r="X105" s="14">
        <v>50.75</v>
      </c>
    </row>
    <row r="106" spans="1:24" s="14" customFormat="1" x14ac:dyDescent="0.25">
      <c r="A106" s="50">
        <v>45095</v>
      </c>
      <c r="B106" s="16">
        <v>169</v>
      </c>
      <c r="C106" s="36">
        <v>0.65667824074074077</v>
      </c>
      <c r="D106" s="16" t="s">
        <v>97</v>
      </c>
      <c r="E106" s="14" t="s">
        <v>6496</v>
      </c>
      <c r="F106" s="16" t="s">
        <v>6252</v>
      </c>
      <c r="G106" s="16" t="s">
        <v>6489</v>
      </c>
      <c r="H106" s="14">
        <v>3.0000000000000001E-3</v>
      </c>
      <c r="I106" s="14" t="s">
        <v>6494</v>
      </c>
      <c r="J106" s="14" t="s">
        <v>6450</v>
      </c>
      <c r="K106" s="14" t="s">
        <v>6326</v>
      </c>
      <c r="L106" s="14" t="s">
        <v>6495</v>
      </c>
      <c r="O106" s="14" t="s">
        <v>6490</v>
      </c>
      <c r="P106" s="14" t="s">
        <v>6491</v>
      </c>
      <c r="Q106" s="14">
        <v>377137.69</v>
      </c>
      <c r="R106" s="14">
        <v>6208453.8200000003</v>
      </c>
      <c r="S106" s="14" t="s">
        <v>6492</v>
      </c>
      <c r="T106" s="14" t="s">
        <v>6493</v>
      </c>
      <c r="U106" s="14">
        <v>377145.14</v>
      </c>
      <c r="V106" s="14">
        <v>6208436.4299999997</v>
      </c>
      <c r="W106" s="14">
        <v>91.88</v>
      </c>
      <c r="X106" s="14">
        <v>50.75</v>
      </c>
    </row>
    <row r="107" spans="1:24" s="14" customFormat="1" x14ac:dyDescent="0.25">
      <c r="A107" s="50">
        <v>45095</v>
      </c>
      <c r="B107" s="16">
        <v>169</v>
      </c>
      <c r="C107" s="36">
        <v>0.65841435185185182</v>
      </c>
      <c r="D107" s="16" t="s">
        <v>97</v>
      </c>
      <c r="E107" s="14" t="s">
        <v>70</v>
      </c>
      <c r="F107" s="16" t="s">
        <v>6252</v>
      </c>
      <c r="G107" s="16" t="s">
        <v>6489</v>
      </c>
      <c r="H107" s="14">
        <v>0.06</v>
      </c>
      <c r="I107" s="14" t="s">
        <v>6494</v>
      </c>
      <c r="J107" s="14" t="s">
        <v>6450</v>
      </c>
      <c r="K107" s="14" t="s">
        <v>6326</v>
      </c>
      <c r="L107" s="14" t="s">
        <v>6495</v>
      </c>
      <c r="O107" s="14" t="s">
        <v>6497</v>
      </c>
      <c r="P107" s="14" t="s">
        <v>6498</v>
      </c>
      <c r="Q107" s="14">
        <v>377199.58</v>
      </c>
      <c r="R107" s="14">
        <v>6208453.5599999996</v>
      </c>
      <c r="S107" s="14" t="s">
        <v>6499</v>
      </c>
      <c r="T107" s="14" t="s">
        <v>6500</v>
      </c>
      <c r="U107" s="14">
        <v>377202.73</v>
      </c>
      <c r="V107" s="14">
        <v>6208436.4500000002</v>
      </c>
      <c r="W107" s="14">
        <v>91.6</v>
      </c>
      <c r="X107" s="14">
        <v>50.75</v>
      </c>
    </row>
    <row r="108" spans="1:24" s="14" customFormat="1" x14ac:dyDescent="0.25">
      <c r="A108" s="50">
        <v>45095</v>
      </c>
      <c r="B108" s="16">
        <v>169</v>
      </c>
      <c r="C108" s="36">
        <v>0.66120370370370374</v>
      </c>
      <c r="D108" s="16" t="s">
        <v>97</v>
      </c>
      <c r="E108" s="14" t="s">
        <v>6511</v>
      </c>
      <c r="F108" s="16" t="s">
        <v>6252</v>
      </c>
      <c r="G108" s="16" t="s">
        <v>6489</v>
      </c>
      <c r="H108" s="14">
        <v>5.0999999999999997E-2</v>
      </c>
      <c r="I108" s="14" t="s">
        <v>6505</v>
      </c>
      <c r="J108" s="14" t="s">
        <v>6450</v>
      </c>
      <c r="K108" s="14" t="s">
        <v>6326</v>
      </c>
      <c r="L108" s="14" t="s">
        <v>6506</v>
      </c>
      <c r="O108" s="14" t="s">
        <v>6501</v>
      </c>
      <c r="P108" s="14" t="s">
        <v>6502</v>
      </c>
      <c r="Q108" s="14">
        <v>377208.57</v>
      </c>
      <c r="R108" s="14">
        <v>6208452.0099999998</v>
      </c>
      <c r="S108" s="14" t="s">
        <v>6503</v>
      </c>
      <c r="T108" s="14" t="s">
        <v>6504</v>
      </c>
      <c r="U108" s="14">
        <v>377204.54</v>
      </c>
      <c r="V108" s="14">
        <v>6208436.7300000004</v>
      </c>
      <c r="W108" s="14">
        <v>268.01</v>
      </c>
      <c r="X108" s="14">
        <v>50.75</v>
      </c>
    </row>
    <row r="109" spans="1:24" s="14" customFormat="1" x14ac:dyDescent="0.25">
      <c r="A109" s="50">
        <v>45095</v>
      </c>
      <c r="B109" s="16">
        <v>169</v>
      </c>
      <c r="C109" s="36">
        <v>0.66273148148148142</v>
      </c>
      <c r="D109" s="16" t="s">
        <v>97</v>
      </c>
      <c r="E109" s="14" t="s">
        <v>70</v>
      </c>
      <c r="F109" s="16" t="s">
        <v>6252</v>
      </c>
      <c r="G109" s="16" t="s">
        <v>6489</v>
      </c>
      <c r="H109" s="14">
        <v>-7.0000000000000001E-3</v>
      </c>
      <c r="I109" s="14" t="s">
        <v>6505</v>
      </c>
      <c r="J109" s="14" t="s">
        <v>6450</v>
      </c>
      <c r="K109" s="14" t="s">
        <v>6326</v>
      </c>
      <c r="L109" s="14" t="s">
        <v>6506</v>
      </c>
      <c r="O109" s="14" t="s">
        <v>6507</v>
      </c>
      <c r="P109" s="14" t="s">
        <v>6508</v>
      </c>
      <c r="Q109" s="14">
        <v>377156.41</v>
      </c>
      <c r="R109" s="14">
        <v>6208453.7599999998</v>
      </c>
      <c r="S109" s="14" t="s">
        <v>6509</v>
      </c>
      <c r="T109" s="14" t="s">
        <v>6510</v>
      </c>
      <c r="U109" s="14">
        <v>377145.92</v>
      </c>
      <c r="V109" s="14">
        <v>6208436.6500000004</v>
      </c>
      <c r="W109" s="14">
        <v>267.98</v>
      </c>
      <c r="X109" s="14">
        <v>50.75</v>
      </c>
    </row>
    <row r="110" spans="1:24" s="14" customFormat="1" x14ac:dyDescent="0.25">
      <c r="A110" s="50">
        <v>45095</v>
      </c>
      <c r="B110" s="16">
        <v>169</v>
      </c>
      <c r="C110" s="36">
        <v>0.66567129629629629</v>
      </c>
      <c r="D110" s="16" t="s">
        <v>97</v>
      </c>
      <c r="E110" s="14" t="s">
        <v>6512</v>
      </c>
      <c r="F110" s="16" t="s">
        <v>6513</v>
      </c>
      <c r="G110" s="16" t="s">
        <v>6513</v>
      </c>
      <c r="O110" s="14" t="s">
        <v>6514</v>
      </c>
      <c r="P110" s="14" t="s">
        <v>6515</v>
      </c>
      <c r="Q110" s="14">
        <v>377141.04</v>
      </c>
      <c r="R110" s="14">
        <v>6208453.5</v>
      </c>
      <c r="S110" s="14" t="s">
        <v>6516</v>
      </c>
      <c r="T110" s="14" t="s">
        <v>6517</v>
      </c>
      <c r="U110" s="14">
        <v>377128.88</v>
      </c>
      <c r="V110" s="14">
        <v>6208436.8499999996</v>
      </c>
      <c r="W110" s="14">
        <v>265.61</v>
      </c>
    </row>
    <row r="111" spans="1:24" s="14" customFormat="1" x14ac:dyDescent="0.25">
      <c r="A111" s="50">
        <v>45095</v>
      </c>
      <c r="B111" s="16">
        <v>169</v>
      </c>
      <c r="C111" s="36">
        <v>0.67194444444444434</v>
      </c>
      <c r="D111" s="16" t="s">
        <v>97</v>
      </c>
      <c r="E111" s="14" t="s">
        <v>6523</v>
      </c>
      <c r="F111" s="16" t="s">
        <v>6518</v>
      </c>
      <c r="G111" s="16" t="s">
        <v>6513</v>
      </c>
      <c r="O111" s="14" t="s">
        <v>6519</v>
      </c>
      <c r="P111" s="14" t="s">
        <v>6520</v>
      </c>
      <c r="Q111" s="14">
        <v>377136.49</v>
      </c>
      <c r="R111" s="14">
        <v>6208377.5300000003</v>
      </c>
      <c r="S111" s="14" t="s">
        <v>6521</v>
      </c>
      <c r="T111" s="14" t="s">
        <v>6522</v>
      </c>
      <c r="U111" s="14">
        <v>377126.18</v>
      </c>
      <c r="V111" s="14">
        <v>6208363.5599999996</v>
      </c>
      <c r="W111" s="14">
        <v>192.32</v>
      </c>
    </row>
    <row r="112" spans="1:24" s="81" customFormat="1" x14ac:dyDescent="0.25">
      <c r="A112" s="78">
        <v>45095</v>
      </c>
      <c r="B112" s="79">
        <v>169</v>
      </c>
      <c r="C112" s="80">
        <v>0.68061342592592589</v>
      </c>
      <c r="D112" s="79" t="s">
        <v>97</v>
      </c>
      <c r="E112" s="81" t="s">
        <v>6816</v>
      </c>
      <c r="F112" s="79" t="s">
        <v>6518</v>
      </c>
      <c r="G112" s="79" t="s">
        <v>6513</v>
      </c>
      <c r="O112" s="81" t="s">
        <v>6524</v>
      </c>
      <c r="P112" s="81" t="s">
        <v>6525</v>
      </c>
      <c r="Q112" s="81">
        <v>377136.46</v>
      </c>
      <c r="R112" s="81">
        <v>6208378.6799999997</v>
      </c>
      <c r="S112" s="81" t="s">
        <v>6526</v>
      </c>
      <c r="T112" s="81" t="s">
        <v>6527</v>
      </c>
      <c r="U112" s="81">
        <v>377134.41</v>
      </c>
      <c r="V112" s="81">
        <v>6208367.79</v>
      </c>
      <c r="W112" s="81">
        <v>176.26</v>
      </c>
    </row>
    <row r="113" spans="1:24" s="77" customFormat="1" x14ac:dyDescent="0.25">
      <c r="A113" s="74">
        <v>45095</v>
      </c>
      <c r="B113" s="75">
        <v>169</v>
      </c>
      <c r="C113" s="76">
        <v>0.68353009259259256</v>
      </c>
      <c r="D113" s="75" t="s">
        <v>97</v>
      </c>
      <c r="E113" s="77" t="s">
        <v>6817</v>
      </c>
      <c r="F113" s="75" t="s">
        <v>6518</v>
      </c>
      <c r="G113" s="75" t="s">
        <v>6513</v>
      </c>
      <c r="O113" s="77" t="s">
        <v>6528</v>
      </c>
      <c r="P113" s="77" t="s">
        <v>6529</v>
      </c>
      <c r="Q113" s="77">
        <v>377136.67</v>
      </c>
      <c r="R113" s="77">
        <v>6208378.8200000003</v>
      </c>
      <c r="S113" s="77" t="s">
        <v>6530</v>
      </c>
      <c r="T113" s="77" t="s">
        <v>6531</v>
      </c>
      <c r="U113" s="77">
        <v>377134.61</v>
      </c>
      <c r="V113" s="77">
        <v>6208367.6399999997</v>
      </c>
      <c r="W113" s="77">
        <v>176.76</v>
      </c>
    </row>
    <row r="114" spans="1:24" s="14" customFormat="1" x14ac:dyDescent="0.25">
      <c r="A114" s="50">
        <v>45095</v>
      </c>
      <c r="B114" s="16">
        <v>169</v>
      </c>
      <c r="C114" s="36">
        <v>0.70565972222222229</v>
      </c>
      <c r="D114" s="16" t="s">
        <v>97</v>
      </c>
      <c r="E114" s="14" t="s">
        <v>6536</v>
      </c>
      <c r="F114" s="16" t="s">
        <v>6518</v>
      </c>
      <c r="G114" s="16" t="s">
        <v>6513</v>
      </c>
      <c r="O114" s="14" t="s">
        <v>6532</v>
      </c>
      <c r="P114" s="14" t="s">
        <v>6533</v>
      </c>
      <c r="Q114" s="14">
        <v>377136.32</v>
      </c>
      <c r="R114" s="14">
        <v>6208378.8700000001</v>
      </c>
      <c r="S114" s="14" t="s">
        <v>6534</v>
      </c>
      <c r="T114" s="14" t="s">
        <v>6535</v>
      </c>
      <c r="U114" s="14">
        <v>377134.82</v>
      </c>
      <c r="V114" s="14">
        <v>6208364.0300000003</v>
      </c>
      <c r="W114" s="14">
        <v>182.41</v>
      </c>
    </row>
    <row r="115" spans="1:24" s="14" customFormat="1" x14ac:dyDescent="0.25">
      <c r="A115" s="50">
        <v>45095</v>
      </c>
      <c r="B115" s="16">
        <v>169</v>
      </c>
      <c r="C115" s="36">
        <v>0.72236111111111112</v>
      </c>
      <c r="D115" s="16" t="s">
        <v>6737</v>
      </c>
      <c r="E115" s="14" t="s">
        <v>6542</v>
      </c>
      <c r="F115" s="16" t="s">
        <v>6537</v>
      </c>
      <c r="G115" s="16" t="s">
        <v>6537</v>
      </c>
      <c r="H115" s="14">
        <v>-1.2E-2</v>
      </c>
      <c r="O115" s="14" t="s">
        <v>6538</v>
      </c>
      <c r="P115" s="14" t="s">
        <v>6539</v>
      </c>
      <c r="Q115" s="14">
        <v>377136.43</v>
      </c>
      <c r="R115" s="14">
        <v>6208379.6699999999</v>
      </c>
      <c r="S115" s="14" t="s">
        <v>6540</v>
      </c>
      <c r="T115" s="14" t="s">
        <v>6541</v>
      </c>
      <c r="U115" s="14">
        <v>377131.59</v>
      </c>
      <c r="V115" s="14">
        <v>6208361.3799999999</v>
      </c>
      <c r="W115" s="14">
        <v>56.21</v>
      </c>
      <c r="X115" s="14">
        <v>50.75</v>
      </c>
    </row>
    <row r="116" spans="1:24" s="14" customFormat="1" x14ac:dyDescent="0.25">
      <c r="A116" s="50">
        <v>45095</v>
      </c>
      <c r="B116" s="16">
        <v>169</v>
      </c>
      <c r="C116" s="36">
        <v>0.72684027777777782</v>
      </c>
      <c r="D116" s="16" t="s">
        <v>6737</v>
      </c>
      <c r="E116" s="14" t="s">
        <v>6550</v>
      </c>
      <c r="F116" s="16" t="s">
        <v>6537</v>
      </c>
      <c r="G116" s="16" t="s">
        <v>6537</v>
      </c>
      <c r="H116" s="14">
        <v>4.0000000000000001E-3</v>
      </c>
      <c r="I116" s="14" t="s">
        <v>6547</v>
      </c>
      <c r="J116" s="14" t="s">
        <v>6450</v>
      </c>
      <c r="K116" s="14" t="s">
        <v>6548</v>
      </c>
      <c r="L116" s="14" t="s">
        <v>6549</v>
      </c>
      <c r="O116" s="14" t="s">
        <v>6543</v>
      </c>
      <c r="P116" s="14" t="s">
        <v>6544</v>
      </c>
      <c r="Q116" s="14">
        <v>377150.34</v>
      </c>
      <c r="R116" s="14">
        <v>6208441.1299999999</v>
      </c>
      <c r="S116" s="14" t="s">
        <v>6545</v>
      </c>
      <c r="T116" s="14" t="s">
        <v>6546</v>
      </c>
      <c r="U116" s="14">
        <v>377146.72</v>
      </c>
      <c r="V116" s="14">
        <v>6208422.75</v>
      </c>
      <c r="W116" s="14">
        <v>89.92</v>
      </c>
      <c r="X116" s="14">
        <v>50.75</v>
      </c>
    </row>
    <row r="117" spans="1:24" s="14" customFormat="1" x14ac:dyDescent="0.25">
      <c r="A117" s="50">
        <v>45095</v>
      </c>
      <c r="B117" s="16">
        <v>169</v>
      </c>
      <c r="C117" s="36">
        <v>0.72848379629629623</v>
      </c>
      <c r="D117" s="16" t="s">
        <v>6737</v>
      </c>
      <c r="E117" s="14" t="s">
        <v>70</v>
      </c>
      <c r="F117" s="16" t="s">
        <v>6537</v>
      </c>
      <c r="G117" s="16" t="s">
        <v>6537</v>
      </c>
      <c r="H117" s="14">
        <v>5.8999999999999997E-2</v>
      </c>
      <c r="I117" s="14" t="s">
        <v>6547</v>
      </c>
      <c r="J117" s="14" t="s">
        <v>6450</v>
      </c>
      <c r="K117" s="14" t="s">
        <v>6548</v>
      </c>
      <c r="L117" s="14" t="s">
        <v>6549</v>
      </c>
      <c r="O117" s="14" t="s">
        <v>6551</v>
      </c>
      <c r="P117" s="14" t="s">
        <v>6552</v>
      </c>
      <c r="Q117" s="14">
        <v>377205.84</v>
      </c>
      <c r="R117" s="14">
        <v>6208439.0899999999</v>
      </c>
      <c r="S117" s="14" t="s">
        <v>6553</v>
      </c>
      <c r="T117" s="14" t="s">
        <v>6554</v>
      </c>
      <c r="U117" s="14">
        <v>377201.34</v>
      </c>
      <c r="V117" s="14">
        <v>6208422.71</v>
      </c>
      <c r="W117" s="14">
        <v>89.11</v>
      </c>
      <c r="X117" s="14">
        <v>50.75</v>
      </c>
    </row>
    <row r="118" spans="1:24" s="14" customFormat="1" x14ac:dyDescent="0.25">
      <c r="A118" s="50">
        <v>45095</v>
      </c>
      <c r="B118" s="16">
        <v>169</v>
      </c>
      <c r="C118" s="36">
        <v>0.73016203703703697</v>
      </c>
      <c r="D118" s="16" t="s">
        <v>6737</v>
      </c>
      <c r="E118" s="14" t="s">
        <v>6561</v>
      </c>
      <c r="F118" s="16" t="s">
        <v>6537</v>
      </c>
      <c r="G118" s="16" t="s">
        <v>6537</v>
      </c>
      <c r="H118" s="14">
        <v>5.1999999999999998E-2</v>
      </c>
      <c r="I118" s="14" t="s">
        <v>6559</v>
      </c>
      <c r="J118" s="14" t="s">
        <v>6450</v>
      </c>
      <c r="K118" s="14" t="s">
        <v>6560</v>
      </c>
      <c r="L118" s="14" t="s">
        <v>6549</v>
      </c>
      <c r="O118" s="14" t="s">
        <v>6555</v>
      </c>
      <c r="P118" s="14" t="s">
        <v>6556</v>
      </c>
      <c r="Q118" s="14">
        <v>377215.13</v>
      </c>
      <c r="R118" s="14">
        <v>6208438.7000000002</v>
      </c>
      <c r="S118" s="14" t="s">
        <v>6557</v>
      </c>
      <c r="T118" s="14" t="s">
        <v>6558</v>
      </c>
      <c r="U118" s="14">
        <v>377205.75</v>
      </c>
      <c r="V118" s="14">
        <v>6208422.96</v>
      </c>
      <c r="W118" s="14">
        <v>264.87</v>
      </c>
      <c r="X118" s="14">
        <v>50.75</v>
      </c>
    </row>
    <row r="119" spans="1:24" s="14" customFormat="1" x14ac:dyDescent="0.25">
      <c r="A119" s="50">
        <v>45095</v>
      </c>
      <c r="B119" s="16">
        <v>169</v>
      </c>
      <c r="C119" s="36">
        <v>0.73182870370370379</v>
      </c>
      <c r="D119" s="16" t="s">
        <v>6737</v>
      </c>
      <c r="E119" s="14" t="s">
        <v>70</v>
      </c>
      <c r="F119" s="16" t="s">
        <v>6537</v>
      </c>
      <c r="G119" s="16" t="s">
        <v>6537</v>
      </c>
      <c r="H119" s="14">
        <v>-7.0000000000000001E-3</v>
      </c>
      <c r="I119" s="14" t="s">
        <v>6559</v>
      </c>
      <c r="J119" s="14" t="s">
        <v>6450</v>
      </c>
      <c r="K119" s="14" t="s">
        <v>6560</v>
      </c>
      <c r="L119" s="14" t="s">
        <v>6549</v>
      </c>
      <c r="O119" s="14" t="s">
        <v>6562</v>
      </c>
      <c r="P119" s="14" t="s">
        <v>6563</v>
      </c>
      <c r="Q119" s="14">
        <v>377154.06</v>
      </c>
      <c r="R119" s="14">
        <v>6208439.7800000003</v>
      </c>
      <c r="S119" s="14" t="s">
        <v>6564</v>
      </c>
      <c r="T119" s="14" t="s">
        <v>6565</v>
      </c>
      <c r="U119" s="14">
        <v>377146.83</v>
      </c>
      <c r="V119" s="14">
        <v>6208422.0599999996</v>
      </c>
      <c r="W119" s="14">
        <v>268.33</v>
      </c>
      <c r="X119" s="14">
        <v>50.75</v>
      </c>
    </row>
    <row r="120" spans="1:24" s="14" customFormat="1" x14ac:dyDescent="0.25">
      <c r="A120" s="50">
        <v>45095</v>
      </c>
      <c r="B120" s="16">
        <v>169</v>
      </c>
      <c r="C120" s="36">
        <v>0.73583333333333334</v>
      </c>
      <c r="D120" s="16" t="s">
        <v>6737</v>
      </c>
      <c r="E120" s="14" t="s">
        <v>6550</v>
      </c>
      <c r="F120" s="16" t="s">
        <v>6566</v>
      </c>
      <c r="G120" s="16" t="s">
        <v>6566</v>
      </c>
      <c r="H120" s="14">
        <v>5.0000000000000001E-3</v>
      </c>
      <c r="I120" s="14" t="s">
        <v>6571</v>
      </c>
      <c r="J120" s="14" t="s">
        <v>6450</v>
      </c>
      <c r="K120" s="14" t="s">
        <v>6572</v>
      </c>
      <c r="L120" s="14" t="s">
        <v>6573</v>
      </c>
      <c r="O120" s="14" t="s">
        <v>6567</v>
      </c>
      <c r="P120" s="14" t="s">
        <v>6568</v>
      </c>
      <c r="Q120" s="14">
        <v>377147.83</v>
      </c>
      <c r="R120" s="14">
        <v>6208468.5800000001</v>
      </c>
      <c r="S120" s="14" t="s">
        <v>6569</v>
      </c>
      <c r="T120" s="14" t="s">
        <v>6570</v>
      </c>
      <c r="U120" s="14">
        <v>377146.98</v>
      </c>
      <c r="V120" s="14">
        <v>6208450.3499999996</v>
      </c>
      <c r="W120" s="14">
        <v>91.63</v>
      </c>
      <c r="X120" s="14">
        <v>50.75</v>
      </c>
    </row>
    <row r="121" spans="1:24" s="14" customFormat="1" x14ac:dyDescent="0.25">
      <c r="A121" s="50">
        <v>45095</v>
      </c>
      <c r="B121" s="16">
        <v>169</v>
      </c>
      <c r="C121" s="36">
        <v>0.73746527777777782</v>
      </c>
      <c r="D121" s="16" t="s">
        <v>6737</v>
      </c>
      <c r="E121" s="14" t="s">
        <v>70</v>
      </c>
      <c r="F121" s="16" t="s">
        <v>6566</v>
      </c>
      <c r="G121" s="16" t="s">
        <v>6566</v>
      </c>
      <c r="H121" s="14">
        <v>6.0999999999999999E-2</v>
      </c>
      <c r="I121" s="14" t="s">
        <v>6571</v>
      </c>
      <c r="J121" s="14" t="s">
        <v>6450</v>
      </c>
      <c r="K121" s="14" t="s">
        <v>6572</v>
      </c>
      <c r="L121" s="14" t="s">
        <v>6573</v>
      </c>
      <c r="O121" s="14" t="s">
        <v>6574</v>
      </c>
      <c r="P121" s="14" t="s">
        <v>6575</v>
      </c>
      <c r="Q121" s="14">
        <v>377204.93</v>
      </c>
      <c r="R121" s="14">
        <v>6208466.7699999996</v>
      </c>
      <c r="S121" s="14" t="s">
        <v>6576</v>
      </c>
      <c r="T121" s="14" t="s">
        <v>6577</v>
      </c>
      <c r="U121" s="14">
        <v>377202.95</v>
      </c>
      <c r="V121" s="14">
        <v>6208450.3499999996</v>
      </c>
      <c r="W121" s="14">
        <v>90.95</v>
      </c>
      <c r="X121" s="14">
        <v>50.75</v>
      </c>
    </row>
    <row r="122" spans="1:24" s="14" customFormat="1" x14ac:dyDescent="0.25">
      <c r="A122" s="50">
        <v>45095</v>
      </c>
      <c r="B122" s="16">
        <v>169</v>
      </c>
      <c r="C122" s="36">
        <v>0.73932870370370374</v>
      </c>
      <c r="D122" s="16" t="s">
        <v>6737</v>
      </c>
      <c r="E122" s="14" t="s">
        <v>6561</v>
      </c>
      <c r="F122" s="16" t="s">
        <v>6566</v>
      </c>
      <c r="G122" s="16" t="s">
        <v>6566</v>
      </c>
      <c r="H122" s="14">
        <v>5.1999999999999998E-2</v>
      </c>
      <c r="I122" s="14" t="s">
        <v>6582</v>
      </c>
      <c r="J122" s="14" t="s">
        <v>6450</v>
      </c>
      <c r="K122" s="14" t="s">
        <v>6583</v>
      </c>
      <c r="L122" s="14" t="s">
        <v>6573</v>
      </c>
      <c r="O122" s="14" t="s">
        <v>6578</v>
      </c>
      <c r="P122" s="14" t="s">
        <v>6579</v>
      </c>
      <c r="Q122" s="14">
        <v>377206.08</v>
      </c>
      <c r="R122" s="14">
        <v>6208466.9900000002</v>
      </c>
      <c r="S122" s="14" t="s">
        <v>6580</v>
      </c>
      <c r="T122" s="14" t="s">
        <v>6581</v>
      </c>
      <c r="U122" s="14">
        <v>377205.34</v>
      </c>
      <c r="V122" s="14">
        <v>6208450.3600000003</v>
      </c>
      <c r="W122" s="14">
        <v>274.43</v>
      </c>
      <c r="X122" s="14">
        <v>50.75</v>
      </c>
    </row>
    <row r="123" spans="1:24" s="14" customFormat="1" x14ac:dyDescent="0.25">
      <c r="A123" s="50">
        <v>45095</v>
      </c>
      <c r="B123" s="16">
        <v>169</v>
      </c>
      <c r="C123" s="36">
        <v>0.74083333333333334</v>
      </c>
      <c r="D123" s="16" t="s">
        <v>6737</v>
      </c>
      <c r="E123" s="14" t="s">
        <v>70</v>
      </c>
      <c r="F123" s="16" t="s">
        <v>6566</v>
      </c>
      <c r="G123" s="16" t="s">
        <v>6566</v>
      </c>
      <c r="H123" s="14">
        <v>-6.0000000000000001E-3</v>
      </c>
      <c r="I123" s="14" t="s">
        <v>6582</v>
      </c>
      <c r="J123" s="14" t="s">
        <v>6450</v>
      </c>
      <c r="K123" s="14" t="s">
        <v>6583</v>
      </c>
      <c r="L123" s="14" t="s">
        <v>6573</v>
      </c>
      <c r="O123" s="14" t="s">
        <v>6584</v>
      </c>
      <c r="P123" s="14" t="s">
        <v>6585</v>
      </c>
      <c r="Q123" s="14">
        <v>377147.56</v>
      </c>
      <c r="R123" s="14">
        <v>6208467.4199999999</v>
      </c>
      <c r="S123" s="14" t="s">
        <v>6586</v>
      </c>
      <c r="T123" s="14" t="s">
        <v>6587</v>
      </c>
      <c r="U123" s="14">
        <v>377147.45</v>
      </c>
      <c r="V123" s="14">
        <v>6208450.71</v>
      </c>
      <c r="W123" s="14">
        <v>269.87</v>
      </c>
      <c r="X123" s="14">
        <v>50.75</v>
      </c>
    </row>
    <row r="124" spans="1:24" s="68" customFormat="1" x14ac:dyDescent="0.25">
      <c r="A124" s="65">
        <v>45095</v>
      </c>
      <c r="B124" s="66">
        <v>169</v>
      </c>
      <c r="C124" s="67">
        <v>0.76390046296296299</v>
      </c>
      <c r="D124" s="66" t="s">
        <v>6737</v>
      </c>
      <c r="E124" s="68" t="s">
        <v>6593</v>
      </c>
      <c r="F124" s="66"/>
      <c r="G124" s="66" t="s">
        <v>6566</v>
      </c>
      <c r="H124" s="68">
        <v>-1.4E-2</v>
      </c>
      <c r="M124" s="68" t="s">
        <v>6588</v>
      </c>
      <c r="O124" s="68" t="s">
        <v>6589</v>
      </c>
      <c r="P124" s="68" t="s">
        <v>6590</v>
      </c>
      <c r="Q124" s="68">
        <v>377138.19</v>
      </c>
      <c r="R124" s="68">
        <v>6208468.3600000003</v>
      </c>
      <c r="S124" s="68" t="s">
        <v>6591</v>
      </c>
      <c r="T124" s="68" t="s">
        <v>6592</v>
      </c>
      <c r="U124" s="68">
        <v>377135.35999999999</v>
      </c>
      <c r="V124" s="68">
        <v>6208454.04</v>
      </c>
      <c r="W124" s="68">
        <v>196.22</v>
      </c>
      <c r="X124" s="68">
        <v>50.75</v>
      </c>
    </row>
    <row r="125" spans="1:24" s="68" customFormat="1" x14ac:dyDescent="0.25">
      <c r="A125" s="65">
        <v>45095</v>
      </c>
      <c r="B125" s="66">
        <v>169</v>
      </c>
      <c r="C125" s="67">
        <v>0.76523148148148146</v>
      </c>
      <c r="D125" s="66" t="s">
        <v>6737</v>
      </c>
      <c r="E125" s="68" t="s">
        <v>6599</v>
      </c>
      <c r="F125" s="66"/>
      <c r="G125" s="66" t="s">
        <v>6566</v>
      </c>
      <c r="H125" s="68">
        <v>-1.2999999999999999E-2</v>
      </c>
      <c r="M125" s="68" t="s">
        <v>6594</v>
      </c>
      <c r="O125" s="68" t="s">
        <v>6595</v>
      </c>
      <c r="P125" s="68" t="s">
        <v>6596</v>
      </c>
      <c r="Q125" s="68">
        <v>377138.74</v>
      </c>
      <c r="R125" s="68">
        <v>6208468.9100000001</v>
      </c>
      <c r="S125" s="68" t="s">
        <v>6597</v>
      </c>
      <c r="T125" s="68" t="s">
        <v>6598</v>
      </c>
      <c r="U125" s="68">
        <v>377135.7</v>
      </c>
      <c r="V125" s="68">
        <v>6208457.3499999996</v>
      </c>
      <c r="W125" s="68">
        <v>191.98</v>
      </c>
      <c r="X125" s="68">
        <v>50.75</v>
      </c>
    </row>
    <row r="126" spans="1:24" s="68" customFormat="1" x14ac:dyDescent="0.25">
      <c r="A126" s="65">
        <v>45095</v>
      </c>
      <c r="B126" s="66">
        <v>169</v>
      </c>
      <c r="C126" s="67">
        <v>0.76685185185185178</v>
      </c>
      <c r="D126" s="66" t="s">
        <v>6737</v>
      </c>
      <c r="E126" s="68" t="s">
        <v>6605</v>
      </c>
      <c r="F126" s="66"/>
      <c r="G126" s="66" t="s">
        <v>6566</v>
      </c>
      <c r="H126" s="68">
        <v>-1.4E-2</v>
      </c>
      <c r="M126" s="68" t="s">
        <v>6600</v>
      </c>
      <c r="O126" s="68" t="s">
        <v>6601</v>
      </c>
      <c r="P126" s="68" t="s">
        <v>6602</v>
      </c>
      <c r="Q126" s="68">
        <v>377138.23</v>
      </c>
      <c r="R126" s="68">
        <v>6208468.1600000001</v>
      </c>
      <c r="S126" s="68" t="s">
        <v>6603</v>
      </c>
      <c r="T126" s="68" t="s">
        <v>6604</v>
      </c>
      <c r="U126" s="68">
        <v>377134.64</v>
      </c>
      <c r="V126" s="68">
        <v>6208451.5099999998</v>
      </c>
      <c r="W126" s="68">
        <v>184.32</v>
      </c>
      <c r="X126" s="68">
        <v>50.75</v>
      </c>
    </row>
    <row r="127" spans="1:24" s="14" customFormat="1" x14ac:dyDescent="0.25">
      <c r="A127" s="50">
        <v>45095</v>
      </c>
      <c r="B127" s="16">
        <v>169</v>
      </c>
      <c r="C127" s="36">
        <v>0.80444444444444441</v>
      </c>
      <c r="D127" s="16" t="s">
        <v>6737</v>
      </c>
      <c r="E127" s="14" t="s">
        <v>6610</v>
      </c>
      <c r="F127" s="16" t="s">
        <v>6566</v>
      </c>
      <c r="G127" s="16" t="s">
        <v>6566</v>
      </c>
      <c r="H127" s="14">
        <v>2.7E-2</v>
      </c>
      <c r="O127" s="14" t="s">
        <v>6606</v>
      </c>
      <c r="P127" s="14" t="s">
        <v>6607</v>
      </c>
      <c r="Q127" s="14">
        <v>377173.7</v>
      </c>
      <c r="R127" s="14">
        <v>6208455.7599999998</v>
      </c>
      <c r="S127" s="14" t="s">
        <v>6608</v>
      </c>
      <c r="T127" s="14" t="s">
        <v>6609</v>
      </c>
      <c r="U127" s="14">
        <v>377169.59</v>
      </c>
      <c r="V127" s="14">
        <v>6208437.9299999997</v>
      </c>
      <c r="W127" s="14">
        <v>113.37</v>
      </c>
      <c r="X127" s="14">
        <v>50.75</v>
      </c>
    </row>
    <row r="128" spans="1:24" s="14" customFormat="1" x14ac:dyDescent="0.25">
      <c r="A128" s="50">
        <v>45095</v>
      </c>
      <c r="B128" s="16">
        <v>169</v>
      </c>
      <c r="C128" s="36">
        <v>0.80461805555555566</v>
      </c>
      <c r="D128" s="16" t="s">
        <v>6737</v>
      </c>
      <c r="E128" s="14" t="s">
        <v>6611</v>
      </c>
      <c r="F128" s="16" t="s">
        <v>6566</v>
      </c>
      <c r="G128" s="16" t="s">
        <v>6566</v>
      </c>
      <c r="H128" s="14">
        <v>2.7E-2</v>
      </c>
      <c r="O128" s="14" t="s">
        <v>6612</v>
      </c>
      <c r="P128" s="14" t="s">
        <v>6613</v>
      </c>
      <c r="Q128" s="14">
        <v>377174.56</v>
      </c>
      <c r="R128" s="14">
        <v>6208455.1699999999</v>
      </c>
      <c r="S128" s="14" t="s">
        <v>6614</v>
      </c>
      <c r="T128" s="14" t="s">
        <v>6615</v>
      </c>
      <c r="U128" s="14">
        <v>377169.61</v>
      </c>
      <c r="V128" s="14">
        <v>6208437.9199999999</v>
      </c>
      <c r="W128" s="14">
        <v>113.93</v>
      </c>
      <c r="X128" s="14">
        <v>50.75</v>
      </c>
    </row>
    <row r="129" spans="1:24" s="14" customFormat="1" x14ac:dyDescent="0.25">
      <c r="A129" s="50">
        <v>45095</v>
      </c>
      <c r="B129" s="16">
        <v>169</v>
      </c>
      <c r="C129" s="36">
        <v>0.80717592592592602</v>
      </c>
      <c r="D129" s="16" t="s">
        <v>6737</v>
      </c>
      <c r="E129" s="14" t="s">
        <v>6620</v>
      </c>
      <c r="F129" s="16" t="s">
        <v>6566</v>
      </c>
      <c r="G129" s="16" t="s">
        <v>6566</v>
      </c>
      <c r="H129" s="14">
        <v>2.4E-2</v>
      </c>
      <c r="O129" s="14" t="s">
        <v>6616</v>
      </c>
      <c r="P129" s="14" t="s">
        <v>6617</v>
      </c>
      <c r="Q129" s="14">
        <v>377175.6</v>
      </c>
      <c r="R129" s="14">
        <v>6208454.5800000001</v>
      </c>
      <c r="S129" s="14" t="s">
        <v>6618</v>
      </c>
      <c r="T129" s="14" t="s">
        <v>6619</v>
      </c>
      <c r="U129" s="14">
        <v>377172.51</v>
      </c>
      <c r="V129" s="14">
        <v>6208443.3799999999</v>
      </c>
      <c r="W129" s="14">
        <v>189.28</v>
      </c>
      <c r="X129" s="14">
        <v>50.75</v>
      </c>
    </row>
    <row r="130" spans="1:24" s="14" customFormat="1" x14ac:dyDescent="0.25">
      <c r="A130" s="50">
        <v>45095</v>
      </c>
      <c r="B130" s="16">
        <v>169</v>
      </c>
      <c r="C130" s="36">
        <v>0.81275462962962963</v>
      </c>
      <c r="D130" s="16" t="s">
        <v>6737</v>
      </c>
      <c r="E130" s="81" t="s">
        <v>6818</v>
      </c>
      <c r="F130" s="16" t="s">
        <v>6566</v>
      </c>
      <c r="G130" s="16" t="s">
        <v>6566</v>
      </c>
      <c r="H130" s="14">
        <v>2.7E-2</v>
      </c>
      <c r="O130" s="14" t="s">
        <v>6621</v>
      </c>
      <c r="P130" s="14" t="s">
        <v>6622</v>
      </c>
      <c r="Q130" s="14">
        <v>377176.26</v>
      </c>
      <c r="R130" s="14">
        <v>6208454.5899999999</v>
      </c>
      <c r="S130" s="14" t="s">
        <v>6623</v>
      </c>
      <c r="T130" s="14" t="s">
        <v>6624</v>
      </c>
      <c r="U130" s="14">
        <v>377174.26</v>
      </c>
      <c r="V130" s="14">
        <v>6208443.2699999996</v>
      </c>
      <c r="W130" s="14">
        <v>177.17</v>
      </c>
      <c r="X130" s="14">
        <v>50.75</v>
      </c>
    </row>
    <row r="131" spans="1:24" s="14" customFormat="1" x14ac:dyDescent="0.25">
      <c r="A131" s="50">
        <v>45095</v>
      </c>
      <c r="B131" s="16">
        <v>169</v>
      </c>
      <c r="C131" s="36">
        <v>0.84181712962962962</v>
      </c>
      <c r="D131" s="16" t="s">
        <v>6737</v>
      </c>
      <c r="E131" s="14" t="s">
        <v>6629</v>
      </c>
      <c r="F131" s="16" t="s">
        <v>6566</v>
      </c>
      <c r="G131" s="16" t="s">
        <v>6566</v>
      </c>
      <c r="H131" s="14">
        <v>8.0489999999999995</v>
      </c>
      <c r="O131" s="14" t="s">
        <v>6625</v>
      </c>
      <c r="P131" s="14" t="s">
        <v>6626</v>
      </c>
      <c r="Q131" s="14">
        <v>385187.4</v>
      </c>
      <c r="R131" s="14">
        <v>6203710.9400000004</v>
      </c>
      <c r="S131" s="14" t="s">
        <v>6627</v>
      </c>
      <c r="T131" s="14" t="s">
        <v>6628</v>
      </c>
      <c r="U131" s="14">
        <v>385192.74</v>
      </c>
      <c r="V131" s="14">
        <v>6203720.6900000004</v>
      </c>
      <c r="W131" s="14">
        <v>19.190000000000001</v>
      </c>
      <c r="X131" s="14">
        <v>50.75</v>
      </c>
    </row>
    <row r="132" spans="1:24" s="14" customFormat="1" x14ac:dyDescent="0.25">
      <c r="A132" s="50">
        <v>45095</v>
      </c>
      <c r="B132" s="16">
        <v>169</v>
      </c>
      <c r="C132" s="36">
        <v>0.92752314814814818</v>
      </c>
      <c r="D132" s="16" t="s">
        <v>61</v>
      </c>
      <c r="E132" s="14" t="s">
        <v>6638</v>
      </c>
      <c r="F132" s="16" t="s">
        <v>6566</v>
      </c>
      <c r="G132" s="16" t="s">
        <v>6566</v>
      </c>
      <c r="H132" s="14">
        <v>40.116999999999997</v>
      </c>
      <c r="O132" s="14" t="s">
        <v>6630</v>
      </c>
      <c r="P132" s="14" t="s">
        <v>6631</v>
      </c>
      <c r="Q132" s="14">
        <v>417257.3</v>
      </c>
      <c r="R132" s="14">
        <v>6191992</v>
      </c>
      <c r="S132" s="14" t="s">
        <v>6632</v>
      </c>
      <c r="T132" s="14" t="s">
        <v>6633</v>
      </c>
      <c r="U132" s="14">
        <v>417257.02</v>
      </c>
      <c r="V132" s="14">
        <v>6192003.3099999996</v>
      </c>
      <c r="W132" s="14">
        <v>346.85</v>
      </c>
      <c r="X132" s="14">
        <v>50.75</v>
      </c>
    </row>
    <row r="133" spans="1:24" s="77" customFormat="1" x14ac:dyDescent="0.25">
      <c r="A133" s="74">
        <v>45095</v>
      </c>
      <c r="B133" s="75">
        <v>169</v>
      </c>
      <c r="C133" s="76">
        <v>0.94499999999999995</v>
      </c>
      <c r="D133" s="75" t="s">
        <v>61</v>
      </c>
      <c r="E133" s="77" t="s">
        <v>6819</v>
      </c>
      <c r="F133" s="75" t="s">
        <v>6566</v>
      </c>
      <c r="G133" s="75" t="s">
        <v>6566</v>
      </c>
      <c r="H133" s="77">
        <v>40.116999999999997</v>
      </c>
      <c r="O133" s="77" t="s">
        <v>6634</v>
      </c>
      <c r="P133" s="77" t="s">
        <v>6635</v>
      </c>
      <c r="Q133" s="77">
        <v>417257.24</v>
      </c>
      <c r="R133" s="77">
        <v>6191992.0700000003</v>
      </c>
      <c r="S133" s="77" t="s">
        <v>6636</v>
      </c>
      <c r="T133" s="77" t="s">
        <v>6637</v>
      </c>
      <c r="U133" s="77">
        <v>417256.98</v>
      </c>
      <c r="V133" s="77">
        <v>6192003.2999999998</v>
      </c>
      <c r="W133" s="77">
        <v>346.98</v>
      </c>
      <c r="X133" s="77">
        <v>50.75</v>
      </c>
    </row>
    <row r="134" spans="1:24" s="68" customFormat="1" x14ac:dyDescent="0.25">
      <c r="A134" s="65">
        <v>45095</v>
      </c>
      <c r="B134" s="66">
        <v>169</v>
      </c>
      <c r="C134" s="67">
        <v>0.95248842592592586</v>
      </c>
      <c r="D134" s="66" t="s">
        <v>61</v>
      </c>
      <c r="E134" s="82" t="s">
        <v>6644</v>
      </c>
      <c r="F134" s="66"/>
      <c r="G134" s="66" t="s">
        <v>6566</v>
      </c>
      <c r="H134" s="68">
        <v>40.118000000000002</v>
      </c>
      <c r="M134" s="68" t="s">
        <v>6639</v>
      </c>
      <c r="O134" s="68" t="s">
        <v>6640</v>
      </c>
      <c r="P134" s="68" t="s">
        <v>6641</v>
      </c>
      <c r="Q134" s="68">
        <v>417257.27</v>
      </c>
      <c r="R134" s="68">
        <v>6191991.9500000002</v>
      </c>
      <c r="S134" s="68" t="s">
        <v>6642</v>
      </c>
      <c r="T134" s="68" t="s">
        <v>6643</v>
      </c>
      <c r="U134" s="68">
        <v>417257.03</v>
      </c>
      <c r="V134" s="68">
        <v>6192001.5499999998</v>
      </c>
      <c r="W134" s="68">
        <v>359.93</v>
      </c>
      <c r="X134" s="68">
        <v>50.75</v>
      </c>
    </row>
    <row r="135" spans="1:24" s="14" customFormat="1" x14ac:dyDescent="0.25">
      <c r="A135" s="50">
        <v>45095</v>
      </c>
      <c r="B135" s="16">
        <v>169</v>
      </c>
      <c r="C135" s="36">
        <v>0.99946759259259255</v>
      </c>
      <c r="D135" s="16" t="s">
        <v>61</v>
      </c>
      <c r="E135" s="14" t="s">
        <v>65</v>
      </c>
      <c r="F135" s="16" t="s">
        <v>6653</v>
      </c>
      <c r="G135" s="16" t="s">
        <v>6645</v>
      </c>
      <c r="H135" s="14">
        <v>-8.0000000000000002E-3</v>
      </c>
      <c r="I135" s="14" t="s">
        <v>6650</v>
      </c>
      <c r="J135" s="14" t="s">
        <v>6651</v>
      </c>
      <c r="L135" s="14" t="s">
        <v>6652</v>
      </c>
      <c r="O135" s="14" t="s">
        <v>6646</v>
      </c>
      <c r="P135" s="14" t="s">
        <v>6647</v>
      </c>
      <c r="Q135" s="14">
        <v>417317.71</v>
      </c>
      <c r="R135" s="14">
        <v>6192001.3200000003</v>
      </c>
      <c r="S135" s="14" t="s">
        <v>6648</v>
      </c>
      <c r="T135" s="14" t="s">
        <v>6649</v>
      </c>
      <c r="U135" s="14">
        <v>417299.16</v>
      </c>
      <c r="V135" s="14">
        <v>6192010.3499999996</v>
      </c>
      <c r="W135" s="14">
        <v>342.56</v>
      </c>
      <c r="X135" s="14">
        <v>138.4</v>
      </c>
    </row>
    <row r="136" spans="1:24" s="72" customFormat="1" x14ac:dyDescent="0.25">
      <c r="A136" s="69">
        <v>45096</v>
      </c>
      <c r="B136" s="70">
        <v>170</v>
      </c>
      <c r="C136" s="71">
        <v>0</v>
      </c>
      <c r="D136" s="70" t="s">
        <v>61</v>
      </c>
      <c r="E136" s="72" t="s">
        <v>77</v>
      </c>
      <c r="F136" s="70" t="s">
        <v>6653</v>
      </c>
      <c r="G136" s="70" t="s">
        <v>6645</v>
      </c>
      <c r="H136" s="72">
        <v>2E-3</v>
      </c>
      <c r="O136" s="72" t="s">
        <v>6654</v>
      </c>
      <c r="P136" s="72" t="s">
        <v>6655</v>
      </c>
      <c r="Q136" s="72">
        <v>417312.66</v>
      </c>
      <c r="R136" s="72">
        <v>6192016.6200000001</v>
      </c>
      <c r="S136" s="72" t="s">
        <v>6656</v>
      </c>
      <c r="T136" s="72" t="s">
        <v>6657</v>
      </c>
      <c r="U136" s="72">
        <v>417296.28</v>
      </c>
      <c r="V136" s="72">
        <v>6192020.0099999998</v>
      </c>
      <c r="W136" s="72">
        <v>343.36</v>
      </c>
      <c r="X136" s="72">
        <v>138.4</v>
      </c>
    </row>
    <row r="137" spans="1:24" s="14" customFormat="1" x14ac:dyDescent="0.25">
      <c r="A137" s="50">
        <v>45096</v>
      </c>
      <c r="B137" s="16">
        <v>170</v>
      </c>
      <c r="C137" s="36">
        <v>2.1180555555555553E-3</v>
      </c>
      <c r="D137" s="16" t="s">
        <v>61</v>
      </c>
      <c r="E137" s="14" t="s">
        <v>70</v>
      </c>
      <c r="F137" s="16" t="s">
        <v>6653</v>
      </c>
      <c r="G137" s="16" t="s">
        <v>6645</v>
      </c>
      <c r="H137" s="14">
        <v>8.7999999999999995E-2</v>
      </c>
      <c r="I137" s="14" t="s">
        <v>6650</v>
      </c>
      <c r="J137" s="14" t="s">
        <v>6651</v>
      </c>
      <c r="L137" s="14" t="s">
        <v>6652</v>
      </c>
      <c r="O137" s="14" t="s">
        <v>6658</v>
      </c>
      <c r="P137" s="14" t="s">
        <v>6659</v>
      </c>
      <c r="Q137" s="14">
        <v>417291.35</v>
      </c>
      <c r="R137" s="14">
        <v>6192092.9100000001</v>
      </c>
      <c r="S137" s="14" t="s">
        <v>6660</v>
      </c>
      <c r="T137" s="14" t="s">
        <v>6661</v>
      </c>
      <c r="U137" s="14">
        <v>417273.03</v>
      </c>
      <c r="V137" s="14">
        <v>6192102.4500000002</v>
      </c>
      <c r="W137" s="14">
        <v>343.06</v>
      </c>
      <c r="X137" s="14">
        <v>138.4</v>
      </c>
    </row>
    <row r="138" spans="1:24" s="14" customFormat="1" x14ac:dyDescent="0.25">
      <c r="A138" s="50">
        <v>45096</v>
      </c>
      <c r="B138" s="16">
        <v>170</v>
      </c>
      <c r="C138" s="36">
        <v>1.4004629629629631E-2</v>
      </c>
      <c r="D138" s="16" t="s">
        <v>61</v>
      </c>
      <c r="E138" s="14" t="s">
        <v>65</v>
      </c>
      <c r="F138" s="16" t="s">
        <v>6653</v>
      </c>
      <c r="G138" s="16" t="s">
        <v>6645</v>
      </c>
      <c r="H138" s="14">
        <v>6.4000000000000001E-2</v>
      </c>
      <c r="I138" s="14" t="s">
        <v>6666</v>
      </c>
      <c r="J138" s="14" t="s">
        <v>6651</v>
      </c>
      <c r="L138" s="14" t="s">
        <v>6667</v>
      </c>
      <c r="O138" s="14" t="s">
        <v>6662</v>
      </c>
      <c r="P138" s="14" t="s">
        <v>6663</v>
      </c>
      <c r="Q138" s="14">
        <v>417290.85</v>
      </c>
      <c r="R138" s="14">
        <v>6192095.1799999997</v>
      </c>
      <c r="S138" s="14" t="s">
        <v>6664</v>
      </c>
      <c r="T138" s="14" t="s">
        <v>6665</v>
      </c>
      <c r="U138" s="14">
        <v>417276.76</v>
      </c>
      <c r="V138" s="14">
        <v>6192090.7199999997</v>
      </c>
      <c r="W138" s="14">
        <v>165.27</v>
      </c>
      <c r="X138" s="14">
        <v>138.4</v>
      </c>
    </row>
    <row r="139" spans="1:24" s="14" customFormat="1" x14ac:dyDescent="0.25">
      <c r="A139" s="50">
        <v>45096</v>
      </c>
      <c r="B139" s="16">
        <v>170</v>
      </c>
      <c r="C139" s="36">
        <v>1.7743055555555557E-2</v>
      </c>
      <c r="D139" s="16" t="s">
        <v>61</v>
      </c>
      <c r="E139" s="14" t="s">
        <v>70</v>
      </c>
      <c r="F139" s="16" t="s">
        <v>6653</v>
      </c>
      <c r="G139" s="16" t="s">
        <v>6645</v>
      </c>
      <c r="H139" s="14">
        <v>-1.4E-2</v>
      </c>
      <c r="I139" s="14" t="s">
        <v>6666</v>
      </c>
      <c r="J139" s="14" t="s">
        <v>6672</v>
      </c>
      <c r="L139" s="14" t="s">
        <v>6673</v>
      </c>
      <c r="O139" s="14" t="s">
        <v>6668</v>
      </c>
      <c r="P139" s="14" t="s">
        <v>6669</v>
      </c>
      <c r="Q139" s="14">
        <v>417310.93</v>
      </c>
      <c r="R139" s="14">
        <v>6192022.7199999997</v>
      </c>
      <c r="S139" s="14" t="s">
        <v>6670</v>
      </c>
      <c r="T139" s="14" t="s">
        <v>6671</v>
      </c>
      <c r="U139" s="14">
        <v>417297.91999999998</v>
      </c>
      <c r="V139" s="14">
        <v>6192015.3399999999</v>
      </c>
      <c r="W139" s="14">
        <v>166.77</v>
      </c>
      <c r="X139" s="14">
        <v>138.4</v>
      </c>
    </row>
    <row r="140" spans="1:24" s="68" customFormat="1" x14ac:dyDescent="0.25">
      <c r="A140" s="65">
        <v>45096</v>
      </c>
      <c r="B140" s="66">
        <v>170</v>
      </c>
      <c r="C140" s="67">
        <v>3.7523148148148146E-2</v>
      </c>
      <c r="D140" s="66" t="s">
        <v>61</v>
      </c>
      <c r="E140" s="68" t="s">
        <v>6679</v>
      </c>
      <c r="F140" s="66"/>
      <c r="G140" s="66" t="s">
        <v>6645</v>
      </c>
      <c r="H140" s="68">
        <v>-0.03</v>
      </c>
      <c r="M140" s="68" t="s">
        <v>6674</v>
      </c>
      <c r="O140" s="68" t="s">
        <v>6675</v>
      </c>
      <c r="P140" s="68" t="s">
        <v>6676</v>
      </c>
      <c r="Q140" s="68">
        <v>417319.78</v>
      </c>
      <c r="R140" s="68">
        <v>6191992.6200000001</v>
      </c>
      <c r="S140" s="68" t="s">
        <v>6677</v>
      </c>
      <c r="T140" s="68" t="s">
        <v>6678</v>
      </c>
      <c r="U140" s="68">
        <v>417302.41</v>
      </c>
      <c r="V140" s="68">
        <v>6191993.6200000001</v>
      </c>
      <c r="W140" s="68">
        <v>257.08</v>
      </c>
      <c r="X140" s="68">
        <v>138.4</v>
      </c>
    </row>
    <row r="141" spans="1:24" s="14" customFormat="1" x14ac:dyDescent="0.25">
      <c r="A141" s="50">
        <v>45096</v>
      </c>
      <c r="B141" s="16">
        <v>170</v>
      </c>
      <c r="C141" s="36">
        <v>4.3819444444444446E-2</v>
      </c>
      <c r="D141" s="16" t="s">
        <v>61</v>
      </c>
      <c r="E141" s="14" t="s">
        <v>6691</v>
      </c>
      <c r="F141" s="16" t="s">
        <v>6653</v>
      </c>
      <c r="G141" s="16" t="s">
        <v>6645</v>
      </c>
      <c r="H141" s="14">
        <v>-2.1000000000000001E-2</v>
      </c>
      <c r="I141" s="14" t="s">
        <v>6684</v>
      </c>
      <c r="J141" s="14" t="s">
        <v>6685</v>
      </c>
      <c r="L141" s="14" t="s">
        <v>6686</v>
      </c>
      <c r="O141" s="14" t="s">
        <v>6680</v>
      </c>
      <c r="P141" s="14" t="s">
        <v>6681</v>
      </c>
      <c r="Q141" s="14">
        <v>417318.7</v>
      </c>
      <c r="R141" s="14">
        <v>6191996.75</v>
      </c>
      <c r="S141" s="14" t="s">
        <v>6682</v>
      </c>
      <c r="T141" s="14" t="s">
        <v>6683</v>
      </c>
      <c r="U141" s="14">
        <v>417302.65</v>
      </c>
      <c r="V141" s="14">
        <v>6191997.7599999998</v>
      </c>
      <c r="W141" s="14">
        <v>344.6</v>
      </c>
      <c r="X141" s="14">
        <v>138.4</v>
      </c>
    </row>
    <row r="142" spans="1:24" s="14" customFormat="1" x14ac:dyDescent="0.25">
      <c r="A142" s="50">
        <v>45096</v>
      </c>
      <c r="B142" s="16">
        <v>170</v>
      </c>
      <c r="C142" s="36">
        <v>4.7974537037037045E-2</v>
      </c>
      <c r="D142" s="16" t="s">
        <v>61</v>
      </c>
      <c r="E142" s="14" t="s">
        <v>70</v>
      </c>
      <c r="F142" s="16" t="s">
        <v>6653</v>
      </c>
      <c r="G142" s="16" t="s">
        <v>6645</v>
      </c>
      <c r="H142" s="14">
        <v>0.156</v>
      </c>
      <c r="I142" s="14" t="s">
        <v>6684</v>
      </c>
      <c r="J142" s="14" t="s">
        <v>6685</v>
      </c>
      <c r="L142" s="14" t="s">
        <v>6686</v>
      </c>
      <c r="O142" s="14" t="s">
        <v>6687</v>
      </c>
      <c r="P142" s="14" t="s">
        <v>6688</v>
      </c>
      <c r="Q142" s="14">
        <v>417270.07</v>
      </c>
      <c r="R142" s="14">
        <v>6192166.4900000002</v>
      </c>
      <c r="S142" s="14" t="s">
        <v>6689</v>
      </c>
      <c r="T142" s="14" t="s">
        <v>6690</v>
      </c>
      <c r="U142" s="14">
        <v>417255.33</v>
      </c>
      <c r="V142" s="14">
        <v>6192168.6600000001</v>
      </c>
      <c r="W142" s="14">
        <v>343.16</v>
      </c>
      <c r="X142" s="14">
        <v>138.4</v>
      </c>
    </row>
    <row r="143" spans="1:24" s="14" customFormat="1" x14ac:dyDescent="0.25">
      <c r="A143" s="50">
        <v>45096</v>
      </c>
      <c r="B143" s="16">
        <v>170</v>
      </c>
      <c r="C143" s="36">
        <v>5.3564814814814815E-2</v>
      </c>
      <c r="D143" s="16" t="s">
        <v>61</v>
      </c>
      <c r="E143" s="14" t="s">
        <v>6699</v>
      </c>
      <c r="F143" s="16" t="s">
        <v>6653</v>
      </c>
      <c r="G143" s="16" t="s">
        <v>6645</v>
      </c>
      <c r="H143" s="14">
        <v>0.14099999999999999</v>
      </c>
      <c r="I143" s="14" t="s">
        <v>6696</v>
      </c>
      <c r="J143" s="14" t="s">
        <v>6697</v>
      </c>
      <c r="L143" s="14" t="s">
        <v>6698</v>
      </c>
      <c r="O143" s="14" t="s">
        <v>6692</v>
      </c>
      <c r="P143" s="14" t="s">
        <v>6693</v>
      </c>
      <c r="Q143" s="14">
        <v>417270.41</v>
      </c>
      <c r="R143" s="14">
        <v>6192166.1699999999</v>
      </c>
      <c r="S143" s="14" t="s">
        <v>6694</v>
      </c>
      <c r="T143" s="14" t="s">
        <v>6695</v>
      </c>
      <c r="U143" s="14">
        <v>417256.46</v>
      </c>
      <c r="V143" s="14">
        <v>6192164.21</v>
      </c>
      <c r="W143" s="14">
        <v>164.65</v>
      </c>
      <c r="X143" s="14">
        <v>138.4</v>
      </c>
    </row>
    <row r="144" spans="1:24" s="14" customFormat="1" x14ac:dyDescent="0.25">
      <c r="A144" s="50">
        <v>45096</v>
      </c>
      <c r="B144" s="16">
        <v>170</v>
      </c>
      <c r="C144" s="36">
        <v>5.7465277777777775E-2</v>
      </c>
      <c r="D144" s="16" t="s">
        <v>61</v>
      </c>
      <c r="E144" s="14" t="s">
        <v>70</v>
      </c>
      <c r="F144" s="16" t="s">
        <v>6653</v>
      </c>
      <c r="G144" s="16" t="s">
        <v>6645</v>
      </c>
      <c r="H144" s="14">
        <v>-2.1999999999999999E-2</v>
      </c>
      <c r="I144" s="14" t="s">
        <v>6696</v>
      </c>
      <c r="J144" s="14" t="s">
        <v>6697</v>
      </c>
      <c r="L144" s="14" t="s">
        <v>6698</v>
      </c>
      <c r="O144" s="14" t="s">
        <v>6700</v>
      </c>
      <c r="P144" s="14" t="s">
        <v>6701</v>
      </c>
      <c r="Q144" s="14">
        <v>417315.08</v>
      </c>
      <c r="R144" s="14">
        <v>6192010.0899999999</v>
      </c>
      <c r="S144" s="14" t="s">
        <v>6702</v>
      </c>
      <c r="T144" s="14" t="s">
        <v>6703</v>
      </c>
      <c r="U144" s="14">
        <v>417299.86</v>
      </c>
      <c r="V144" s="14">
        <v>6192007.4800000004</v>
      </c>
      <c r="W144" s="14">
        <v>161.94</v>
      </c>
      <c r="X144" s="14">
        <v>138.4</v>
      </c>
    </row>
    <row r="145" spans="1:24" s="14" customFormat="1" x14ac:dyDescent="0.25">
      <c r="A145" s="50">
        <v>45096</v>
      </c>
      <c r="B145" s="16">
        <v>170</v>
      </c>
      <c r="C145" s="36">
        <v>6.1249999999999999E-2</v>
      </c>
      <c r="D145" s="16" t="s">
        <v>61</v>
      </c>
      <c r="E145" s="14" t="s">
        <v>6712</v>
      </c>
      <c r="F145" s="16" t="s">
        <v>6653</v>
      </c>
      <c r="G145" s="16" t="s">
        <v>6704</v>
      </c>
      <c r="H145" s="14">
        <v>-1.2999999999999999E-2</v>
      </c>
      <c r="I145" s="14" t="s">
        <v>6709</v>
      </c>
      <c r="J145" s="14" t="s">
        <v>6710</v>
      </c>
      <c r="L145" s="14" t="s">
        <v>6711</v>
      </c>
      <c r="O145" s="14" t="s">
        <v>6705</v>
      </c>
      <c r="P145" s="14" t="s">
        <v>6706</v>
      </c>
      <c r="Q145" s="14">
        <v>417327.37</v>
      </c>
      <c r="R145" s="14">
        <v>6192007.3399999999</v>
      </c>
      <c r="S145" s="14" t="s">
        <v>6707</v>
      </c>
      <c r="T145" s="14" t="s">
        <v>6708</v>
      </c>
      <c r="U145" s="14">
        <v>417311.93</v>
      </c>
      <c r="V145" s="14">
        <v>6192008.8799999999</v>
      </c>
      <c r="W145" s="14">
        <v>344.72</v>
      </c>
      <c r="X145" s="14">
        <v>138.4</v>
      </c>
    </row>
    <row r="146" spans="1:24" s="14" customFormat="1" x14ac:dyDescent="0.25">
      <c r="A146" s="50">
        <v>45096</v>
      </c>
      <c r="B146" s="16">
        <v>170</v>
      </c>
      <c r="C146" s="36">
        <v>6.5312499999999996E-2</v>
      </c>
      <c r="D146" s="16" t="s">
        <v>61</v>
      </c>
      <c r="E146" s="14" t="s">
        <v>70</v>
      </c>
      <c r="F146" s="16" t="s">
        <v>6653</v>
      </c>
      <c r="G146" s="16" t="s">
        <v>6704</v>
      </c>
      <c r="H146" s="14">
        <v>0.158</v>
      </c>
      <c r="I146" s="14" t="s">
        <v>6709</v>
      </c>
      <c r="J146" s="14" t="s">
        <v>6710</v>
      </c>
      <c r="L146" s="14" t="s">
        <v>6711</v>
      </c>
      <c r="O146" s="14" t="s">
        <v>6713</v>
      </c>
      <c r="P146" s="14" t="s">
        <v>6714</v>
      </c>
      <c r="Q146" s="14">
        <v>417281.93</v>
      </c>
      <c r="R146" s="14">
        <v>6192172.5499999998</v>
      </c>
      <c r="S146" s="14" t="s">
        <v>6715</v>
      </c>
      <c r="T146" s="14" t="s">
        <v>6716</v>
      </c>
      <c r="U146" s="14">
        <v>417266.27</v>
      </c>
      <c r="V146" s="14">
        <v>6192173.46</v>
      </c>
      <c r="W146" s="14">
        <v>345.48</v>
      </c>
      <c r="X146" s="14">
        <v>138.4</v>
      </c>
    </row>
    <row r="147" spans="1:24" s="14" customFormat="1" x14ac:dyDescent="0.25">
      <c r="A147" s="50">
        <v>45096</v>
      </c>
      <c r="B147" s="16">
        <v>170</v>
      </c>
      <c r="C147" s="36">
        <v>6.7372685185185188E-2</v>
      </c>
      <c r="D147" s="16" t="s">
        <v>61</v>
      </c>
      <c r="E147" s="14" t="s">
        <v>6728</v>
      </c>
      <c r="F147" s="16" t="s">
        <v>6653</v>
      </c>
      <c r="G147" s="16" t="s">
        <v>6704</v>
      </c>
      <c r="H147" s="14">
        <v>0.151</v>
      </c>
      <c r="I147" s="14" t="s">
        <v>6721</v>
      </c>
      <c r="J147" s="14" t="s">
        <v>6722</v>
      </c>
      <c r="L147" s="14" t="s">
        <v>6711</v>
      </c>
      <c r="O147" s="14" t="s">
        <v>6717</v>
      </c>
      <c r="P147" s="14" t="s">
        <v>6718</v>
      </c>
      <c r="Q147" s="14">
        <v>417281.61</v>
      </c>
      <c r="R147" s="14">
        <v>6192177.5199999996</v>
      </c>
      <c r="S147" s="14" t="s">
        <v>6719</v>
      </c>
      <c r="T147" s="14" t="s">
        <v>6720</v>
      </c>
      <c r="U147" s="14">
        <v>417265.54</v>
      </c>
      <c r="V147" s="14">
        <v>6192177.0599999996</v>
      </c>
      <c r="W147" s="14">
        <v>164.9</v>
      </c>
      <c r="X147" s="14">
        <v>138.4</v>
      </c>
    </row>
    <row r="148" spans="1:24" s="14" customFormat="1" x14ac:dyDescent="0.25">
      <c r="A148" s="50">
        <v>45096</v>
      </c>
      <c r="B148" s="16">
        <v>170</v>
      </c>
      <c r="C148" s="36">
        <v>7.165509259259259E-2</v>
      </c>
      <c r="D148" s="16" t="s">
        <v>61</v>
      </c>
      <c r="E148" s="14" t="s">
        <v>70</v>
      </c>
      <c r="F148" s="16" t="s">
        <v>6653</v>
      </c>
      <c r="G148" s="16" t="s">
        <v>6704</v>
      </c>
      <c r="H148" s="14">
        <v>-0.03</v>
      </c>
      <c r="I148" s="14" t="s">
        <v>6721</v>
      </c>
      <c r="J148" s="14" t="s">
        <v>6722</v>
      </c>
      <c r="L148" s="14" t="s">
        <v>6727</v>
      </c>
      <c r="O148" s="14" t="s">
        <v>6723</v>
      </c>
      <c r="P148" s="14" t="s">
        <v>6724</v>
      </c>
      <c r="Q148" s="14">
        <v>417329.73</v>
      </c>
      <c r="R148" s="14">
        <v>6192005.8300000001</v>
      </c>
      <c r="S148" s="14" t="s">
        <v>6725</v>
      </c>
      <c r="T148" s="14" t="s">
        <v>6726</v>
      </c>
      <c r="U148" s="14">
        <v>417313.64</v>
      </c>
      <c r="V148" s="14">
        <v>6192003</v>
      </c>
      <c r="W148" s="14">
        <v>163.72</v>
      </c>
      <c r="X148" s="14">
        <v>138.4</v>
      </c>
    </row>
    <row r="149" spans="1:24" s="14" customFormat="1" x14ac:dyDescent="0.25">
      <c r="A149" s="50">
        <v>45096</v>
      </c>
      <c r="B149" s="16">
        <v>170</v>
      </c>
      <c r="C149" s="36">
        <v>7.6701388888888888E-2</v>
      </c>
      <c r="D149" s="16" t="s">
        <v>61</v>
      </c>
      <c r="E149" s="14" t="s">
        <v>6736</v>
      </c>
      <c r="F149" s="16" t="s">
        <v>6653</v>
      </c>
      <c r="G149" s="16" t="s">
        <v>6729</v>
      </c>
      <c r="H149" s="14">
        <v>-1.6E-2</v>
      </c>
      <c r="I149" s="14" t="s">
        <v>6734</v>
      </c>
      <c r="J149" s="14" t="s">
        <v>6735</v>
      </c>
      <c r="L149" s="14" t="s">
        <v>6727</v>
      </c>
      <c r="O149" s="14" t="s">
        <v>6730</v>
      </c>
      <c r="P149" s="14" t="s">
        <v>6731</v>
      </c>
      <c r="Q149" s="14">
        <v>417307.13</v>
      </c>
      <c r="R149" s="14">
        <v>6191996.4900000002</v>
      </c>
      <c r="S149" s="14" t="s">
        <v>6732</v>
      </c>
      <c r="T149" s="14" t="s">
        <v>6733</v>
      </c>
      <c r="U149" s="14">
        <v>417289.8</v>
      </c>
      <c r="V149" s="14">
        <v>6191999.2000000002</v>
      </c>
      <c r="W149" s="14">
        <v>345.11</v>
      </c>
      <c r="X149" s="14">
        <v>138.4</v>
      </c>
    </row>
    <row r="150" spans="1:24" s="14" customFormat="1" x14ac:dyDescent="0.25">
      <c r="A150" s="50">
        <v>45096</v>
      </c>
      <c r="B150" s="16">
        <v>170</v>
      </c>
      <c r="C150" s="36">
        <v>8.0960648148148143E-2</v>
      </c>
      <c r="D150" s="16" t="s">
        <v>61</v>
      </c>
      <c r="E150" s="14" t="s">
        <v>70</v>
      </c>
      <c r="F150" s="16" t="s">
        <v>6653</v>
      </c>
      <c r="G150" s="16" t="s">
        <v>6729</v>
      </c>
      <c r="H150" s="14">
        <v>0.157</v>
      </c>
      <c r="I150" s="14" t="s">
        <v>6734</v>
      </c>
      <c r="J150" s="14" t="s">
        <v>6735</v>
      </c>
      <c r="L150" s="14" t="s">
        <v>6742</v>
      </c>
      <c r="O150" s="14" t="s">
        <v>6738</v>
      </c>
      <c r="P150" s="14" t="s">
        <v>6739</v>
      </c>
      <c r="Q150" s="14">
        <v>417258.72</v>
      </c>
      <c r="R150" s="14">
        <v>6192167.3899999997</v>
      </c>
      <c r="S150" s="14" t="s">
        <v>6740</v>
      </c>
      <c r="T150" s="14" t="s">
        <v>6741</v>
      </c>
      <c r="U150" s="14">
        <v>417243.54</v>
      </c>
      <c r="V150" s="14">
        <v>6192166.1600000001</v>
      </c>
      <c r="W150" s="14">
        <v>344.65</v>
      </c>
      <c r="X150" s="14">
        <v>138.4</v>
      </c>
    </row>
    <row r="151" spans="1:24" s="14" customFormat="1" x14ac:dyDescent="0.25">
      <c r="A151" s="50">
        <v>45096</v>
      </c>
      <c r="B151" s="16">
        <v>170</v>
      </c>
      <c r="C151" s="36">
        <v>8.2037037037037033E-2</v>
      </c>
      <c r="D151" s="16" t="s">
        <v>61</v>
      </c>
      <c r="E151" s="14" t="s">
        <v>6753</v>
      </c>
      <c r="F151" s="16" t="s">
        <v>6653</v>
      </c>
      <c r="G151" s="16" t="s">
        <v>6729</v>
      </c>
      <c r="H151" s="14">
        <v>0.152</v>
      </c>
      <c r="I151" s="14" t="s">
        <v>6747</v>
      </c>
      <c r="J151" s="14" t="s">
        <v>6748</v>
      </c>
      <c r="L151" s="14" t="s">
        <v>6742</v>
      </c>
      <c r="O151" s="14" t="s">
        <v>6743</v>
      </c>
      <c r="P151" s="14" t="s">
        <v>6744</v>
      </c>
      <c r="Q151" s="14">
        <v>417256.34</v>
      </c>
      <c r="R151" s="14">
        <v>6192177.96</v>
      </c>
      <c r="S151" s="14" t="s">
        <v>6745</v>
      </c>
      <c r="T151" s="14" t="s">
        <v>6746</v>
      </c>
      <c r="U151" s="14">
        <v>417241.66</v>
      </c>
      <c r="V151" s="14">
        <v>6192172.0899999999</v>
      </c>
      <c r="W151" s="14">
        <v>162.56</v>
      </c>
      <c r="X151" s="14">
        <v>138.4</v>
      </c>
    </row>
    <row r="152" spans="1:24" s="14" customFormat="1" x14ac:dyDescent="0.25">
      <c r="A152" s="50">
        <v>45096</v>
      </c>
      <c r="B152" s="16">
        <v>170</v>
      </c>
      <c r="C152" s="36">
        <v>8.6608796296296295E-2</v>
      </c>
      <c r="D152" s="16" t="s">
        <v>61</v>
      </c>
      <c r="E152" s="14" t="s">
        <v>70</v>
      </c>
      <c r="F152" s="16" t="s">
        <v>6653</v>
      </c>
      <c r="G152" s="16" t="s">
        <v>6729</v>
      </c>
      <c r="H152" s="14">
        <v>-2.5999999999999999E-2</v>
      </c>
      <c r="I152" s="14" t="s">
        <v>6747</v>
      </c>
      <c r="J152" s="14" t="s">
        <v>6748</v>
      </c>
      <c r="L152" s="14" t="s">
        <v>6742</v>
      </c>
      <c r="O152" s="14" t="s">
        <v>6749</v>
      </c>
      <c r="P152" s="14" t="s">
        <v>6750</v>
      </c>
      <c r="Q152" s="14">
        <v>417307.42</v>
      </c>
      <c r="R152" s="14">
        <v>6191998.4000000004</v>
      </c>
      <c r="S152" s="14" t="s">
        <v>6751</v>
      </c>
      <c r="T152" s="14" t="s">
        <v>6752</v>
      </c>
      <c r="U152" s="14">
        <v>417289.47</v>
      </c>
      <c r="V152" s="14">
        <v>6192000.5599999996</v>
      </c>
      <c r="W152" s="14">
        <v>165.05</v>
      </c>
      <c r="X152" s="14">
        <v>138.4</v>
      </c>
    </row>
    <row r="153" spans="1:24" s="14" customFormat="1" x14ac:dyDescent="0.25">
      <c r="A153" s="50">
        <v>45096</v>
      </c>
      <c r="B153" s="16">
        <v>170</v>
      </c>
      <c r="C153" s="36">
        <v>9.2002314814814815E-2</v>
      </c>
      <c r="D153" s="16" t="s">
        <v>61</v>
      </c>
      <c r="E153" s="14" t="s">
        <v>6712</v>
      </c>
      <c r="F153" s="16" t="s">
        <v>6653</v>
      </c>
      <c r="G153" s="16" t="s">
        <v>6645</v>
      </c>
      <c r="H153" s="14">
        <v>-7.0000000000000001E-3</v>
      </c>
      <c r="I153" s="14" t="s">
        <v>6758</v>
      </c>
      <c r="J153" s="14" t="s">
        <v>6759</v>
      </c>
      <c r="L153" s="14" t="s">
        <v>6760</v>
      </c>
      <c r="O153" s="14" t="s">
        <v>6754</v>
      </c>
      <c r="P153" s="14" t="s">
        <v>6755</v>
      </c>
      <c r="Q153" s="14">
        <v>417313.86</v>
      </c>
      <c r="R153" s="14">
        <v>6192008.4699999997</v>
      </c>
      <c r="S153" s="14" t="s">
        <v>6756</v>
      </c>
      <c r="T153" s="14" t="s">
        <v>6757</v>
      </c>
      <c r="U153" s="14">
        <v>417298.99</v>
      </c>
      <c r="V153" s="14">
        <v>6192011.0300000003</v>
      </c>
      <c r="W153" s="14">
        <v>345.85</v>
      </c>
      <c r="X153" s="14">
        <v>138.4</v>
      </c>
    </row>
    <row r="154" spans="1:24" s="14" customFormat="1" x14ac:dyDescent="0.25">
      <c r="A154" s="50">
        <v>45096</v>
      </c>
      <c r="B154" s="16">
        <v>170</v>
      </c>
      <c r="C154" s="36">
        <v>9.3854166666666669E-2</v>
      </c>
      <c r="D154" s="16" t="s">
        <v>61</v>
      </c>
      <c r="E154" s="14" t="s">
        <v>70</v>
      </c>
      <c r="F154" s="16" t="s">
        <v>6653</v>
      </c>
      <c r="G154" s="16" t="s">
        <v>6645</v>
      </c>
      <c r="H154" s="14">
        <v>0.14499999999999999</v>
      </c>
      <c r="I154" s="14" t="s">
        <v>6758</v>
      </c>
      <c r="J154" s="14" t="s">
        <v>6759</v>
      </c>
      <c r="L154" s="14" t="s">
        <v>6760</v>
      </c>
      <c r="O154" s="14" t="s">
        <v>6761</v>
      </c>
      <c r="P154" s="14" t="s">
        <v>6762</v>
      </c>
      <c r="Q154" s="14">
        <v>417273.33</v>
      </c>
      <c r="R154" s="14">
        <v>6192156.6900000004</v>
      </c>
      <c r="S154" s="14" t="s">
        <v>6763</v>
      </c>
      <c r="T154" s="14" t="s">
        <v>6764</v>
      </c>
      <c r="U154" s="14">
        <v>417258.38</v>
      </c>
      <c r="V154" s="14">
        <v>6192157.3799999999</v>
      </c>
      <c r="W154" s="14">
        <v>343.32</v>
      </c>
      <c r="X154" s="14">
        <v>138.4</v>
      </c>
    </row>
    <row r="155" spans="1:24" s="68" customFormat="1" x14ac:dyDescent="0.25">
      <c r="A155" s="65">
        <v>45096</v>
      </c>
      <c r="B155" s="66">
        <v>170</v>
      </c>
      <c r="C155" s="67">
        <v>0.10385416666666668</v>
      </c>
      <c r="D155" s="66" t="s">
        <v>61</v>
      </c>
      <c r="E155" s="68" t="s">
        <v>6770</v>
      </c>
      <c r="F155" s="66"/>
      <c r="G155" s="66" t="s">
        <v>6645</v>
      </c>
      <c r="H155" s="68">
        <v>0.14299999999999999</v>
      </c>
      <c r="M155" s="68" t="s">
        <v>6765</v>
      </c>
      <c r="O155" s="68" t="s">
        <v>6766</v>
      </c>
      <c r="P155" s="68" t="s">
        <v>6767</v>
      </c>
      <c r="Q155" s="68">
        <v>417271.63</v>
      </c>
      <c r="R155" s="68">
        <v>6192165.6799999997</v>
      </c>
      <c r="S155" s="68" t="s">
        <v>6768</v>
      </c>
      <c r="T155" s="68" t="s">
        <v>6769</v>
      </c>
      <c r="U155" s="68">
        <v>417257.31</v>
      </c>
      <c r="V155" s="68">
        <v>6192166.5499999998</v>
      </c>
      <c r="W155" s="68">
        <v>164.62</v>
      </c>
      <c r="X155" s="68">
        <v>138.4</v>
      </c>
    </row>
    <row r="156" spans="1:24" s="14" customFormat="1" x14ac:dyDescent="0.25">
      <c r="A156" s="50">
        <v>45096</v>
      </c>
      <c r="B156" s="16">
        <v>170</v>
      </c>
      <c r="C156" s="36">
        <v>0.11311342592592592</v>
      </c>
      <c r="D156" s="16" t="s">
        <v>61</v>
      </c>
      <c r="E156" s="14" t="s">
        <v>6783</v>
      </c>
      <c r="F156" s="16" t="s">
        <v>6653</v>
      </c>
      <c r="G156" s="16" t="s">
        <v>6782</v>
      </c>
      <c r="H156" s="14">
        <v>0.14000000000000001</v>
      </c>
      <c r="O156" s="14" t="s">
        <v>6771</v>
      </c>
      <c r="P156" s="14" t="s">
        <v>6772</v>
      </c>
      <c r="Q156" s="14">
        <v>417272.7</v>
      </c>
      <c r="R156" s="14">
        <v>6192162.4900000002</v>
      </c>
      <c r="S156" s="14" t="s">
        <v>6773</v>
      </c>
      <c r="T156" s="14" t="s">
        <v>6774</v>
      </c>
      <c r="U156" s="14">
        <v>417256.73</v>
      </c>
      <c r="V156" s="14">
        <v>6192163.2699999996</v>
      </c>
      <c r="W156" s="14">
        <v>164.86</v>
      </c>
      <c r="X156" s="14">
        <v>138.4</v>
      </c>
    </row>
    <row r="157" spans="1:24" s="14" customFormat="1" x14ac:dyDescent="0.25">
      <c r="A157" s="50">
        <v>45096</v>
      </c>
      <c r="B157" s="16">
        <v>170</v>
      </c>
      <c r="C157" s="36">
        <v>0.11311342592592592</v>
      </c>
      <c r="D157" s="16" t="s">
        <v>61</v>
      </c>
      <c r="E157" s="14" t="s">
        <v>6789</v>
      </c>
      <c r="F157" s="16" t="s">
        <v>6653</v>
      </c>
      <c r="G157" s="16" t="s">
        <v>6782</v>
      </c>
      <c r="H157" s="14">
        <v>0.14000000000000001</v>
      </c>
      <c r="I157" s="14" t="s">
        <v>6775</v>
      </c>
      <c r="J157" s="14" t="s">
        <v>6776</v>
      </c>
      <c r="L157" s="14" t="s">
        <v>6777</v>
      </c>
      <c r="O157" s="14" t="s">
        <v>6771</v>
      </c>
      <c r="P157" s="14" t="s">
        <v>6772</v>
      </c>
      <c r="Q157" s="14">
        <v>417272.7</v>
      </c>
      <c r="R157" s="14">
        <v>6192162.4900000002</v>
      </c>
      <c r="S157" s="14" t="s">
        <v>6773</v>
      </c>
      <c r="T157" s="14" t="s">
        <v>6774</v>
      </c>
      <c r="U157" s="14">
        <v>417256.73</v>
      </c>
      <c r="V157" s="14">
        <v>6192163.2699999996</v>
      </c>
      <c r="W157" s="14">
        <v>164.86</v>
      </c>
      <c r="X157" s="14">
        <v>138.4</v>
      </c>
    </row>
    <row r="158" spans="1:24" s="14" customFormat="1" x14ac:dyDescent="0.25">
      <c r="A158" s="50">
        <v>45096</v>
      </c>
      <c r="B158" s="16">
        <v>170</v>
      </c>
      <c r="C158" s="36">
        <v>0.11443287037037037</v>
      </c>
      <c r="D158" s="16" t="s">
        <v>61</v>
      </c>
      <c r="E158" s="14" t="s">
        <v>70</v>
      </c>
      <c r="F158" s="16" t="s">
        <v>6653</v>
      </c>
      <c r="G158" s="16" t="s">
        <v>6782</v>
      </c>
      <c r="H158" s="14">
        <v>9.7000000000000003E-2</v>
      </c>
      <c r="I158" s="14" t="s">
        <v>6775</v>
      </c>
      <c r="J158" s="14" t="s">
        <v>6776</v>
      </c>
      <c r="L158" s="14" t="s">
        <v>6777</v>
      </c>
      <c r="O158" s="14" t="s">
        <v>6778</v>
      </c>
      <c r="P158" s="14" t="s">
        <v>6779</v>
      </c>
      <c r="Q158" s="14">
        <v>417285.25</v>
      </c>
      <c r="R158" s="14">
        <v>6192117.7000000002</v>
      </c>
      <c r="S158" s="14" t="s">
        <v>6780</v>
      </c>
      <c r="T158" s="14" t="s">
        <v>6781</v>
      </c>
      <c r="U158" s="14">
        <v>417267.98</v>
      </c>
      <c r="V158" s="14">
        <v>6192122.3099999996</v>
      </c>
      <c r="W158" s="14">
        <v>162.16</v>
      </c>
      <c r="X158" s="14">
        <v>138.4</v>
      </c>
    </row>
    <row r="159" spans="1:24" s="14" customFormat="1" x14ac:dyDescent="0.25">
      <c r="A159" s="50">
        <v>45096</v>
      </c>
      <c r="B159" s="16">
        <v>170</v>
      </c>
      <c r="C159" s="36">
        <v>0.11747685185185186</v>
      </c>
      <c r="D159" s="16" t="s">
        <v>61</v>
      </c>
      <c r="E159" s="14" t="s">
        <v>6784</v>
      </c>
      <c r="F159" s="16" t="s">
        <v>6653</v>
      </c>
      <c r="G159" s="16" t="s">
        <v>6645</v>
      </c>
      <c r="H159" s="14">
        <v>-4.2000000000000003E-2</v>
      </c>
      <c r="O159" s="14" t="s">
        <v>6785</v>
      </c>
      <c r="P159" s="14" t="s">
        <v>6786</v>
      </c>
      <c r="Q159" s="14">
        <v>417322.65</v>
      </c>
      <c r="R159" s="14">
        <v>6191986.5099999998</v>
      </c>
      <c r="S159" s="14" t="s">
        <v>6787</v>
      </c>
      <c r="T159" s="14" t="s">
        <v>6788</v>
      </c>
      <c r="U159" s="14">
        <v>417306.87</v>
      </c>
      <c r="V159" s="14">
        <v>6191988.0800000001</v>
      </c>
      <c r="W159" s="14">
        <v>169.98</v>
      </c>
      <c r="X159" s="14">
        <v>138.4</v>
      </c>
    </row>
    <row r="160" spans="1:24" s="14" customFormat="1" x14ac:dyDescent="0.25">
      <c r="A160" s="50">
        <v>45096</v>
      </c>
      <c r="B160" s="16">
        <v>170</v>
      </c>
      <c r="C160" s="36">
        <v>0.12734953703703702</v>
      </c>
      <c r="D160" s="16" t="s">
        <v>61</v>
      </c>
      <c r="E160" s="14" t="s">
        <v>65</v>
      </c>
      <c r="F160" s="16" t="s">
        <v>6653</v>
      </c>
      <c r="G160" s="16" t="s">
        <v>6645</v>
      </c>
      <c r="H160" s="14">
        <v>-2.1999999999999999E-2</v>
      </c>
      <c r="I160" s="14" t="s">
        <v>6794</v>
      </c>
      <c r="J160" s="14" t="s">
        <v>6795</v>
      </c>
      <c r="L160" s="14" t="s">
        <v>6796</v>
      </c>
      <c r="O160" s="14" t="s">
        <v>6790</v>
      </c>
      <c r="P160" s="14" t="s">
        <v>6791</v>
      </c>
      <c r="Q160" s="14">
        <v>417320.28</v>
      </c>
      <c r="R160" s="14">
        <v>6191992.4199999999</v>
      </c>
      <c r="S160" s="14" t="s">
        <v>6792</v>
      </c>
      <c r="T160" s="14" t="s">
        <v>6793</v>
      </c>
      <c r="U160" s="14">
        <v>417302.89</v>
      </c>
      <c r="V160" s="14">
        <v>6191997.1500000004</v>
      </c>
      <c r="W160" s="14">
        <v>344.21</v>
      </c>
      <c r="X160" s="14">
        <v>138.4</v>
      </c>
    </row>
    <row r="161" spans="1:24" s="14" customFormat="1" x14ac:dyDescent="0.25">
      <c r="A161" s="50">
        <v>45096</v>
      </c>
      <c r="B161" s="16">
        <v>170</v>
      </c>
      <c r="C161" s="36">
        <v>0.13134259259259259</v>
      </c>
      <c r="D161" s="16" t="s">
        <v>61</v>
      </c>
      <c r="E161" s="14" t="s">
        <v>70</v>
      </c>
      <c r="F161" s="16" t="s">
        <v>6653</v>
      </c>
      <c r="G161" s="16" t="s">
        <v>6645</v>
      </c>
      <c r="H161" s="14">
        <v>0.151</v>
      </c>
      <c r="I161" s="14" t="s">
        <v>6794</v>
      </c>
      <c r="J161" s="14" t="s">
        <v>6795</v>
      </c>
      <c r="L161" s="14" t="s">
        <v>6796</v>
      </c>
      <c r="O161" s="14" t="s">
        <v>6797</v>
      </c>
      <c r="P161" s="14" t="s">
        <v>6798</v>
      </c>
      <c r="Q161" s="14">
        <v>417274.61</v>
      </c>
      <c r="R161" s="14">
        <v>6192156.4400000004</v>
      </c>
      <c r="S161" s="14" t="s">
        <v>6799</v>
      </c>
      <c r="T161" s="14" t="s">
        <v>6800</v>
      </c>
      <c r="U161" s="14">
        <v>417256.7</v>
      </c>
      <c r="V161" s="14">
        <v>6192163.3200000003</v>
      </c>
      <c r="W161" s="14">
        <v>347.04</v>
      </c>
      <c r="X161" s="14">
        <v>138.4</v>
      </c>
    </row>
    <row r="162" spans="1:24" s="14" customFormat="1" x14ac:dyDescent="0.25">
      <c r="A162" s="50">
        <v>45096</v>
      </c>
      <c r="B162" s="16">
        <v>170</v>
      </c>
      <c r="C162" s="36">
        <v>0.13194444444444445</v>
      </c>
      <c r="D162" s="16" t="s">
        <v>61</v>
      </c>
      <c r="E162" s="14" t="s">
        <v>6806</v>
      </c>
      <c r="F162" s="16" t="s">
        <v>6805</v>
      </c>
      <c r="G162" s="16" t="s">
        <v>451</v>
      </c>
      <c r="H162" s="14">
        <v>-0.34499999999999997</v>
      </c>
      <c r="O162" s="14" t="s">
        <v>6801</v>
      </c>
      <c r="P162" s="14" t="s">
        <v>6802</v>
      </c>
      <c r="Q162" s="14">
        <v>417274.75</v>
      </c>
      <c r="R162" s="14">
        <v>6192158.1699999999</v>
      </c>
      <c r="S162" s="14" t="s">
        <v>6803</v>
      </c>
      <c r="T162" s="14" t="s">
        <v>6804</v>
      </c>
      <c r="U162" s="14">
        <v>417262.94</v>
      </c>
      <c r="V162" s="14">
        <v>6192159.1799999997</v>
      </c>
      <c r="W162" s="14">
        <v>268.97000000000003</v>
      </c>
      <c r="X162" s="14">
        <v>200.07</v>
      </c>
    </row>
    <row r="163" spans="1:24" s="14" customFormat="1" x14ac:dyDescent="0.25">
      <c r="A163" s="50">
        <v>45096</v>
      </c>
      <c r="B163" s="16">
        <v>170</v>
      </c>
      <c r="C163" s="36">
        <v>0.17255787037037038</v>
      </c>
      <c r="D163" s="16" t="s">
        <v>61</v>
      </c>
      <c r="E163" s="14" t="s">
        <v>6811</v>
      </c>
      <c r="F163" s="16" t="s">
        <v>6805</v>
      </c>
      <c r="G163" s="16" t="s">
        <v>451</v>
      </c>
      <c r="H163" s="14">
        <v>-0.34499999999999997</v>
      </c>
      <c r="O163" s="14" t="s">
        <v>6807</v>
      </c>
      <c r="P163" s="14" t="s">
        <v>6808</v>
      </c>
      <c r="Q163" s="14">
        <v>417274.62</v>
      </c>
      <c r="R163" s="14">
        <v>6192158.2000000002</v>
      </c>
      <c r="S163" s="14" t="s">
        <v>6809</v>
      </c>
      <c r="T163" s="14" t="s">
        <v>6810</v>
      </c>
      <c r="U163" s="14">
        <v>417262.83</v>
      </c>
      <c r="V163" s="14">
        <v>6192159.1799999997</v>
      </c>
      <c r="W163" s="14">
        <v>268.39</v>
      </c>
      <c r="X163" s="14">
        <v>200.07</v>
      </c>
    </row>
    <row r="164" spans="1:24" s="81" customFormat="1" x14ac:dyDescent="0.25">
      <c r="A164" s="78">
        <v>45096</v>
      </c>
      <c r="B164" s="79">
        <v>170</v>
      </c>
      <c r="C164" s="80">
        <v>0.18729166666666666</v>
      </c>
      <c r="D164" s="79" t="s">
        <v>61</v>
      </c>
      <c r="E164" s="81" t="s">
        <v>6820</v>
      </c>
      <c r="F164" s="79" t="s">
        <v>6805</v>
      </c>
      <c r="G164" s="79" t="s">
        <v>451</v>
      </c>
      <c r="H164" s="81">
        <v>-0.34300000000000003</v>
      </c>
      <c r="O164" s="81" t="s">
        <v>6812</v>
      </c>
      <c r="P164" s="81" t="s">
        <v>6813</v>
      </c>
      <c r="Q164" s="81">
        <v>417274.13</v>
      </c>
      <c r="R164" s="81">
        <v>6192158.0999999996</v>
      </c>
      <c r="S164" s="81" t="s">
        <v>6814</v>
      </c>
      <c r="T164" s="81" t="s">
        <v>6815</v>
      </c>
      <c r="U164" s="81">
        <v>417263.16</v>
      </c>
      <c r="V164" s="81">
        <v>6192158.1799999997</v>
      </c>
      <c r="W164" s="81">
        <v>260.35000000000002</v>
      </c>
      <c r="X164" s="81">
        <v>200.07</v>
      </c>
    </row>
    <row r="165" spans="1:24" s="14" customFormat="1" x14ac:dyDescent="0.25">
      <c r="A165" s="50">
        <v>45096</v>
      </c>
      <c r="B165" s="16">
        <v>170</v>
      </c>
      <c r="C165" s="36">
        <v>0.18797453703703704</v>
      </c>
      <c r="D165" s="16" t="s">
        <v>61</v>
      </c>
      <c r="E165" s="14" t="s">
        <v>6825</v>
      </c>
      <c r="F165" s="16" t="s">
        <v>6805</v>
      </c>
      <c r="G165" s="16" t="s">
        <v>451</v>
      </c>
      <c r="H165" s="14">
        <v>-0.35699999999999998</v>
      </c>
      <c r="O165" s="14" t="s">
        <v>6821</v>
      </c>
      <c r="P165" s="14" t="s">
        <v>6822</v>
      </c>
      <c r="Q165" s="14">
        <v>417249.22</v>
      </c>
      <c r="R165" s="14">
        <v>6192159.9000000004</v>
      </c>
      <c r="S165" s="14" t="s">
        <v>6823</v>
      </c>
      <c r="T165" s="14" t="s">
        <v>6824</v>
      </c>
      <c r="U165" s="14">
        <v>417242.78</v>
      </c>
      <c r="V165" s="14">
        <v>6192166.9800000004</v>
      </c>
      <c r="W165" s="14">
        <v>323.22000000000003</v>
      </c>
      <c r="X165" s="14">
        <v>200.07</v>
      </c>
    </row>
    <row r="166" spans="1:24" s="14" customFormat="1" x14ac:dyDescent="0.25">
      <c r="A166" s="50">
        <v>45096</v>
      </c>
      <c r="B166" s="16">
        <v>170</v>
      </c>
      <c r="C166" s="36">
        <v>0.21528935185185186</v>
      </c>
      <c r="D166" s="16" t="s">
        <v>6826</v>
      </c>
      <c r="E166" s="14" t="s">
        <v>6362</v>
      </c>
      <c r="F166" s="16" t="s">
        <v>6805</v>
      </c>
      <c r="G166" s="16" t="s">
        <v>451</v>
      </c>
      <c r="H166" s="14">
        <v>0.21199999999999999</v>
      </c>
      <c r="O166" s="14" t="s">
        <v>6827</v>
      </c>
      <c r="P166" s="14" t="s">
        <v>6828</v>
      </c>
      <c r="Q166" s="14">
        <v>422897.4</v>
      </c>
      <c r="R166" s="14">
        <v>6191600.3899999997</v>
      </c>
      <c r="S166" s="14" t="s">
        <v>6829</v>
      </c>
      <c r="T166" s="14" t="s">
        <v>6830</v>
      </c>
      <c r="U166" s="14">
        <v>422887.63</v>
      </c>
      <c r="V166" s="14">
        <v>6191602.7000000002</v>
      </c>
      <c r="W166" s="14">
        <v>270.18</v>
      </c>
      <c r="X166" s="14">
        <v>200.07</v>
      </c>
    </row>
    <row r="167" spans="1:24" s="77" customFormat="1" x14ac:dyDescent="0.25">
      <c r="A167" s="74">
        <v>45096</v>
      </c>
      <c r="B167" s="75">
        <v>170</v>
      </c>
      <c r="C167" s="76">
        <v>0.21895833333333334</v>
      </c>
      <c r="D167" s="75" t="s">
        <v>6826</v>
      </c>
      <c r="E167" s="77" t="s">
        <v>6835</v>
      </c>
      <c r="F167" s="75" t="s">
        <v>6805</v>
      </c>
      <c r="G167" s="75" t="s">
        <v>451</v>
      </c>
      <c r="H167" s="77">
        <v>0.224</v>
      </c>
      <c r="O167" s="77" t="s">
        <v>6831</v>
      </c>
      <c r="P167" s="77" t="s">
        <v>6832</v>
      </c>
      <c r="Q167" s="77">
        <v>422899.85</v>
      </c>
      <c r="R167" s="77">
        <v>6191584.8899999997</v>
      </c>
      <c r="S167" s="77" t="s">
        <v>6833</v>
      </c>
      <c r="T167" s="77" t="s">
        <v>6834</v>
      </c>
      <c r="U167" s="77">
        <v>422883.63</v>
      </c>
      <c r="V167" s="77">
        <v>6191590.2699999996</v>
      </c>
      <c r="W167" s="77">
        <v>270.07</v>
      </c>
      <c r="X167" s="77">
        <v>200.07</v>
      </c>
    </row>
    <row r="168" spans="1:24" s="68" customFormat="1" x14ac:dyDescent="0.25">
      <c r="A168" s="65">
        <v>45096</v>
      </c>
      <c r="B168" s="66">
        <v>170</v>
      </c>
      <c r="C168" s="67">
        <v>0.22482638888888887</v>
      </c>
      <c r="D168" s="66" t="s">
        <v>6826</v>
      </c>
      <c r="E168" s="68" t="s">
        <v>6841</v>
      </c>
      <c r="F168" s="66"/>
      <c r="G168" s="66" t="s">
        <v>451</v>
      </c>
      <c r="H168" s="68">
        <v>0.21099999999999999</v>
      </c>
      <c r="M168" s="68" t="s">
        <v>6836</v>
      </c>
      <c r="O168" s="68" t="s">
        <v>6837</v>
      </c>
      <c r="P168" s="68" t="s">
        <v>6838</v>
      </c>
      <c r="Q168" s="68">
        <v>422900.45</v>
      </c>
      <c r="R168" s="68">
        <v>6191584.3499999996</v>
      </c>
      <c r="S168" s="68" t="s">
        <v>6839</v>
      </c>
      <c r="T168" s="68" t="s">
        <v>6840</v>
      </c>
      <c r="U168" s="68">
        <v>422885.93</v>
      </c>
      <c r="V168" s="68">
        <v>6191598.1699999999</v>
      </c>
      <c r="W168" s="68">
        <v>1</v>
      </c>
      <c r="X168" s="68">
        <v>200.07</v>
      </c>
    </row>
    <row r="169" spans="1:24" s="14" customFormat="1" x14ac:dyDescent="0.25">
      <c r="A169" s="50">
        <v>45096</v>
      </c>
      <c r="B169" s="16">
        <v>170</v>
      </c>
      <c r="C169" s="36">
        <v>0.23179398148148148</v>
      </c>
      <c r="D169" s="16" t="s">
        <v>6826</v>
      </c>
      <c r="E169" s="14" t="s">
        <v>6874</v>
      </c>
      <c r="F169" s="16" t="s">
        <v>6805</v>
      </c>
      <c r="G169" s="16" t="s">
        <v>451</v>
      </c>
      <c r="H169" s="14">
        <v>0.21</v>
      </c>
      <c r="O169" s="14" t="s">
        <v>6842</v>
      </c>
      <c r="P169" s="14" t="s">
        <v>6843</v>
      </c>
      <c r="Q169" s="14">
        <v>422905.28</v>
      </c>
      <c r="R169" s="14">
        <v>6191584.04</v>
      </c>
      <c r="S169" s="14" t="s">
        <v>6844</v>
      </c>
      <c r="T169" s="14" t="s">
        <v>6845</v>
      </c>
      <c r="U169" s="14">
        <v>422891.46</v>
      </c>
      <c r="V169" s="14">
        <v>6191599.1900000004</v>
      </c>
      <c r="W169" s="14">
        <v>0.02</v>
      </c>
      <c r="X169" s="14">
        <v>200.07</v>
      </c>
    </row>
    <row r="170" spans="1:24" s="81" customFormat="1" x14ac:dyDescent="0.25">
      <c r="A170" s="78">
        <v>45096</v>
      </c>
      <c r="B170" s="79">
        <v>170</v>
      </c>
      <c r="C170" s="80">
        <v>0.23743055555555556</v>
      </c>
      <c r="D170" s="79" t="s">
        <v>6826</v>
      </c>
      <c r="E170" s="81" t="s">
        <v>6850</v>
      </c>
      <c r="F170" s="79" t="s">
        <v>6805</v>
      </c>
      <c r="G170" s="79" t="s">
        <v>451</v>
      </c>
      <c r="H170" s="81">
        <v>0.22800000000000001</v>
      </c>
      <c r="O170" s="81" t="s">
        <v>6846</v>
      </c>
      <c r="P170" s="81" t="s">
        <v>6847</v>
      </c>
      <c r="Q170" s="81">
        <v>422905.05</v>
      </c>
      <c r="R170" s="81">
        <v>6191583.9900000002</v>
      </c>
      <c r="S170" s="81" t="s">
        <v>6848</v>
      </c>
      <c r="T170" s="81" t="s">
        <v>6849</v>
      </c>
      <c r="U170" s="81">
        <v>422894.08000000002</v>
      </c>
      <c r="V170" s="81">
        <v>6191586.0599999996</v>
      </c>
      <c r="W170" s="81">
        <v>268.47000000000003</v>
      </c>
      <c r="X170" s="81">
        <v>200.07</v>
      </c>
    </row>
    <row r="171" spans="1:24" s="14" customFormat="1" x14ac:dyDescent="0.25">
      <c r="A171" s="50">
        <v>45096</v>
      </c>
      <c r="B171" s="16">
        <v>170</v>
      </c>
      <c r="C171" s="36">
        <v>0.2300925925925926</v>
      </c>
      <c r="D171" s="16" t="s">
        <v>6826</v>
      </c>
      <c r="E171" s="14" t="s">
        <v>6875</v>
      </c>
      <c r="F171" s="16" t="s">
        <v>6805</v>
      </c>
      <c r="G171" s="16" t="s">
        <v>451</v>
      </c>
      <c r="H171" s="14">
        <v>0.21</v>
      </c>
      <c r="O171" s="14" t="s">
        <v>6842</v>
      </c>
      <c r="P171" s="14" t="s">
        <v>6843</v>
      </c>
      <c r="Q171" s="14">
        <v>422905.28</v>
      </c>
      <c r="R171" s="14">
        <v>6191584.04</v>
      </c>
      <c r="S171" s="14" t="s">
        <v>6844</v>
      </c>
      <c r="T171" s="14" t="s">
        <v>6845</v>
      </c>
      <c r="U171" s="14">
        <v>422891.46</v>
      </c>
      <c r="V171" s="14">
        <v>6191599.1900000004</v>
      </c>
      <c r="W171" s="14">
        <v>0.02</v>
      </c>
      <c r="X171" s="14">
        <v>200.07</v>
      </c>
    </row>
    <row r="172" spans="1:24" s="77" customFormat="1" x14ac:dyDescent="0.25">
      <c r="A172" s="74">
        <v>45096</v>
      </c>
      <c r="B172" s="75">
        <v>170</v>
      </c>
      <c r="C172" s="76">
        <v>0.27328703703703705</v>
      </c>
      <c r="D172" s="75" t="s">
        <v>6826</v>
      </c>
      <c r="E172" s="77" t="s">
        <v>6855</v>
      </c>
      <c r="F172" s="75" t="s">
        <v>6805</v>
      </c>
      <c r="G172" s="75" t="s">
        <v>451</v>
      </c>
      <c r="H172" s="77">
        <v>0.22900000000000001</v>
      </c>
      <c r="O172" s="77" t="s">
        <v>6851</v>
      </c>
      <c r="P172" s="77" t="s">
        <v>6852</v>
      </c>
      <c r="Q172" s="77">
        <v>422904.99</v>
      </c>
      <c r="R172" s="77">
        <v>6191583.6699999999</v>
      </c>
      <c r="S172" s="77" t="s">
        <v>6853</v>
      </c>
      <c r="T172" s="77" t="s">
        <v>6854</v>
      </c>
      <c r="U172" s="77">
        <v>422893.89</v>
      </c>
      <c r="V172" s="77">
        <v>6191585.7699999996</v>
      </c>
      <c r="W172" s="77">
        <v>269.02</v>
      </c>
      <c r="X172" s="77">
        <v>200.07</v>
      </c>
    </row>
    <row r="173" spans="1:24" s="68" customFormat="1" x14ac:dyDescent="0.25">
      <c r="A173" s="65">
        <v>45096</v>
      </c>
      <c r="B173" s="66">
        <v>170</v>
      </c>
      <c r="C173" s="67">
        <v>0.27681712962962962</v>
      </c>
      <c r="D173" s="66" t="s">
        <v>6826</v>
      </c>
      <c r="E173" s="68" t="s">
        <v>6861</v>
      </c>
      <c r="F173" s="66"/>
      <c r="G173" s="66" t="s">
        <v>451</v>
      </c>
      <c r="H173" s="68">
        <v>0.217</v>
      </c>
      <c r="M173" s="68" t="s">
        <v>6856</v>
      </c>
      <c r="O173" s="68" t="s">
        <v>6857</v>
      </c>
      <c r="P173" s="68" t="s">
        <v>6858</v>
      </c>
      <c r="Q173" s="68">
        <v>422905.27</v>
      </c>
      <c r="R173" s="68">
        <v>6191583.6200000001</v>
      </c>
      <c r="S173" s="68" t="s">
        <v>6859</v>
      </c>
      <c r="T173" s="68" t="s">
        <v>6860</v>
      </c>
      <c r="U173" s="68">
        <v>422889.75</v>
      </c>
      <c r="V173" s="68">
        <v>6191592.1900000004</v>
      </c>
      <c r="W173" s="68">
        <v>3.09</v>
      </c>
      <c r="X173" s="68">
        <v>200.07</v>
      </c>
    </row>
    <row r="174" spans="1:24" s="14" customFormat="1" x14ac:dyDescent="0.25">
      <c r="A174" s="50">
        <v>45096</v>
      </c>
      <c r="B174" s="16">
        <v>170</v>
      </c>
      <c r="C174" s="36">
        <v>0.28185185185185185</v>
      </c>
      <c r="D174" s="16" t="s">
        <v>6826</v>
      </c>
      <c r="E174" s="14" t="s">
        <v>65</v>
      </c>
      <c r="F174" s="16" t="s">
        <v>460</v>
      </c>
      <c r="G174" s="16" t="s">
        <v>451</v>
      </c>
      <c r="H174" s="14">
        <v>0.20599999999999999</v>
      </c>
      <c r="I174" s="14" t="s">
        <v>6866</v>
      </c>
      <c r="J174" s="14" t="s">
        <v>6795</v>
      </c>
      <c r="K174" s="14" t="s">
        <v>6867</v>
      </c>
      <c r="L174" s="14" t="s">
        <v>6868</v>
      </c>
      <c r="O174" s="14" t="s">
        <v>6862</v>
      </c>
      <c r="P174" s="14" t="s">
        <v>6863</v>
      </c>
      <c r="Q174" s="14">
        <v>422904.47</v>
      </c>
      <c r="R174" s="14">
        <v>6191593.6799999997</v>
      </c>
      <c r="S174" s="14" t="s">
        <v>6864</v>
      </c>
      <c r="T174" s="14" t="s">
        <v>6865</v>
      </c>
      <c r="U174" s="14">
        <v>422891.41</v>
      </c>
      <c r="V174" s="14">
        <v>6191602.46</v>
      </c>
      <c r="W174" s="14">
        <v>0.27</v>
      </c>
      <c r="X174" s="14">
        <v>200.07</v>
      </c>
    </row>
    <row r="175" spans="1:24" s="14" customFormat="1" x14ac:dyDescent="0.25">
      <c r="A175" s="50">
        <v>45096</v>
      </c>
      <c r="B175" s="16">
        <v>170</v>
      </c>
      <c r="C175" s="36">
        <v>0.28699074074074077</v>
      </c>
      <c r="D175" s="16" t="s">
        <v>6826</v>
      </c>
      <c r="E175" s="14" t="s">
        <v>70</v>
      </c>
      <c r="F175" s="16" t="s">
        <v>460</v>
      </c>
      <c r="G175" s="16" t="s">
        <v>451</v>
      </c>
      <c r="H175" s="14">
        <v>-2.1000000000000001E-2</v>
      </c>
      <c r="I175" s="14" t="s">
        <v>6866</v>
      </c>
      <c r="J175" s="14" t="s">
        <v>6873</v>
      </c>
      <c r="K175" s="14" t="s">
        <v>6867</v>
      </c>
      <c r="L175" s="14" t="s">
        <v>6868</v>
      </c>
      <c r="O175" s="14" t="s">
        <v>6869</v>
      </c>
      <c r="P175" s="14" t="s">
        <v>6870</v>
      </c>
      <c r="Q175" s="14">
        <v>422904.35</v>
      </c>
      <c r="R175" s="14">
        <v>6191818.75</v>
      </c>
      <c r="S175" s="14" t="s">
        <v>6871</v>
      </c>
      <c r="T175" s="14" t="s">
        <v>6872</v>
      </c>
      <c r="U175" s="14">
        <v>422891.2</v>
      </c>
      <c r="V175" s="14">
        <v>6191830.1900000004</v>
      </c>
      <c r="W175" s="14">
        <v>0.19</v>
      </c>
      <c r="X175" s="14">
        <v>200.07</v>
      </c>
    </row>
    <row r="176" spans="1:24" s="14" customFormat="1" x14ac:dyDescent="0.25">
      <c r="A176" s="50">
        <v>45096</v>
      </c>
      <c r="B176" s="16">
        <v>170</v>
      </c>
      <c r="C176" s="36">
        <v>0.29070601851851852</v>
      </c>
      <c r="D176" s="16" t="s">
        <v>6826</v>
      </c>
      <c r="E176" s="14" t="s">
        <v>65</v>
      </c>
      <c r="F176" s="16" t="s">
        <v>460</v>
      </c>
      <c r="G176" s="16" t="s">
        <v>450</v>
      </c>
      <c r="H176" s="14">
        <v>-1.6E-2</v>
      </c>
      <c r="I176" s="14" t="s">
        <v>6880</v>
      </c>
      <c r="J176" s="14" t="s">
        <v>6881</v>
      </c>
      <c r="K176" s="14" t="s">
        <v>6882</v>
      </c>
      <c r="L176" s="14" t="s">
        <v>6883</v>
      </c>
      <c r="O176" s="14" t="s">
        <v>6876</v>
      </c>
      <c r="P176" s="14" t="s">
        <v>6877</v>
      </c>
      <c r="Q176" s="14">
        <v>422911.98</v>
      </c>
      <c r="R176" s="14">
        <v>6191839.2999999998</v>
      </c>
      <c r="S176" s="14" t="s">
        <v>6878</v>
      </c>
      <c r="T176" s="14" t="s">
        <v>6879</v>
      </c>
      <c r="U176" s="14">
        <v>422900.2</v>
      </c>
      <c r="V176" s="14">
        <v>6191836.3899999997</v>
      </c>
      <c r="W176" s="14">
        <v>181.01</v>
      </c>
      <c r="X176" s="14">
        <v>200.07</v>
      </c>
    </row>
    <row r="177" spans="1:24" s="14" customFormat="1" x14ac:dyDescent="0.25">
      <c r="A177" s="50">
        <v>45096</v>
      </c>
      <c r="B177" s="16">
        <v>170</v>
      </c>
      <c r="C177" s="36">
        <v>0.29594907407407406</v>
      </c>
      <c r="D177" s="16" t="s">
        <v>6826</v>
      </c>
      <c r="E177" s="14" t="s">
        <v>70</v>
      </c>
      <c r="F177" s="16" t="s">
        <v>460</v>
      </c>
      <c r="G177" s="16" t="s">
        <v>450</v>
      </c>
      <c r="H177" s="14">
        <v>0.21299999999999999</v>
      </c>
      <c r="I177" s="14" t="s">
        <v>6880</v>
      </c>
      <c r="J177" s="14" t="s">
        <v>6881</v>
      </c>
      <c r="K177" s="14" t="s">
        <v>6882</v>
      </c>
      <c r="L177" s="14" t="s">
        <v>6883</v>
      </c>
      <c r="O177" s="14" t="s">
        <v>6884</v>
      </c>
      <c r="P177" s="14" t="s">
        <v>6885</v>
      </c>
      <c r="Q177" s="14">
        <v>422914.38</v>
      </c>
      <c r="R177" s="14">
        <v>6191613.25</v>
      </c>
      <c r="S177" s="14" t="s">
        <v>6886</v>
      </c>
      <c r="T177" s="14" t="s">
        <v>6887</v>
      </c>
      <c r="U177" s="14">
        <v>422900.26</v>
      </c>
      <c r="V177" s="14">
        <v>6191606.9100000001</v>
      </c>
      <c r="W177" s="14">
        <v>179.83</v>
      </c>
      <c r="X177" s="14">
        <v>200.07</v>
      </c>
    </row>
    <row r="178" spans="1:24" s="14" customFormat="1" x14ac:dyDescent="0.25">
      <c r="A178" s="50">
        <v>45096</v>
      </c>
      <c r="B178" s="16">
        <v>170</v>
      </c>
      <c r="C178" s="36">
        <v>0.29940972222222223</v>
      </c>
      <c r="D178" s="16" t="s">
        <v>6826</v>
      </c>
      <c r="E178" s="14" t="s">
        <v>65</v>
      </c>
      <c r="F178" s="16" t="s">
        <v>460</v>
      </c>
      <c r="G178" s="16" t="s">
        <v>449</v>
      </c>
      <c r="H178" s="14">
        <v>0.20799999999999999</v>
      </c>
      <c r="I178" s="14" t="s">
        <v>6892</v>
      </c>
      <c r="J178" s="14" t="s">
        <v>6893</v>
      </c>
      <c r="K178" s="14" t="s">
        <v>6894</v>
      </c>
      <c r="L178" s="14" t="s">
        <v>6895</v>
      </c>
      <c r="O178" s="14" t="s">
        <v>6888</v>
      </c>
      <c r="P178" s="14" t="s">
        <v>6889</v>
      </c>
      <c r="Q178" s="14">
        <v>422920.96000000002</v>
      </c>
      <c r="R178" s="14">
        <v>6191599.5899999999</v>
      </c>
      <c r="S178" s="14" t="s">
        <v>6890</v>
      </c>
      <c r="T178" s="14" t="s">
        <v>6891</v>
      </c>
      <c r="U178" s="14">
        <v>422909.23</v>
      </c>
      <c r="V178" s="14">
        <v>6191600.9900000002</v>
      </c>
      <c r="W178" s="14">
        <v>0.59</v>
      </c>
      <c r="X178" s="14">
        <v>200.07</v>
      </c>
    </row>
    <row r="179" spans="1:24" s="14" customFormat="1" x14ac:dyDescent="0.25">
      <c r="A179" s="50">
        <v>45096</v>
      </c>
      <c r="B179" s="16">
        <v>170</v>
      </c>
      <c r="C179" s="36">
        <v>0.30458333333333332</v>
      </c>
      <c r="D179" s="16" t="s">
        <v>6826</v>
      </c>
      <c r="E179" s="14" t="s">
        <v>70</v>
      </c>
      <c r="F179" s="16" t="s">
        <v>460</v>
      </c>
      <c r="G179" s="16" t="s">
        <v>449</v>
      </c>
      <c r="H179" s="14">
        <v>-2.1999999999999999E-2</v>
      </c>
      <c r="I179" s="14" t="s">
        <v>6892</v>
      </c>
      <c r="J179" s="14" t="s">
        <v>6893</v>
      </c>
      <c r="K179" s="14" t="s">
        <v>6894</v>
      </c>
      <c r="L179" s="14" t="s">
        <v>6895</v>
      </c>
      <c r="O179" s="14" t="s">
        <v>6896</v>
      </c>
      <c r="P179" s="14" t="s">
        <v>6897</v>
      </c>
      <c r="Q179" s="14">
        <v>422921.94</v>
      </c>
      <c r="R179" s="14">
        <v>6191825.3799999999</v>
      </c>
      <c r="S179" s="14" t="s">
        <v>6898</v>
      </c>
      <c r="T179" s="14" t="s">
        <v>6899</v>
      </c>
      <c r="U179" s="14">
        <v>422909.2</v>
      </c>
      <c r="V179" s="14">
        <v>6191830.3499999996</v>
      </c>
      <c r="W179" s="14">
        <v>0.42</v>
      </c>
      <c r="X179" s="14">
        <v>200.07</v>
      </c>
    </row>
    <row r="180" spans="1:24" s="14" customFormat="1" x14ac:dyDescent="0.25">
      <c r="A180" s="50">
        <v>45096</v>
      </c>
      <c r="B180" s="16">
        <v>170</v>
      </c>
      <c r="C180" s="36">
        <v>0.30728009259259259</v>
      </c>
      <c r="D180" s="16" t="s">
        <v>6826</v>
      </c>
      <c r="E180" s="14" t="s">
        <v>65</v>
      </c>
      <c r="F180" s="16" t="s">
        <v>460</v>
      </c>
      <c r="G180" s="16" t="s">
        <v>448</v>
      </c>
      <c r="H180" s="14">
        <v>-0.01</v>
      </c>
      <c r="I180" s="14" t="s">
        <v>6904</v>
      </c>
      <c r="J180" s="14" t="s">
        <v>6905</v>
      </c>
      <c r="K180" s="14" t="s">
        <v>6906</v>
      </c>
      <c r="L180" s="14" t="s">
        <v>6895</v>
      </c>
      <c r="O180" s="14" t="s">
        <v>6900</v>
      </c>
      <c r="P180" s="14" t="s">
        <v>6901</v>
      </c>
      <c r="Q180" s="14">
        <v>422929.82</v>
      </c>
      <c r="R180" s="14">
        <v>6191833.6299999999</v>
      </c>
      <c r="S180" s="14" t="s">
        <v>6902</v>
      </c>
      <c r="T180" s="14" t="s">
        <v>6903</v>
      </c>
      <c r="U180" s="14">
        <v>422918.32</v>
      </c>
      <c r="V180" s="14">
        <v>6191829.5499999998</v>
      </c>
      <c r="W180" s="14">
        <v>181.02</v>
      </c>
      <c r="X180" s="14">
        <v>200.07</v>
      </c>
    </row>
    <row r="181" spans="1:24" s="14" customFormat="1" x14ac:dyDescent="0.25">
      <c r="A181" s="50">
        <v>45096</v>
      </c>
      <c r="B181" s="16">
        <v>170</v>
      </c>
      <c r="C181" s="36">
        <v>0.31230324074074073</v>
      </c>
      <c r="D181" s="16" t="s">
        <v>6826</v>
      </c>
      <c r="E181" s="14" t="s">
        <v>70</v>
      </c>
      <c r="F181" s="16" t="s">
        <v>460</v>
      </c>
      <c r="G181" s="16" t="s">
        <v>448</v>
      </c>
      <c r="H181" s="14">
        <v>0.21299999999999999</v>
      </c>
      <c r="I181" s="14" t="s">
        <v>6904</v>
      </c>
      <c r="J181" s="14" t="s">
        <v>6905</v>
      </c>
      <c r="K181" s="14" t="s">
        <v>6906</v>
      </c>
      <c r="L181" s="14" t="s">
        <v>6911</v>
      </c>
      <c r="O181" s="14" t="s">
        <v>6907</v>
      </c>
      <c r="P181" s="14" t="s">
        <v>6908</v>
      </c>
      <c r="Q181" s="14">
        <v>422931.45</v>
      </c>
      <c r="R181" s="14">
        <v>6191614.3899999997</v>
      </c>
      <c r="S181" s="14" t="s">
        <v>6909</v>
      </c>
      <c r="T181" s="14" t="s">
        <v>6910</v>
      </c>
      <c r="U181" s="14">
        <v>422918.3</v>
      </c>
      <c r="V181" s="14">
        <v>6191606.8399999999</v>
      </c>
      <c r="W181" s="14">
        <v>179.86</v>
      </c>
      <c r="X181" s="14">
        <v>200.07</v>
      </c>
    </row>
    <row r="182" spans="1:24" s="14" customFormat="1" x14ac:dyDescent="0.25">
      <c r="A182" s="50">
        <v>45096</v>
      </c>
      <c r="B182" s="16">
        <v>170</v>
      </c>
      <c r="C182" s="36">
        <v>0.31494212962962964</v>
      </c>
      <c r="D182" s="16" t="s">
        <v>6826</v>
      </c>
      <c r="E182" s="14" t="s">
        <v>65</v>
      </c>
      <c r="F182" s="16" t="s">
        <v>460</v>
      </c>
      <c r="G182" s="16" t="s">
        <v>447</v>
      </c>
      <c r="H182" s="14">
        <v>0.20799999999999999</v>
      </c>
      <c r="I182" s="14" t="s">
        <v>6916</v>
      </c>
      <c r="J182" s="14" t="s">
        <v>6917</v>
      </c>
      <c r="K182" s="14" t="s">
        <v>6918</v>
      </c>
      <c r="L182" s="14" t="s">
        <v>6911</v>
      </c>
      <c r="O182" s="14" t="s">
        <v>6912</v>
      </c>
      <c r="P182" s="14" t="s">
        <v>6913</v>
      </c>
      <c r="Q182" s="14">
        <v>422938.1</v>
      </c>
      <c r="R182" s="14">
        <v>6191594.9199999999</v>
      </c>
      <c r="S182" s="14" t="s">
        <v>6914</v>
      </c>
      <c r="T182" s="14" t="s">
        <v>6915</v>
      </c>
      <c r="U182" s="14">
        <v>422927.28</v>
      </c>
      <c r="V182" s="14">
        <v>6191600.71</v>
      </c>
      <c r="W182" s="14">
        <v>0.31</v>
      </c>
      <c r="X182" s="14">
        <v>200.07</v>
      </c>
    </row>
    <row r="183" spans="1:24" s="14" customFormat="1" x14ac:dyDescent="0.25">
      <c r="A183" s="50">
        <v>45096</v>
      </c>
      <c r="B183" s="16">
        <v>170</v>
      </c>
      <c r="C183" s="36">
        <v>0.32023148148148145</v>
      </c>
      <c r="D183" s="16" t="s">
        <v>6826</v>
      </c>
      <c r="E183" s="14" t="s">
        <v>70</v>
      </c>
      <c r="F183" s="16" t="s">
        <v>460</v>
      </c>
      <c r="G183" s="16" t="s">
        <v>447</v>
      </c>
      <c r="H183" s="14">
        <v>-2.1000000000000001E-2</v>
      </c>
      <c r="I183" s="14" t="s">
        <v>6916</v>
      </c>
      <c r="J183" s="14" t="s">
        <v>6917</v>
      </c>
      <c r="K183" s="14" t="s">
        <v>6918</v>
      </c>
      <c r="L183" s="14" t="s">
        <v>6923</v>
      </c>
      <c r="O183" s="14" t="s">
        <v>6919</v>
      </c>
      <c r="P183" s="14" t="s">
        <v>6920</v>
      </c>
      <c r="Q183" s="14">
        <v>422939.56</v>
      </c>
      <c r="R183" s="14">
        <v>6191820.6100000003</v>
      </c>
      <c r="S183" s="14" t="s">
        <v>6921</v>
      </c>
      <c r="T183" s="14" t="s">
        <v>6922</v>
      </c>
      <c r="U183" s="14">
        <v>422927.25</v>
      </c>
      <c r="V183" s="14">
        <v>6191829.9299999997</v>
      </c>
      <c r="W183" s="14">
        <v>359.87</v>
      </c>
      <c r="X183" s="14">
        <v>200.07</v>
      </c>
    </row>
    <row r="184" spans="1:24" s="14" customFormat="1" x14ac:dyDescent="0.25">
      <c r="A184" s="50">
        <v>45096</v>
      </c>
      <c r="B184" s="16">
        <v>170</v>
      </c>
      <c r="C184" s="36">
        <v>0.32385416666666667</v>
      </c>
      <c r="D184" s="16" t="s">
        <v>6826</v>
      </c>
      <c r="E184" s="14" t="s">
        <v>65</v>
      </c>
      <c r="F184" s="16" t="s">
        <v>460</v>
      </c>
      <c r="G184" s="16" t="s">
        <v>446</v>
      </c>
      <c r="H184" s="14">
        <v>-1.4E-2</v>
      </c>
      <c r="I184" s="14" t="s">
        <v>6928</v>
      </c>
      <c r="J184" s="14" t="s">
        <v>6929</v>
      </c>
      <c r="K184" s="14" t="s">
        <v>6930</v>
      </c>
      <c r="L184" s="14" t="s">
        <v>6923</v>
      </c>
      <c r="O184" s="14" t="s">
        <v>6924</v>
      </c>
      <c r="P184" s="14" t="s">
        <v>6925</v>
      </c>
      <c r="Q184" s="14">
        <v>422949.68</v>
      </c>
      <c r="R184" s="14">
        <v>6191829.21</v>
      </c>
      <c r="S184" s="14" t="s">
        <v>6926</v>
      </c>
      <c r="T184" s="14" t="s">
        <v>6927</v>
      </c>
      <c r="U184" s="14">
        <v>422936.19</v>
      </c>
      <c r="V184" s="14">
        <v>6191833.9500000002</v>
      </c>
      <c r="W184" s="14">
        <v>178.47</v>
      </c>
      <c r="X184" s="14">
        <v>200.07</v>
      </c>
    </row>
    <row r="185" spans="1:24" s="14" customFormat="1" x14ac:dyDescent="0.25">
      <c r="A185" s="50">
        <v>45096</v>
      </c>
      <c r="B185" s="16">
        <v>170</v>
      </c>
      <c r="C185" s="36">
        <v>0.32899305555555552</v>
      </c>
      <c r="D185" s="16" t="s">
        <v>6826</v>
      </c>
      <c r="E185" s="14" t="s">
        <v>70</v>
      </c>
      <c r="F185" s="16" t="s">
        <v>460</v>
      </c>
      <c r="G185" s="16" t="s">
        <v>446</v>
      </c>
      <c r="H185" s="14">
        <v>0.21299999999999999</v>
      </c>
      <c r="I185" s="14" t="s">
        <v>6928</v>
      </c>
      <c r="J185" s="14" t="s">
        <v>6929</v>
      </c>
      <c r="K185" s="14" t="s">
        <v>6930</v>
      </c>
      <c r="L185" s="14" t="s">
        <v>6923</v>
      </c>
      <c r="O185" s="14" t="s">
        <v>6931</v>
      </c>
      <c r="P185" s="14" t="s">
        <v>6932</v>
      </c>
      <c r="Q185" s="14">
        <v>422950.56</v>
      </c>
      <c r="R185" s="14">
        <v>6191608.4400000004</v>
      </c>
      <c r="S185" s="14" t="s">
        <v>6933</v>
      </c>
      <c r="T185" s="14" t="s">
        <v>6934</v>
      </c>
      <c r="U185" s="14">
        <v>422936.25</v>
      </c>
      <c r="V185" s="14">
        <v>6191606.54</v>
      </c>
      <c r="W185" s="14">
        <v>179.97</v>
      </c>
      <c r="X185" s="14">
        <v>200.07</v>
      </c>
    </row>
    <row r="186" spans="1:24" s="14" customFormat="1" x14ac:dyDescent="0.25">
      <c r="A186" s="50">
        <v>45096</v>
      </c>
      <c r="B186" s="16">
        <v>170</v>
      </c>
      <c r="C186" s="36">
        <v>0.33157407407407408</v>
      </c>
      <c r="D186" s="16" t="s">
        <v>6826</v>
      </c>
      <c r="E186" s="14" t="s">
        <v>65</v>
      </c>
      <c r="F186" s="16" t="s">
        <v>460</v>
      </c>
      <c r="G186" s="16" t="s">
        <v>445</v>
      </c>
      <c r="H186" s="14">
        <v>0.20899999999999999</v>
      </c>
      <c r="I186" s="14" t="s">
        <v>6939</v>
      </c>
      <c r="J186" s="14" t="s">
        <v>6940</v>
      </c>
      <c r="K186" s="14" t="s">
        <v>6941</v>
      </c>
      <c r="L186" s="14" t="s">
        <v>6942</v>
      </c>
      <c r="O186" s="14" t="s">
        <v>6935</v>
      </c>
      <c r="P186" s="14" t="s">
        <v>6936</v>
      </c>
      <c r="Q186" s="14">
        <v>422957.31</v>
      </c>
      <c r="R186" s="14">
        <v>6191598.1799999997</v>
      </c>
      <c r="S186" s="14" t="s">
        <v>6937</v>
      </c>
      <c r="T186" s="14" t="s">
        <v>6938</v>
      </c>
      <c r="U186" s="14">
        <v>422945.26</v>
      </c>
      <c r="V186" s="14">
        <v>6191599.4900000002</v>
      </c>
      <c r="W186" s="14">
        <v>1.75</v>
      </c>
      <c r="X186" s="14">
        <v>200.07</v>
      </c>
    </row>
    <row r="187" spans="1:24" s="14" customFormat="1" x14ac:dyDescent="0.25">
      <c r="A187" s="50">
        <v>45096</v>
      </c>
      <c r="B187" s="16">
        <v>170</v>
      </c>
      <c r="C187" s="36">
        <v>0.33678240740740745</v>
      </c>
      <c r="D187" s="16" t="s">
        <v>6826</v>
      </c>
      <c r="E187" s="14" t="s">
        <v>70</v>
      </c>
      <c r="F187" s="16" t="s">
        <v>460</v>
      </c>
      <c r="G187" s="16" t="s">
        <v>445</v>
      </c>
      <c r="H187" s="14">
        <v>-2.1000000000000001E-2</v>
      </c>
      <c r="I187" s="14" t="s">
        <v>6939</v>
      </c>
      <c r="J187" s="14" t="s">
        <v>6940</v>
      </c>
      <c r="K187" s="14" t="s">
        <v>6941</v>
      </c>
      <c r="L187" s="14" t="s">
        <v>6942</v>
      </c>
      <c r="O187" s="14" t="s">
        <v>6943</v>
      </c>
      <c r="P187" s="14" t="s">
        <v>6944</v>
      </c>
      <c r="Q187" s="14">
        <v>422958.6</v>
      </c>
      <c r="R187" s="14">
        <v>6191822.79</v>
      </c>
      <c r="S187" s="14" t="s">
        <v>6945</v>
      </c>
      <c r="T187" s="14" t="s">
        <v>6946</v>
      </c>
      <c r="U187" s="14">
        <v>422945.24</v>
      </c>
      <c r="V187" s="14">
        <v>6191829.8399999999</v>
      </c>
      <c r="W187" s="14">
        <v>359.99</v>
      </c>
      <c r="X187" s="14">
        <v>200.07</v>
      </c>
    </row>
    <row r="188" spans="1:24" s="14" customFormat="1" x14ac:dyDescent="0.25">
      <c r="A188" s="50">
        <v>45096</v>
      </c>
      <c r="B188" s="16">
        <v>170</v>
      </c>
      <c r="C188" s="36">
        <v>0.33975694444444443</v>
      </c>
      <c r="D188" s="16" t="s">
        <v>6826</v>
      </c>
      <c r="E188" s="14" t="s">
        <v>65</v>
      </c>
      <c r="F188" s="16" t="s">
        <v>460</v>
      </c>
      <c r="G188" s="16" t="s">
        <v>444</v>
      </c>
      <c r="H188" s="14">
        <v>-1.4999999999999999E-2</v>
      </c>
      <c r="I188" s="14" t="s">
        <v>6951</v>
      </c>
      <c r="J188" s="14" t="s">
        <v>6952</v>
      </c>
      <c r="K188" s="14" t="s">
        <v>6953</v>
      </c>
      <c r="L188" s="14" t="s">
        <v>6942</v>
      </c>
      <c r="O188" s="14" t="s">
        <v>6947</v>
      </c>
      <c r="P188" s="14" t="s">
        <v>6948</v>
      </c>
      <c r="Q188" s="14">
        <v>422968.18</v>
      </c>
      <c r="R188" s="14">
        <v>6191837.3499999996</v>
      </c>
      <c r="S188" s="14" t="s">
        <v>6949</v>
      </c>
      <c r="T188" s="14" t="s">
        <v>6950</v>
      </c>
      <c r="U188" s="14">
        <v>422954.11</v>
      </c>
      <c r="V188" s="14">
        <v>6191834.6299999999</v>
      </c>
      <c r="W188" s="14">
        <v>179.35</v>
      </c>
      <c r="X188" s="14">
        <v>200.07</v>
      </c>
    </row>
    <row r="189" spans="1:24" s="14" customFormat="1" x14ac:dyDescent="0.25">
      <c r="A189" s="50">
        <v>45096</v>
      </c>
      <c r="B189" s="16">
        <v>170</v>
      </c>
      <c r="C189" s="36">
        <v>0.3449652777777778</v>
      </c>
      <c r="D189" s="16" t="s">
        <v>6826</v>
      </c>
      <c r="E189" s="14" t="s">
        <v>70</v>
      </c>
      <c r="F189" s="16" t="s">
        <v>460</v>
      </c>
      <c r="G189" s="16" t="s">
        <v>444</v>
      </c>
      <c r="H189" s="14">
        <v>0.214</v>
      </c>
      <c r="I189" s="14" t="s">
        <v>6951</v>
      </c>
      <c r="J189" s="14" t="s">
        <v>6952</v>
      </c>
      <c r="K189" s="14" t="s">
        <v>6953</v>
      </c>
      <c r="L189" s="14" t="s">
        <v>6958</v>
      </c>
      <c r="O189" s="14" t="s">
        <v>6954</v>
      </c>
      <c r="P189" s="14" t="s">
        <v>6955</v>
      </c>
      <c r="Q189" s="14">
        <v>422969.07</v>
      </c>
      <c r="R189" s="14">
        <v>6191612.7800000003</v>
      </c>
      <c r="S189" s="14" t="s">
        <v>6956</v>
      </c>
      <c r="T189" s="14" t="s">
        <v>6957</v>
      </c>
      <c r="U189" s="14">
        <v>422954.2</v>
      </c>
      <c r="V189" s="14">
        <v>6191605.5099999998</v>
      </c>
      <c r="W189" s="14">
        <v>178.42</v>
      </c>
      <c r="X189" s="14">
        <v>200.07</v>
      </c>
    </row>
    <row r="190" spans="1:24" s="14" customFormat="1" x14ac:dyDescent="0.25">
      <c r="A190" s="50">
        <v>45096</v>
      </c>
      <c r="B190" s="16">
        <v>170</v>
      </c>
      <c r="C190" s="36">
        <v>0.34789351851851852</v>
      </c>
      <c r="D190" s="16" t="s">
        <v>6826</v>
      </c>
      <c r="E190" s="14" t="s">
        <v>65</v>
      </c>
      <c r="F190" s="16" t="s">
        <v>460</v>
      </c>
      <c r="G190" s="16" t="s">
        <v>443</v>
      </c>
      <c r="H190" s="14">
        <v>0.21</v>
      </c>
      <c r="I190" s="14" t="s">
        <v>6963</v>
      </c>
      <c r="J190" s="14" t="s">
        <v>6964</v>
      </c>
      <c r="K190" s="14" t="s">
        <v>6965</v>
      </c>
      <c r="L190" s="14" t="s">
        <v>6958</v>
      </c>
      <c r="O190" s="14" t="s">
        <v>6959</v>
      </c>
      <c r="P190" s="14" t="s">
        <v>6960</v>
      </c>
      <c r="Q190" s="14">
        <v>422977.1</v>
      </c>
      <c r="R190" s="14">
        <v>6191601.5199999996</v>
      </c>
      <c r="S190" s="14" t="s">
        <v>6961</v>
      </c>
      <c r="T190" s="14" t="s">
        <v>6962</v>
      </c>
      <c r="U190" s="14">
        <v>422963.19</v>
      </c>
      <c r="V190" s="14">
        <v>6191599.1200000001</v>
      </c>
      <c r="W190" s="14">
        <v>359.93</v>
      </c>
      <c r="X190" s="14">
        <v>200.07</v>
      </c>
    </row>
    <row r="191" spans="1:24" s="14" customFormat="1" x14ac:dyDescent="0.25">
      <c r="A191" s="50">
        <v>45096</v>
      </c>
      <c r="B191" s="16">
        <v>170</v>
      </c>
      <c r="C191" s="36">
        <v>0.35306712962962966</v>
      </c>
      <c r="D191" s="16" t="s">
        <v>6826</v>
      </c>
      <c r="E191" s="14" t="s">
        <v>70</v>
      </c>
      <c r="F191" s="16" t="s">
        <v>460</v>
      </c>
      <c r="G191" s="16" t="s">
        <v>443</v>
      </c>
      <c r="H191" s="14">
        <v>-0.02</v>
      </c>
      <c r="I191" s="14" t="s">
        <v>6963</v>
      </c>
      <c r="J191" s="14" t="s">
        <v>6964</v>
      </c>
      <c r="K191" s="14" t="s">
        <v>6965</v>
      </c>
      <c r="L191" s="14" t="s">
        <v>6970</v>
      </c>
      <c r="O191" s="14" t="s">
        <v>6966</v>
      </c>
      <c r="P191" s="14" t="s">
        <v>6967</v>
      </c>
      <c r="Q191" s="14">
        <v>422977.79</v>
      </c>
      <c r="R191" s="14">
        <v>6191824.0499999998</v>
      </c>
      <c r="S191" s="14" t="s">
        <v>6968</v>
      </c>
      <c r="T191" s="14" t="s">
        <v>6969</v>
      </c>
      <c r="U191" s="14">
        <v>422963.19</v>
      </c>
      <c r="V191" s="14">
        <v>6191828.5300000003</v>
      </c>
      <c r="W191" s="14">
        <v>359.93</v>
      </c>
      <c r="X191" s="14">
        <v>200.07</v>
      </c>
    </row>
    <row r="192" spans="1:24" s="14" customFormat="1" x14ac:dyDescent="0.25">
      <c r="A192" s="50">
        <v>45096</v>
      </c>
      <c r="B192" s="16">
        <v>170</v>
      </c>
      <c r="C192" s="36">
        <v>0.35561342592592587</v>
      </c>
      <c r="D192" s="16" t="s">
        <v>6826</v>
      </c>
      <c r="E192" s="14" t="s">
        <v>65</v>
      </c>
      <c r="F192" s="16" t="s">
        <v>460</v>
      </c>
      <c r="G192" s="16" t="s">
        <v>452</v>
      </c>
      <c r="H192" s="14">
        <v>-8.9999999999999993E-3</v>
      </c>
      <c r="I192" s="14" t="s">
        <v>6975</v>
      </c>
      <c r="J192" s="14" t="s">
        <v>6976</v>
      </c>
      <c r="K192" s="14" t="s">
        <v>6977</v>
      </c>
      <c r="L192" s="14" t="s">
        <v>6970</v>
      </c>
      <c r="O192" s="14" t="s">
        <v>6971</v>
      </c>
      <c r="P192" s="14" t="s">
        <v>6972</v>
      </c>
      <c r="Q192" s="14">
        <v>422986.29</v>
      </c>
      <c r="R192" s="14">
        <v>6191831.0700000003</v>
      </c>
      <c r="S192" s="14" t="s">
        <v>6973</v>
      </c>
      <c r="T192" s="14" t="s">
        <v>6974</v>
      </c>
      <c r="U192" s="14">
        <v>422972.18</v>
      </c>
      <c r="V192" s="14">
        <v>6191828.8700000001</v>
      </c>
      <c r="W192" s="14">
        <v>179.49</v>
      </c>
      <c r="X192" s="14">
        <v>200.07</v>
      </c>
    </row>
    <row r="193" spans="1:24" s="14" customFormat="1" x14ac:dyDescent="0.25">
      <c r="A193" s="50">
        <v>45096</v>
      </c>
      <c r="B193" s="16">
        <v>170</v>
      </c>
      <c r="C193" s="36">
        <v>0.3608912037037037</v>
      </c>
      <c r="D193" s="16" t="s">
        <v>6826</v>
      </c>
      <c r="E193" s="14" t="s">
        <v>70</v>
      </c>
      <c r="F193" s="16" t="s">
        <v>460</v>
      </c>
      <c r="G193" s="16" t="s">
        <v>452</v>
      </c>
      <c r="H193" s="14">
        <v>0.224</v>
      </c>
      <c r="I193" s="14" t="s">
        <v>6975</v>
      </c>
      <c r="J193" s="14" t="s">
        <v>6976</v>
      </c>
      <c r="K193" s="14" t="s">
        <v>6977</v>
      </c>
      <c r="L193" s="14" t="s">
        <v>6982</v>
      </c>
      <c r="O193" s="14" t="s">
        <v>6978</v>
      </c>
      <c r="P193" s="14" t="s">
        <v>6979</v>
      </c>
      <c r="Q193" s="14">
        <v>422986.96</v>
      </c>
      <c r="R193" s="14">
        <v>6191602.7800000003</v>
      </c>
      <c r="S193" s="14" t="s">
        <v>6980</v>
      </c>
      <c r="T193" s="14" t="s">
        <v>6981</v>
      </c>
      <c r="U193" s="14">
        <v>422972.26</v>
      </c>
      <c r="V193" s="14">
        <v>6191595.8899999997</v>
      </c>
      <c r="W193" s="14">
        <v>178.66</v>
      </c>
      <c r="X193" s="14">
        <v>200.07</v>
      </c>
    </row>
    <row r="194" spans="1:24" s="14" customFormat="1" x14ac:dyDescent="0.25">
      <c r="A194" s="50">
        <v>45096</v>
      </c>
      <c r="B194" s="16">
        <v>170</v>
      </c>
      <c r="C194" s="36">
        <v>0.36417824074074073</v>
      </c>
      <c r="D194" s="16" t="s">
        <v>6826</v>
      </c>
      <c r="E194" s="14" t="s">
        <v>65</v>
      </c>
      <c r="F194" s="16" t="s">
        <v>460</v>
      </c>
      <c r="G194" s="16" t="s">
        <v>453</v>
      </c>
      <c r="H194" s="14">
        <v>0.215</v>
      </c>
      <c r="I194" s="14" t="s">
        <v>6987</v>
      </c>
      <c r="J194" s="14" t="s">
        <v>6988</v>
      </c>
      <c r="K194" s="14" t="s">
        <v>6989</v>
      </c>
      <c r="L194" s="14" t="s">
        <v>6982</v>
      </c>
      <c r="O194" s="14" t="s">
        <v>6983</v>
      </c>
      <c r="P194" s="14" t="s">
        <v>6984</v>
      </c>
      <c r="Q194" s="14">
        <v>422995.29</v>
      </c>
      <c r="R194" s="14">
        <v>6191588.29</v>
      </c>
      <c r="S194" s="14" t="s">
        <v>6985</v>
      </c>
      <c r="T194" s="14" t="s">
        <v>6986</v>
      </c>
      <c r="U194" s="14">
        <v>422981.22</v>
      </c>
      <c r="V194" s="14">
        <v>6191594.1600000001</v>
      </c>
      <c r="W194" s="14">
        <v>359.61</v>
      </c>
      <c r="X194" s="14">
        <v>200.07</v>
      </c>
    </row>
    <row r="195" spans="1:24" s="14" customFormat="1" x14ac:dyDescent="0.25">
      <c r="A195" s="50">
        <v>45096</v>
      </c>
      <c r="B195" s="16">
        <v>170</v>
      </c>
      <c r="C195" s="36">
        <v>0.36944444444444446</v>
      </c>
      <c r="D195" s="16" t="s">
        <v>6826</v>
      </c>
      <c r="E195" s="14" t="s">
        <v>70</v>
      </c>
      <c r="F195" s="16" t="s">
        <v>460</v>
      </c>
      <c r="G195" s="16" t="s">
        <v>453</v>
      </c>
      <c r="H195" s="14">
        <v>-0.02</v>
      </c>
      <c r="I195" s="14" t="s">
        <v>6987</v>
      </c>
      <c r="J195" s="14" t="s">
        <v>6988</v>
      </c>
      <c r="K195" s="14" t="s">
        <v>6989</v>
      </c>
      <c r="L195" s="14" t="s">
        <v>6982</v>
      </c>
      <c r="O195" s="14" t="s">
        <v>6990</v>
      </c>
      <c r="P195" s="14" t="s">
        <v>6991</v>
      </c>
      <c r="Q195" s="14">
        <v>422995.71</v>
      </c>
      <c r="R195" s="14">
        <v>6191819.3099999996</v>
      </c>
      <c r="S195" s="14" t="s">
        <v>6973</v>
      </c>
      <c r="T195" s="14" t="s">
        <v>6992</v>
      </c>
      <c r="U195" s="14">
        <v>422981.2</v>
      </c>
      <c r="V195" s="14">
        <v>6191828.71</v>
      </c>
      <c r="W195" s="14">
        <v>0.5</v>
      </c>
      <c r="X195" s="14">
        <v>200.07</v>
      </c>
    </row>
    <row r="196" spans="1:24" s="14" customFormat="1" x14ac:dyDescent="0.25">
      <c r="A196" s="50">
        <v>45096</v>
      </c>
      <c r="B196" s="16">
        <v>170</v>
      </c>
      <c r="C196" s="36">
        <v>0.37358796296296298</v>
      </c>
      <c r="D196" s="16" t="s">
        <v>6826</v>
      </c>
      <c r="E196" s="14" t="s">
        <v>65</v>
      </c>
      <c r="F196" s="16" t="s">
        <v>460</v>
      </c>
      <c r="G196" s="16" t="s">
        <v>454</v>
      </c>
      <c r="H196" s="14">
        <v>-1.2E-2</v>
      </c>
      <c r="I196" s="14" t="s">
        <v>6997</v>
      </c>
      <c r="J196" s="14" t="s">
        <v>6998</v>
      </c>
      <c r="K196" s="14" t="s">
        <v>6999</v>
      </c>
      <c r="L196" s="14" t="s">
        <v>7000</v>
      </c>
      <c r="O196" s="14" t="s">
        <v>6993</v>
      </c>
      <c r="P196" s="14" t="s">
        <v>6994</v>
      </c>
      <c r="Q196" s="14">
        <v>423003.36</v>
      </c>
      <c r="R196" s="14">
        <v>6191842.0800000001</v>
      </c>
      <c r="S196" s="14" t="s">
        <v>6995</v>
      </c>
      <c r="T196" s="14" t="s">
        <v>6996</v>
      </c>
      <c r="U196" s="14">
        <v>422990.18</v>
      </c>
      <c r="V196" s="14">
        <v>6191831.6900000004</v>
      </c>
      <c r="W196" s="14">
        <v>178.58</v>
      </c>
      <c r="X196" s="14">
        <v>200.07</v>
      </c>
    </row>
    <row r="197" spans="1:24" s="14" customFormat="1" x14ac:dyDescent="0.25">
      <c r="A197" s="50">
        <v>45096</v>
      </c>
      <c r="B197" s="16">
        <v>170</v>
      </c>
      <c r="C197" s="36">
        <v>0.37899305555555557</v>
      </c>
      <c r="D197" s="16" t="s">
        <v>6826</v>
      </c>
      <c r="E197" s="14" t="s">
        <v>70</v>
      </c>
      <c r="F197" s="16" t="s">
        <v>460</v>
      </c>
      <c r="G197" s="16" t="s">
        <v>454</v>
      </c>
      <c r="H197" s="14">
        <v>0.216</v>
      </c>
      <c r="I197" s="14" t="s">
        <v>6997</v>
      </c>
      <c r="J197" s="14" t="s">
        <v>6998</v>
      </c>
      <c r="K197" s="14" t="s">
        <v>6999</v>
      </c>
      <c r="L197" s="14" t="s">
        <v>7000</v>
      </c>
      <c r="O197" s="14" t="s">
        <v>7001</v>
      </c>
      <c r="P197" s="14" t="s">
        <v>7002</v>
      </c>
      <c r="Q197" s="14">
        <v>423004.82</v>
      </c>
      <c r="R197" s="14">
        <v>6191607.4699999997</v>
      </c>
      <c r="S197" s="14" t="s">
        <v>7003</v>
      </c>
      <c r="T197" s="14" t="s">
        <v>7004</v>
      </c>
      <c r="U197" s="14">
        <v>422990.23</v>
      </c>
      <c r="V197" s="14">
        <v>6191603.6900000004</v>
      </c>
      <c r="W197" s="14">
        <v>178.87</v>
      </c>
      <c r="X197" s="14">
        <v>200.07</v>
      </c>
    </row>
    <row r="198" spans="1:24" s="14" customFormat="1" x14ac:dyDescent="0.25">
      <c r="A198" s="50">
        <v>45096</v>
      </c>
      <c r="B198" s="16">
        <v>170</v>
      </c>
      <c r="C198" s="36">
        <v>0.38329861111111113</v>
      </c>
      <c r="D198" s="16" t="s">
        <v>6826</v>
      </c>
      <c r="E198" s="14" t="s">
        <v>65</v>
      </c>
      <c r="F198" s="16" t="s">
        <v>460</v>
      </c>
      <c r="G198" s="16" t="s">
        <v>455</v>
      </c>
      <c r="H198" s="14">
        <v>0.21199999999999999</v>
      </c>
      <c r="I198" s="14" t="s">
        <v>7009</v>
      </c>
      <c r="J198" s="14" t="s">
        <v>7010</v>
      </c>
      <c r="K198" s="14" t="s">
        <v>7011</v>
      </c>
      <c r="L198" s="14" t="s">
        <v>7012</v>
      </c>
      <c r="O198" s="14" t="s">
        <v>7005</v>
      </c>
      <c r="P198" s="14" t="s">
        <v>7006</v>
      </c>
      <c r="Q198" s="14">
        <v>423012.98</v>
      </c>
      <c r="R198" s="14">
        <v>6191588.7300000004</v>
      </c>
      <c r="S198" s="14" t="s">
        <v>7007</v>
      </c>
      <c r="T198" s="14" t="s">
        <v>7008</v>
      </c>
      <c r="U198" s="14">
        <v>422999.03999999998</v>
      </c>
      <c r="V198" s="14">
        <v>6191596.6299999999</v>
      </c>
      <c r="W198" s="14">
        <v>3.62</v>
      </c>
      <c r="X198" s="14">
        <v>200.07</v>
      </c>
    </row>
    <row r="199" spans="1:24" s="14" customFormat="1" x14ac:dyDescent="0.25">
      <c r="A199" s="50">
        <v>45096</v>
      </c>
      <c r="B199" s="16">
        <v>170</v>
      </c>
      <c r="C199" s="36">
        <v>0.38856481481481481</v>
      </c>
      <c r="D199" s="16" t="s">
        <v>6826</v>
      </c>
      <c r="E199" s="14" t="s">
        <v>70</v>
      </c>
      <c r="F199" s="16" t="s">
        <v>460</v>
      </c>
      <c r="G199" s="16" t="s">
        <v>455</v>
      </c>
      <c r="H199" s="14">
        <v>-0.02</v>
      </c>
      <c r="I199" s="14" t="s">
        <v>7009</v>
      </c>
      <c r="J199" s="14" t="s">
        <v>7010</v>
      </c>
      <c r="K199" s="14" t="s">
        <v>7011</v>
      </c>
      <c r="L199" s="14" t="s">
        <v>7012</v>
      </c>
      <c r="O199" s="14" t="s">
        <v>7013</v>
      </c>
      <c r="P199" s="14" t="s">
        <v>7014</v>
      </c>
      <c r="Q199" s="14">
        <v>423012.82</v>
      </c>
      <c r="R199" s="14">
        <v>6191821.6399999997</v>
      </c>
      <c r="S199" s="14" t="s">
        <v>7015</v>
      </c>
      <c r="T199" s="14" t="s">
        <v>7016</v>
      </c>
      <c r="U199" s="14">
        <v>422999.26</v>
      </c>
      <c r="V199" s="14">
        <v>6191828.9500000002</v>
      </c>
      <c r="W199" s="14">
        <v>359.33</v>
      </c>
      <c r="X199" s="14">
        <v>200.07</v>
      </c>
    </row>
    <row r="200" spans="1:24" s="14" customFormat="1" x14ac:dyDescent="0.25">
      <c r="A200" s="50">
        <v>45096</v>
      </c>
      <c r="B200" s="16">
        <v>170</v>
      </c>
      <c r="C200" s="36">
        <v>0.39266203703703706</v>
      </c>
      <c r="D200" s="16" t="s">
        <v>6826</v>
      </c>
      <c r="E200" s="14" t="s">
        <v>65</v>
      </c>
      <c r="F200" s="16" t="s">
        <v>460</v>
      </c>
      <c r="G200" s="16" t="s">
        <v>456</v>
      </c>
      <c r="H200" s="14">
        <v>-1.2999999999999999E-2</v>
      </c>
      <c r="I200" s="14" t="s">
        <v>7021</v>
      </c>
      <c r="J200" s="14" t="s">
        <v>7022</v>
      </c>
      <c r="K200" s="14" t="s">
        <v>7023</v>
      </c>
      <c r="L200" s="14" t="s">
        <v>7024</v>
      </c>
      <c r="O200" s="14" t="s">
        <v>7017</v>
      </c>
      <c r="P200" s="14" t="s">
        <v>7018</v>
      </c>
      <c r="Q200" s="14">
        <v>423021.14</v>
      </c>
      <c r="R200" s="14">
        <v>6191844.1200000001</v>
      </c>
      <c r="S200" s="14" t="s">
        <v>7019</v>
      </c>
      <c r="T200" s="14" t="s">
        <v>7020</v>
      </c>
      <c r="U200" s="14">
        <v>423008.17</v>
      </c>
      <c r="V200" s="14">
        <v>6191833.3600000003</v>
      </c>
      <c r="W200" s="14">
        <v>179.32</v>
      </c>
      <c r="X200" s="14">
        <v>200.07</v>
      </c>
    </row>
    <row r="201" spans="1:24" s="14" customFormat="1" x14ac:dyDescent="0.25">
      <c r="A201" s="50">
        <v>45096</v>
      </c>
      <c r="B201" s="16">
        <v>170</v>
      </c>
      <c r="C201" s="36">
        <v>0.39792824074074074</v>
      </c>
      <c r="D201" s="16" t="s">
        <v>6826</v>
      </c>
      <c r="E201" s="14" t="s">
        <v>70</v>
      </c>
      <c r="F201" s="16" t="s">
        <v>460</v>
      </c>
      <c r="G201" s="16" t="s">
        <v>456</v>
      </c>
      <c r="H201" s="14">
        <v>0.219</v>
      </c>
      <c r="I201" s="14" t="s">
        <v>7021</v>
      </c>
      <c r="J201" s="14" t="s">
        <v>7022</v>
      </c>
      <c r="K201" s="14" t="s">
        <v>7023</v>
      </c>
      <c r="L201" s="14" t="s">
        <v>7024</v>
      </c>
      <c r="O201" s="14" t="s">
        <v>7025</v>
      </c>
      <c r="P201" s="14" t="s">
        <v>7026</v>
      </c>
      <c r="Q201" s="14">
        <v>423022.27</v>
      </c>
      <c r="R201" s="14">
        <v>6191612.0599999996</v>
      </c>
      <c r="S201" s="14" t="s">
        <v>7027</v>
      </c>
      <c r="T201" s="14" t="s">
        <v>7028</v>
      </c>
      <c r="U201" s="14">
        <v>423008.21</v>
      </c>
      <c r="V201" s="14">
        <v>6191600.7999999998</v>
      </c>
      <c r="W201" s="14">
        <v>178.91</v>
      </c>
      <c r="X201" s="14">
        <v>200.07</v>
      </c>
    </row>
    <row r="202" spans="1:24" s="14" customFormat="1" x14ac:dyDescent="0.25">
      <c r="A202" s="50">
        <v>45096</v>
      </c>
      <c r="B202" s="16">
        <v>170</v>
      </c>
      <c r="C202" s="36">
        <v>0.40119212962962963</v>
      </c>
      <c r="D202" s="16" t="s">
        <v>6826</v>
      </c>
      <c r="E202" s="14" t="s">
        <v>65</v>
      </c>
      <c r="F202" s="16" t="s">
        <v>460</v>
      </c>
      <c r="G202" s="16" t="s">
        <v>457</v>
      </c>
      <c r="H202" s="14">
        <v>0.20899999999999999</v>
      </c>
      <c r="I202" s="14" t="s">
        <v>7033</v>
      </c>
      <c r="J202" s="14" t="s">
        <v>7034</v>
      </c>
      <c r="K202" s="14" t="s">
        <v>7035</v>
      </c>
      <c r="L202" s="14" t="s">
        <v>7024</v>
      </c>
      <c r="O202" s="14" t="s">
        <v>7029</v>
      </c>
      <c r="P202" s="14" t="s">
        <v>7030</v>
      </c>
      <c r="Q202" s="14">
        <v>423029.53</v>
      </c>
      <c r="R202" s="14">
        <v>6191590.0300000003</v>
      </c>
      <c r="S202" s="14" t="s">
        <v>7031</v>
      </c>
      <c r="T202" s="14" t="s">
        <v>7032</v>
      </c>
      <c r="U202" s="14">
        <v>423017.22</v>
      </c>
      <c r="V202" s="14">
        <v>6191599.9699999997</v>
      </c>
      <c r="W202" s="14">
        <v>359.56</v>
      </c>
      <c r="X202" s="14">
        <v>200.07</v>
      </c>
    </row>
    <row r="203" spans="1:24" s="14" customFormat="1" x14ac:dyDescent="0.25">
      <c r="A203" s="50">
        <v>45096</v>
      </c>
      <c r="B203" s="16">
        <v>170</v>
      </c>
      <c r="C203" s="36">
        <v>0.40638888888888891</v>
      </c>
      <c r="D203" s="16" t="s">
        <v>6826</v>
      </c>
      <c r="E203" s="14" t="s">
        <v>70</v>
      </c>
      <c r="F203" s="16" t="s">
        <v>460</v>
      </c>
      <c r="G203" s="16" t="s">
        <v>457</v>
      </c>
      <c r="H203" s="14">
        <v>-2.1999999999999999E-2</v>
      </c>
      <c r="I203" s="14" t="s">
        <v>7033</v>
      </c>
      <c r="J203" s="14" t="s">
        <v>7034</v>
      </c>
      <c r="K203" s="14" t="s">
        <v>7035</v>
      </c>
      <c r="L203" s="14" t="s">
        <v>7040</v>
      </c>
      <c r="O203" s="14" t="s">
        <v>7036</v>
      </c>
      <c r="P203" s="14" t="s">
        <v>7037</v>
      </c>
      <c r="Q203" s="14">
        <v>423030.41</v>
      </c>
      <c r="R203" s="14">
        <v>6191817.7999999998</v>
      </c>
      <c r="S203" s="14" t="s">
        <v>7038</v>
      </c>
      <c r="T203" s="14" t="s">
        <v>7039</v>
      </c>
      <c r="U203" s="14">
        <v>423017.2</v>
      </c>
      <c r="V203" s="14">
        <v>6191830.6399999997</v>
      </c>
      <c r="W203" s="14">
        <v>359.13</v>
      </c>
      <c r="X203" s="14">
        <v>200.07</v>
      </c>
    </row>
    <row r="204" spans="1:24" s="14" customFormat="1" x14ac:dyDescent="0.25">
      <c r="A204" s="50">
        <v>45096</v>
      </c>
      <c r="B204" s="16">
        <v>170</v>
      </c>
      <c r="C204" s="36">
        <v>0.40966435185185185</v>
      </c>
      <c r="D204" s="16" t="s">
        <v>6826</v>
      </c>
      <c r="E204" s="14" t="s">
        <v>65</v>
      </c>
      <c r="F204" s="16" t="s">
        <v>460</v>
      </c>
      <c r="G204" s="16" t="s">
        <v>458</v>
      </c>
      <c r="H204" s="14">
        <v>-6.0000000000000001E-3</v>
      </c>
      <c r="I204" s="14" t="s">
        <v>7045</v>
      </c>
      <c r="J204" s="14" t="s">
        <v>7046</v>
      </c>
      <c r="K204" s="14" t="s">
        <v>7047</v>
      </c>
      <c r="L204" s="14" t="s">
        <v>7040</v>
      </c>
      <c r="O204" s="14" t="s">
        <v>7041</v>
      </c>
      <c r="P204" s="14" t="s">
        <v>7042</v>
      </c>
      <c r="Q204" s="14">
        <v>423037.76</v>
      </c>
      <c r="R204" s="14">
        <v>6191832.9800000004</v>
      </c>
      <c r="S204" s="14" t="s">
        <v>7043</v>
      </c>
      <c r="T204" s="14" t="s">
        <v>7044</v>
      </c>
      <c r="U204" s="14">
        <v>423026.05</v>
      </c>
      <c r="V204" s="14">
        <v>6191826.4100000001</v>
      </c>
      <c r="W204" s="14">
        <v>178.57</v>
      </c>
      <c r="X204" s="14">
        <v>200.07</v>
      </c>
    </row>
    <row r="205" spans="1:24" s="14" customFormat="1" x14ac:dyDescent="0.25">
      <c r="A205" s="50">
        <v>45096</v>
      </c>
      <c r="B205" s="16">
        <v>170</v>
      </c>
      <c r="C205" s="36">
        <v>0.4148148148148148</v>
      </c>
      <c r="D205" s="16" t="s">
        <v>6826</v>
      </c>
      <c r="E205" s="14" t="s">
        <v>70</v>
      </c>
      <c r="F205" s="16" t="s">
        <v>460</v>
      </c>
      <c r="G205" s="16" t="s">
        <v>458</v>
      </c>
      <c r="H205" s="14">
        <v>0.217</v>
      </c>
      <c r="I205" s="14" t="s">
        <v>7045</v>
      </c>
      <c r="J205" s="14" t="s">
        <v>7046</v>
      </c>
      <c r="K205" s="14" t="s">
        <v>7047</v>
      </c>
      <c r="L205" s="14" t="s">
        <v>7052</v>
      </c>
      <c r="O205" s="14" t="s">
        <v>7048</v>
      </c>
      <c r="P205" s="14" t="s">
        <v>7049</v>
      </c>
      <c r="Q205" s="14">
        <v>423040.24</v>
      </c>
      <c r="R205" s="14">
        <v>6191607.6500000004</v>
      </c>
      <c r="S205" s="14" t="s">
        <v>7050</v>
      </c>
      <c r="T205" s="14" t="s">
        <v>7051</v>
      </c>
      <c r="U205" s="14">
        <v>423026.17</v>
      </c>
      <c r="V205" s="14">
        <v>6191603.1900000004</v>
      </c>
      <c r="W205" s="14">
        <v>178.61</v>
      </c>
      <c r="X205" s="14">
        <v>200.07</v>
      </c>
    </row>
    <row r="206" spans="1:24" s="14" customFormat="1" x14ac:dyDescent="0.25">
      <c r="A206" s="50">
        <v>45096</v>
      </c>
      <c r="B206" s="16">
        <v>170</v>
      </c>
      <c r="C206" s="36">
        <v>0.41843750000000002</v>
      </c>
      <c r="D206" s="16" t="s">
        <v>6826</v>
      </c>
      <c r="E206" s="14" t="s">
        <v>65</v>
      </c>
      <c r="F206" s="16" t="s">
        <v>460</v>
      </c>
      <c r="G206" s="16" t="s">
        <v>459</v>
      </c>
      <c r="H206" s="14">
        <v>0.20699999999999999</v>
      </c>
      <c r="I206" s="14" t="s">
        <v>7057</v>
      </c>
      <c r="J206" s="14" t="s">
        <v>7058</v>
      </c>
      <c r="K206" s="14" t="s">
        <v>7059</v>
      </c>
      <c r="L206" s="14" t="s">
        <v>7052</v>
      </c>
      <c r="O206" s="14" t="s">
        <v>7053</v>
      </c>
      <c r="P206" s="14" t="s">
        <v>7054</v>
      </c>
      <c r="Q206" s="14">
        <v>423048.02</v>
      </c>
      <c r="R206" s="14">
        <v>6191590.96</v>
      </c>
      <c r="S206" s="14" t="s">
        <v>7055</v>
      </c>
      <c r="T206" s="14" t="s">
        <v>7056</v>
      </c>
      <c r="U206" s="14">
        <v>423035.09</v>
      </c>
      <c r="V206" s="14">
        <v>6191602.0599999996</v>
      </c>
      <c r="W206" s="14">
        <v>0.95</v>
      </c>
      <c r="X206" s="14">
        <v>200.07</v>
      </c>
    </row>
    <row r="207" spans="1:24" s="14" customFormat="1" x14ac:dyDescent="0.25">
      <c r="A207" s="50">
        <v>45096</v>
      </c>
      <c r="B207" s="16">
        <v>170</v>
      </c>
      <c r="C207" s="36">
        <v>0.4223263888888889</v>
      </c>
      <c r="D207" s="16" t="s">
        <v>6826</v>
      </c>
      <c r="E207" s="14" t="s">
        <v>70</v>
      </c>
      <c r="F207" s="16" t="s">
        <v>460</v>
      </c>
      <c r="G207" s="16" t="s">
        <v>459</v>
      </c>
      <c r="H207" s="14">
        <v>-1.4999999999999999E-2</v>
      </c>
      <c r="I207" s="14" t="s">
        <v>7057</v>
      </c>
      <c r="J207" s="14" t="s">
        <v>7058</v>
      </c>
      <c r="K207" s="14" t="s">
        <v>7059</v>
      </c>
      <c r="L207" s="14" t="s">
        <v>7052</v>
      </c>
      <c r="O207" s="14" t="s">
        <v>7060</v>
      </c>
      <c r="P207" s="14" t="s">
        <v>7061</v>
      </c>
      <c r="Q207" s="14">
        <v>423048.81</v>
      </c>
      <c r="R207" s="14">
        <v>6191811.7000000002</v>
      </c>
      <c r="S207" s="14" t="s">
        <v>7062</v>
      </c>
      <c r="T207" s="14" t="s">
        <v>7063</v>
      </c>
      <c r="U207" s="14">
        <v>423035.31</v>
      </c>
      <c r="V207" s="14">
        <v>6191823.4000000004</v>
      </c>
      <c r="W207" s="14">
        <v>358.73</v>
      </c>
      <c r="X207" s="14">
        <v>200.07</v>
      </c>
    </row>
    <row r="208" spans="1:24" s="81" customFormat="1" x14ac:dyDescent="0.25">
      <c r="A208" s="78">
        <v>45096</v>
      </c>
      <c r="B208" s="79">
        <v>170</v>
      </c>
      <c r="C208" s="80">
        <v>0.43084490740740744</v>
      </c>
      <c r="D208" s="79" t="s">
        <v>6826</v>
      </c>
      <c r="E208" s="81" t="s">
        <v>7068</v>
      </c>
      <c r="F208" s="79"/>
      <c r="G208" s="79" t="s">
        <v>661</v>
      </c>
      <c r="H208" s="81">
        <v>2.5830000000000002</v>
      </c>
      <c r="O208" s="81" t="s">
        <v>7064</v>
      </c>
      <c r="P208" s="81" t="s">
        <v>7065</v>
      </c>
      <c r="Q208" s="81">
        <v>423058.63</v>
      </c>
      <c r="R208" s="81">
        <v>6191847.0800000001</v>
      </c>
      <c r="S208" s="81" t="s">
        <v>7066</v>
      </c>
      <c r="T208" s="81" t="s">
        <v>7067</v>
      </c>
      <c r="U208" s="81">
        <v>423045.98</v>
      </c>
      <c r="V208" s="81">
        <v>6191849.96</v>
      </c>
      <c r="W208" s="81">
        <v>272.39999999999998</v>
      </c>
      <c r="X208" s="81">
        <v>150.05000000000001</v>
      </c>
    </row>
    <row r="209" spans="1:24" s="14" customFormat="1" x14ac:dyDescent="0.25">
      <c r="A209" s="50">
        <v>45096</v>
      </c>
      <c r="B209" s="16">
        <v>170</v>
      </c>
      <c r="C209" s="36">
        <v>0.43159722222222219</v>
      </c>
      <c r="D209" s="16" t="s">
        <v>6826</v>
      </c>
      <c r="E209" s="14" t="s">
        <v>7073</v>
      </c>
      <c r="F209" s="16"/>
      <c r="G209" s="16" t="s">
        <v>661</v>
      </c>
      <c r="H209" s="14">
        <v>2.5779999999999998</v>
      </c>
      <c r="O209" s="14" t="s">
        <v>7069</v>
      </c>
      <c r="P209" s="14" t="s">
        <v>7070</v>
      </c>
      <c r="Q209" s="14">
        <v>423052.23</v>
      </c>
      <c r="R209" s="14">
        <v>6191849.6100000003</v>
      </c>
      <c r="S209" s="14" t="s">
        <v>7071</v>
      </c>
      <c r="T209" s="14" t="s">
        <v>7072</v>
      </c>
      <c r="U209" s="14">
        <v>423042.01</v>
      </c>
      <c r="V209" s="14">
        <v>6191853.9199999999</v>
      </c>
      <c r="W209" s="14">
        <v>281.99</v>
      </c>
      <c r="X209" s="14">
        <v>150.05000000000001</v>
      </c>
    </row>
    <row r="210" spans="1:24" s="14" customFormat="1" x14ac:dyDescent="0.25">
      <c r="A210" s="50">
        <v>45096</v>
      </c>
      <c r="B210" s="16">
        <v>170</v>
      </c>
      <c r="C210" s="36">
        <v>0.45049768518518518</v>
      </c>
      <c r="D210" s="16" t="s">
        <v>7074</v>
      </c>
      <c r="E210" s="14" t="s">
        <v>6362</v>
      </c>
      <c r="F210" s="16"/>
      <c r="G210" s="16" t="s">
        <v>661</v>
      </c>
      <c r="H210" s="14">
        <v>-7.0000000000000001E-3</v>
      </c>
      <c r="O210" s="14" t="s">
        <v>7075</v>
      </c>
      <c r="P210" s="14" t="s">
        <v>7076</v>
      </c>
      <c r="Q210" s="14">
        <v>425654.71</v>
      </c>
      <c r="R210" s="14">
        <v>6194441.1299999999</v>
      </c>
      <c r="S210" s="14" t="s">
        <v>7077</v>
      </c>
      <c r="T210" s="14" t="s">
        <v>7078</v>
      </c>
      <c r="U210" s="14">
        <v>425664.89</v>
      </c>
      <c r="V210" s="14">
        <v>6194439</v>
      </c>
      <c r="W210" s="14">
        <v>80.03</v>
      </c>
      <c r="X210" s="14">
        <v>150.05000000000001</v>
      </c>
    </row>
    <row r="211" spans="1:24" s="77" customFormat="1" x14ac:dyDescent="0.25">
      <c r="A211" s="74">
        <v>45096</v>
      </c>
      <c r="B211" s="75">
        <v>170</v>
      </c>
      <c r="C211" s="76">
        <v>0.4505439814814815</v>
      </c>
      <c r="D211" s="75" t="s">
        <v>7074</v>
      </c>
      <c r="E211" s="77" t="s">
        <v>7083</v>
      </c>
      <c r="F211" s="75"/>
      <c r="G211" s="75" t="s">
        <v>661</v>
      </c>
      <c r="H211" s="77">
        <v>-7.0000000000000001E-3</v>
      </c>
      <c r="O211" s="77" t="s">
        <v>7079</v>
      </c>
      <c r="P211" s="77" t="s">
        <v>7080</v>
      </c>
      <c r="Q211" s="77">
        <v>425654.74</v>
      </c>
      <c r="R211" s="77">
        <v>6194441.1100000003</v>
      </c>
      <c r="S211" s="77" t="s">
        <v>7081</v>
      </c>
      <c r="T211" s="77" t="s">
        <v>7082</v>
      </c>
      <c r="U211" s="77">
        <v>425664.86</v>
      </c>
      <c r="V211" s="77">
        <v>6194439.0999999996</v>
      </c>
      <c r="W211" s="77">
        <v>79.89</v>
      </c>
      <c r="X211" s="77">
        <v>150.05000000000001</v>
      </c>
    </row>
    <row r="212" spans="1:24" s="68" customFormat="1" x14ac:dyDescent="0.25">
      <c r="A212" s="65">
        <v>45096</v>
      </c>
      <c r="B212" s="66">
        <v>170</v>
      </c>
      <c r="C212" s="67">
        <v>0.45591435185185186</v>
      </c>
      <c r="D212" s="66" t="s">
        <v>7074</v>
      </c>
      <c r="E212" s="68" t="s">
        <v>7102</v>
      </c>
      <c r="F212" s="66"/>
      <c r="G212" s="66" t="s">
        <v>661</v>
      </c>
      <c r="H212" s="68">
        <v>-7.0000000000000001E-3</v>
      </c>
      <c r="M212" s="68" t="s">
        <v>7097</v>
      </c>
      <c r="O212" s="68" t="s">
        <v>7098</v>
      </c>
      <c r="P212" s="68" t="s">
        <v>7099</v>
      </c>
      <c r="Q212" s="68">
        <v>425653.38</v>
      </c>
      <c r="R212" s="68">
        <v>6194440.5</v>
      </c>
      <c r="S212" s="68" t="s">
        <v>7100</v>
      </c>
      <c r="T212" s="68" t="s">
        <v>7101</v>
      </c>
      <c r="U212" s="68">
        <v>425671.98</v>
      </c>
      <c r="V212" s="68">
        <v>6194440.5300000003</v>
      </c>
      <c r="W212" s="68">
        <v>97.14</v>
      </c>
      <c r="X212" s="68">
        <v>150.05000000000001</v>
      </c>
    </row>
    <row r="213" spans="1:24" s="14" customFormat="1" x14ac:dyDescent="0.25">
      <c r="A213" s="50">
        <v>45096</v>
      </c>
      <c r="B213" s="16">
        <v>170</v>
      </c>
      <c r="C213" s="36">
        <v>0.46153935185185185</v>
      </c>
      <c r="D213" s="16" t="s">
        <v>7074</v>
      </c>
      <c r="E213" s="14" t="s">
        <v>65</v>
      </c>
      <c r="F213" s="16" t="s">
        <v>323</v>
      </c>
      <c r="G213" s="16" t="s">
        <v>661</v>
      </c>
      <c r="H213" s="14">
        <v>-1.4E-2</v>
      </c>
      <c r="I213" s="14" t="s">
        <v>7107</v>
      </c>
      <c r="J213" s="14" t="s">
        <v>7108</v>
      </c>
      <c r="K213" s="14" t="s">
        <v>7109</v>
      </c>
      <c r="L213" s="14" t="s">
        <v>7110</v>
      </c>
      <c r="O213" s="14" t="s">
        <v>7103</v>
      </c>
      <c r="P213" s="14" t="s">
        <v>7104</v>
      </c>
      <c r="Q213" s="14">
        <v>425645.89</v>
      </c>
      <c r="R213" s="14">
        <v>6194457.2699999996</v>
      </c>
      <c r="S213" s="14" t="s">
        <v>7105</v>
      </c>
      <c r="T213" s="14" t="s">
        <v>7106</v>
      </c>
      <c r="U213" s="14">
        <v>425666.21</v>
      </c>
      <c r="V213" s="14">
        <v>6194451.75</v>
      </c>
      <c r="W213" s="14">
        <v>179.97</v>
      </c>
      <c r="X213" s="14">
        <v>150.05000000000001</v>
      </c>
    </row>
    <row r="214" spans="1:24" s="14" customFormat="1" x14ac:dyDescent="0.25">
      <c r="A214" s="50">
        <v>45096</v>
      </c>
      <c r="B214" s="16">
        <v>170</v>
      </c>
      <c r="C214" s="36">
        <v>0.46510416666666665</v>
      </c>
      <c r="D214" s="16" t="s">
        <v>7074</v>
      </c>
      <c r="E214" s="14" t="s">
        <v>70</v>
      </c>
      <c r="F214" s="16" t="s">
        <v>323</v>
      </c>
      <c r="G214" s="16" t="s">
        <v>661</v>
      </c>
      <c r="H214" s="14">
        <v>0.17399999999999999</v>
      </c>
      <c r="I214" s="14" t="s">
        <v>7107</v>
      </c>
      <c r="J214" s="14" t="s">
        <v>7108</v>
      </c>
      <c r="K214" s="14" t="s">
        <v>7109</v>
      </c>
      <c r="L214" s="14" t="s">
        <v>7115</v>
      </c>
      <c r="O214" s="14" t="s">
        <v>7111</v>
      </c>
      <c r="P214" s="14" t="s">
        <v>7112</v>
      </c>
      <c r="Q214" s="14">
        <v>425644.94</v>
      </c>
      <c r="R214" s="14">
        <v>6194272.9000000004</v>
      </c>
      <c r="S214" s="14" t="s">
        <v>7113</v>
      </c>
      <c r="T214" s="14" t="s">
        <v>7114</v>
      </c>
      <c r="U214" s="14">
        <v>425666.21</v>
      </c>
      <c r="V214" s="14">
        <v>6194263.9800000004</v>
      </c>
      <c r="W214" s="14">
        <v>179.42</v>
      </c>
      <c r="X214" s="14">
        <v>150.05000000000001</v>
      </c>
    </row>
    <row r="215" spans="1:24" s="14" customFormat="1" x14ac:dyDescent="0.25">
      <c r="A215" s="50">
        <v>45096</v>
      </c>
      <c r="B215" s="16">
        <v>170</v>
      </c>
      <c r="C215" s="36">
        <v>0.46913194444444445</v>
      </c>
      <c r="D215" s="16" t="s">
        <v>7074</v>
      </c>
      <c r="E215" s="14" t="s">
        <v>65</v>
      </c>
      <c r="F215" s="16" t="s">
        <v>323</v>
      </c>
      <c r="G215" s="16" t="s">
        <v>660</v>
      </c>
      <c r="H215" s="14">
        <v>0.16400000000000001</v>
      </c>
      <c r="I215" s="14" t="s">
        <v>7120</v>
      </c>
      <c r="J215" s="14" t="s">
        <v>7121</v>
      </c>
      <c r="K215" s="14" t="s">
        <v>7122</v>
      </c>
      <c r="L215" s="14" t="s">
        <v>7115</v>
      </c>
      <c r="O215" s="14" t="s">
        <v>7116</v>
      </c>
      <c r="P215" s="14" t="s">
        <v>7117</v>
      </c>
      <c r="Q215" s="14">
        <v>425652.62</v>
      </c>
      <c r="R215" s="14">
        <v>6194259.0099999998</v>
      </c>
      <c r="S215" s="14" t="s">
        <v>7118</v>
      </c>
      <c r="T215" s="14" t="s">
        <v>7119</v>
      </c>
      <c r="U215" s="14">
        <v>425675.23</v>
      </c>
      <c r="V215" s="14">
        <v>6194263.1799999997</v>
      </c>
      <c r="W215" s="14">
        <v>1.01</v>
      </c>
      <c r="X215" s="14">
        <v>150.05000000000001</v>
      </c>
    </row>
    <row r="216" spans="1:24" s="14" customFormat="1" x14ac:dyDescent="0.25">
      <c r="A216" s="50">
        <v>45096</v>
      </c>
      <c r="B216" s="16">
        <v>170</v>
      </c>
      <c r="C216" s="36">
        <v>0.4727662037037037</v>
      </c>
      <c r="D216" s="16" t="s">
        <v>7074</v>
      </c>
      <c r="E216" s="14" t="s">
        <v>70</v>
      </c>
      <c r="F216" s="16" t="s">
        <v>323</v>
      </c>
      <c r="G216" s="16" t="s">
        <v>660</v>
      </c>
      <c r="H216" s="14">
        <v>-0.02</v>
      </c>
      <c r="I216" s="14" t="s">
        <v>7120</v>
      </c>
      <c r="J216" s="14" t="s">
        <v>7121</v>
      </c>
      <c r="K216" s="14" t="s">
        <v>7122</v>
      </c>
      <c r="L216" s="14" t="s">
        <v>7115</v>
      </c>
      <c r="O216" s="14" t="s">
        <v>7123</v>
      </c>
      <c r="P216" s="14" t="s">
        <v>7124</v>
      </c>
      <c r="Q216" s="14">
        <v>425653.26</v>
      </c>
      <c r="R216" s="14">
        <v>6194442.04</v>
      </c>
      <c r="S216" s="14" t="s">
        <v>7125</v>
      </c>
      <c r="T216" s="14" t="s">
        <v>7126</v>
      </c>
      <c r="U216" s="14">
        <v>425675.29</v>
      </c>
      <c r="V216" s="14">
        <v>6194447.25</v>
      </c>
      <c r="W216" s="14">
        <v>359.72</v>
      </c>
      <c r="X216" s="14">
        <v>150.05000000000001</v>
      </c>
    </row>
    <row r="217" spans="1:24" s="14" customFormat="1" x14ac:dyDescent="0.25">
      <c r="A217" s="50">
        <v>45096</v>
      </c>
      <c r="B217" s="16">
        <v>170</v>
      </c>
      <c r="C217" s="36">
        <v>0.47637731481481477</v>
      </c>
      <c r="D217" s="16" t="s">
        <v>7074</v>
      </c>
      <c r="E217" s="14" t="s">
        <v>65</v>
      </c>
      <c r="F217" s="16" t="s">
        <v>323</v>
      </c>
      <c r="G217" s="16" t="s">
        <v>659</v>
      </c>
      <c r="H217" s="14">
        <v>-6.0000000000000001E-3</v>
      </c>
      <c r="I217" s="14" t="s">
        <v>7131</v>
      </c>
      <c r="J217" s="14" t="s">
        <v>7132</v>
      </c>
      <c r="K217" s="14" t="s">
        <v>7133</v>
      </c>
      <c r="L217" s="14" t="s">
        <v>7134</v>
      </c>
      <c r="O217" s="14" t="s">
        <v>7127</v>
      </c>
      <c r="P217" s="14" t="s">
        <v>7128</v>
      </c>
      <c r="Q217" s="14">
        <v>425662.62</v>
      </c>
      <c r="R217" s="14">
        <v>6194446.5700000003</v>
      </c>
      <c r="S217" s="14" t="s">
        <v>7129</v>
      </c>
      <c r="T217" s="14" t="s">
        <v>7130</v>
      </c>
      <c r="U217" s="14">
        <v>425684.25</v>
      </c>
      <c r="V217" s="14">
        <v>6194444.4199999999</v>
      </c>
      <c r="W217" s="14">
        <v>179.64</v>
      </c>
      <c r="X217" s="14">
        <v>150.05000000000001</v>
      </c>
    </row>
    <row r="218" spans="1:24" s="14" customFormat="1" x14ac:dyDescent="0.25">
      <c r="A218" s="50">
        <v>45096</v>
      </c>
      <c r="B218" s="16">
        <v>170</v>
      </c>
      <c r="C218" s="36">
        <v>0.48045138888888889</v>
      </c>
      <c r="D218" s="16" t="s">
        <v>7074</v>
      </c>
      <c r="E218" s="14" t="s">
        <v>70</v>
      </c>
      <c r="F218" s="16" t="s">
        <v>323</v>
      </c>
      <c r="G218" s="16" t="s">
        <v>659</v>
      </c>
      <c r="H218" s="14">
        <v>0.17399999999999999</v>
      </c>
      <c r="I218" s="14" t="s">
        <v>7131</v>
      </c>
      <c r="J218" s="14" t="s">
        <v>7132</v>
      </c>
      <c r="K218" s="14" t="s">
        <v>7133</v>
      </c>
      <c r="L218" s="14" t="s">
        <v>7134</v>
      </c>
      <c r="O218" s="14" t="s">
        <v>7135</v>
      </c>
      <c r="P218" s="14" t="s">
        <v>7136</v>
      </c>
      <c r="Q218" s="14">
        <v>425662.05</v>
      </c>
      <c r="R218" s="14">
        <v>6194267.2400000002</v>
      </c>
      <c r="S218" s="14" t="s">
        <v>7137</v>
      </c>
      <c r="T218" s="14" t="s">
        <v>7138</v>
      </c>
      <c r="U218" s="14">
        <v>425684.26</v>
      </c>
      <c r="V218" s="14">
        <v>6194264.46</v>
      </c>
      <c r="W218" s="14">
        <v>179.68</v>
      </c>
      <c r="X218" s="14">
        <v>150.05000000000001</v>
      </c>
    </row>
    <row r="219" spans="1:24" s="14" customFormat="1" x14ac:dyDescent="0.25">
      <c r="A219" s="50">
        <v>45096</v>
      </c>
      <c r="B219" s="16">
        <v>170</v>
      </c>
      <c r="C219" s="36">
        <v>0.48450231481481482</v>
      </c>
      <c r="D219" s="16" t="s">
        <v>7074</v>
      </c>
      <c r="E219" s="14" t="s">
        <v>65</v>
      </c>
      <c r="F219" s="16" t="s">
        <v>323</v>
      </c>
      <c r="G219" s="16" t="s">
        <v>658</v>
      </c>
      <c r="H219" s="14">
        <v>0.16700000000000001</v>
      </c>
      <c r="I219" s="14" t="s">
        <v>7143</v>
      </c>
      <c r="J219" s="14" t="s">
        <v>7144</v>
      </c>
      <c r="K219" s="14" t="s">
        <v>7145</v>
      </c>
      <c r="L219" s="14" t="s">
        <v>7134</v>
      </c>
      <c r="O219" s="14" t="s">
        <v>7139</v>
      </c>
      <c r="P219" s="14" t="s">
        <v>7140</v>
      </c>
      <c r="Q219" s="14">
        <v>425672.37</v>
      </c>
      <c r="R219" s="14">
        <v>6194256.7699999996</v>
      </c>
      <c r="S219" s="14" t="s">
        <v>7141</v>
      </c>
      <c r="T219" s="14" t="s">
        <v>7142</v>
      </c>
      <c r="U219" s="14">
        <v>425693.32</v>
      </c>
      <c r="V219" s="14">
        <v>6194259.6500000004</v>
      </c>
      <c r="W219" s="14">
        <v>0.23</v>
      </c>
      <c r="X219" s="14">
        <v>150.05000000000001</v>
      </c>
    </row>
    <row r="220" spans="1:24" s="14" customFormat="1" x14ac:dyDescent="0.25">
      <c r="A220" s="50">
        <v>45096</v>
      </c>
      <c r="B220" s="16">
        <v>170</v>
      </c>
      <c r="C220" s="36">
        <v>0.48864583333333328</v>
      </c>
      <c r="D220" s="16" t="s">
        <v>7074</v>
      </c>
      <c r="E220" s="14" t="s">
        <v>70</v>
      </c>
      <c r="F220" s="16" t="s">
        <v>323</v>
      </c>
      <c r="G220" s="16" t="s">
        <v>658</v>
      </c>
      <c r="H220" s="14">
        <v>-1.7000000000000001E-2</v>
      </c>
      <c r="I220" s="14" t="s">
        <v>7143</v>
      </c>
      <c r="J220" s="14" t="s">
        <v>7144</v>
      </c>
      <c r="K220" s="14" t="s">
        <v>7145</v>
      </c>
      <c r="L220" s="14" t="s">
        <v>7150</v>
      </c>
      <c r="O220" s="14" t="s">
        <v>7146</v>
      </c>
      <c r="P220" s="14" t="s">
        <v>7147</v>
      </c>
      <c r="Q220" s="14">
        <v>425673.38</v>
      </c>
      <c r="R220" s="14">
        <v>6194438.9100000001</v>
      </c>
      <c r="S220" s="14" t="s">
        <v>7148</v>
      </c>
      <c r="T220" s="14" t="s">
        <v>7149</v>
      </c>
      <c r="U220" s="14">
        <v>425693.29</v>
      </c>
      <c r="V220" s="14">
        <v>6194443.4900000002</v>
      </c>
      <c r="W220" s="14">
        <v>358.28</v>
      </c>
      <c r="X220" s="14">
        <v>150.05000000000001</v>
      </c>
    </row>
    <row r="221" spans="1:24" s="14" customFormat="1" x14ac:dyDescent="0.25">
      <c r="A221" s="50">
        <v>45096</v>
      </c>
      <c r="B221" s="16">
        <v>170</v>
      </c>
      <c r="C221" s="36">
        <v>0.49245370370370373</v>
      </c>
      <c r="D221" s="16" t="s">
        <v>7074</v>
      </c>
      <c r="E221" s="14" t="s">
        <v>65</v>
      </c>
      <c r="F221" s="16" t="s">
        <v>323</v>
      </c>
      <c r="G221" s="16" t="s">
        <v>657</v>
      </c>
      <c r="H221" s="14">
        <v>-6.0000000000000001E-3</v>
      </c>
      <c r="I221" s="14" t="s">
        <v>7155</v>
      </c>
      <c r="J221" s="14" t="s">
        <v>7156</v>
      </c>
      <c r="K221" s="14" t="s">
        <v>7157</v>
      </c>
      <c r="L221" s="14" t="s">
        <v>7150</v>
      </c>
      <c r="O221" s="14" t="s">
        <v>7151</v>
      </c>
      <c r="P221" s="14" t="s">
        <v>7152</v>
      </c>
      <c r="Q221" s="14">
        <v>425682.13</v>
      </c>
      <c r="R221" s="14">
        <v>6194448.7800000003</v>
      </c>
      <c r="S221" s="14" t="s">
        <v>7153</v>
      </c>
      <c r="T221" s="14" t="s">
        <v>7154</v>
      </c>
      <c r="U221" s="14">
        <v>425702.26</v>
      </c>
      <c r="V221" s="14">
        <v>6194444.4699999997</v>
      </c>
      <c r="W221" s="14">
        <v>179.81</v>
      </c>
      <c r="X221" s="14">
        <v>150.05000000000001</v>
      </c>
    </row>
    <row r="222" spans="1:24" s="14" customFormat="1" x14ac:dyDescent="0.25">
      <c r="A222" s="50">
        <v>45096</v>
      </c>
      <c r="B222" s="16">
        <v>170</v>
      </c>
      <c r="C222" s="36">
        <v>0.49648148148148147</v>
      </c>
      <c r="D222" s="16" t="s">
        <v>7074</v>
      </c>
      <c r="E222" s="14" t="s">
        <v>70</v>
      </c>
      <c r="F222" s="16" t="s">
        <v>323</v>
      </c>
      <c r="G222" s="16" t="s">
        <v>657</v>
      </c>
      <c r="H222" s="14">
        <v>0.17299999999999999</v>
      </c>
      <c r="I222" s="14" t="s">
        <v>7155</v>
      </c>
      <c r="J222" s="14" t="s">
        <v>7156</v>
      </c>
      <c r="K222" s="14" t="s">
        <v>7157</v>
      </c>
      <c r="L222" s="14" t="s">
        <v>7162</v>
      </c>
      <c r="O222" s="14" t="s">
        <v>7158</v>
      </c>
      <c r="P222" s="14" t="s">
        <v>7159</v>
      </c>
      <c r="Q222" s="14">
        <v>425682.22</v>
      </c>
      <c r="R222" s="14">
        <v>6194271.7300000004</v>
      </c>
      <c r="S222" s="14" t="s">
        <v>7160</v>
      </c>
      <c r="T222" s="14" t="s">
        <v>7161</v>
      </c>
      <c r="U222" s="14">
        <v>425702.29</v>
      </c>
      <c r="V222" s="14">
        <v>6194265.3899999997</v>
      </c>
      <c r="W222" s="14">
        <v>178.79</v>
      </c>
      <c r="X222" s="14">
        <v>150.05000000000001</v>
      </c>
    </row>
    <row r="223" spans="1:24" s="14" customFormat="1" x14ac:dyDescent="0.25">
      <c r="A223" s="50">
        <v>45096</v>
      </c>
      <c r="B223" s="16">
        <v>170</v>
      </c>
      <c r="C223" s="36">
        <v>0.50010416666666668</v>
      </c>
      <c r="D223" s="16" t="s">
        <v>7074</v>
      </c>
      <c r="E223" s="14" t="s">
        <v>65</v>
      </c>
      <c r="F223" s="16" t="s">
        <v>323</v>
      </c>
      <c r="G223" s="16" t="s">
        <v>656</v>
      </c>
      <c r="H223" s="14">
        <v>0.16800000000000001</v>
      </c>
      <c r="I223" s="14" t="s">
        <v>7167</v>
      </c>
      <c r="J223" s="14" t="s">
        <v>7168</v>
      </c>
      <c r="K223" s="14" t="s">
        <v>7169</v>
      </c>
      <c r="L223" s="14" t="s">
        <v>7162</v>
      </c>
      <c r="O223" s="14" t="s">
        <v>7163</v>
      </c>
      <c r="P223" s="14" t="s">
        <v>7164</v>
      </c>
      <c r="Q223" s="14">
        <v>425688.24</v>
      </c>
      <c r="R223" s="14">
        <v>6194258.2300000004</v>
      </c>
      <c r="S223" s="14" t="s">
        <v>7165</v>
      </c>
      <c r="T223" s="14" t="s">
        <v>7166</v>
      </c>
      <c r="U223" s="14">
        <v>425711.25</v>
      </c>
      <c r="V223" s="14">
        <v>6194259.5300000003</v>
      </c>
      <c r="W223" s="14">
        <v>0.18</v>
      </c>
      <c r="X223" s="14">
        <v>150.05000000000001</v>
      </c>
    </row>
    <row r="224" spans="1:24" s="14" customFormat="1" x14ac:dyDescent="0.25">
      <c r="A224" s="50">
        <v>45096</v>
      </c>
      <c r="B224" s="16">
        <v>170</v>
      </c>
      <c r="C224" s="36">
        <v>0.50415509259259261</v>
      </c>
      <c r="D224" s="16" t="s">
        <v>7074</v>
      </c>
      <c r="E224" s="14" t="s">
        <v>70</v>
      </c>
      <c r="F224" s="16" t="s">
        <v>323</v>
      </c>
      <c r="G224" s="16" t="s">
        <v>656</v>
      </c>
      <c r="H224" s="14">
        <v>-1.2999999999999999E-2</v>
      </c>
      <c r="I224" s="14" t="s">
        <v>7167</v>
      </c>
      <c r="J224" s="14" t="s">
        <v>7168</v>
      </c>
      <c r="K224" s="14" t="s">
        <v>7169</v>
      </c>
      <c r="L224" s="14" t="s">
        <v>7162</v>
      </c>
      <c r="O224" s="14" t="s">
        <v>7170</v>
      </c>
      <c r="P224" s="14" t="s">
        <v>7171</v>
      </c>
      <c r="Q224" s="14">
        <v>425689.96</v>
      </c>
      <c r="R224" s="14">
        <v>6194434.4400000004</v>
      </c>
      <c r="S224" s="14" t="s">
        <v>7172</v>
      </c>
      <c r="T224" s="14" t="s">
        <v>7173</v>
      </c>
      <c r="U224" s="14">
        <v>425711.23</v>
      </c>
      <c r="V224" s="14">
        <v>6194440.0099999998</v>
      </c>
      <c r="W224" s="14">
        <v>358.88</v>
      </c>
      <c r="X224" s="14">
        <v>150.05000000000001</v>
      </c>
    </row>
    <row r="225" spans="1:24" s="14" customFormat="1" x14ac:dyDescent="0.25">
      <c r="A225" s="50">
        <v>45096</v>
      </c>
      <c r="B225" s="16">
        <v>170</v>
      </c>
      <c r="C225" s="36">
        <v>0.50834490740740745</v>
      </c>
      <c r="D225" s="16" t="s">
        <v>7074</v>
      </c>
      <c r="E225" s="14" t="s">
        <v>65</v>
      </c>
      <c r="F225" s="16" t="s">
        <v>323</v>
      </c>
      <c r="G225" s="16" t="s">
        <v>662</v>
      </c>
      <c r="H225" s="14">
        <v>-8.0000000000000002E-3</v>
      </c>
      <c r="I225" s="14" t="s">
        <v>7178</v>
      </c>
      <c r="J225" s="14" t="s">
        <v>7179</v>
      </c>
      <c r="K225" s="14" t="s">
        <v>7180</v>
      </c>
      <c r="L225" s="14" t="s">
        <v>7181</v>
      </c>
      <c r="O225" s="14" t="s">
        <v>7174</v>
      </c>
      <c r="P225" s="14" t="s">
        <v>7175</v>
      </c>
      <c r="Q225" s="14">
        <v>425699.1</v>
      </c>
      <c r="R225" s="14">
        <v>6194449.8300000001</v>
      </c>
      <c r="S225" s="14" t="s">
        <v>7176</v>
      </c>
      <c r="T225" s="14" t="s">
        <v>7177</v>
      </c>
      <c r="U225" s="14">
        <v>425720.3</v>
      </c>
      <c r="V225" s="14">
        <v>6194445.6799999997</v>
      </c>
      <c r="W225" s="14">
        <v>180.44</v>
      </c>
      <c r="X225" s="14">
        <v>150.05000000000001</v>
      </c>
    </row>
    <row r="226" spans="1:24" s="14" customFormat="1" x14ac:dyDescent="0.25">
      <c r="A226" s="50">
        <v>45096</v>
      </c>
      <c r="B226" s="16">
        <v>170</v>
      </c>
      <c r="C226" s="36">
        <v>0.51246527777777773</v>
      </c>
      <c r="D226" s="16" t="s">
        <v>7074</v>
      </c>
      <c r="E226" s="14" t="s">
        <v>70</v>
      </c>
      <c r="F226" s="16" t="s">
        <v>323</v>
      </c>
      <c r="G226" s="16" t="s">
        <v>662</v>
      </c>
      <c r="H226" s="14">
        <v>0.17299999999999999</v>
      </c>
      <c r="I226" s="14" t="s">
        <v>7178</v>
      </c>
      <c r="J226" s="14" t="s">
        <v>7179</v>
      </c>
      <c r="K226" s="14" t="s">
        <v>7180</v>
      </c>
      <c r="L226" s="14" t="s">
        <v>7181</v>
      </c>
      <c r="O226" s="14" t="s">
        <v>7182</v>
      </c>
      <c r="P226" s="14" t="s">
        <v>7183</v>
      </c>
      <c r="Q226" s="14">
        <v>425698.31</v>
      </c>
      <c r="R226" s="14">
        <v>6194269.8600000003</v>
      </c>
      <c r="S226" s="14" t="s">
        <v>7184</v>
      </c>
      <c r="T226" s="14" t="s">
        <v>7185</v>
      </c>
      <c r="U226" s="14">
        <v>425720.25</v>
      </c>
      <c r="V226" s="14">
        <v>6194265.5499999998</v>
      </c>
      <c r="W226" s="14">
        <v>180.01</v>
      </c>
      <c r="X226" s="14">
        <v>150.05000000000001</v>
      </c>
    </row>
    <row r="227" spans="1:24" s="14" customFormat="1" x14ac:dyDescent="0.25">
      <c r="A227" s="50">
        <v>45096</v>
      </c>
      <c r="B227" s="16">
        <v>170</v>
      </c>
      <c r="C227" s="36">
        <v>0.51649305555555558</v>
      </c>
      <c r="D227" s="16" t="s">
        <v>7074</v>
      </c>
      <c r="E227" s="14" t="s">
        <v>65</v>
      </c>
      <c r="F227" s="16" t="s">
        <v>323</v>
      </c>
      <c r="G227" s="16" t="s">
        <v>663</v>
      </c>
      <c r="H227" s="14">
        <v>0.16800000000000001</v>
      </c>
      <c r="I227" s="14" t="s">
        <v>7190</v>
      </c>
      <c r="J227" s="14" t="s">
        <v>7191</v>
      </c>
      <c r="K227" s="14" t="s">
        <v>7192</v>
      </c>
      <c r="L227" s="14" t="s">
        <v>7181</v>
      </c>
      <c r="O227" s="14" t="s">
        <v>7186</v>
      </c>
      <c r="P227" s="14" t="s">
        <v>7187</v>
      </c>
      <c r="Q227" s="14">
        <v>425706.88</v>
      </c>
      <c r="R227" s="14">
        <v>6194258.5899999999</v>
      </c>
      <c r="S227" s="14" t="s">
        <v>7188</v>
      </c>
      <c r="T227" s="14" t="s">
        <v>7189</v>
      </c>
      <c r="U227" s="14">
        <v>425729.01</v>
      </c>
      <c r="V227" s="14">
        <v>6194259.0199999996</v>
      </c>
      <c r="W227" s="14">
        <v>1.22</v>
      </c>
      <c r="X227" s="14">
        <v>150.05000000000001</v>
      </c>
    </row>
    <row r="228" spans="1:24" s="14" customFormat="1" x14ac:dyDescent="0.25">
      <c r="A228" s="50">
        <v>45096</v>
      </c>
      <c r="B228" s="16">
        <v>170</v>
      </c>
      <c r="C228" s="36">
        <v>0.5199421296296296</v>
      </c>
      <c r="D228" s="16" t="s">
        <v>7074</v>
      </c>
      <c r="E228" s="14" t="s">
        <v>70</v>
      </c>
      <c r="F228" s="16" t="s">
        <v>323</v>
      </c>
      <c r="G228" s="16" t="s">
        <v>663</v>
      </c>
      <c r="H228" s="14">
        <v>-2.4E-2</v>
      </c>
      <c r="I228" s="14" t="s">
        <v>7190</v>
      </c>
      <c r="J228" s="14" t="s">
        <v>7191</v>
      </c>
      <c r="K228" s="14" t="s">
        <v>7192</v>
      </c>
      <c r="L228" s="14" t="s">
        <v>7197</v>
      </c>
      <c r="O228" s="14" t="s">
        <v>7193</v>
      </c>
      <c r="P228" s="14" t="s">
        <v>7194</v>
      </c>
      <c r="Q228" s="14">
        <v>425708.74</v>
      </c>
      <c r="R228" s="14">
        <v>6194450.3200000003</v>
      </c>
      <c r="S228" s="14" t="s">
        <v>7195</v>
      </c>
      <c r="T228" s="14" t="s">
        <v>7196</v>
      </c>
      <c r="U228" s="14">
        <v>425729.08</v>
      </c>
      <c r="V228" s="14">
        <v>6194450.9699999997</v>
      </c>
      <c r="W228" s="14">
        <v>0.14000000000000001</v>
      </c>
      <c r="X228" s="14">
        <v>150.05000000000001</v>
      </c>
    </row>
    <row r="229" spans="1:24" s="14" customFormat="1" x14ac:dyDescent="0.25">
      <c r="A229" s="50">
        <v>45096</v>
      </c>
      <c r="B229" s="16">
        <v>170</v>
      </c>
      <c r="C229" s="36">
        <v>0.52358796296296295</v>
      </c>
      <c r="D229" s="16" t="s">
        <v>7074</v>
      </c>
      <c r="E229" s="14" t="s">
        <v>65</v>
      </c>
      <c r="F229" s="16" t="s">
        <v>323</v>
      </c>
      <c r="G229" s="16" t="s">
        <v>664</v>
      </c>
      <c r="H229" s="14">
        <v>-2.1000000000000001E-2</v>
      </c>
      <c r="I229" s="14" t="s">
        <v>7202</v>
      </c>
      <c r="J229" s="14" t="s">
        <v>7203</v>
      </c>
      <c r="K229" s="14" t="s">
        <v>7204</v>
      </c>
      <c r="L229" s="14" t="s">
        <v>7197</v>
      </c>
      <c r="O229" s="14" t="s">
        <v>7198</v>
      </c>
      <c r="P229" s="14" t="s">
        <v>7199</v>
      </c>
      <c r="Q229" s="14">
        <v>425718.8</v>
      </c>
      <c r="R229" s="14">
        <v>6194462.9800000004</v>
      </c>
      <c r="S229" s="14" t="s">
        <v>7200</v>
      </c>
      <c r="T229" s="14" t="s">
        <v>7201</v>
      </c>
      <c r="U229" s="14">
        <v>425738.28</v>
      </c>
      <c r="V229" s="14">
        <v>6194459.29</v>
      </c>
      <c r="W229" s="14">
        <v>180.64</v>
      </c>
      <c r="X229" s="14">
        <v>150.05000000000001</v>
      </c>
    </row>
    <row r="230" spans="1:24" s="14" customFormat="1" x14ac:dyDescent="0.25">
      <c r="A230" s="50">
        <v>45096</v>
      </c>
      <c r="B230" s="16">
        <v>170</v>
      </c>
      <c r="C230" s="36">
        <v>0.5272916666666666</v>
      </c>
      <c r="D230" s="16" t="s">
        <v>7074</v>
      </c>
      <c r="E230" s="14" t="s">
        <v>70</v>
      </c>
      <c r="F230" s="16" t="s">
        <v>323</v>
      </c>
      <c r="G230" s="16" t="s">
        <v>664</v>
      </c>
      <c r="H230" s="14">
        <v>0.17899999999999999</v>
      </c>
      <c r="I230" s="14" t="s">
        <v>7202</v>
      </c>
      <c r="J230" s="14" t="s">
        <v>7203</v>
      </c>
      <c r="K230" s="14" t="s">
        <v>7204</v>
      </c>
      <c r="L230" s="14" t="s">
        <v>7197</v>
      </c>
      <c r="O230" s="14" t="s">
        <v>7205</v>
      </c>
      <c r="P230" s="14" t="s">
        <v>7206</v>
      </c>
      <c r="Q230" s="14">
        <v>425721.14</v>
      </c>
      <c r="R230" s="14">
        <v>6194262.2999999998</v>
      </c>
      <c r="S230" s="14" t="s">
        <v>7207</v>
      </c>
      <c r="T230" s="14" t="s">
        <v>7208</v>
      </c>
      <c r="U230" s="14">
        <v>425738.27</v>
      </c>
      <c r="V230" s="14">
        <v>6194259.6399999997</v>
      </c>
      <c r="W230" s="14">
        <v>180.46</v>
      </c>
      <c r="X230" s="14">
        <v>150.05000000000001</v>
      </c>
    </row>
    <row r="231" spans="1:24" s="14" customFormat="1" x14ac:dyDescent="0.25">
      <c r="A231" s="50">
        <v>45096</v>
      </c>
      <c r="B231" s="16">
        <v>170</v>
      </c>
      <c r="C231" s="36">
        <v>0.53067129629629628</v>
      </c>
      <c r="D231" s="16" t="s">
        <v>7074</v>
      </c>
      <c r="E231" s="14" t="s">
        <v>65</v>
      </c>
      <c r="F231" s="16" t="s">
        <v>323</v>
      </c>
      <c r="G231" s="16" t="s">
        <v>665</v>
      </c>
      <c r="H231" s="14">
        <v>0.16800000000000001</v>
      </c>
      <c r="I231" s="14" t="s">
        <v>7213</v>
      </c>
      <c r="J231" s="14" t="s">
        <v>7214</v>
      </c>
      <c r="K231" s="14" t="s">
        <v>7215</v>
      </c>
      <c r="L231" s="14" t="s">
        <v>7216</v>
      </c>
      <c r="O231" s="14" t="s">
        <v>7209</v>
      </c>
      <c r="P231" s="14" t="s">
        <v>7210</v>
      </c>
      <c r="Q231" s="14">
        <v>425728.38</v>
      </c>
      <c r="R231" s="14">
        <v>6194260.2599999998</v>
      </c>
      <c r="S231" s="14" t="s">
        <v>7211</v>
      </c>
      <c r="T231" s="14" t="s">
        <v>7212</v>
      </c>
      <c r="U231" s="14">
        <v>425747.23</v>
      </c>
      <c r="V231" s="14">
        <v>6194259.0999999996</v>
      </c>
      <c r="W231" s="14">
        <v>0.27</v>
      </c>
      <c r="X231" s="14">
        <v>150.05000000000001</v>
      </c>
    </row>
    <row r="232" spans="1:24" s="14" customFormat="1" x14ac:dyDescent="0.25">
      <c r="A232" s="50">
        <v>45096</v>
      </c>
      <c r="B232" s="16">
        <v>170</v>
      </c>
      <c r="C232" s="36">
        <v>0.53390046296296301</v>
      </c>
      <c r="D232" s="16" t="s">
        <v>7074</v>
      </c>
      <c r="E232" s="14" t="s">
        <v>70</v>
      </c>
      <c r="F232" s="16" t="s">
        <v>323</v>
      </c>
      <c r="G232" s="16" t="s">
        <v>665</v>
      </c>
      <c r="H232" s="14">
        <v>-1.4E-2</v>
      </c>
      <c r="I232" s="14" t="s">
        <v>7213</v>
      </c>
      <c r="J232" s="14" t="s">
        <v>7214</v>
      </c>
      <c r="K232" s="14" t="s">
        <v>7215</v>
      </c>
      <c r="L232" s="14" t="s">
        <v>7216</v>
      </c>
      <c r="O232" s="14" t="s">
        <v>7217</v>
      </c>
      <c r="P232" s="14" t="s">
        <v>7218</v>
      </c>
      <c r="Q232" s="14">
        <v>425728.64</v>
      </c>
      <c r="R232" s="14">
        <v>6194444.5099999998</v>
      </c>
      <c r="S232" s="14" t="s">
        <v>7219</v>
      </c>
      <c r="T232" s="14" t="s">
        <v>7220</v>
      </c>
      <c r="U232" s="14">
        <v>425747.23</v>
      </c>
      <c r="V232" s="14">
        <v>6194440.6200000001</v>
      </c>
      <c r="W232" s="14">
        <v>359.43</v>
      </c>
      <c r="X232" s="14">
        <v>150.05000000000001</v>
      </c>
    </row>
    <row r="233" spans="1:24" s="14" customFormat="1" x14ac:dyDescent="0.25">
      <c r="A233" s="50">
        <v>45096</v>
      </c>
      <c r="B233" s="16">
        <v>170</v>
      </c>
      <c r="C233" s="36">
        <v>0.53734953703703703</v>
      </c>
      <c r="D233" s="16" t="s">
        <v>7074</v>
      </c>
      <c r="E233" s="14" t="s">
        <v>65</v>
      </c>
      <c r="F233" s="16" t="s">
        <v>323</v>
      </c>
      <c r="G233" s="16" t="s">
        <v>666</v>
      </c>
      <c r="H233" s="14">
        <v>-7.0000000000000001E-3</v>
      </c>
      <c r="I233" s="14" t="s">
        <v>7225</v>
      </c>
      <c r="J233" s="14" t="s">
        <v>7226</v>
      </c>
      <c r="K233" s="14" t="s">
        <v>7227</v>
      </c>
      <c r="L233" s="14" t="s">
        <v>7216</v>
      </c>
      <c r="O233" s="14" t="s">
        <v>7221</v>
      </c>
      <c r="P233" s="14" t="s">
        <v>7222</v>
      </c>
      <c r="Q233" s="14">
        <v>425736.99</v>
      </c>
      <c r="R233" s="14">
        <v>6194453.4500000002</v>
      </c>
      <c r="S233" s="14" t="s">
        <v>7223</v>
      </c>
      <c r="T233" s="14" t="s">
        <v>7224</v>
      </c>
      <c r="U233" s="14">
        <v>425756.27</v>
      </c>
      <c r="V233" s="14">
        <v>6194445.5300000003</v>
      </c>
      <c r="W233" s="14">
        <v>180.28</v>
      </c>
      <c r="X233" s="14">
        <v>150.05000000000001</v>
      </c>
    </row>
    <row r="234" spans="1:24" s="14" customFormat="1" x14ac:dyDescent="0.25">
      <c r="A234" s="50">
        <v>45096</v>
      </c>
      <c r="B234" s="16">
        <v>170</v>
      </c>
      <c r="C234" s="36">
        <v>0.54057870370370364</v>
      </c>
      <c r="D234" s="16" t="s">
        <v>7074</v>
      </c>
      <c r="E234" s="14" t="s">
        <v>70</v>
      </c>
      <c r="F234" s="16" t="s">
        <v>323</v>
      </c>
      <c r="G234" s="16" t="s">
        <v>666</v>
      </c>
      <c r="H234" s="14">
        <v>0.17399999999999999</v>
      </c>
      <c r="I234" s="14" t="s">
        <v>7225</v>
      </c>
      <c r="J234" s="14" t="s">
        <v>7226</v>
      </c>
      <c r="K234" s="14" t="s">
        <v>7227</v>
      </c>
      <c r="L234" s="14" t="s">
        <v>7232</v>
      </c>
      <c r="O234" s="14" t="s">
        <v>7228</v>
      </c>
      <c r="P234" s="14" t="s">
        <v>7229</v>
      </c>
      <c r="Q234" s="14">
        <v>425737.63</v>
      </c>
      <c r="R234" s="14">
        <v>6194268.5700000003</v>
      </c>
      <c r="S234" s="14" t="s">
        <v>7230</v>
      </c>
      <c r="T234" s="14" t="s">
        <v>7231</v>
      </c>
      <c r="U234" s="14">
        <v>425756.29</v>
      </c>
      <c r="V234" s="14">
        <v>6194264.0899999999</v>
      </c>
      <c r="W234" s="14">
        <v>180.8</v>
      </c>
      <c r="X234" s="14">
        <v>150.05000000000001</v>
      </c>
    </row>
    <row r="235" spans="1:24" s="14" customFormat="1" x14ac:dyDescent="0.25">
      <c r="A235" s="50">
        <v>45096</v>
      </c>
      <c r="B235" s="16">
        <v>170</v>
      </c>
      <c r="C235" s="36">
        <v>0.54359953703703701</v>
      </c>
      <c r="D235" s="16" t="s">
        <v>7074</v>
      </c>
      <c r="E235" s="14" t="s">
        <v>65</v>
      </c>
      <c r="F235" s="16" t="s">
        <v>323</v>
      </c>
      <c r="G235" s="16" t="s">
        <v>667</v>
      </c>
      <c r="H235" s="14">
        <v>0.16800000000000001</v>
      </c>
      <c r="I235" s="14" t="s">
        <v>7237</v>
      </c>
      <c r="J235" s="14" t="s">
        <v>7238</v>
      </c>
      <c r="K235" s="14" t="s">
        <v>7239</v>
      </c>
      <c r="L235" s="14" t="s">
        <v>7232</v>
      </c>
      <c r="O235" s="14" t="s">
        <v>7233</v>
      </c>
      <c r="P235" s="14" t="s">
        <v>7234</v>
      </c>
      <c r="Q235" s="14">
        <v>425744.56</v>
      </c>
      <c r="R235" s="14">
        <v>6194258.0700000003</v>
      </c>
      <c r="S235" s="14" t="s">
        <v>7235</v>
      </c>
      <c r="T235" s="14" t="s">
        <v>7236</v>
      </c>
      <c r="U235" s="14">
        <v>425765.22</v>
      </c>
      <c r="V235" s="14">
        <v>6194258.6799999997</v>
      </c>
      <c r="W235" s="14">
        <v>0.26</v>
      </c>
      <c r="X235" s="14">
        <v>150.05000000000001</v>
      </c>
    </row>
    <row r="236" spans="1:24" s="14" customFormat="1" x14ac:dyDescent="0.25">
      <c r="A236" s="50">
        <v>45096</v>
      </c>
      <c r="B236" s="16">
        <v>170</v>
      </c>
      <c r="C236" s="36">
        <v>0.54769675925925931</v>
      </c>
      <c r="D236" s="16" t="s">
        <v>7074</v>
      </c>
      <c r="E236" s="14" t="s">
        <v>70</v>
      </c>
      <c r="F236" s="16" t="s">
        <v>323</v>
      </c>
      <c r="G236" s="16" t="s">
        <v>667</v>
      </c>
      <c r="H236" s="14">
        <v>-1.2999999999999999E-2</v>
      </c>
      <c r="I236" s="14" t="s">
        <v>7237</v>
      </c>
      <c r="J236" s="14" t="s">
        <v>7238</v>
      </c>
      <c r="K236" s="14" t="s">
        <v>7239</v>
      </c>
      <c r="L236" s="14" t="s">
        <v>7232</v>
      </c>
      <c r="O236" s="14" t="s">
        <v>7240</v>
      </c>
      <c r="P236" s="14" t="s">
        <v>7241</v>
      </c>
      <c r="Q236" s="14">
        <v>425745.3</v>
      </c>
      <c r="R236" s="14">
        <v>6194437.3600000003</v>
      </c>
      <c r="S236" s="14" t="s">
        <v>7242</v>
      </c>
      <c r="T236" s="14" t="s">
        <v>7243</v>
      </c>
      <c r="U236" s="14">
        <v>425765.28</v>
      </c>
      <c r="V236" s="14">
        <v>6194439.6299999999</v>
      </c>
      <c r="W236" s="14">
        <v>0.21</v>
      </c>
      <c r="X236" s="14">
        <v>150.05000000000001</v>
      </c>
    </row>
    <row r="237" spans="1:24" s="14" customFormat="1" x14ac:dyDescent="0.25">
      <c r="A237" s="50">
        <v>45096</v>
      </c>
      <c r="B237" s="16">
        <v>170</v>
      </c>
      <c r="C237" s="36">
        <v>0.55298611111111107</v>
      </c>
      <c r="D237" s="16" t="s">
        <v>7074</v>
      </c>
      <c r="E237" s="14" t="s">
        <v>7248</v>
      </c>
      <c r="F237" s="16" t="s">
        <v>323</v>
      </c>
      <c r="G237" s="16" t="s">
        <v>655</v>
      </c>
      <c r="H237" s="14">
        <v>-1.9510000000000001</v>
      </c>
      <c r="O237" s="14" t="s">
        <v>7244</v>
      </c>
      <c r="P237" s="14" t="s">
        <v>7245</v>
      </c>
      <c r="Q237" s="14">
        <v>425745.24</v>
      </c>
      <c r="R237" s="14">
        <v>6194427.2400000002</v>
      </c>
      <c r="S237" s="14" t="s">
        <v>7246</v>
      </c>
      <c r="T237" s="14" t="s">
        <v>7247</v>
      </c>
      <c r="U237" s="14">
        <v>425756.74</v>
      </c>
      <c r="V237" s="14">
        <v>6194427.4699999997</v>
      </c>
      <c r="W237" s="14">
        <v>80.989999999999995</v>
      </c>
      <c r="X237" s="14">
        <v>150.05000000000001</v>
      </c>
    </row>
    <row r="238" spans="1:24" s="14" customFormat="1" x14ac:dyDescent="0.25">
      <c r="A238" s="50">
        <v>45096</v>
      </c>
      <c r="B238" s="16">
        <v>170</v>
      </c>
      <c r="C238" s="36">
        <v>0.56672453703703707</v>
      </c>
      <c r="D238" s="16" t="s">
        <v>7074</v>
      </c>
      <c r="E238" s="14" t="s">
        <v>6362</v>
      </c>
      <c r="F238" s="16" t="s">
        <v>323</v>
      </c>
      <c r="G238" s="16" t="s">
        <v>655</v>
      </c>
      <c r="H238" s="14">
        <v>-2.9000000000000001E-2</v>
      </c>
      <c r="O238" s="14" t="s">
        <v>7249</v>
      </c>
      <c r="P238" s="14" t="s">
        <v>7250</v>
      </c>
      <c r="Q238" s="14">
        <v>426169.7</v>
      </c>
      <c r="R238" s="14">
        <v>6192510.2400000002</v>
      </c>
      <c r="S238" s="14" t="s">
        <v>7251</v>
      </c>
      <c r="T238" s="14" t="s">
        <v>7252</v>
      </c>
      <c r="U238" s="14">
        <v>426188.89</v>
      </c>
      <c r="V238" s="14">
        <v>6192512.4400000004</v>
      </c>
      <c r="W238" s="14">
        <v>180.29</v>
      </c>
      <c r="X238" s="14">
        <v>150.05000000000001</v>
      </c>
    </row>
    <row r="239" spans="1:24" s="68" customFormat="1" x14ac:dyDescent="0.25">
      <c r="A239" s="65">
        <v>45096</v>
      </c>
      <c r="B239" s="66">
        <v>170</v>
      </c>
      <c r="C239" s="67">
        <v>0.56673611111111111</v>
      </c>
      <c r="D239" s="66" t="s">
        <v>7074</v>
      </c>
      <c r="E239" s="68" t="s">
        <v>7254</v>
      </c>
      <c r="F239" s="66" t="s">
        <v>323</v>
      </c>
      <c r="G239" s="66" t="s">
        <v>655</v>
      </c>
      <c r="H239" s="68">
        <v>-2.9000000000000001E-2</v>
      </c>
      <c r="M239" s="68" t="s">
        <v>7253</v>
      </c>
      <c r="O239" s="68" t="s">
        <v>7249</v>
      </c>
      <c r="P239" s="68" t="s">
        <v>7250</v>
      </c>
      <c r="Q239" s="68">
        <v>426169.7</v>
      </c>
      <c r="R239" s="68">
        <v>6192510.2400000002</v>
      </c>
      <c r="S239" s="68" t="s">
        <v>7251</v>
      </c>
      <c r="T239" s="68" t="s">
        <v>7252</v>
      </c>
      <c r="U239" s="68">
        <v>426188.89</v>
      </c>
      <c r="V239" s="68">
        <v>6192512.4400000004</v>
      </c>
      <c r="W239" s="68">
        <v>180.29</v>
      </c>
      <c r="X239" s="68">
        <v>150.05000000000001</v>
      </c>
    </row>
    <row r="240" spans="1:24" s="14" customFormat="1" x14ac:dyDescent="0.25">
      <c r="A240" s="50">
        <v>45096</v>
      </c>
      <c r="B240" s="16">
        <v>170</v>
      </c>
      <c r="C240" s="36">
        <v>0.56907407407407407</v>
      </c>
      <c r="D240" s="16" t="s">
        <v>7074</v>
      </c>
      <c r="E240" s="14" t="s">
        <v>65</v>
      </c>
      <c r="F240" s="16" t="s">
        <v>323</v>
      </c>
      <c r="G240" s="16" t="s">
        <v>655</v>
      </c>
      <c r="H240" s="14">
        <v>-8.0000000000000002E-3</v>
      </c>
      <c r="I240" s="14" t="s">
        <v>7259</v>
      </c>
      <c r="J240" s="14" t="s">
        <v>7260</v>
      </c>
      <c r="K240" s="14" t="s">
        <v>7261</v>
      </c>
      <c r="L240" s="14" t="s">
        <v>7262</v>
      </c>
      <c r="O240" s="14" t="s">
        <v>7255</v>
      </c>
      <c r="P240" s="14" t="s">
        <v>7256</v>
      </c>
      <c r="Q240" s="14">
        <v>426169.04</v>
      </c>
      <c r="R240" s="14">
        <v>6192494.4000000004</v>
      </c>
      <c r="S240" s="14" t="s">
        <v>7257</v>
      </c>
      <c r="T240" s="14" t="s">
        <v>7258</v>
      </c>
      <c r="U240" s="14">
        <v>426188.99</v>
      </c>
      <c r="V240" s="14">
        <v>6192491.4299999997</v>
      </c>
      <c r="W240" s="14">
        <v>180.53</v>
      </c>
      <c r="X240" s="14">
        <v>150.05000000000001</v>
      </c>
    </row>
    <row r="241" spans="1:24" s="14" customFormat="1" x14ac:dyDescent="0.25">
      <c r="A241" s="50">
        <v>45096</v>
      </c>
      <c r="B241" s="16">
        <v>170</v>
      </c>
      <c r="C241" s="36">
        <v>0.57309027777777777</v>
      </c>
      <c r="D241" s="16" t="s">
        <v>7074</v>
      </c>
      <c r="E241" s="14" t="s">
        <v>70</v>
      </c>
      <c r="F241" s="16" t="s">
        <v>323</v>
      </c>
      <c r="G241" s="16" t="s">
        <v>655</v>
      </c>
      <c r="H241" s="14">
        <v>0.17</v>
      </c>
      <c r="I241" s="14" t="s">
        <v>7259</v>
      </c>
      <c r="J241" s="14" t="s">
        <v>7260</v>
      </c>
      <c r="K241" s="14" t="s">
        <v>7261</v>
      </c>
      <c r="L241" s="14" t="s">
        <v>7267</v>
      </c>
      <c r="O241" s="14" t="s">
        <v>7263</v>
      </c>
      <c r="P241" s="14" t="s">
        <v>7264</v>
      </c>
      <c r="Q241" s="14">
        <v>426169.65</v>
      </c>
      <c r="R241" s="14">
        <v>6192317.2400000002</v>
      </c>
      <c r="S241" s="14" t="s">
        <v>7265</v>
      </c>
      <c r="T241" s="14" t="s">
        <v>7266</v>
      </c>
      <c r="U241" s="14">
        <v>426188.95</v>
      </c>
      <c r="V241" s="14">
        <v>6192313.8799999999</v>
      </c>
      <c r="W241" s="14">
        <v>180.27</v>
      </c>
      <c r="X241" s="14">
        <v>150.05000000000001</v>
      </c>
    </row>
    <row r="242" spans="1:24" s="14" customFormat="1" x14ac:dyDescent="0.25">
      <c r="A242" s="50">
        <v>45096</v>
      </c>
      <c r="B242" s="16">
        <v>170</v>
      </c>
      <c r="C242" s="36">
        <v>0.58041666666666669</v>
      </c>
      <c r="D242" s="16" t="s">
        <v>7074</v>
      </c>
      <c r="E242" s="14" t="s">
        <v>7280</v>
      </c>
      <c r="F242" s="16"/>
      <c r="G242" s="16"/>
    </row>
    <row r="243" spans="1:24" s="14" customFormat="1" x14ac:dyDescent="0.25">
      <c r="A243" s="50">
        <v>45096</v>
      </c>
      <c r="B243" s="16">
        <v>170</v>
      </c>
      <c r="C243" s="36">
        <v>0.58262731481481478</v>
      </c>
      <c r="D243" s="16" t="s">
        <v>7074</v>
      </c>
      <c r="E243" s="14" t="s">
        <v>65</v>
      </c>
      <c r="F243" s="16" t="s">
        <v>323</v>
      </c>
      <c r="G243" s="16" t="s">
        <v>654</v>
      </c>
      <c r="H243" s="14">
        <v>0.16300000000000001</v>
      </c>
      <c r="I243" s="14" t="s">
        <v>7272</v>
      </c>
      <c r="J243" s="14" t="s">
        <v>7273</v>
      </c>
      <c r="K243" s="14" t="s">
        <v>7274</v>
      </c>
      <c r="L243" s="14" t="s">
        <v>7275</v>
      </c>
      <c r="O243" s="14" t="s">
        <v>7268</v>
      </c>
      <c r="P243" s="14" t="s">
        <v>7269</v>
      </c>
      <c r="Q243" s="14">
        <v>426164.1</v>
      </c>
      <c r="R243" s="14">
        <v>6192306.3600000003</v>
      </c>
      <c r="S243" s="14" t="s">
        <v>7270</v>
      </c>
      <c r="T243" s="14" t="s">
        <v>7271</v>
      </c>
      <c r="U243" s="14">
        <v>426180.09</v>
      </c>
      <c r="V243" s="14">
        <v>6192308.9900000002</v>
      </c>
      <c r="W243" s="14">
        <v>359.96</v>
      </c>
      <c r="X243" s="14">
        <v>150.05000000000001</v>
      </c>
    </row>
    <row r="244" spans="1:24" s="14" customFormat="1" x14ac:dyDescent="0.25">
      <c r="A244" s="50">
        <v>45096</v>
      </c>
      <c r="B244" s="16">
        <v>170</v>
      </c>
      <c r="C244" s="36">
        <v>0.58672453703703698</v>
      </c>
      <c r="D244" s="16" t="s">
        <v>7074</v>
      </c>
      <c r="E244" s="14" t="s">
        <v>70</v>
      </c>
      <c r="F244" s="16" t="s">
        <v>323</v>
      </c>
      <c r="G244" s="16" t="s">
        <v>654</v>
      </c>
      <c r="H244" s="14">
        <v>-1.7999999999999999E-2</v>
      </c>
      <c r="I244" s="14" t="s">
        <v>7272</v>
      </c>
      <c r="J244" s="14" t="s">
        <v>7273</v>
      </c>
      <c r="K244" s="14" t="s">
        <v>7274</v>
      </c>
      <c r="L244" s="14" t="s">
        <v>7275</v>
      </c>
      <c r="O244" s="14" t="s">
        <v>7276</v>
      </c>
      <c r="P244" s="14" t="s">
        <v>7277</v>
      </c>
      <c r="Q244" s="14">
        <v>426164.08</v>
      </c>
      <c r="R244" s="14">
        <v>6192485.1799999997</v>
      </c>
      <c r="S244" s="14" t="s">
        <v>7278</v>
      </c>
      <c r="T244" s="14" t="s">
        <v>7279</v>
      </c>
      <c r="U244" s="14">
        <v>426180.02</v>
      </c>
      <c r="V244" s="14">
        <v>6192490.1600000001</v>
      </c>
      <c r="W244" s="14">
        <v>359.96</v>
      </c>
      <c r="X244" s="14">
        <v>150.05000000000001</v>
      </c>
    </row>
    <row r="245" spans="1:24" s="14" customFormat="1" x14ac:dyDescent="0.25">
      <c r="A245" s="50">
        <v>45096</v>
      </c>
      <c r="B245" s="16"/>
      <c r="C245" s="36">
        <v>0.58994212962962966</v>
      </c>
      <c r="D245" s="16" t="s">
        <v>7074</v>
      </c>
      <c r="E245" s="14" t="s">
        <v>65</v>
      </c>
      <c r="F245" s="16" t="s">
        <v>323</v>
      </c>
      <c r="G245" s="16" t="s">
        <v>653</v>
      </c>
      <c r="H245" s="14">
        <v>-1.6E-2</v>
      </c>
      <c r="I245" s="14" t="s">
        <v>7293</v>
      </c>
      <c r="J245" s="14" t="s">
        <v>7302</v>
      </c>
      <c r="K245" s="14" t="s">
        <v>7295</v>
      </c>
      <c r="L245" s="14" t="s">
        <v>7306</v>
      </c>
      <c r="O245" s="14" t="s">
        <v>7276</v>
      </c>
      <c r="P245" s="14" t="s">
        <v>7277</v>
      </c>
      <c r="Q245" s="14">
        <v>426164.08</v>
      </c>
      <c r="R245" s="14">
        <v>6192485.1799999997</v>
      </c>
      <c r="S245" s="14" t="s">
        <v>7278</v>
      </c>
      <c r="T245" s="14" t="s">
        <v>7279</v>
      </c>
      <c r="U245" s="14">
        <v>426180.02</v>
      </c>
      <c r="V245" s="14">
        <v>6192490.1600000001</v>
      </c>
      <c r="W245" s="14">
        <v>359.96</v>
      </c>
      <c r="X245" s="14">
        <v>150.05000000000001</v>
      </c>
    </row>
    <row r="246" spans="1:24" s="14" customFormat="1" x14ac:dyDescent="0.25">
      <c r="A246" s="50">
        <v>45096</v>
      </c>
      <c r="B246" s="16"/>
      <c r="C246" s="36">
        <v>0.59493055555555552</v>
      </c>
      <c r="D246" s="16" t="s">
        <v>7074</v>
      </c>
      <c r="E246" s="14" t="s">
        <v>70</v>
      </c>
      <c r="F246" s="16" t="s">
        <v>323</v>
      </c>
      <c r="G246" s="16" t="s">
        <v>653</v>
      </c>
      <c r="H246" s="14">
        <v>0.159</v>
      </c>
      <c r="I246" s="14" t="s">
        <v>7293</v>
      </c>
      <c r="J246" s="14" t="s">
        <v>7302</v>
      </c>
      <c r="K246" s="14" t="s">
        <v>7295</v>
      </c>
      <c r="L246" s="14" t="s">
        <v>7306</v>
      </c>
      <c r="O246" s="14" t="s">
        <v>7268</v>
      </c>
      <c r="P246" s="14" t="s">
        <v>7269</v>
      </c>
      <c r="Q246" s="14">
        <v>426164.1</v>
      </c>
      <c r="R246" s="14">
        <v>6192306.3600000003</v>
      </c>
      <c r="S246" s="14" t="s">
        <v>7270</v>
      </c>
      <c r="T246" s="14" t="s">
        <v>7271</v>
      </c>
      <c r="U246" s="14">
        <v>426180.09</v>
      </c>
      <c r="V246" s="14">
        <v>6192308.9900000002</v>
      </c>
      <c r="W246" s="14">
        <v>359.96</v>
      </c>
      <c r="X246" s="14">
        <v>150.05000000000001</v>
      </c>
    </row>
    <row r="247" spans="1:24" s="14" customFormat="1" x14ac:dyDescent="0.25">
      <c r="A247" s="50">
        <v>45096</v>
      </c>
      <c r="B247" s="16"/>
      <c r="C247" s="36">
        <v>0.59734953703703708</v>
      </c>
      <c r="D247" s="16" t="s">
        <v>7074</v>
      </c>
      <c r="E247" s="14" t="s">
        <v>65</v>
      </c>
      <c r="F247" s="16" t="s">
        <v>323</v>
      </c>
      <c r="G247" s="16" t="s">
        <v>652</v>
      </c>
      <c r="H247" s="14">
        <v>0.17899999999999999</v>
      </c>
      <c r="I247" s="14" t="s">
        <v>7294</v>
      </c>
      <c r="J247" s="14" t="s">
        <v>7303</v>
      </c>
      <c r="K247" s="14" t="s">
        <v>7296</v>
      </c>
      <c r="L247" s="14" t="s">
        <v>7307</v>
      </c>
      <c r="O247" s="14" t="s">
        <v>7263</v>
      </c>
      <c r="P247" s="14" t="s">
        <v>7264</v>
      </c>
      <c r="Q247" s="14">
        <v>426169.65</v>
      </c>
      <c r="R247" s="14">
        <v>6192317.2400000002</v>
      </c>
      <c r="S247" s="14" t="s">
        <v>7265</v>
      </c>
      <c r="T247" s="14" t="s">
        <v>7266</v>
      </c>
      <c r="U247" s="14">
        <v>426188.95</v>
      </c>
      <c r="V247" s="14">
        <v>6192313.8799999999</v>
      </c>
      <c r="W247" s="14">
        <v>180.27</v>
      </c>
      <c r="X247" s="14">
        <v>150.05000000000001</v>
      </c>
    </row>
    <row r="248" spans="1:24" s="14" customFormat="1" x14ac:dyDescent="0.25">
      <c r="A248" s="50">
        <v>45096</v>
      </c>
      <c r="B248" s="16"/>
      <c r="C248" s="36">
        <v>0.60318287037037044</v>
      </c>
      <c r="D248" s="16" t="s">
        <v>7074</v>
      </c>
      <c r="E248" s="14" t="s">
        <v>70</v>
      </c>
      <c r="F248" s="16" t="s">
        <v>323</v>
      </c>
      <c r="G248" s="16" t="s">
        <v>652</v>
      </c>
      <c r="H248" s="14">
        <v>-2.9000000000000001E-2</v>
      </c>
      <c r="I248" s="14" t="s">
        <v>7294</v>
      </c>
      <c r="J248" s="14" t="s">
        <v>7303</v>
      </c>
      <c r="K248" s="14" t="s">
        <v>7296</v>
      </c>
      <c r="L248" s="14" t="s">
        <v>7307</v>
      </c>
      <c r="O248" s="14" t="s">
        <v>7281</v>
      </c>
      <c r="P248" s="14" t="s">
        <v>7282</v>
      </c>
      <c r="Q248" s="14">
        <v>426151.89</v>
      </c>
      <c r="R248" s="14">
        <v>6192500.3099999996</v>
      </c>
      <c r="S248" s="14" t="s">
        <v>7283</v>
      </c>
      <c r="T248" s="14" t="s">
        <v>7284</v>
      </c>
      <c r="U248" s="14">
        <v>426170.95</v>
      </c>
      <c r="V248" s="14">
        <v>6192499.1699999999</v>
      </c>
      <c r="W248" s="14">
        <v>181.71</v>
      </c>
      <c r="X248" s="14">
        <v>150.05000000000001</v>
      </c>
    </row>
    <row r="249" spans="1:24" s="14" customFormat="1" x14ac:dyDescent="0.25">
      <c r="A249" s="50">
        <v>45096</v>
      </c>
      <c r="B249" s="16">
        <v>170</v>
      </c>
      <c r="C249" s="36">
        <v>0.60576388888888888</v>
      </c>
      <c r="D249" s="16" t="s">
        <v>7074</v>
      </c>
      <c r="E249" s="14" t="s">
        <v>65</v>
      </c>
      <c r="F249" s="16" t="s">
        <v>323</v>
      </c>
      <c r="G249" s="16" t="s">
        <v>651</v>
      </c>
      <c r="H249" s="14">
        <v>-1.6E-2</v>
      </c>
      <c r="I249" s="14" t="s">
        <v>7285</v>
      </c>
      <c r="J249" s="14" t="s">
        <v>7286</v>
      </c>
      <c r="K249" s="14" t="s">
        <v>7287</v>
      </c>
      <c r="L249" s="14" t="s">
        <v>7288</v>
      </c>
      <c r="O249" s="14" t="s">
        <v>7281</v>
      </c>
      <c r="P249" s="14" t="s">
        <v>7282</v>
      </c>
      <c r="Q249" s="14">
        <v>426151.89</v>
      </c>
      <c r="R249" s="14">
        <v>6192500.3099999996</v>
      </c>
      <c r="S249" s="14" t="s">
        <v>7283</v>
      </c>
      <c r="T249" s="14" t="s">
        <v>7284</v>
      </c>
      <c r="U249" s="14">
        <v>426170.95</v>
      </c>
      <c r="V249" s="14">
        <v>6192499.1699999999</v>
      </c>
      <c r="W249" s="14">
        <v>181.71</v>
      </c>
      <c r="X249" s="14">
        <v>150.05000000000001</v>
      </c>
    </row>
    <row r="250" spans="1:24" s="14" customFormat="1" x14ac:dyDescent="0.25">
      <c r="A250" s="50">
        <v>45096</v>
      </c>
      <c r="B250" s="16">
        <v>170</v>
      </c>
      <c r="C250" s="36">
        <v>0.60741898148148155</v>
      </c>
      <c r="D250" s="16" t="s">
        <v>7074</v>
      </c>
      <c r="E250" s="14" t="s">
        <v>70</v>
      </c>
      <c r="F250" s="16" t="s">
        <v>323</v>
      </c>
      <c r="G250" s="16" t="s">
        <v>651</v>
      </c>
      <c r="H250" s="14">
        <v>0.17899999999999999</v>
      </c>
      <c r="I250" s="14" t="s">
        <v>7285</v>
      </c>
      <c r="J250" s="14" t="s">
        <v>7286</v>
      </c>
      <c r="K250" s="14" t="s">
        <v>7287</v>
      </c>
      <c r="L250" s="14" t="s">
        <v>7288</v>
      </c>
      <c r="O250" s="14" t="s">
        <v>7289</v>
      </c>
      <c r="P250" s="14" t="s">
        <v>7290</v>
      </c>
      <c r="Q250" s="14">
        <v>426133.59</v>
      </c>
      <c r="R250" s="14">
        <v>6192305.9900000002</v>
      </c>
      <c r="S250" s="14" t="s">
        <v>7291</v>
      </c>
      <c r="T250" s="14" t="s">
        <v>7292</v>
      </c>
      <c r="U250" s="14">
        <v>426152.93</v>
      </c>
      <c r="V250" s="14">
        <v>6192304.3399999999</v>
      </c>
      <c r="W250" s="14">
        <v>179.56</v>
      </c>
      <c r="X250" s="14">
        <v>150.05000000000001</v>
      </c>
    </row>
    <row r="251" spans="1:24" s="14" customFormat="1" x14ac:dyDescent="0.25">
      <c r="A251" s="50">
        <v>45096</v>
      </c>
      <c r="B251" s="16">
        <v>170</v>
      </c>
      <c r="C251" s="36">
        <v>0.6107407407407407</v>
      </c>
      <c r="D251" s="16" t="s">
        <v>7074</v>
      </c>
      <c r="E251" s="14" t="s">
        <v>65</v>
      </c>
      <c r="F251" s="16" t="s">
        <v>323</v>
      </c>
      <c r="G251" s="16" t="s">
        <v>650</v>
      </c>
      <c r="H251" s="14">
        <v>0.159</v>
      </c>
      <c r="I251" s="14" t="s">
        <v>7301</v>
      </c>
      <c r="J251" s="14" t="s">
        <v>7304</v>
      </c>
      <c r="K251" s="14" t="s">
        <v>7305</v>
      </c>
      <c r="L251" s="14" t="s">
        <v>7288</v>
      </c>
      <c r="O251" s="14" t="s">
        <v>7297</v>
      </c>
      <c r="P251" s="14" t="s">
        <v>7298</v>
      </c>
      <c r="Q251" s="14">
        <v>426124.16</v>
      </c>
      <c r="R251" s="14">
        <v>6192317.5999999996</v>
      </c>
      <c r="S251" s="14" t="s">
        <v>7299</v>
      </c>
      <c r="T251" s="14" t="s">
        <v>7300</v>
      </c>
      <c r="U251" s="14">
        <v>426143.89</v>
      </c>
      <c r="V251" s="14">
        <v>6192313.7300000004</v>
      </c>
      <c r="W251" s="14">
        <v>0.46</v>
      </c>
      <c r="X251" s="14">
        <v>150.05000000000001</v>
      </c>
    </row>
    <row r="252" spans="1:24" s="14" customFormat="1" x14ac:dyDescent="0.25">
      <c r="A252" s="50">
        <v>45096</v>
      </c>
      <c r="B252" s="16">
        <v>170</v>
      </c>
      <c r="C252" s="36">
        <v>0.61398148148148146</v>
      </c>
      <c r="D252" s="16" t="s">
        <v>7074</v>
      </c>
      <c r="E252" s="14" t="s">
        <v>70</v>
      </c>
      <c r="F252" s="16" t="s">
        <v>323</v>
      </c>
      <c r="G252" s="16" t="s">
        <v>650</v>
      </c>
      <c r="H252" s="14">
        <v>-2.8000000000000001E-2</v>
      </c>
      <c r="I252" s="14" t="s">
        <v>7301</v>
      </c>
      <c r="J252" s="14" t="s">
        <v>7304</v>
      </c>
      <c r="K252" s="14" t="s">
        <v>7305</v>
      </c>
      <c r="L252" s="14" t="s">
        <v>7312</v>
      </c>
      <c r="O252" s="14" t="s">
        <v>7308</v>
      </c>
      <c r="P252" s="14" t="s">
        <v>7309</v>
      </c>
      <c r="Q252" s="14">
        <v>426124</v>
      </c>
      <c r="R252" s="14">
        <v>6192501.7699999996</v>
      </c>
      <c r="S252" s="14" t="s">
        <v>7310</v>
      </c>
      <c r="T252" s="14" t="s">
        <v>7311</v>
      </c>
      <c r="U252" s="14">
        <v>426143.96</v>
      </c>
      <c r="V252" s="14">
        <v>6192500.79</v>
      </c>
      <c r="W252" s="14">
        <v>0.21</v>
      </c>
      <c r="X252" s="14">
        <v>150.05000000000001</v>
      </c>
    </row>
    <row r="253" spans="1:24" s="14" customFormat="1" x14ac:dyDescent="0.25">
      <c r="A253" s="50">
        <v>45096</v>
      </c>
      <c r="B253" s="16">
        <v>170</v>
      </c>
      <c r="C253" s="36">
        <v>0.61722222222222223</v>
      </c>
      <c r="D253" s="16" t="s">
        <v>7074</v>
      </c>
      <c r="E253" s="14" t="s">
        <v>65</v>
      </c>
      <c r="F253" s="16" t="s">
        <v>323</v>
      </c>
      <c r="G253" s="16" t="s">
        <v>644</v>
      </c>
      <c r="H253" s="14">
        <v>-1.9E-2</v>
      </c>
      <c r="I253" s="14" t="s">
        <v>7317</v>
      </c>
      <c r="J253" s="14" t="s">
        <v>7318</v>
      </c>
      <c r="K253" s="14" t="s">
        <v>7319</v>
      </c>
      <c r="L253" s="14" t="s">
        <v>7312</v>
      </c>
      <c r="O253" s="14" t="s">
        <v>7313</v>
      </c>
      <c r="P253" s="14" t="s">
        <v>7314</v>
      </c>
      <c r="Q253" s="14">
        <v>426115.71</v>
      </c>
      <c r="R253" s="14">
        <v>6192503.3099999996</v>
      </c>
      <c r="S253" s="14" t="s">
        <v>7315</v>
      </c>
      <c r="T253" s="14" t="s">
        <v>7316</v>
      </c>
      <c r="U253" s="14">
        <v>426134.97</v>
      </c>
      <c r="V253" s="14">
        <v>6192502.0700000003</v>
      </c>
      <c r="W253" s="14">
        <v>180.69</v>
      </c>
      <c r="X253" s="14">
        <v>150.05000000000001</v>
      </c>
    </row>
    <row r="254" spans="1:24" s="14" customFormat="1" x14ac:dyDescent="0.25">
      <c r="A254" s="50">
        <v>45096</v>
      </c>
      <c r="B254" s="16">
        <v>170</v>
      </c>
      <c r="C254" s="36">
        <v>0.62054398148148149</v>
      </c>
      <c r="D254" s="16" t="s">
        <v>7074</v>
      </c>
      <c r="E254" s="14" t="s">
        <v>70</v>
      </c>
      <c r="F254" s="16" t="s">
        <v>323</v>
      </c>
      <c r="G254" s="16" t="s">
        <v>644</v>
      </c>
      <c r="H254" s="14">
        <v>0.17</v>
      </c>
      <c r="I254" s="14" t="s">
        <v>7317</v>
      </c>
      <c r="J254" s="14" t="s">
        <v>7318</v>
      </c>
      <c r="K254" s="14" t="s">
        <v>7319</v>
      </c>
      <c r="L254" s="14" t="s">
        <v>7312</v>
      </c>
      <c r="O254" s="14" t="s">
        <v>7320</v>
      </c>
      <c r="P254" s="14" t="s">
        <v>7321</v>
      </c>
      <c r="Q254" s="14">
        <v>426115.65</v>
      </c>
      <c r="R254" s="14">
        <v>6192318.9699999997</v>
      </c>
      <c r="S254" s="14" t="s">
        <v>7322</v>
      </c>
      <c r="T254" s="14" t="s">
        <v>7323</v>
      </c>
      <c r="U254" s="14">
        <v>426134.91</v>
      </c>
      <c r="V254" s="14">
        <v>6192313.8300000001</v>
      </c>
      <c r="W254" s="14">
        <v>179.52</v>
      </c>
      <c r="X254" s="14">
        <v>150.05000000000001</v>
      </c>
    </row>
    <row r="255" spans="1:24" s="14" customFormat="1" x14ac:dyDescent="0.25">
      <c r="A255" s="50">
        <v>45096</v>
      </c>
      <c r="B255" s="16">
        <v>170</v>
      </c>
      <c r="C255" s="36">
        <v>0.62381944444444437</v>
      </c>
      <c r="D255" s="16" t="s">
        <v>7074</v>
      </c>
      <c r="E255" s="14" t="s">
        <v>65</v>
      </c>
      <c r="F255" s="16" t="s">
        <v>323</v>
      </c>
      <c r="G255" s="16" t="s">
        <v>645</v>
      </c>
      <c r="H255" s="14">
        <v>0.16600000000000001</v>
      </c>
      <c r="I255" s="14" t="s">
        <v>7328</v>
      </c>
      <c r="J255" s="14" t="s">
        <v>7329</v>
      </c>
      <c r="K255" s="14" t="s">
        <v>7330</v>
      </c>
      <c r="L255" s="14" t="s">
        <v>7331</v>
      </c>
      <c r="O255" s="14" t="s">
        <v>7324</v>
      </c>
      <c r="P255" s="14" t="s">
        <v>7325</v>
      </c>
      <c r="Q255" s="14">
        <v>426105.91</v>
      </c>
      <c r="R255" s="14">
        <v>6192309.6500000004</v>
      </c>
      <c r="S255" s="14" t="s">
        <v>7326</v>
      </c>
      <c r="T255" s="14" t="s">
        <v>7327</v>
      </c>
      <c r="U255" s="14">
        <v>426125.91</v>
      </c>
      <c r="V255" s="14">
        <v>6192306.4299999997</v>
      </c>
      <c r="W255" s="14">
        <v>0.99</v>
      </c>
      <c r="X255" s="14">
        <v>150.05000000000001</v>
      </c>
    </row>
    <row r="256" spans="1:24" s="14" customFormat="1" x14ac:dyDescent="0.25">
      <c r="A256" s="50">
        <v>45096</v>
      </c>
      <c r="B256" s="16">
        <v>170</v>
      </c>
      <c r="C256" s="36">
        <v>0.6270486111111111</v>
      </c>
      <c r="D256" s="16" t="s">
        <v>7074</v>
      </c>
      <c r="E256" s="14" t="s">
        <v>70</v>
      </c>
      <c r="F256" s="16" t="s">
        <v>323</v>
      </c>
      <c r="G256" s="16" t="s">
        <v>645</v>
      </c>
      <c r="H256" s="14">
        <v>-1.9E-2</v>
      </c>
      <c r="I256" s="14" t="s">
        <v>7328</v>
      </c>
      <c r="J256" s="14" t="s">
        <v>7329</v>
      </c>
      <c r="K256" s="14" t="s">
        <v>7330</v>
      </c>
      <c r="L256" s="14" t="s">
        <v>7331</v>
      </c>
      <c r="O256" s="14" t="s">
        <v>7332</v>
      </c>
      <c r="P256" s="14" t="s">
        <v>7333</v>
      </c>
      <c r="Q256" s="14">
        <v>426106.09</v>
      </c>
      <c r="R256" s="14">
        <v>6192493.6500000004</v>
      </c>
      <c r="S256" s="14" t="s">
        <v>7334</v>
      </c>
      <c r="T256" s="14" t="s">
        <v>7335</v>
      </c>
      <c r="U256" s="14">
        <v>426125.93</v>
      </c>
      <c r="V256" s="14">
        <v>6192491.8499999996</v>
      </c>
      <c r="W256" s="14">
        <v>0.73</v>
      </c>
      <c r="X256" s="14">
        <v>150.05000000000001</v>
      </c>
    </row>
    <row r="257" spans="1:24" s="14" customFormat="1" x14ac:dyDescent="0.25">
      <c r="A257" s="50">
        <v>45096</v>
      </c>
      <c r="B257" s="16">
        <v>170</v>
      </c>
      <c r="C257" s="36">
        <v>0.63027777777777783</v>
      </c>
      <c r="D257" s="16" t="s">
        <v>7074</v>
      </c>
      <c r="E257" s="14" t="s">
        <v>65</v>
      </c>
      <c r="F257" s="16" t="s">
        <v>323</v>
      </c>
      <c r="G257" s="16" t="s">
        <v>646</v>
      </c>
      <c r="H257" s="14">
        <v>-1.2999999999999999E-2</v>
      </c>
      <c r="I257" s="14" t="s">
        <v>7340</v>
      </c>
      <c r="J257" s="14" t="s">
        <v>7341</v>
      </c>
      <c r="K257" s="14" t="s">
        <v>7342</v>
      </c>
      <c r="L257" s="14" t="s">
        <v>7331</v>
      </c>
      <c r="O257" s="14" t="s">
        <v>7336</v>
      </c>
      <c r="P257" s="14" t="s">
        <v>7337</v>
      </c>
      <c r="Q257" s="14">
        <v>426097.5</v>
      </c>
      <c r="R257" s="14">
        <v>6192497.6500000004</v>
      </c>
      <c r="S257" s="14" t="s">
        <v>7338</v>
      </c>
      <c r="T257" s="14" t="s">
        <v>7339</v>
      </c>
      <c r="U257" s="14">
        <v>426117.06</v>
      </c>
      <c r="V257" s="14">
        <v>6192496.5099999998</v>
      </c>
      <c r="W257" s="14">
        <v>181.31</v>
      </c>
      <c r="X257" s="14">
        <v>150.05000000000001</v>
      </c>
    </row>
    <row r="258" spans="1:24" s="14" customFormat="1" x14ac:dyDescent="0.25">
      <c r="A258" s="50">
        <v>45096</v>
      </c>
      <c r="B258" s="16">
        <v>170</v>
      </c>
      <c r="C258" s="36">
        <v>0.63346064814814818</v>
      </c>
      <c r="D258" s="16" t="s">
        <v>7074</v>
      </c>
      <c r="E258" s="14" t="s">
        <v>70</v>
      </c>
      <c r="F258" s="16" t="s">
        <v>323</v>
      </c>
      <c r="G258" s="16" t="s">
        <v>646</v>
      </c>
      <c r="H258" s="14">
        <v>0.17100000000000001</v>
      </c>
      <c r="I258" s="14" t="s">
        <v>7340</v>
      </c>
      <c r="J258" s="14" t="s">
        <v>7341</v>
      </c>
      <c r="K258" s="14" t="s">
        <v>7342</v>
      </c>
      <c r="L258" s="14" t="s">
        <v>7347</v>
      </c>
      <c r="O258" s="14" t="s">
        <v>7343</v>
      </c>
      <c r="P258" s="14" t="s">
        <v>7344</v>
      </c>
      <c r="Q258" s="14">
        <v>426098.06</v>
      </c>
      <c r="R258" s="14">
        <v>6192314.8700000001</v>
      </c>
      <c r="S258" s="14" t="s">
        <v>7345</v>
      </c>
      <c r="T258" s="14" t="s">
        <v>7346</v>
      </c>
      <c r="U258" s="14">
        <v>426116.94</v>
      </c>
      <c r="V258" s="14">
        <v>6192312.29</v>
      </c>
      <c r="W258" s="14">
        <v>180.02</v>
      </c>
      <c r="X258" s="14">
        <v>150.05000000000001</v>
      </c>
    </row>
    <row r="259" spans="1:24" s="14" customFormat="1" x14ac:dyDescent="0.25">
      <c r="A259" s="50">
        <v>45096</v>
      </c>
      <c r="B259" s="16">
        <v>170</v>
      </c>
      <c r="C259" s="36">
        <v>0.63651620370370365</v>
      </c>
      <c r="D259" s="16" t="s">
        <v>7074</v>
      </c>
      <c r="E259" s="14" t="s">
        <v>65</v>
      </c>
      <c r="F259" s="16" t="s">
        <v>323</v>
      </c>
      <c r="G259" s="16" t="s">
        <v>647</v>
      </c>
      <c r="H259" s="14">
        <v>0.16500000000000001</v>
      </c>
      <c r="I259" s="14" t="s">
        <v>7352</v>
      </c>
      <c r="J259" s="14" t="s">
        <v>7353</v>
      </c>
      <c r="K259" s="14" t="s">
        <v>7354</v>
      </c>
      <c r="L259" s="14" t="s">
        <v>7347</v>
      </c>
      <c r="O259" s="14" t="s">
        <v>7348</v>
      </c>
      <c r="P259" s="14" t="s">
        <v>7349</v>
      </c>
      <c r="Q259" s="14">
        <v>426088.67</v>
      </c>
      <c r="R259" s="14">
        <v>6192301.54</v>
      </c>
      <c r="S259" s="14" t="s">
        <v>7350</v>
      </c>
      <c r="T259" s="14" t="s">
        <v>7351</v>
      </c>
      <c r="U259" s="14">
        <v>426107.96</v>
      </c>
      <c r="V259" s="14">
        <v>6192307.0899999999</v>
      </c>
      <c r="W259" s="14">
        <v>359.38</v>
      </c>
      <c r="X259" s="14">
        <v>150.05000000000001</v>
      </c>
    </row>
    <row r="260" spans="1:24" s="14" customFormat="1" x14ac:dyDescent="0.25">
      <c r="A260" s="50">
        <v>45096</v>
      </c>
      <c r="B260" s="16">
        <v>170</v>
      </c>
      <c r="C260" s="36">
        <v>0.63982638888888888</v>
      </c>
      <c r="D260" s="16" t="s">
        <v>7074</v>
      </c>
      <c r="E260" s="14" t="s">
        <v>70</v>
      </c>
      <c r="F260" s="16" t="s">
        <v>323</v>
      </c>
      <c r="G260" s="16" t="s">
        <v>647</v>
      </c>
      <c r="H260" s="14">
        <v>-1.7999999999999999E-2</v>
      </c>
      <c r="I260" s="14" t="s">
        <v>7352</v>
      </c>
      <c r="J260" s="14" t="s">
        <v>7353</v>
      </c>
      <c r="K260" s="14" t="s">
        <v>7354</v>
      </c>
      <c r="L260" s="14" t="s">
        <v>7347</v>
      </c>
      <c r="O260" s="14" t="s">
        <v>7355</v>
      </c>
      <c r="P260" s="14" t="s">
        <v>7356</v>
      </c>
      <c r="Q260" s="14">
        <v>426088.27</v>
      </c>
      <c r="R260" s="14">
        <v>6192486.3700000001</v>
      </c>
      <c r="S260" s="14" t="s">
        <v>7357</v>
      </c>
      <c r="T260" s="14" t="s">
        <v>7358</v>
      </c>
      <c r="U260" s="14">
        <v>426107.91</v>
      </c>
      <c r="V260" s="14">
        <v>6192490.2400000002</v>
      </c>
      <c r="W260" s="14">
        <v>0.92</v>
      </c>
      <c r="X260" s="14">
        <v>150.05000000000001</v>
      </c>
    </row>
    <row r="261" spans="1:24" s="14" customFormat="1" x14ac:dyDescent="0.25">
      <c r="A261" s="50">
        <v>45096</v>
      </c>
      <c r="B261" s="16">
        <v>170</v>
      </c>
      <c r="C261" s="36">
        <v>0.64297453703703711</v>
      </c>
      <c r="D261" s="16" t="s">
        <v>7074</v>
      </c>
      <c r="E261" s="14" t="s">
        <v>65</v>
      </c>
      <c r="F261" s="16" t="s">
        <v>323</v>
      </c>
      <c r="G261" s="16" t="s">
        <v>648</v>
      </c>
      <c r="H261" s="14">
        <v>-1.2999999999999999E-2</v>
      </c>
      <c r="I261" s="14" t="s">
        <v>7363</v>
      </c>
      <c r="J261" s="14" t="s">
        <v>7364</v>
      </c>
      <c r="K261" s="14" t="s">
        <v>7365</v>
      </c>
      <c r="L261" s="14" t="s">
        <v>7366</v>
      </c>
      <c r="O261" s="14" t="s">
        <v>7359</v>
      </c>
      <c r="P261" s="14" t="s">
        <v>7360</v>
      </c>
      <c r="Q261" s="14">
        <v>426079.68</v>
      </c>
      <c r="R261" s="14">
        <v>6192497.6100000003</v>
      </c>
      <c r="S261" s="14" t="s">
        <v>7361</v>
      </c>
      <c r="T261" s="14" t="s">
        <v>7362</v>
      </c>
      <c r="U261" s="14">
        <v>426099.02</v>
      </c>
      <c r="V261" s="14">
        <v>6192496.2000000002</v>
      </c>
      <c r="W261" s="14">
        <v>180.71</v>
      </c>
      <c r="X261" s="14">
        <v>150.05000000000001</v>
      </c>
    </row>
    <row r="262" spans="1:24" s="14" customFormat="1" x14ac:dyDescent="0.25">
      <c r="A262" s="50">
        <v>45096</v>
      </c>
      <c r="B262" s="16">
        <v>170</v>
      </c>
      <c r="C262" s="36">
        <v>0.64710648148148142</v>
      </c>
      <c r="D262" s="16" t="s">
        <v>7074</v>
      </c>
      <c r="E262" s="14" t="s">
        <v>70</v>
      </c>
      <c r="F262" s="16" t="s">
        <v>323</v>
      </c>
      <c r="G262" s="16" t="s">
        <v>648</v>
      </c>
      <c r="H262" s="14">
        <v>0.17</v>
      </c>
      <c r="I262" s="14" t="s">
        <v>7363</v>
      </c>
      <c r="J262" s="14" t="s">
        <v>7364</v>
      </c>
      <c r="K262" s="14" t="s">
        <v>7365</v>
      </c>
      <c r="L262" s="14" t="s">
        <v>7366</v>
      </c>
      <c r="O262" s="14" t="s">
        <v>7367</v>
      </c>
      <c r="P262" s="14" t="s">
        <v>7368</v>
      </c>
      <c r="Q262" s="14">
        <v>426079.92</v>
      </c>
      <c r="R262" s="14">
        <v>6192314.7300000004</v>
      </c>
      <c r="S262" s="14" t="s">
        <v>7369</v>
      </c>
      <c r="T262" s="14" t="s">
        <v>7370</v>
      </c>
      <c r="U262" s="14">
        <v>426098.99</v>
      </c>
      <c r="V262" s="14">
        <v>6192313.46</v>
      </c>
      <c r="W262" s="14">
        <v>180.36</v>
      </c>
      <c r="X262" s="14">
        <v>150.05000000000001</v>
      </c>
    </row>
    <row r="263" spans="1:24" s="14" customFormat="1" x14ac:dyDescent="0.25">
      <c r="A263" s="50">
        <v>45096</v>
      </c>
      <c r="B263" s="16">
        <v>170</v>
      </c>
      <c r="C263" s="36">
        <v>0.6500231481481481</v>
      </c>
      <c r="D263" s="16" t="s">
        <v>7074</v>
      </c>
      <c r="E263" s="14" t="s">
        <v>65</v>
      </c>
      <c r="F263" s="16" t="s">
        <v>323</v>
      </c>
      <c r="G263" s="16" t="s">
        <v>649</v>
      </c>
      <c r="H263" s="14">
        <v>0.16300000000000001</v>
      </c>
      <c r="I263" s="14" t="s">
        <v>7375</v>
      </c>
      <c r="J263" s="14" t="s">
        <v>7376</v>
      </c>
      <c r="K263" s="14" t="s">
        <v>7377</v>
      </c>
      <c r="L263" s="14" t="s">
        <v>7366</v>
      </c>
      <c r="O263" s="14" t="s">
        <v>7371</v>
      </c>
      <c r="P263" s="14" t="s">
        <v>7372</v>
      </c>
      <c r="Q263" s="14">
        <v>426070.66</v>
      </c>
      <c r="R263" s="14">
        <v>6192308.8499999996</v>
      </c>
      <c r="S263" s="14" t="s">
        <v>7373</v>
      </c>
      <c r="T263" s="14" t="s">
        <v>7374</v>
      </c>
      <c r="U263" s="14">
        <v>426089.91</v>
      </c>
      <c r="V263" s="14">
        <v>6192309.2699999996</v>
      </c>
      <c r="W263" s="14">
        <v>0.27</v>
      </c>
      <c r="X263" s="14">
        <v>150.05000000000001</v>
      </c>
    </row>
    <row r="264" spans="1:24" s="14" customFormat="1" x14ac:dyDescent="0.25">
      <c r="A264" s="50">
        <v>45096</v>
      </c>
      <c r="B264" s="16">
        <v>170</v>
      </c>
      <c r="C264" s="36">
        <v>0.65327546296296302</v>
      </c>
      <c r="D264" s="16" t="s">
        <v>7074</v>
      </c>
      <c r="E264" s="14" t="s">
        <v>70</v>
      </c>
      <c r="F264" s="16" t="s">
        <v>323</v>
      </c>
      <c r="G264" s="16" t="s">
        <v>649</v>
      </c>
      <c r="H264" s="14">
        <v>-1.7999999999999999E-2</v>
      </c>
      <c r="I264" s="14" t="s">
        <v>7375</v>
      </c>
      <c r="J264" s="14" t="s">
        <v>7376</v>
      </c>
      <c r="K264" s="14" t="s">
        <v>7377</v>
      </c>
      <c r="L264" s="14" t="s">
        <v>7382</v>
      </c>
      <c r="O264" s="14" t="s">
        <v>7378</v>
      </c>
      <c r="P264" s="14" t="s">
        <v>7379</v>
      </c>
      <c r="Q264" s="14">
        <v>426070.49</v>
      </c>
      <c r="R264" s="14">
        <v>6192489.3499999996</v>
      </c>
      <c r="S264" s="14" t="s">
        <v>7380</v>
      </c>
      <c r="T264" s="14" t="s">
        <v>7381</v>
      </c>
      <c r="U264" s="14">
        <v>426089.96</v>
      </c>
      <c r="V264" s="14">
        <v>6192490.54</v>
      </c>
      <c r="W264" s="14">
        <v>359.53</v>
      </c>
      <c r="X264" s="14">
        <v>150.05000000000001</v>
      </c>
    </row>
    <row r="265" spans="1:24" s="14" customFormat="1" x14ac:dyDescent="0.25">
      <c r="A265" s="50">
        <v>45096</v>
      </c>
      <c r="B265" s="16">
        <v>170</v>
      </c>
      <c r="C265" s="36">
        <v>0.65585648148148146</v>
      </c>
      <c r="D265" s="16" t="s">
        <v>7074</v>
      </c>
      <c r="E265" s="14" t="s">
        <v>7387</v>
      </c>
      <c r="F265" s="16" t="s">
        <v>323</v>
      </c>
      <c r="G265" s="16" t="s">
        <v>649</v>
      </c>
      <c r="H265" s="14">
        <v>-0.03</v>
      </c>
      <c r="O265" s="14" t="s">
        <v>7383</v>
      </c>
      <c r="P265" s="14" t="s">
        <v>7384</v>
      </c>
      <c r="Q265" s="14">
        <v>426071.5</v>
      </c>
      <c r="R265" s="14">
        <v>6192517.8200000003</v>
      </c>
      <c r="S265" s="14" t="s">
        <v>7385</v>
      </c>
      <c r="T265" s="14" t="s">
        <v>7386</v>
      </c>
      <c r="U265" s="14">
        <v>426083.85</v>
      </c>
      <c r="V265" s="14">
        <v>6192511.6600000001</v>
      </c>
      <c r="W265" s="14">
        <v>231.46</v>
      </c>
      <c r="X265" s="14">
        <v>150.05000000000001</v>
      </c>
    </row>
    <row r="266" spans="1:24" s="14" customFormat="1" x14ac:dyDescent="0.25">
      <c r="A266" s="50">
        <v>45096</v>
      </c>
      <c r="B266" s="16">
        <v>170</v>
      </c>
      <c r="C266" s="36">
        <v>0.66952546296296289</v>
      </c>
      <c r="D266" s="16" t="s">
        <v>7074</v>
      </c>
      <c r="E266" s="14" t="s">
        <v>65</v>
      </c>
      <c r="F266" s="16" t="s">
        <v>323</v>
      </c>
      <c r="G266" s="16" t="s">
        <v>322</v>
      </c>
      <c r="H266" s="14">
        <v>-2.4E-2</v>
      </c>
      <c r="I266" s="14" t="s">
        <v>7392</v>
      </c>
      <c r="J266" s="14" t="s">
        <v>7393</v>
      </c>
      <c r="K266" s="14" t="s">
        <v>7394</v>
      </c>
      <c r="L266" s="14" t="s">
        <v>7395</v>
      </c>
      <c r="O266" s="14" t="s">
        <v>7388</v>
      </c>
      <c r="P266" s="14" t="s">
        <v>7389</v>
      </c>
      <c r="Q266" s="14">
        <v>425704.18</v>
      </c>
      <c r="R266" s="14">
        <v>6192428.79</v>
      </c>
      <c r="S266" s="14" t="s">
        <v>7390</v>
      </c>
      <c r="T266" s="14" t="s">
        <v>7391</v>
      </c>
      <c r="U266" s="14">
        <v>425722.84</v>
      </c>
      <c r="V266" s="14">
        <v>6192426.5599999996</v>
      </c>
      <c r="W266" s="14">
        <v>181.45</v>
      </c>
      <c r="X266" s="14">
        <v>200.07</v>
      </c>
    </row>
    <row r="267" spans="1:24" s="14" customFormat="1" x14ac:dyDescent="0.25">
      <c r="A267" s="50">
        <v>45096</v>
      </c>
      <c r="B267" s="16">
        <v>170</v>
      </c>
      <c r="C267" s="36">
        <v>0.67508101851851843</v>
      </c>
      <c r="D267" s="16" t="s">
        <v>7074</v>
      </c>
      <c r="E267" s="14" t="s">
        <v>70</v>
      </c>
      <c r="F267" s="16" t="s">
        <v>323</v>
      </c>
      <c r="G267" s="16" t="s">
        <v>322</v>
      </c>
      <c r="H267" s="14">
        <v>0.223</v>
      </c>
      <c r="I267" s="14" t="s">
        <v>7392</v>
      </c>
      <c r="J267" s="14" t="s">
        <v>7393</v>
      </c>
      <c r="K267" s="14" t="s">
        <v>7394</v>
      </c>
      <c r="L267" s="14" t="s">
        <v>7400</v>
      </c>
      <c r="O267" s="14" t="s">
        <v>7396</v>
      </c>
      <c r="P267" s="14" t="s">
        <v>7397</v>
      </c>
      <c r="Q267" s="14">
        <v>425704.7</v>
      </c>
      <c r="R267" s="14">
        <v>6192185.2999999998</v>
      </c>
      <c r="S267" s="14" t="s">
        <v>7398</v>
      </c>
      <c r="T267" s="14" t="s">
        <v>7399</v>
      </c>
      <c r="U267" s="14">
        <v>425722.73</v>
      </c>
      <c r="V267" s="14">
        <v>6192180.0499999998</v>
      </c>
      <c r="W267" s="14">
        <v>178.75</v>
      </c>
      <c r="X267" s="14">
        <v>200.07</v>
      </c>
    </row>
    <row r="268" spans="1:24" s="14" customFormat="1" x14ac:dyDescent="0.25">
      <c r="A268" s="50">
        <v>45096</v>
      </c>
      <c r="B268" s="16">
        <v>170</v>
      </c>
      <c r="C268" s="36">
        <v>0.67958333333333332</v>
      </c>
      <c r="D268" s="16" t="s">
        <v>7074</v>
      </c>
      <c r="E268" s="14" t="s">
        <v>65</v>
      </c>
      <c r="F268" s="16" t="s">
        <v>323</v>
      </c>
      <c r="G268" s="16" t="s">
        <v>321</v>
      </c>
      <c r="H268" s="14">
        <v>0.21099999999999999</v>
      </c>
      <c r="I268" s="14" t="s">
        <v>7405</v>
      </c>
      <c r="J268" s="14" t="s">
        <v>7406</v>
      </c>
      <c r="K268" s="14" t="s">
        <v>7407</v>
      </c>
      <c r="L268" s="14" t="s">
        <v>7400</v>
      </c>
      <c r="O268" s="14" t="s">
        <v>7401</v>
      </c>
      <c r="P268" s="14" t="s">
        <v>7402</v>
      </c>
      <c r="Q268" s="14">
        <v>425694.86</v>
      </c>
      <c r="R268" s="14">
        <v>6192183.9000000004</v>
      </c>
      <c r="S268" s="14" t="s">
        <v>7403</v>
      </c>
      <c r="T268" s="14" t="s">
        <v>7404</v>
      </c>
      <c r="U268" s="14">
        <v>425713.74</v>
      </c>
      <c r="V268" s="14">
        <v>6192180.0999999996</v>
      </c>
      <c r="W268" s="14">
        <v>359.4</v>
      </c>
      <c r="X268" s="14">
        <v>200.07</v>
      </c>
    </row>
    <row r="269" spans="1:24" s="14" customFormat="1" x14ac:dyDescent="0.25">
      <c r="A269" s="50">
        <v>45096</v>
      </c>
      <c r="B269" s="16">
        <v>170</v>
      </c>
      <c r="C269" s="36">
        <v>0.6852893518518518</v>
      </c>
      <c r="D269" s="16" t="s">
        <v>7408</v>
      </c>
      <c r="E269" s="14" t="s">
        <v>70</v>
      </c>
      <c r="F269" s="16" t="s">
        <v>323</v>
      </c>
      <c r="G269" s="16" t="s">
        <v>321</v>
      </c>
      <c r="H269" s="14">
        <v>-3.2000000000000001E-2</v>
      </c>
      <c r="I269" s="14" t="s">
        <v>7405</v>
      </c>
      <c r="J269" s="14" t="s">
        <v>7406</v>
      </c>
      <c r="K269" s="14" t="s">
        <v>7407</v>
      </c>
      <c r="L269" s="14" t="s">
        <v>7413</v>
      </c>
      <c r="O269" s="14" t="s">
        <v>7409</v>
      </c>
      <c r="P269" s="14" t="s">
        <v>7410</v>
      </c>
      <c r="Q269" s="14">
        <v>425693.99</v>
      </c>
      <c r="R269" s="14">
        <v>6192424.7300000004</v>
      </c>
      <c r="S269" s="14" t="s">
        <v>7411</v>
      </c>
      <c r="T269" s="14" t="s">
        <v>7412</v>
      </c>
      <c r="U269" s="14">
        <v>425713.83</v>
      </c>
      <c r="V269" s="14">
        <v>6192423.3600000003</v>
      </c>
      <c r="W269" s="14">
        <v>358.91</v>
      </c>
      <c r="X269" s="14">
        <v>200.07</v>
      </c>
    </row>
    <row r="270" spans="1:24" s="14" customFormat="1" x14ac:dyDescent="0.25">
      <c r="A270" s="50">
        <v>45096</v>
      </c>
      <c r="B270" s="16">
        <v>170</v>
      </c>
      <c r="C270" s="36">
        <v>0.68834490740740739</v>
      </c>
      <c r="D270" s="16" t="s">
        <v>7408</v>
      </c>
      <c r="E270" s="14" t="s">
        <v>65</v>
      </c>
      <c r="F270" s="16" t="s">
        <v>323</v>
      </c>
      <c r="G270" s="16" t="s">
        <v>320</v>
      </c>
      <c r="H270" s="14">
        <v>-1.9E-2</v>
      </c>
      <c r="I270" s="14" t="s">
        <v>7418</v>
      </c>
      <c r="J270" s="14" t="s">
        <v>7419</v>
      </c>
      <c r="K270" s="14" t="s">
        <v>7420</v>
      </c>
      <c r="L270" s="14" t="s">
        <v>7413</v>
      </c>
      <c r="O270" s="14" t="s">
        <v>7414</v>
      </c>
      <c r="P270" s="14" t="s">
        <v>7415</v>
      </c>
      <c r="Q270" s="14">
        <v>425685.29</v>
      </c>
      <c r="R270" s="14">
        <v>6192425.9699999997</v>
      </c>
      <c r="S270" s="14" t="s">
        <v>7416</v>
      </c>
      <c r="T270" s="14" t="s">
        <v>7417</v>
      </c>
      <c r="U270" s="14">
        <v>425704.82</v>
      </c>
      <c r="V270" s="14">
        <v>6192421.5899999999</v>
      </c>
      <c r="W270" s="14">
        <v>180.75</v>
      </c>
      <c r="X270" s="14">
        <v>200.07</v>
      </c>
    </row>
    <row r="271" spans="1:24" s="14" customFormat="1" x14ac:dyDescent="0.25">
      <c r="A271" s="50">
        <v>45096</v>
      </c>
      <c r="B271" s="16">
        <v>170</v>
      </c>
      <c r="C271" s="36">
        <v>0.69410879629629629</v>
      </c>
      <c r="D271" s="16" t="s">
        <v>7408</v>
      </c>
      <c r="E271" s="14" t="s">
        <v>70</v>
      </c>
      <c r="F271" s="16" t="s">
        <v>323</v>
      </c>
      <c r="G271" s="16" t="s">
        <v>320</v>
      </c>
      <c r="H271" s="14">
        <v>0.223</v>
      </c>
      <c r="I271" s="14" t="s">
        <v>7418</v>
      </c>
      <c r="J271" s="14" t="s">
        <v>7419</v>
      </c>
      <c r="K271" s="14" t="s">
        <v>7420</v>
      </c>
      <c r="L271" s="14" t="s">
        <v>7413</v>
      </c>
      <c r="O271" s="14" t="s">
        <v>7421</v>
      </c>
      <c r="P271" s="14" t="s">
        <v>7422</v>
      </c>
      <c r="Q271" s="14">
        <v>425685.25</v>
      </c>
      <c r="R271" s="14">
        <v>6192180.0899999999</v>
      </c>
      <c r="S271" s="14" t="s">
        <v>7423</v>
      </c>
      <c r="T271" s="14" t="s">
        <v>7424</v>
      </c>
      <c r="U271" s="14">
        <v>425704.78</v>
      </c>
      <c r="V271" s="14">
        <v>6192179.4800000004</v>
      </c>
      <c r="W271" s="14">
        <v>180.01</v>
      </c>
      <c r="X271" s="14">
        <v>200.07</v>
      </c>
    </row>
    <row r="272" spans="1:24" s="14" customFormat="1" x14ac:dyDescent="0.25">
      <c r="A272" s="50">
        <v>45096</v>
      </c>
      <c r="B272" s="16">
        <v>170</v>
      </c>
      <c r="C272" s="36">
        <v>0.69658564814814816</v>
      </c>
      <c r="D272" s="16" t="s">
        <v>7408</v>
      </c>
      <c r="E272" s="14" t="s">
        <v>65</v>
      </c>
      <c r="F272" s="16" t="s">
        <v>323</v>
      </c>
      <c r="G272" s="16" t="s">
        <v>319</v>
      </c>
      <c r="H272" s="14">
        <v>0.216</v>
      </c>
      <c r="I272" s="14" t="s">
        <v>7429</v>
      </c>
      <c r="J272" s="14" t="s">
        <v>7430</v>
      </c>
      <c r="K272" s="14" t="s">
        <v>7431</v>
      </c>
      <c r="L272" s="14" t="s">
        <v>7432</v>
      </c>
      <c r="O272" s="14" t="s">
        <v>7425</v>
      </c>
      <c r="P272" s="14" t="s">
        <v>7426</v>
      </c>
      <c r="Q272" s="14">
        <v>425676.17</v>
      </c>
      <c r="R272" s="14">
        <v>6192176.0300000003</v>
      </c>
      <c r="S272" s="14" t="s">
        <v>7427</v>
      </c>
      <c r="T272" s="14" t="s">
        <v>7428</v>
      </c>
      <c r="U272" s="14">
        <v>425695.87</v>
      </c>
      <c r="V272" s="14">
        <v>6192175.6900000004</v>
      </c>
      <c r="W272" s="14">
        <v>0.17</v>
      </c>
      <c r="X272" s="14">
        <v>200.07</v>
      </c>
    </row>
    <row r="273" spans="1:24" s="14" customFormat="1" x14ac:dyDescent="0.25">
      <c r="A273" s="50">
        <v>45096</v>
      </c>
      <c r="B273" s="16">
        <v>170</v>
      </c>
      <c r="C273" s="36">
        <v>0.70229166666666665</v>
      </c>
      <c r="D273" s="16" t="s">
        <v>7408</v>
      </c>
      <c r="E273" s="14" t="s">
        <v>70</v>
      </c>
      <c r="F273" s="16" t="s">
        <v>323</v>
      </c>
      <c r="G273" s="16" t="s">
        <v>319</v>
      </c>
      <c r="H273" s="14">
        <v>-2.7E-2</v>
      </c>
      <c r="I273" s="14" t="s">
        <v>7429</v>
      </c>
      <c r="J273" s="14" t="s">
        <v>7430</v>
      </c>
      <c r="K273" s="14" t="s">
        <v>7431</v>
      </c>
      <c r="L273" s="14" t="s">
        <v>7432</v>
      </c>
      <c r="O273" s="14" t="s">
        <v>7433</v>
      </c>
      <c r="P273" s="14" t="s">
        <v>7434</v>
      </c>
      <c r="Q273" s="14">
        <v>425676.06</v>
      </c>
      <c r="R273" s="14">
        <v>6192421.3799999999</v>
      </c>
      <c r="S273" s="14" t="s">
        <v>7435</v>
      </c>
      <c r="T273" s="14" t="s">
        <v>7436</v>
      </c>
      <c r="U273" s="14">
        <v>425695.84</v>
      </c>
      <c r="V273" s="14">
        <v>6192417.9900000002</v>
      </c>
      <c r="W273" s="14">
        <v>0.19</v>
      </c>
      <c r="X273" s="14">
        <v>200.07</v>
      </c>
    </row>
    <row r="274" spans="1:24" s="60" customFormat="1" x14ac:dyDescent="0.25">
      <c r="A274" s="86">
        <v>45096</v>
      </c>
      <c r="B274" s="85">
        <v>170</v>
      </c>
      <c r="C274" s="84">
        <v>0.70469907407407406</v>
      </c>
      <c r="D274" s="85" t="s">
        <v>7408</v>
      </c>
      <c r="E274" s="60" t="s">
        <v>7456</v>
      </c>
      <c r="F274" s="85" t="s">
        <v>323</v>
      </c>
      <c r="G274" s="85" t="s">
        <v>318</v>
      </c>
      <c r="H274" s="60">
        <v>-1.9E-2</v>
      </c>
      <c r="I274" s="60" t="s">
        <v>7441</v>
      </c>
      <c r="J274" s="60" t="s">
        <v>7442</v>
      </c>
      <c r="K274" s="60" t="s">
        <v>7443</v>
      </c>
      <c r="L274" s="60" t="s">
        <v>7444</v>
      </c>
      <c r="O274" s="60" t="s">
        <v>7437</v>
      </c>
      <c r="P274" s="60" t="s">
        <v>7438</v>
      </c>
      <c r="Q274" s="60">
        <v>425668.04</v>
      </c>
      <c r="R274" s="60">
        <v>6192424.3600000003</v>
      </c>
      <c r="S274" s="60" t="s">
        <v>7439</v>
      </c>
      <c r="T274" s="60" t="s">
        <v>7440</v>
      </c>
      <c r="U274" s="60">
        <v>425686.9</v>
      </c>
      <c r="V274" s="60">
        <v>6192421.2599999998</v>
      </c>
      <c r="W274" s="60">
        <v>181.44</v>
      </c>
      <c r="X274" s="60">
        <v>200.07</v>
      </c>
    </row>
    <row r="275" spans="1:24" s="60" customFormat="1" x14ac:dyDescent="0.25">
      <c r="A275" s="86">
        <v>45096</v>
      </c>
      <c r="B275" s="85">
        <v>170</v>
      </c>
      <c r="C275" s="84">
        <v>0.710474537037037</v>
      </c>
      <c r="D275" s="85" t="s">
        <v>7408</v>
      </c>
      <c r="E275" s="60" t="s">
        <v>7457</v>
      </c>
      <c r="F275" s="85" t="s">
        <v>323</v>
      </c>
      <c r="G275" s="85" t="s">
        <v>318</v>
      </c>
      <c r="H275" s="60">
        <v>27.917999999999999</v>
      </c>
      <c r="I275" s="60" t="s">
        <v>7441</v>
      </c>
      <c r="J275" s="60" t="s">
        <v>7442</v>
      </c>
      <c r="K275" s="60" t="s">
        <v>7443</v>
      </c>
      <c r="L275" s="60" t="s">
        <v>7444</v>
      </c>
      <c r="O275" s="60" t="s">
        <v>7445</v>
      </c>
      <c r="P275" s="60" t="s">
        <v>7446</v>
      </c>
      <c r="Q275" s="60">
        <v>425667.01</v>
      </c>
      <c r="R275" s="60">
        <v>6192180.3300000001</v>
      </c>
      <c r="S275" s="60" t="s">
        <v>7447</v>
      </c>
      <c r="T275" s="60" t="s">
        <v>7448</v>
      </c>
      <c r="U275" s="60">
        <v>425686.7</v>
      </c>
      <c r="V275" s="60">
        <v>6192175.9500000002</v>
      </c>
      <c r="W275" s="60">
        <v>175.37</v>
      </c>
      <c r="X275" s="60">
        <v>200.06</v>
      </c>
    </row>
    <row r="276" spans="1:24" s="14" customFormat="1" x14ac:dyDescent="0.25">
      <c r="A276" s="50">
        <v>45096</v>
      </c>
      <c r="B276" s="16">
        <v>170</v>
      </c>
      <c r="C276" s="36">
        <v>0.71402777777777782</v>
      </c>
      <c r="D276" s="16" t="s">
        <v>7408</v>
      </c>
      <c r="E276" s="14" t="s">
        <v>65</v>
      </c>
      <c r="F276" s="16" t="s">
        <v>323</v>
      </c>
      <c r="G276" s="16" t="s">
        <v>318</v>
      </c>
      <c r="H276" s="14">
        <v>0.21199999999999999</v>
      </c>
      <c r="I276" s="14" t="s">
        <v>7453</v>
      </c>
      <c r="J276" s="14" t="s">
        <v>7454</v>
      </c>
      <c r="K276" s="14" t="s">
        <v>7455</v>
      </c>
      <c r="L276" s="14" t="s">
        <v>7444</v>
      </c>
      <c r="O276" s="14" t="s">
        <v>7449</v>
      </c>
      <c r="P276" s="14" t="s">
        <v>7450</v>
      </c>
      <c r="Q276" s="14">
        <v>425667.04</v>
      </c>
      <c r="R276" s="14">
        <v>6192181.1100000003</v>
      </c>
      <c r="S276" s="14" t="s">
        <v>7451</v>
      </c>
      <c r="T276" s="14" t="s">
        <v>7452</v>
      </c>
      <c r="U276" s="14">
        <v>425686.74</v>
      </c>
      <c r="V276" s="14">
        <v>6192179.3399999999</v>
      </c>
      <c r="W276" s="14">
        <v>1.06</v>
      </c>
      <c r="X276" s="14">
        <v>200.07</v>
      </c>
    </row>
    <row r="277" spans="1:24" s="60" customFormat="1" x14ac:dyDescent="0.25">
      <c r="A277" s="50">
        <v>45096</v>
      </c>
      <c r="B277" s="16">
        <v>170</v>
      </c>
      <c r="C277" s="36">
        <v>0.71954861111111112</v>
      </c>
      <c r="D277" s="16" t="s">
        <v>7408</v>
      </c>
      <c r="E277" s="14" t="s">
        <v>70</v>
      </c>
      <c r="F277" s="16" t="s">
        <v>323</v>
      </c>
      <c r="G277" s="16" t="s">
        <v>318</v>
      </c>
      <c r="H277" s="14">
        <v>-2.4E-2</v>
      </c>
      <c r="I277" s="14" t="s">
        <v>7453</v>
      </c>
      <c r="J277" s="14" t="s">
        <v>7454</v>
      </c>
      <c r="K277" s="14" t="s">
        <v>7455</v>
      </c>
      <c r="L277" s="14" t="s">
        <v>7462</v>
      </c>
      <c r="M277" s="14"/>
      <c r="N277" s="14"/>
      <c r="O277" s="14" t="s">
        <v>7458</v>
      </c>
      <c r="P277" s="14" t="s">
        <v>7459</v>
      </c>
      <c r="Q277" s="14">
        <v>425667</v>
      </c>
      <c r="R277" s="14">
        <v>6192417.54</v>
      </c>
      <c r="S277" s="14" t="s">
        <v>7460</v>
      </c>
      <c r="T277" s="14" t="s">
        <v>7461</v>
      </c>
      <c r="U277" s="14">
        <v>425686.8</v>
      </c>
      <c r="V277" s="14">
        <v>6192415.7199999997</v>
      </c>
      <c r="W277" s="14">
        <v>0.27</v>
      </c>
      <c r="X277" s="60">
        <v>200.07</v>
      </c>
    </row>
    <row r="278" spans="1:24" s="60" customFormat="1" x14ac:dyDescent="0.25">
      <c r="A278" s="50">
        <v>45096</v>
      </c>
      <c r="B278" s="16">
        <v>170</v>
      </c>
      <c r="C278" s="36">
        <v>0.72173611111111102</v>
      </c>
      <c r="D278" s="16" t="s">
        <v>7408</v>
      </c>
      <c r="E278" s="14" t="s">
        <v>65</v>
      </c>
      <c r="F278" s="16" t="s">
        <v>323</v>
      </c>
      <c r="G278" s="16" t="s">
        <v>317</v>
      </c>
      <c r="H278" s="14">
        <v>-1.4999999999999999E-2</v>
      </c>
      <c r="I278" s="14" t="s">
        <v>7467</v>
      </c>
      <c r="J278" s="14" t="s">
        <v>7468</v>
      </c>
      <c r="K278" s="14" t="s">
        <v>7469</v>
      </c>
      <c r="L278" s="14" t="s">
        <v>7462</v>
      </c>
      <c r="M278" s="14"/>
      <c r="N278" s="14"/>
      <c r="O278" s="14" t="s">
        <v>7463</v>
      </c>
      <c r="P278" s="14" t="s">
        <v>7464</v>
      </c>
      <c r="Q278" s="14">
        <v>425658.96</v>
      </c>
      <c r="R278" s="14">
        <v>6192421.4299999997</v>
      </c>
      <c r="S278" s="14" t="s">
        <v>7465</v>
      </c>
      <c r="T278" s="14" t="s">
        <v>7466</v>
      </c>
      <c r="U278" s="14">
        <v>425677.87</v>
      </c>
      <c r="V278" s="14">
        <v>6192417.8399999999</v>
      </c>
      <c r="W278" s="14">
        <v>180.85</v>
      </c>
      <c r="X278" s="60">
        <v>200.07</v>
      </c>
    </row>
    <row r="279" spans="1:24" s="14" customFormat="1" x14ac:dyDescent="0.25">
      <c r="A279" s="50">
        <v>45096</v>
      </c>
      <c r="B279" s="16">
        <v>170</v>
      </c>
      <c r="C279" s="36">
        <v>0.72737268518518527</v>
      </c>
      <c r="D279" s="16" t="s">
        <v>7408</v>
      </c>
      <c r="E279" s="14" t="s">
        <v>70</v>
      </c>
      <c r="F279" s="16" t="s">
        <v>323</v>
      </c>
      <c r="G279" s="16" t="s">
        <v>317</v>
      </c>
      <c r="H279" s="14">
        <v>0.22700000000000001</v>
      </c>
      <c r="I279" s="14" t="s">
        <v>7467</v>
      </c>
      <c r="J279" s="14" t="s">
        <v>7468</v>
      </c>
      <c r="K279" s="14" t="s">
        <v>7469</v>
      </c>
      <c r="L279" s="14" t="s">
        <v>7474</v>
      </c>
      <c r="O279" s="14" t="s">
        <v>7470</v>
      </c>
      <c r="P279" s="14" t="s">
        <v>7471</v>
      </c>
      <c r="Q279" s="14">
        <v>425658.15</v>
      </c>
      <c r="R279" s="14">
        <v>6192178.9800000004</v>
      </c>
      <c r="S279" s="14" t="s">
        <v>7472</v>
      </c>
      <c r="T279" s="14" t="s">
        <v>7473</v>
      </c>
      <c r="U279" s="14">
        <v>425677.81</v>
      </c>
      <c r="V279" s="14">
        <v>6192175.7400000002</v>
      </c>
      <c r="W279" s="14">
        <v>179.48</v>
      </c>
      <c r="X279" s="14">
        <v>200.07</v>
      </c>
    </row>
    <row r="280" spans="1:24" s="14" customFormat="1" x14ac:dyDescent="0.25">
      <c r="A280" s="50">
        <v>45096</v>
      </c>
      <c r="B280" s="16">
        <v>170</v>
      </c>
      <c r="C280" s="36">
        <v>0.72964120370370367</v>
      </c>
      <c r="D280" s="16" t="s">
        <v>7408</v>
      </c>
      <c r="E280" s="14" t="s">
        <v>65</v>
      </c>
      <c r="F280" s="16" t="s">
        <v>323</v>
      </c>
      <c r="G280" s="16" t="s">
        <v>316</v>
      </c>
      <c r="H280" s="14">
        <v>0.217</v>
      </c>
      <c r="I280" s="14" t="s">
        <v>7479</v>
      </c>
      <c r="J280" s="14" t="s">
        <v>7480</v>
      </c>
      <c r="K280" s="14" t="s">
        <v>7481</v>
      </c>
      <c r="L280" s="14" t="s">
        <v>7474</v>
      </c>
      <c r="O280" s="14" t="s">
        <v>7475</v>
      </c>
      <c r="P280" s="14" t="s">
        <v>7476</v>
      </c>
      <c r="Q280" s="14">
        <v>425649.24</v>
      </c>
      <c r="R280" s="14">
        <v>6192177.2400000002</v>
      </c>
      <c r="S280" s="14" t="s">
        <v>7477</v>
      </c>
      <c r="T280" s="14" t="s">
        <v>7478</v>
      </c>
      <c r="U280" s="14">
        <v>425668.88</v>
      </c>
      <c r="V280" s="14">
        <v>6192174.9100000001</v>
      </c>
      <c r="W280" s="14">
        <v>0.59</v>
      </c>
      <c r="X280" s="14">
        <v>200.07</v>
      </c>
    </row>
    <row r="281" spans="1:24" s="14" customFormat="1" x14ac:dyDescent="0.25">
      <c r="A281" s="50">
        <v>45096</v>
      </c>
      <c r="B281" s="16">
        <v>170</v>
      </c>
      <c r="C281" s="36">
        <v>0.73520833333333335</v>
      </c>
      <c r="D281" s="16" t="s">
        <v>7408</v>
      </c>
      <c r="E281" s="14" t="s">
        <v>70</v>
      </c>
      <c r="F281" s="16" t="s">
        <v>323</v>
      </c>
      <c r="G281" s="16" t="s">
        <v>316</v>
      </c>
      <c r="H281" s="14">
        <v>-2.5000000000000001E-2</v>
      </c>
      <c r="I281" s="14" t="s">
        <v>7479</v>
      </c>
      <c r="J281" s="14" t="s">
        <v>7480</v>
      </c>
      <c r="K281" s="14" t="s">
        <v>7481</v>
      </c>
      <c r="L281" s="14" t="s">
        <v>7474</v>
      </c>
      <c r="O281" s="14" t="s">
        <v>7482</v>
      </c>
      <c r="P281" s="14" t="s">
        <v>7483</v>
      </c>
      <c r="Q281" s="14">
        <v>425648.52</v>
      </c>
      <c r="R281" s="14">
        <v>6192417.9800000004</v>
      </c>
      <c r="S281" s="14" t="s">
        <v>7484</v>
      </c>
      <c r="T281" s="14" t="s">
        <v>7485</v>
      </c>
      <c r="U281" s="14">
        <v>425668.89</v>
      </c>
      <c r="V281" s="14">
        <v>6192416.6200000001</v>
      </c>
      <c r="W281" s="14">
        <v>359.17</v>
      </c>
      <c r="X281" s="14">
        <v>200.07</v>
      </c>
    </row>
    <row r="282" spans="1:24" s="14" customFormat="1" x14ac:dyDescent="0.25">
      <c r="A282" s="50">
        <v>45096</v>
      </c>
      <c r="B282" s="16">
        <v>170</v>
      </c>
      <c r="C282" s="36">
        <v>0.73781249999999998</v>
      </c>
      <c r="D282" s="16" t="s">
        <v>7408</v>
      </c>
      <c r="E282" s="14" t="s">
        <v>65</v>
      </c>
      <c r="F282" s="16" t="s">
        <v>323</v>
      </c>
      <c r="G282" s="16" t="s">
        <v>315</v>
      </c>
      <c r="H282" s="14">
        <v>-1.6E-2</v>
      </c>
      <c r="I282" s="14" t="s">
        <v>7490</v>
      </c>
      <c r="J282" s="14" t="s">
        <v>7491</v>
      </c>
      <c r="K282" s="14" t="s">
        <v>7492</v>
      </c>
      <c r="L282" s="14" t="s">
        <v>7493</v>
      </c>
      <c r="O282" s="14" t="s">
        <v>7486</v>
      </c>
      <c r="P282" s="14" t="s">
        <v>7487</v>
      </c>
      <c r="Q282" s="14">
        <v>425640.42</v>
      </c>
      <c r="R282" s="14">
        <v>6192420.4699999997</v>
      </c>
      <c r="S282" s="14" t="s">
        <v>7488</v>
      </c>
      <c r="T282" s="14" t="s">
        <v>7489</v>
      </c>
      <c r="U282" s="14">
        <v>425659.84</v>
      </c>
      <c r="V282" s="14">
        <v>6192418.7199999997</v>
      </c>
      <c r="W282" s="14">
        <v>180.64</v>
      </c>
      <c r="X282" s="14">
        <v>200.07</v>
      </c>
    </row>
    <row r="283" spans="1:24" s="14" customFormat="1" x14ac:dyDescent="0.25">
      <c r="A283" s="50">
        <v>45096</v>
      </c>
      <c r="B283" s="16">
        <v>170</v>
      </c>
      <c r="C283" s="36">
        <v>0.74343750000000008</v>
      </c>
      <c r="D283" s="16" t="s">
        <v>7408</v>
      </c>
      <c r="E283" s="14" t="s">
        <v>70</v>
      </c>
      <c r="F283" s="16" t="s">
        <v>323</v>
      </c>
      <c r="G283" s="16" t="s">
        <v>315</v>
      </c>
      <c r="H283" s="14">
        <v>0.22700000000000001</v>
      </c>
      <c r="I283" s="14" t="s">
        <v>7490</v>
      </c>
      <c r="J283" s="14" t="s">
        <v>7491</v>
      </c>
      <c r="K283" s="14" t="s">
        <v>7492</v>
      </c>
      <c r="L283" s="14" t="s">
        <v>7493</v>
      </c>
      <c r="O283" s="14" t="s">
        <v>7494</v>
      </c>
      <c r="P283" s="14" t="s">
        <v>7495</v>
      </c>
      <c r="Q283" s="14">
        <v>425640.34</v>
      </c>
      <c r="R283" s="14">
        <v>6192178.71</v>
      </c>
      <c r="S283" s="14" t="s">
        <v>7496</v>
      </c>
      <c r="T283" s="14" t="s">
        <v>7497</v>
      </c>
      <c r="U283" s="14">
        <v>425659.78</v>
      </c>
      <c r="V283" s="14">
        <v>6192175.4100000001</v>
      </c>
      <c r="W283" s="14">
        <v>178.84</v>
      </c>
      <c r="X283" s="14">
        <v>200.07</v>
      </c>
    </row>
    <row r="284" spans="1:24" s="14" customFormat="1" x14ac:dyDescent="0.25">
      <c r="A284" s="50">
        <v>45096</v>
      </c>
      <c r="B284" s="16">
        <v>170</v>
      </c>
      <c r="C284" s="36">
        <v>0.74583333333333324</v>
      </c>
      <c r="D284" s="16" t="s">
        <v>7408</v>
      </c>
      <c r="E284" s="14" t="s">
        <v>65</v>
      </c>
      <c r="F284" s="16" t="s">
        <v>323</v>
      </c>
      <c r="G284" s="16" t="s">
        <v>306</v>
      </c>
      <c r="H284" s="14">
        <v>0.217</v>
      </c>
      <c r="I284" s="14" t="s">
        <v>7502</v>
      </c>
      <c r="J284" s="14" t="s">
        <v>7503</v>
      </c>
      <c r="K284" s="14" t="s">
        <v>7504</v>
      </c>
      <c r="L284" s="14" t="s">
        <v>7493</v>
      </c>
      <c r="O284" s="14" t="s">
        <v>7498</v>
      </c>
      <c r="P284" s="14" t="s">
        <v>7499</v>
      </c>
      <c r="Q284" s="14">
        <v>425630.7</v>
      </c>
      <c r="R284" s="14">
        <v>6192176.7699999996</v>
      </c>
      <c r="S284" s="14" t="s">
        <v>7500</v>
      </c>
      <c r="T284" s="14" t="s">
        <v>7501</v>
      </c>
      <c r="U284" s="14">
        <v>425650.84</v>
      </c>
      <c r="V284" s="14">
        <v>6192174.6100000003</v>
      </c>
      <c r="W284" s="14">
        <v>359.69</v>
      </c>
      <c r="X284" s="14">
        <v>200.07</v>
      </c>
    </row>
    <row r="285" spans="1:24" s="14" customFormat="1" x14ac:dyDescent="0.25">
      <c r="A285" s="50">
        <v>45096</v>
      </c>
      <c r="B285" s="16">
        <v>170</v>
      </c>
      <c r="C285" s="36">
        <v>0.75148148148148142</v>
      </c>
      <c r="D285" s="16" t="s">
        <v>7408</v>
      </c>
      <c r="E285" s="14" t="s">
        <v>70</v>
      </c>
      <c r="F285" s="16" t="s">
        <v>323</v>
      </c>
      <c r="G285" s="16" t="s">
        <v>306</v>
      </c>
      <c r="H285" s="14">
        <v>-2.7E-2</v>
      </c>
      <c r="I285" s="14" t="s">
        <v>7502</v>
      </c>
      <c r="J285" s="14" t="s">
        <v>7503</v>
      </c>
      <c r="K285" s="14" t="s">
        <v>7504</v>
      </c>
      <c r="L285" s="14" t="s">
        <v>7509</v>
      </c>
      <c r="O285" s="14" t="s">
        <v>7505</v>
      </c>
      <c r="P285" s="14" t="s">
        <v>7506</v>
      </c>
      <c r="Q285" s="14">
        <v>425631.36</v>
      </c>
      <c r="R285" s="14">
        <v>6192417.3200000003</v>
      </c>
      <c r="S285" s="14" t="s">
        <v>7507</v>
      </c>
      <c r="T285" s="14" t="s">
        <v>7508</v>
      </c>
      <c r="U285" s="14">
        <v>425650.9</v>
      </c>
      <c r="V285" s="14">
        <v>6192418.1200000001</v>
      </c>
      <c r="W285" s="14">
        <v>359.03</v>
      </c>
      <c r="X285" s="14">
        <v>200.07</v>
      </c>
    </row>
    <row r="286" spans="1:24" s="14" customFormat="1" x14ac:dyDescent="0.25">
      <c r="A286" s="50">
        <v>45096</v>
      </c>
      <c r="B286" s="16">
        <v>170</v>
      </c>
      <c r="C286" s="36">
        <v>0.7537152777777778</v>
      </c>
      <c r="D286" s="16" t="s">
        <v>7408</v>
      </c>
      <c r="E286" s="14" t="s">
        <v>65</v>
      </c>
      <c r="F286" s="16" t="s">
        <v>323</v>
      </c>
      <c r="G286" s="16" t="s">
        <v>307</v>
      </c>
      <c r="H286" s="14">
        <v>-1.2999999999999999E-2</v>
      </c>
      <c r="I286" s="14" t="s">
        <v>7514</v>
      </c>
      <c r="J286" s="14" t="s">
        <v>7515</v>
      </c>
      <c r="K286" s="14" t="s">
        <v>7516</v>
      </c>
      <c r="L286" s="14" t="s">
        <v>7509</v>
      </c>
      <c r="O286" s="14" t="s">
        <v>7510</v>
      </c>
      <c r="P286" s="14" t="s">
        <v>7511</v>
      </c>
      <c r="Q286" s="14">
        <v>425623.46</v>
      </c>
      <c r="R286" s="14">
        <v>6192418.8899999997</v>
      </c>
      <c r="S286" s="14" t="s">
        <v>7512</v>
      </c>
      <c r="T286" s="14" t="s">
        <v>7513</v>
      </c>
      <c r="U286" s="14">
        <v>425641.77</v>
      </c>
      <c r="V286" s="14">
        <v>6192415.9000000004</v>
      </c>
      <c r="W286" s="14">
        <v>179.82</v>
      </c>
      <c r="X286" s="14">
        <v>200.07</v>
      </c>
    </row>
    <row r="287" spans="1:24" s="14" customFormat="1" x14ac:dyDescent="0.25">
      <c r="A287" s="50">
        <v>45096</v>
      </c>
      <c r="B287" s="16">
        <v>170</v>
      </c>
      <c r="C287" s="36">
        <v>0.75932870370370376</v>
      </c>
      <c r="D287" s="16" t="s">
        <v>7408</v>
      </c>
      <c r="E287" s="14" t="s">
        <v>70</v>
      </c>
      <c r="F287" s="16" t="s">
        <v>323</v>
      </c>
      <c r="G287" s="16" t="s">
        <v>307</v>
      </c>
      <c r="H287" s="14">
        <v>0.22500000000000001</v>
      </c>
      <c r="I287" s="14" t="s">
        <v>7514</v>
      </c>
      <c r="J287" s="14" t="s">
        <v>7515</v>
      </c>
      <c r="K287" s="14" t="s">
        <v>7516</v>
      </c>
      <c r="L287" s="14" t="s">
        <v>7521</v>
      </c>
      <c r="O287" s="14" t="s">
        <v>7517</v>
      </c>
      <c r="P287" s="14" t="s">
        <v>7518</v>
      </c>
      <c r="Q287" s="14">
        <v>425621.25</v>
      </c>
      <c r="R287" s="14">
        <v>6192179.3499999996</v>
      </c>
      <c r="S287" s="14" t="s">
        <v>7519</v>
      </c>
      <c r="T287" s="14" t="s">
        <v>7520</v>
      </c>
      <c r="U287" s="14">
        <v>425641.82</v>
      </c>
      <c r="V287" s="14">
        <v>6192177.2000000002</v>
      </c>
      <c r="W287" s="14">
        <v>180.26</v>
      </c>
      <c r="X287" s="14">
        <v>200.07</v>
      </c>
    </row>
    <row r="288" spans="1:24" s="14" customFormat="1" x14ac:dyDescent="0.25">
      <c r="A288" s="50">
        <v>45096</v>
      </c>
      <c r="B288" s="16">
        <v>170</v>
      </c>
      <c r="C288" s="36">
        <v>0.76168981481481479</v>
      </c>
      <c r="D288" s="16" t="s">
        <v>7408</v>
      </c>
      <c r="E288" s="14" t="s">
        <v>65</v>
      </c>
      <c r="F288" s="16" t="s">
        <v>323</v>
      </c>
      <c r="G288" s="16" t="s">
        <v>308</v>
      </c>
      <c r="H288" s="14">
        <v>0.218</v>
      </c>
      <c r="I288" s="14" t="s">
        <v>7526</v>
      </c>
      <c r="J288" s="14" t="s">
        <v>7527</v>
      </c>
      <c r="K288" s="14" t="s">
        <v>7528</v>
      </c>
      <c r="L288" s="14" t="s">
        <v>7521</v>
      </c>
      <c r="O288" s="14" t="s">
        <v>7522</v>
      </c>
      <c r="P288" s="14" t="s">
        <v>7523</v>
      </c>
      <c r="Q288" s="14">
        <v>425611.95</v>
      </c>
      <c r="R288" s="14">
        <v>6192176.9199999999</v>
      </c>
      <c r="S288" s="14" t="s">
        <v>7524</v>
      </c>
      <c r="T288" s="14" t="s">
        <v>7525</v>
      </c>
      <c r="U288" s="14">
        <v>425632.92</v>
      </c>
      <c r="V288" s="14">
        <v>6192173.8399999999</v>
      </c>
      <c r="W288" s="14">
        <v>359.06</v>
      </c>
      <c r="X288" s="14">
        <v>200.07</v>
      </c>
    </row>
    <row r="289" spans="1:24" s="14" customFormat="1" x14ac:dyDescent="0.25">
      <c r="A289" s="50">
        <v>45096</v>
      </c>
      <c r="B289" s="16">
        <v>170</v>
      </c>
      <c r="C289" s="36">
        <v>0.76729166666666659</v>
      </c>
      <c r="D289" s="16" t="s">
        <v>7408</v>
      </c>
      <c r="E289" s="14" t="s">
        <v>70</v>
      </c>
      <c r="F289" s="16" t="s">
        <v>323</v>
      </c>
      <c r="G289" s="16" t="s">
        <v>308</v>
      </c>
      <c r="H289" s="14">
        <v>-2.1999999999999999E-2</v>
      </c>
      <c r="I289" s="14" t="s">
        <v>7526</v>
      </c>
      <c r="J289" s="14" t="s">
        <v>7527</v>
      </c>
      <c r="K289" s="14" t="s">
        <v>7528</v>
      </c>
      <c r="L289" s="14" t="s">
        <v>7533</v>
      </c>
      <c r="O289" s="14" t="s">
        <v>7529</v>
      </c>
      <c r="P289" s="14" t="s">
        <v>7530</v>
      </c>
      <c r="Q289" s="14">
        <v>425612.98</v>
      </c>
      <c r="R289" s="14">
        <v>6192417.7999999998</v>
      </c>
      <c r="S289" s="14" t="s">
        <v>7531</v>
      </c>
      <c r="T289" s="14" t="s">
        <v>7532</v>
      </c>
      <c r="U289" s="14">
        <v>425632.79</v>
      </c>
      <c r="V289" s="14">
        <v>6192413.4900000002</v>
      </c>
      <c r="W289" s="14">
        <v>7.0000000000000007E-2</v>
      </c>
      <c r="X289" s="14">
        <v>200.07</v>
      </c>
    </row>
    <row r="290" spans="1:24" s="14" customFormat="1" x14ac:dyDescent="0.25">
      <c r="A290" s="50">
        <v>45096</v>
      </c>
      <c r="B290" s="16">
        <v>170</v>
      </c>
      <c r="C290" s="36">
        <v>0.76929398148148154</v>
      </c>
      <c r="D290" s="16" t="s">
        <v>7408</v>
      </c>
      <c r="E290" s="14" t="s">
        <v>65</v>
      </c>
      <c r="F290" s="16" t="s">
        <v>323</v>
      </c>
      <c r="G290" s="16" t="s">
        <v>309</v>
      </c>
      <c r="H290" s="14">
        <v>-1.7999999999999999E-2</v>
      </c>
      <c r="I290" s="14" t="s">
        <v>7538</v>
      </c>
      <c r="J290" s="14" t="s">
        <v>7539</v>
      </c>
      <c r="K290" s="14" t="s">
        <v>7540</v>
      </c>
      <c r="L290" s="14" t="s">
        <v>7533</v>
      </c>
      <c r="O290" s="14" t="s">
        <v>7534</v>
      </c>
      <c r="P290" s="14" t="s">
        <v>7535</v>
      </c>
      <c r="Q290" s="14">
        <v>425605.02</v>
      </c>
      <c r="R290" s="14">
        <v>6192421.3700000001</v>
      </c>
      <c r="S290" s="14" t="s">
        <v>7536</v>
      </c>
      <c r="T290" s="14" t="s">
        <v>7537</v>
      </c>
      <c r="U290" s="14">
        <v>425623.83</v>
      </c>
      <c r="V290" s="14">
        <v>6192420.1200000001</v>
      </c>
      <c r="W290" s="14">
        <v>180.04</v>
      </c>
      <c r="X290" s="14">
        <v>200.07</v>
      </c>
    </row>
    <row r="291" spans="1:24" s="14" customFormat="1" x14ac:dyDescent="0.25">
      <c r="A291" s="50">
        <v>45096</v>
      </c>
      <c r="B291" s="16">
        <v>170</v>
      </c>
      <c r="C291" s="36">
        <v>0.77493055555555557</v>
      </c>
      <c r="D291" s="16" t="s">
        <v>7408</v>
      </c>
      <c r="E291" s="14" t="s">
        <v>70</v>
      </c>
      <c r="F291" s="16" t="s">
        <v>323</v>
      </c>
      <c r="G291" s="16" t="s">
        <v>309</v>
      </c>
      <c r="H291" s="14">
        <v>0.22500000000000001</v>
      </c>
      <c r="I291" s="14" t="s">
        <v>7538</v>
      </c>
      <c r="J291" s="14" t="s">
        <v>7539</v>
      </c>
      <c r="K291" s="14" t="s">
        <v>7540</v>
      </c>
      <c r="L291" s="14" t="s">
        <v>7533</v>
      </c>
      <c r="O291" s="14" t="s">
        <v>7541</v>
      </c>
      <c r="P291" s="14" t="s">
        <v>7542</v>
      </c>
      <c r="Q291" s="14">
        <v>425603.39</v>
      </c>
      <c r="R291" s="14">
        <v>6192180.7999999998</v>
      </c>
      <c r="S291" s="14" t="s">
        <v>7543</v>
      </c>
      <c r="T291" s="14" t="s">
        <v>7544</v>
      </c>
      <c r="U291" s="14">
        <v>425623.79</v>
      </c>
      <c r="V291" s="14">
        <v>6192177.46</v>
      </c>
      <c r="W291" s="14">
        <v>179.44</v>
      </c>
      <c r="X291" s="14">
        <v>200.07</v>
      </c>
    </row>
    <row r="292" spans="1:24" s="14" customFormat="1" x14ac:dyDescent="0.25">
      <c r="A292" s="50">
        <v>45096</v>
      </c>
      <c r="B292" s="16">
        <v>170</v>
      </c>
      <c r="C292" s="36">
        <v>0.77902777777777776</v>
      </c>
      <c r="D292" s="16" t="s">
        <v>7408</v>
      </c>
      <c r="E292" s="14" t="s">
        <v>65</v>
      </c>
      <c r="F292" s="16" t="s">
        <v>323</v>
      </c>
      <c r="G292" s="16" t="s">
        <v>310</v>
      </c>
      <c r="H292" s="14">
        <v>0.216</v>
      </c>
      <c r="I292" s="14" t="s">
        <v>7549</v>
      </c>
      <c r="J292" s="14" t="s">
        <v>7550</v>
      </c>
      <c r="K292" s="14" t="s">
        <v>7551</v>
      </c>
      <c r="L292" s="14" t="s">
        <v>7552</v>
      </c>
      <c r="O292" s="14" t="s">
        <v>7545</v>
      </c>
      <c r="P292" s="14" t="s">
        <v>7546</v>
      </c>
      <c r="Q292" s="14">
        <v>425593.81</v>
      </c>
      <c r="R292" s="14">
        <v>6192177.6200000001</v>
      </c>
      <c r="S292" s="14" t="s">
        <v>7547</v>
      </c>
      <c r="T292" s="14" t="s">
        <v>7548</v>
      </c>
      <c r="U292" s="14">
        <v>425614.95</v>
      </c>
      <c r="V292" s="14">
        <v>6192175.25</v>
      </c>
      <c r="W292" s="14">
        <v>358.74</v>
      </c>
      <c r="X292" s="14">
        <v>200.07</v>
      </c>
    </row>
    <row r="293" spans="1:24" s="14" customFormat="1" x14ac:dyDescent="0.25">
      <c r="A293" s="50">
        <v>45096</v>
      </c>
      <c r="B293" s="16">
        <v>170</v>
      </c>
      <c r="C293" s="36">
        <v>0.78384259259259259</v>
      </c>
      <c r="D293" s="16" t="s">
        <v>7408</v>
      </c>
      <c r="E293" s="14" t="s">
        <v>70</v>
      </c>
      <c r="F293" s="16" t="s">
        <v>323</v>
      </c>
      <c r="G293" s="16" t="s">
        <v>310</v>
      </c>
      <c r="H293" s="14">
        <v>-2.5999999999999999E-2</v>
      </c>
      <c r="I293" s="14" t="s">
        <v>7549</v>
      </c>
      <c r="J293" s="14" t="s">
        <v>7550</v>
      </c>
      <c r="K293" s="14" t="s">
        <v>7551</v>
      </c>
      <c r="L293" s="14" t="s">
        <v>7552</v>
      </c>
      <c r="O293" s="14" t="s">
        <v>7553</v>
      </c>
      <c r="P293" s="14" t="s">
        <v>7554</v>
      </c>
      <c r="Q293" s="14">
        <v>425594.97</v>
      </c>
      <c r="R293" s="14">
        <v>6192419.7400000002</v>
      </c>
      <c r="S293" s="14" t="s">
        <v>7555</v>
      </c>
      <c r="T293" s="14" t="s">
        <v>7556</v>
      </c>
      <c r="U293" s="14">
        <v>425614.83</v>
      </c>
      <c r="V293" s="14">
        <v>6192417.5899999999</v>
      </c>
      <c r="W293" s="14">
        <v>359.67</v>
      </c>
      <c r="X293" s="14">
        <v>200.07</v>
      </c>
    </row>
    <row r="294" spans="1:24" s="14" customFormat="1" x14ac:dyDescent="0.25">
      <c r="A294" s="50">
        <v>45096</v>
      </c>
      <c r="B294" s="16">
        <v>170</v>
      </c>
      <c r="C294" s="36">
        <v>0.78641203703703699</v>
      </c>
      <c r="D294" s="16" t="s">
        <v>7408</v>
      </c>
      <c r="E294" s="14" t="s">
        <v>65</v>
      </c>
      <c r="F294" s="16" t="s">
        <v>323</v>
      </c>
      <c r="G294" s="16" t="s">
        <v>311</v>
      </c>
      <c r="H294" s="14">
        <v>-2.1000000000000001E-2</v>
      </c>
      <c r="I294" s="14" t="s">
        <v>7561</v>
      </c>
      <c r="J294" s="14" t="s">
        <v>7562</v>
      </c>
      <c r="K294" s="14" t="s">
        <v>7563</v>
      </c>
      <c r="L294" s="14" t="s">
        <v>7552</v>
      </c>
      <c r="O294" s="14" t="s">
        <v>7557</v>
      </c>
      <c r="P294" s="14" t="s">
        <v>7558</v>
      </c>
      <c r="Q294" s="14">
        <v>425588.13</v>
      </c>
      <c r="R294" s="14">
        <v>6192426.7699999996</v>
      </c>
      <c r="S294" s="14" t="s">
        <v>7559</v>
      </c>
      <c r="T294" s="14" t="s">
        <v>7560</v>
      </c>
      <c r="U294" s="14">
        <v>425605.87</v>
      </c>
      <c r="V294" s="14">
        <v>6192423.0099999998</v>
      </c>
      <c r="W294" s="14">
        <v>180.91</v>
      </c>
      <c r="X294" s="14">
        <v>200.07</v>
      </c>
    </row>
    <row r="295" spans="1:24" s="14" customFormat="1" x14ac:dyDescent="0.25">
      <c r="A295" s="50">
        <v>45096</v>
      </c>
      <c r="B295" s="16">
        <v>170</v>
      </c>
      <c r="C295" s="36">
        <v>0.79130787037037031</v>
      </c>
      <c r="D295" s="16" t="s">
        <v>7408</v>
      </c>
      <c r="E295" s="14" t="s">
        <v>70</v>
      </c>
      <c r="F295" s="16" t="s">
        <v>323</v>
      </c>
      <c r="G295" s="16" t="s">
        <v>311</v>
      </c>
      <c r="H295" s="14">
        <v>0.22600000000000001</v>
      </c>
      <c r="I295" s="14" t="s">
        <v>7561</v>
      </c>
      <c r="J295" s="14" t="s">
        <v>7562</v>
      </c>
      <c r="K295" s="14" t="s">
        <v>7563</v>
      </c>
      <c r="L295" s="14" t="s">
        <v>7568</v>
      </c>
      <c r="O295" s="14" t="s">
        <v>7564</v>
      </c>
      <c r="P295" s="14" t="s">
        <v>7565</v>
      </c>
      <c r="Q295" s="14">
        <v>425586.95</v>
      </c>
      <c r="R295" s="14">
        <v>6192179.4000000004</v>
      </c>
      <c r="S295" s="14" t="s">
        <v>7566</v>
      </c>
      <c r="T295" s="14" t="s">
        <v>7567</v>
      </c>
      <c r="U295" s="14">
        <v>425605.75</v>
      </c>
      <c r="V295" s="14">
        <v>6192176.6600000001</v>
      </c>
      <c r="W295" s="14">
        <v>179.51</v>
      </c>
      <c r="X295" s="14">
        <v>200.07</v>
      </c>
    </row>
    <row r="296" spans="1:24" s="14" customFormat="1" x14ac:dyDescent="0.25">
      <c r="A296" s="50">
        <v>45096</v>
      </c>
      <c r="B296" s="16">
        <v>170</v>
      </c>
      <c r="C296" s="36">
        <v>0.79370370370370369</v>
      </c>
      <c r="D296" s="16" t="s">
        <v>7408</v>
      </c>
      <c r="E296" s="14" t="s">
        <v>65</v>
      </c>
      <c r="F296" s="16" t="s">
        <v>323</v>
      </c>
      <c r="G296" s="16" t="s">
        <v>312</v>
      </c>
      <c r="H296" s="14">
        <v>0.222</v>
      </c>
      <c r="I296" s="14" t="s">
        <v>7573</v>
      </c>
      <c r="J296" s="14" t="s">
        <v>7574</v>
      </c>
      <c r="K296" s="14" t="s">
        <v>7575</v>
      </c>
      <c r="L296" s="14" t="s">
        <v>7568</v>
      </c>
      <c r="O296" s="14" t="s">
        <v>7569</v>
      </c>
      <c r="P296" s="14" t="s">
        <v>7570</v>
      </c>
      <c r="Q296" s="14">
        <v>425577.17</v>
      </c>
      <c r="R296" s="14">
        <v>6192170.9100000001</v>
      </c>
      <c r="S296" s="14" t="s">
        <v>7571</v>
      </c>
      <c r="T296" s="14" t="s">
        <v>7572</v>
      </c>
      <c r="U296" s="14">
        <v>425596.96</v>
      </c>
      <c r="V296" s="14">
        <v>6192169.8099999996</v>
      </c>
      <c r="W296" s="14">
        <v>358.25</v>
      </c>
      <c r="X296" s="14">
        <v>200.07</v>
      </c>
    </row>
    <row r="297" spans="1:24" s="14" customFormat="1" x14ac:dyDescent="0.25">
      <c r="A297" s="50">
        <v>45096</v>
      </c>
      <c r="B297" s="16">
        <v>170</v>
      </c>
      <c r="C297" s="36">
        <v>0.79877314814814815</v>
      </c>
      <c r="D297" s="16" t="s">
        <v>7408</v>
      </c>
      <c r="E297" s="14" t="s">
        <v>70</v>
      </c>
      <c r="F297" s="16" t="s">
        <v>323</v>
      </c>
      <c r="G297" s="16" t="s">
        <v>312</v>
      </c>
      <c r="H297" s="14">
        <v>-2.9000000000000001E-2</v>
      </c>
      <c r="I297" s="14" t="s">
        <v>7573</v>
      </c>
      <c r="J297" s="14" t="s">
        <v>7574</v>
      </c>
      <c r="K297" s="14" t="s">
        <v>7575</v>
      </c>
      <c r="L297" s="14" t="s">
        <v>7580</v>
      </c>
      <c r="O297" s="14" t="s">
        <v>7576</v>
      </c>
      <c r="P297" s="14" t="s">
        <v>7577</v>
      </c>
      <c r="Q297" s="14">
        <v>425577.41</v>
      </c>
      <c r="R297" s="14">
        <v>6192428.0499999998</v>
      </c>
      <c r="S297" s="14" t="s">
        <v>7578</v>
      </c>
      <c r="T297" s="14" t="s">
        <v>7579</v>
      </c>
      <c r="U297" s="14">
        <v>425596.94</v>
      </c>
      <c r="V297" s="14">
        <v>6192420.5999999996</v>
      </c>
      <c r="W297" s="14">
        <v>358.7</v>
      </c>
      <c r="X297" s="14">
        <v>200.07</v>
      </c>
    </row>
    <row r="298" spans="1:24" s="14" customFormat="1" x14ac:dyDescent="0.25">
      <c r="A298" s="50">
        <v>45096</v>
      </c>
      <c r="B298" s="16">
        <v>170</v>
      </c>
      <c r="C298" s="36">
        <v>0.80141203703703701</v>
      </c>
      <c r="D298" s="16" t="s">
        <v>7408</v>
      </c>
      <c r="E298" s="14" t="s">
        <v>65</v>
      </c>
      <c r="F298" s="16" t="s">
        <v>323</v>
      </c>
      <c r="G298" s="16" t="s">
        <v>313</v>
      </c>
      <c r="H298" s="14">
        <v>-0.02</v>
      </c>
      <c r="I298" s="14" t="s">
        <v>7585</v>
      </c>
      <c r="J298" s="14" t="s">
        <v>7586</v>
      </c>
      <c r="K298" s="14" t="s">
        <v>7587</v>
      </c>
      <c r="L298" s="14" t="s">
        <v>7580</v>
      </c>
      <c r="O298" s="14" t="s">
        <v>7581</v>
      </c>
      <c r="P298" s="14" t="s">
        <v>7582</v>
      </c>
      <c r="Q298" s="14">
        <v>425570.42</v>
      </c>
      <c r="R298" s="14">
        <v>6192428.79</v>
      </c>
      <c r="S298" s="14" t="s">
        <v>7583</v>
      </c>
      <c r="T298" s="14" t="s">
        <v>7584</v>
      </c>
      <c r="U298" s="14">
        <v>425587.74</v>
      </c>
      <c r="V298" s="14">
        <v>6192422.5800000001</v>
      </c>
      <c r="W298" s="14">
        <v>180.73</v>
      </c>
      <c r="X298" s="14">
        <v>200.07</v>
      </c>
    </row>
    <row r="299" spans="1:24" s="14" customFormat="1" x14ac:dyDescent="0.25">
      <c r="A299" s="50">
        <v>45096</v>
      </c>
      <c r="B299" s="16">
        <v>170</v>
      </c>
      <c r="C299" s="36">
        <v>0.8062962962962964</v>
      </c>
      <c r="D299" s="16" t="s">
        <v>7408</v>
      </c>
      <c r="E299" s="14" t="s">
        <v>70</v>
      </c>
      <c r="F299" s="16" t="s">
        <v>323</v>
      </c>
      <c r="G299" s="16" t="s">
        <v>313</v>
      </c>
      <c r="H299" s="14">
        <v>0.22700000000000001</v>
      </c>
      <c r="I299" s="14" t="s">
        <v>7585</v>
      </c>
      <c r="J299" s="14" t="s">
        <v>7586</v>
      </c>
      <c r="K299" s="14" t="s">
        <v>7587</v>
      </c>
      <c r="L299" s="14" t="s">
        <v>7580</v>
      </c>
      <c r="O299" s="14" t="s">
        <v>7588</v>
      </c>
      <c r="P299" s="14" t="s">
        <v>7589</v>
      </c>
      <c r="Q299" s="14">
        <v>425568.79</v>
      </c>
      <c r="R299" s="14">
        <v>6192176.1600000001</v>
      </c>
      <c r="S299" s="14" t="s">
        <v>7590</v>
      </c>
      <c r="T299" s="14" t="s">
        <v>7591</v>
      </c>
      <c r="U299" s="14">
        <v>425587.71</v>
      </c>
      <c r="V299" s="14">
        <v>6192175.2800000003</v>
      </c>
      <c r="W299" s="14">
        <v>179.45</v>
      </c>
      <c r="X299" s="14">
        <v>200.07</v>
      </c>
    </row>
    <row r="300" spans="1:24" s="14" customFormat="1" x14ac:dyDescent="0.25">
      <c r="A300" s="50">
        <v>45096</v>
      </c>
      <c r="B300" s="16">
        <v>170</v>
      </c>
      <c r="C300" s="36">
        <v>0.80835648148148154</v>
      </c>
      <c r="D300" s="16" t="s">
        <v>7408</v>
      </c>
      <c r="E300" s="14" t="s">
        <v>65</v>
      </c>
      <c r="F300" s="16" t="s">
        <v>323</v>
      </c>
      <c r="G300" s="16" t="s">
        <v>314</v>
      </c>
      <c r="H300" s="14">
        <v>0.224</v>
      </c>
      <c r="I300" s="14" t="s">
        <v>7596</v>
      </c>
      <c r="J300" s="14" t="s">
        <v>7597</v>
      </c>
      <c r="K300" s="14" t="s">
        <v>7598</v>
      </c>
      <c r="L300" s="14" t="s">
        <v>7580</v>
      </c>
      <c r="O300" s="14" t="s">
        <v>7592</v>
      </c>
      <c r="P300" s="14" t="s">
        <v>7593</v>
      </c>
      <c r="Q300" s="14">
        <v>425558.81</v>
      </c>
      <c r="R300" s="14">
        <v>6192170.1900000004</v>
      </c>
      <c r="S300" s="14" t="s">
        <v>7594</v>
      </c>
      <c r="T300" s="14" t="s">
        <v>7595</v>
      </c>
      <c r="U300" s="14">
        <v>425578.92</v>
      </c>
      <c r="V300" s="14">
        <v>6192167.4900000002</v>
      </c>
      <c r="W300" s="14">
        <v>358.24</v>
      </c>
      <c r="X300" s="14">
        <v>200.07</v>
      </c>
    </row>
    <row r="301" spans="1:24" s="14" customFormat="1" x14ac:dyDescent="0.25">
      <c r="A301" s="50">
        <v>45096</v>
      </c>
      <c r="B301" s="16">
        <v>170</v>
      </c>
      <c r="C301" s="36">
        <v>0.81335648148148154</v>
      </c>
      <c r="D301" s="16" t="s">
        <v>7408</v>
      </c>
      <c r="E301" s="14" t="s">
        <v>70</v>
      </c>
      <c r="F301" s="16" t="s">
        <v>323</v>
      </c>
      <c r="G301" s="16" t="s">
        <v>314</v>
      </c>
      <c r="H301" s="14">
        <v>-2.5000000000000001E-2</v>
      </c>
      <c r="I301" s="14" t="s">
        <v>7596</v>
      </c>
      <c r="J301" s="14" t="s">
        <v>7597</v>
      </c>
      <c r="K301" s="14" t="s">
        <v>7598</v>
      </c>
      <c r="L301" s="14" t="s">
        <v>7603</v>
      </c>
      <c r="O301" s="14" t="s">
        <v>7599</v>
      </c>
      <c r="P301" s="14" t="s">
        <v>7600</v>
      </c>
      <c r="Q301" s="14">
        <v>425559.39</v>
      </c>
      <c r="R301" s="14">
        <v>6192424.9100000001</v>
      </c>
      <c r="S301" s="14" t="s">
        <v>7601</v>
      </c>
      <c r="T301" s="14" t="s">
        <v>7602</v>
      </c>
      <c r="U301" s="14">
        <v>425578.84</v>
      </c>
      <c r="V301" s="14">
        <v>6192416.4400000004</v>
      </c>
      <c r="W301" s="14">
        <v>0.13</v>
      </c>
      <c r="X301" s="14">
        <v>200.07</v>
      </c>
    </row>
    <row r="302" spans="1:24" s="14" customFormat="1" x14ac:dyDescent="0.25">
      <c r="A302" s="50">
        <v>45096</v>
      </c>
      <c r="B302" s="16">
        <v>170</v>
      </c>
      <c r="C302" s="36">
        <v>0.81883101851851858</v>
      </c>
      <c r="D302" s="16" t="s">
        <v>7408</v>
      </c>
      <c r="E302" s="14" t="s">
        <v>7608</v>
      </c>
      <c r="F302" s="16" t="s">
        <v>460</v>
      </c>
      <c r="G302" s="16" t="s">
        <v>694</v>
      </c>
      <c r="H302" s="14">
        <v>-4.2709999999999999</v>
      </c>
      <c r="O302" s="14" t="s">
        <v>7604</v>
      </c>
      <c r="P302" s="14" t="s">
        <v>7605</v>
      </c>
      <c r="Q302" s="14">
        <v>425565.48</v>
      </c>
      <c r="R302" s="14">
        <v>6192418.3399999999</v>
      </c>
      <c r="S302" s="14" t="s">
        <v>7606</v>
      </c>
      <c r="T302" s="14" t="s">
        <v>7607</v>
      </c>
      <c r="U302" s="14">
        <v>425576.09</v>
      </c>
      <c r="V302" s="14">
        <v>6192414.9299999997</v>
      </c>
      <c r="W302" s="14">
        <v>91.3</v>
      </c>
      <c r="X302" s="14">
        <v>150.05000000000001</v>
      </c>
    </row>
    <row r="303" spans="1:24" s="68" customFormat="1" x14ac:dyDescent="0.25">
      <c r="A303" s="65">
        <v>45096</v>
      </c>
      <c r="B303" s="66">
        <v>170</v>
      </c>
      <c r="C303" s="67">
        <v>0.84182870370370377</v>
      </c>
      <c r="D303" s="66" t="s">
        <v>7408</v>
      </c>
      <c r="E303" s="68" t="s">
        <v>7614</v>
      </c>
      <c r="F303" s="66" t="s">
        <v>460</v>
      </c>
      <c r="G303" s="66" t="s">
        <v>694</v>
      </c>
      <c r="H303" s="68">
        <v>-2.4E-2</v>
      </c>
      <c r="M303" s="68" t="s">
        <v>7609</v>
      </c>
      <c r="O303" s="68" t="s">
        <v>7610</v>
      </c>
      <c r="P303" s="68" t="s">
        <v>7611</v>
      </c>
      <c r="Q303" s="68">
        <v>425070.31</v>
      </c>
      <c r="R303" s="68">
        <v>6188175.7300000004</v>
      </c>
      <c r="S303" s="68" t="s">
        <v>7612</v>
      </c>
      <c r="T303" s="68" t="s">
        <v>7613</v>
      </c>
      <c r="U303" s="68">
        <v>425081.27</v>
      </c>
      <c r="V303" s="68">
        <v>6188169.71</v>
      </c>
      <c r="W303" s="68">
        <v>92.89</v>
      </c>
      <c r="X303" s="68">
        <v>150.05000000000001</v>
      </c>
    </row>
    <row r="304" spans="1:24" s="60" customFormat="1" x14ac:dyDescent="0.25">
      <c r="A304" s="86">
        <v>45096</v>
      </c>
      <c r="B304" s="85">
        <v>170</v>
      </c>
      <c r="C304" s="84">
        <v>0.84792824074074069</v>
      </c>
      <c r="D304" s="85" t="s">
        <v>7408</v>
      </c>
      <c r="E304" s="60" t="s">
        <v>7456</v>
      </c>
      <c r="F304" s="85" t="s">
        <v>460</v>
      </c>
      <c r="G304" s="85" t="s">
        <v>694</v>
      </c>
      <c r="H304" s="60">
        <v>-1.0999999999999999E-2</v>
      </c>
      <c r="I304" s="60" t="s">
        <v>7619</v>
      </c>
      <c r="J304" s="60" t="s">
        <v>7620</v>
      </c>
      <c r="K304" s="60" t="s">
        <v>7652</v>
      </c>
      <c r="L304" s="60" t="s">
        <v>7621</v>
      </c>
      <c r="O304" s="60" t="s">
        <v>7615</v>
      </c>
      <c r="P304" s="60" t="s">
        <v>7616</v>
      </c>
      <c r="Q304" s="60">
        <v>425071.1</v>
      </c>
      <c r="R304" s="60">
        <v>6188175.5800000001</v>
      </c>
      <c r="S304" s="60" t="s">
        <v>7617</v>
      </c>
      <c r="T304" s="60" t="s">
        <v>7618</v>
      </c>
      <c r="U304" s="60">
        <v>425081.68</v>
      </c>
      <c r="V304" s="60">
        <v>6188161.2699999996</v>
      </c>
      <c r="W304" s="60">
        <v>180.04</v>
      </c>
      <c r="X304" s="60">
        <v>150.05000000000001</v>
      </c>
    </row>
    <row r="305" spans="1:24" s="60" customFormat="1" x14ac:dyDescent="0.25">
      <c r="A305" s="86">
        <v>45096</v>
      </c>
      <c r="B305" s="85">
        <v>170</v>
      </c>
      <c r="C305" s="84">
        <v>0.84982638888888884</v>
      </c>
      <c r="D305" s="85" t="s">
        <v>7408</v>
      </c>
      <c r="E305" s="60" t="s">
        <v>7457</v>
      </c>
      <c r="F305" s="85" t="s">
        <v>460</v>
      </c>
      <c r="G305" s="85" t="s">
        <v>694</v>
      </c>
      <c r="H305" s="60">
        <v>4.5999999999999999E-2</v>
      </c>
      <c r="I305" s="60" t="s">
        <v>7619</v>
      </c>
      <c r="J305" s="60" t="s">
        <v>7620</v>
      </c>
      <c r="K305" s="60" t="s">
        <v>7652</v>
      </c>
      <c r="L305" s="60" t="s">
        <v>7621</v>
      </c>
      <c r="O305" s="60" t="s">
        <v>7622</v>
      </c>
      <c r="P305" s="60" t="s">
        <v>7623</v>
      </c>
      <c r="Q305" s="60">
        <v>425072.46</v>
      </c>
      <c r="R305" s="60">
        <v>6188112.9199999999</v>
      </c>
      <c r="S305" s="60" t="s">
        <v>7624</v>
      </c>
      <c r="T305" s="60" t="s">
        <v>7625</v>
      </c>
      <c r="U305" s="60">
        <v>425081.73</v>
      </c>
      <c r="V305" s="60">
        <v>6188104.5700000003</v>
      </c>
      <c r="W305" s="60">
        <v>180.47</v>
      </c>
      <c r="X305" s="60">
        <v>150.05000000000001</v>
      </c>
    </row>
    <row r="306" spans="1:24" s="14" customFormat="1" x14ac:dyDescent="0.25">
      <c r="A306" s="50">
        <v>45096</v>
      </c>
      <c r="B306" s="16">
        <v>170</v>
      </c>
      <c r="C306" s="36">
        <v>0.8513425925925926</v>
      </c>
      <c r="D306" s="16" t="s">
        <v>7408</v>
      </c>
      <c r="E306" s="14" t="s">
        <v>7630</v>
      </c>
      <c r="F306" s="16" t="s">
        <v>460</v>
      </c>
      <c r="G306" s="16" t="s">
        <v>694</v>
      </c>
      <c r="H306" s="14">
        <v>0.04</v>
      </c>
      <c r="O306" s="14" t="s">
        <v>7626</v>
      </c>
      <c r="P306" s="14" t="s">
        <v>7627</v>
      </c>
      <c r="Q306" s="14">
        <v>425069.84</v>
      </c>
      <c r="R306" s="14">
        <v>6188099.8600000003</v>
      </c>
      <c r="S306" s="14" t="s">
        <v>7628</v>
      </c>
      <c r="T306" s="14" t="s">
        <v>7629</v>
      </c>
      <c r="U306" s="14">
        <v>425081.29</v>
      </c>
      <c r="V306" s="14">
        <v>6188099.5800000001</v>
      </c>
      <c r="W306" s="14">
        <v>1.5</v>
      </c>
      <c r="X306" s="14">
        <v>150.05000000000001</v>
      </c>
    </row>
    <row r="307" spans="1:24" s="14" customFormat="1" x14ac:dyDescent="0.25">
      <c r="A307" s="50">
        <v>45096</v>
      </c>
      <c r="B307" s="16">
        <v>170</v>
      </c>
      <c r="C307" s="36">
        <v>0.85542824074074064</v>
      </c>
      <c r="D307" s="16" t="s">
        <v>7408</v>
      </c>
      <c r="E307" s="14" t="s">
        <v>65</v>
      </c>
      <c r="F307" s="16" t="s">
        <v>460</v>
      </c>
      <c r="G307" s="16" t="s">
        <v>694</v>
      </c>
      <c r="H307" s="14">
        <v>-1.4999999999999999E-2</v>
      </c>
      <c r="I307" s="14" t="s">
        <v>7635</v>
      </c>
      <c r="J307" s="14" t="s">
        <v>7636</v>
      </c>
      <c r="K307" s="14" t="s">
        <v>7653</v>
      </c>
      <c r="L307" s="14" t="s">
        <v>7637</v>
      </c>
      <c r="O307" s="14" t="s">
        <v>7631</v>
      </c>
      <c r="P307" s="14" t="s">
        <v>7632</v>
      </c>
      <c r="Q307" s="14">
        <v>425063.41</v>
      </c>
      <c r="R307" s="14">
        <v>6188175.3200000003</v>
      </c>
      <c r="S307" s="14" t="s">
        <v>7633</v>
      </c>
      <c r="T307" s="14" t="s">
        <v>7634</v>
      </c>
      <c r="U307" s="14">
        <v>425081.65</v>
      </c>
      <c r="V307" s="14">
        <v>6188165.5599999996</v>
      </c>
      <c r="W307" s="14">
        <v>179.52</v>
      </c>
      <c r="X307" s="14">
        <v>150.05000000000001</v>
      </c>
    </row>
    <row r="308" spans="1:24" s="14" customFormat="1" x14ac:dyDescent="0.25">
      <c r="A308" s="50">
        <v>45096</v>
      </c>
      <c r="B308" s="16">
        <v>170</v>
      </c>
      <c r="C308" s="36">
        <v>0.86018518518518527</v>
      </c>
      <c r="D308" s="16" t="s">
        <v>7408</v>
      </c>
      <c r="E308" s="14" t="s">
        <v>70</v>
      </c>
      <c r="F308" s="16" t="s">
        <v>460</v>
      </c>
      <c r="G308" s="16" t="s">
        <v>694</v>
      </c>
      <c r="H308" s="14">
        <v>0.17399999999999999</v>
      </c>
      <c r="I308" s="14" t="s">
        <v>7635</v>
      </c>
      <c r="J308" s="14" t="s">
        <v>7636</v>
      </c>
      <c r="K308" s="14" t="s">
        <v>7653</v>
      </c>
      <c r="L308" s="14" t="s">
        <v>7637</v>
      </c>
      <c r="O308" s="14" t="s">
        <v>7640</v>
      </c>
      <c r="P308" s="14" t="s">
        <v>7641</v>
      </c>
      <c r="Q308" s="14">
        <v>425062.68</v>
      </c>
      <c r="R308" s="14">
        <v>6187981.54</v>
      </c>
      <c r="S308" s="14" t="s">
        <v>7642</v>
      </c>
      <c r="T308" s="14" t="s">
        <v>7643</v>
      </c>
      <c r="U308" s="14">
        <v>425081.71</v>
      </c>
      <c r="V308" s="14">
        <v>6187976.3600000003</v>
      </c>
      <c r="W308" s="14">
        <v>178.69</v>
      </c>
      <c r="X308" s="14">
        <v>150.05000000000001</v>
      </c>
    </row>
    <row r="309" spans="1:24" s="14" customFormat="1" x14ac:dyDescent="0.25">
      <c r="A309" s="50">
        <v>45096</v>
      </c>
      <c r="B309" s="16">
        <v>170</v>
      </c>
      <c r="C309" s="36">
        <v>0.8625694444444445</v>
      </c>
      <c r="D309" s="16" t="s">
        <v>7408</v>
      </c>
      <c r="E309" s="14" t="s">
        <v>65</v>
      </c>
      <c r="F309" s="16" t="s">
        <v>460</v>
      </c>
      <c r="G309" s="16" t="s">
        <v>695</v>
      </c>
      <c r="H309" s="14">
        <v>0.17599999999999999</v>
      </c>
      <c r="I309" s="14" t="s">
        <v>7648</v>
      </c>
      <c r="J309" s="14" t="s">
        <v>7649</v>
      </c>
      <c r="K309" s="14" t="s">
        <v>7650</v>
      </c>
      <c r="L309" s="14" t="s">
        <v>7651</v>
      </c>
      <c r="O309" s="14" t="s">
        <v>7644</v>
      </c>
      <c r="P309" s="14" t="s">
        <v>7645</v>
      </c>
      <c r="Q309" s="14">
        <v>425052.62</v>
      </c>
      <c r="R309" s="14">
        <v>6187970.4100000001</v>
      </c>
      <c r="S309" s="14" t="s">
        <v>7646</v>
      </c>
      <c r="T309" s="14" t="s">
        <v>7647</v>
      </c>
      <c r="U309" s="14">
        <v>425072.79</v>
      </c>
      <c r="V309" s="14">
        <v>6187963.7699999996</v>
      </c>
      <c r="W309" s="14">
        <v>0.19</v>
      </c>
      <c r="X309" s="14">
        <v>150.05000000000001</v>
      </c>
    </row>
    <row r="310" spans="1:24" s="14" customFormat="1" x14ac:dyDescent="0.25">
      <c r="A310" s="50">
        <v>45096</v>
      </c>
      <c r="B310" s="16">
        <v>170</v>
      </c>
      <c r="C310" s="36">
        <v>0.86675925925925934</v>
      </c>
      <c r="D310" s="16" t="s">
        <v>7408</v>
      </c>
      <c r="E310" s="14" t="s">
        <v>70</v>
      </c>
      <c r="F310" s="16" t="s">
        <v>460</v>
      </c>
      <c r="G310" s="16" t="s">
        <v>695</v>
      </c>
      <c r="H310" s="14">
        <v>-2.4E-2</v>
      </c>
      <c r="I310" s="14" t="s">
        <v>7648</v>
      </c>
      <c r="J310" s="14" t="s">
        <v>7649</v>
      </c>
      <c r="K310" s="14" t="s">
        <v>7650</v>
      </c>
      <c r="L310" s="14" t="s">
        <v>7651</v>
      </c>
      <c r="O310" s="14" t="s">
        <v>7654</v>
      </c>
      <c r="P310" s="14" t="s">
        <v>7655</v>
      </c>
      <c r="Q310" s="14">
        <v>425052.93</v>
      </c>
      <c r="R310" s="14">
        <v>6188167.6600000001</v>
      </c>
      <c r="S310" s="14" t="s">
        <v>7656</v>
      </c>
      <c r="T310" s="14" t="s">
        <v>7657</v>
      </c>
      <c r="U310" s="14">
        <v>425072.77</v>
      </c>
      <c r="V310" s="14">
        <v>6188163</v>
      </c>
      <c r="W310" s="14">
        <v>359.57</v>
      </c>
      <c r="X310" s="14">
        <v>150.05000000000001</v>
      </c>
    </row>
    <row r="311" spans="1:24" s="14" customFormat="1" x14ac:dyDescent="0.25">
      <c r="A311" s="50">
        <v>45096</v>
      </c>
      <c r="B311" s="16">
        <v>170</v>
      </c>
      <c r="C311" s="36">
        <v>0.86947916666666669</v>
      </c>
      <c r="D311" s="16" t="s">
        <v>7408</v>
      </c>
      <c r="E311" s="14" t="s">
        <v>65</v>
      </c>
      <c r="F311" s="16" t="s">
        <v>460</v>
      </c>
      <c r="G311" s="16" t="s">
        <v>696</v>
      </c>
      <c r="H311" s="14">
        <v>-2.4E-2</v>
      </c>
      <c r="I311" s="14" t="s">
        <v>7662</v>
      </c>
      <c r="J311" s="14" t="s">
        <v>7663</v>
      </c>
      <c r="K311" s="14" t="s">
        <v>7664</v>
      </c>
      <c r="L311" s="14" t="s">
        <v>7651</v>
      </c>
      <c r="O311" s="14" t="s">
        <v>7658</v>
      </c>
      <c r="P311" s="14" t="s">
        <v>7659</v>
      </c>
      <c r="Q311" s="14">
        <v>425044.27</v>
      </c>
      <c r="R311" s="14">
        <v>6188187</v>
      </c>
      <c r="S311" s="14" t="s">
        <v>7660</v>
      </c>
      <c r="T311" s="14" t="s">
        <v>7661</v>
      </c>
      <c r="U311" s="14">
        <v>425063.64</v>
      </c>
      <c r="V311" s="14">
        <v>6188174.9000000004</v>
      </c>
      <c r="W311" s="14">
        <v>180.65</v>
      </c>
      <c r="X311" s="14">
        <v>150.05000000000001</v>
      </c>
    </row>
    <row r="312" spans="1:24" s="14" customFormat="1" x14ac:dyDescent="0.25">
      <c r="A312" s="50">
        <v>45096</v>
      </c>
      <c r="B312" s="16">
        <v>170</v>
      </c>
      <c r="C312" s="36">
        <v>0.87376157407407407</v>
      </c>
      <c r="D312" s="16" t="s">
        <v>7408</v>
      </c>
      <c r="E312" s="14" t="s">
        <v>70</v>
      </c>
      <c r="F312" s="16" t="s">
        <v>460</v>
      </c>
      <c r="G312" s="16" t="s">
        <v>696</v>
      </c>
      <c r="H312" s="14">
        <v>0.17799999999999999</v>
      </c>
      <c r="I312" s="14" t="s">
        <v>7662</v>
      </c>
      <c r="J312" s="14" t="s">
        <v>7663</v>
      </c>
      <c r="K312" s="14" t="s">
        <v>7664</v>
      </c>
      <c r="L312" s="14" t="s">
        <v>7669</v>
      </c>
      <c r="O312" s="14" t="s">
        <v>7665</v>
      </c>
      <c r="P312" s="14" t="s">
        <v>7666</v>
      </c>
      <c r="Q312" s="14">
        <v>425044.92</v>
      </c>
      <c r="R312" s="14">
        <v>6187980.1799999997</v>
      </c>
      <c r="S312" s="14" t="s">
        <v>7667</v>
      </c>
      <c r="T312" s="14" t="s">
        <v>7668</v>
      </c>
      <c r="U312" s="14">
        <v>425063.6</v>
      </c>
      <c r="V312" s="14">
        <v>6187972.3700000001</v>
      </c>
      <c r="W312" s="14">
        <v>179.43</v>
      </c>
      <c r="X312" s="14">
        <v>150.05000000000001</v>
      </c>
    </row>
    <row r="313" spans="1:24" s="14" customFormat="1" x14ac:dyDescent="0.25">
      <c r="A313" s="50">
        <v>45096</v>
      </c>
      <c r="B313" s="16">
        <v>170</v>
      </c>
      <c r="C313" s="36">
        <v>0.87696759259259249</v>
      </c>
      <c r="D313" s="16" t="s">
        <v>7408</v>
      </c>
      <c r="E313" s="14" t="s">
        <v>65</v>
      </c>
      <c r="F313" s="16" t="s">
        <v>460</v>
      </c>
      <c r="G313" s="16" t="s">
        <v>697</v>
      </c>
      <c r="H313" s="14">
        <v>0.18</v>
      </c>
      <c r="I313" s="14" t="s">
        <v>7674</v>
      </c>
      <c r="J313" s="14" t="s">
        <v>7675</v>
      </c>
      <c r="K313" s="14" t="s">
        <v>7676</v>
      </c>
      <c r="L313" s="14" t="s">
        <v>7669</v>
      </c>
      <c r="O313" s="14" t="s">
        <v>7670</v>
      </c>
      <c r="P313" s="14" t="s">
        <v>7671</v>
      </c>
      <c r="Q313" s="14">
        <v>425034.22</v>
      </c>
      <c r="R313" s="14">
        <v>6187968.04</v>
      </c>
      <c r="S313" s="14" t="s">
        <v>7672</v>
      </c>
      <c r="T313" s="14" t="s">
        <v>7673</v>
      </c>
      <c r="U313" s="14">
        <v>425054.78</v>
      </c>
      <c r="V313" s="14">
        <v>6187959.4100000001</v>
      </c>
      <c r="W313" s="14">
        <v>0.18</v>
      </c>
      <c r="X313" s="14">
        <v>150.05000000000001</v>
      </c>
    </row>
    <row r="314" spans="1:24" s="14" customFormat="1" x14ac:dyDescent="0.25">
      <c r="A314" s="50">
        <v>45096</v>
      </c>
      <c r="B314" s="16">
        <v>170</v>
      </c>
      <c r="C314" s="36">
        <v>0.88113425925925926</v>
      </c>
      <c r="D314" s="16" t="s">
        <v>7408</v>
      </c>
      <c r="E314" s="14" t="s">
        <v>70</v>
      </c>
      <c r="F314" s="16" t="s">
        <v>460</v>
      </c>
      <c r="G314" s="16" t="s">
        <v>697</v>
      </c>
      <c r="H314" s="14">
        <v>-0.02</v>
      </c>
      <c r="I314" s="14" t="s">
        <v>7674</v>
      </c>
      <c r="J314" s="14" t="s">
        <v>7675</v>
      </c>
      <c r="K314" s="14" t="s">
        <v>7676</v>
      </c>
      <c r="L314" s="14" t="s">
        <v>7669</v>
      </c>
      <c r="O314" s="14" t="s">
        <v>7677</v>
      </c>
      <c r="P314" s="14" t="s">
        <v>7678</v>
      </c>
      <c r="Q314" s="14">
        <v>425034.44</v>
      </c>
      <c r="R314" s="14">
        <v>6188168.5</v>
      </c>
      <c r="S314" s="14" t="s">
        <v>7679</v>
      </c>
      <c r="T314" s="14" t="s">
        <v>7680</v>
      </c>
      <c r="U314" s="14">
        <v>425054.7</v>
      </c>
      <c r="V314" s="14">
        <v>6188159.3799999999</v>
      </c>
      <c r="W314" s="14">
        <v>0.41</v>
      </c>
      <c r="X314" s="14">
        <v>150.05000000000001</v>
      </c>
    </row>
    <row r="315" spans="1:24" s="14" customFormat="1" x14ac:dyDescent="0.25">
      <c r="A315" s="50">
        <v>45096</v>
      </c>
      <c r="B315" s="16">
        <v>170</v>
      </c>
      <c r="C315" s="36">
        <v>0.88418981481481485</v>
      </c>
      <c r="D315" s="16" t="s">
        <v>7408</v>
      </c>
      <c r="E315" s="14" t="s">
        <v>65</v>
      </c>
      <c r="F315" s="16" t="s">
        <v>460</v>
      </c>
      <c r="G315" s="16" t="s">
        <v>698</v>
      </c>
      <c r="H315" s="14">
        <v>-1.6E-2</v>
      </c>
      <c r="I315" s="14" t="s">
        <v>7685</v>
      </c>
      <c r="J315" s="14" t="s">
        <v>7686</v>
      </c>
      <c r="K315" s="14" t="s">
        <v>7687</v>
      </c>
      <c r="L315" s="14" t="s">
        <v>7688</v>
      </c>
      <c r="O315" s="14" t="s">
        <v>7681</v>
      </c>
      <c r="P315" s="14" t="s">
        <v>7682</v>
      </c>
      <c r="Q315" s="14">
        <v>425026.93</v>
      </c>
      <c r="R315" s="14">
        <v>6188180.79</v>
      </c>
      <c r="S315" s="14" t="s">
        <v>7683</v>
      </c>
      <c r="T315" s="14" t="s">
        <v>7684</v>
      </c>
      <c r="U315" s="14">
        <v>425045.77</v>
      </c>
      <c r="V315" s="14">
        <v>6188166.9299999997</v>
      </c>
      <c r="W315" s="14">
        <v>181.38</v>
      </c>
      <c r="X315" s="14">
        <v>150.05000000000001</v>
      </c>
    </row>
    <row r="316" spans="1:24" s="14" customFormat="1" x14ac:dyDescent="0.25">
      <c r="A316" s="50">
        <v>45096</v>
      </c>
      <c r="B316" s="16">
        <v>170</v>
      </c>
      <c r="C316" s="36">
        <v>0.88797453703703699</v>
      </c>
      <c r="D316" s="16" t="s">
        <v>7408</v>
      </c>
      <c r="E316" s="14" t="s">
        <v>70</v>
      </c>
      <c r="F316" s="16" t="s">
        <v>460</v>
      </c>
      <c r="G316" s="16" t="s">
        <v>698</v>
      </c>
      <c r="H316" s="14">
        <v>0.17</v>
      </c>
      <c r="I316" s="14" t="s">
        <v>7685</v>
      </c>
      <c r="J316" s="14" t="s">
        <v>7686</v>
      </c>
      <c r="K316" s="14" t="s">
        <v>7687</v>
      </c>
      <c r="L316" s="14" t="s">
        <v>7688</v>
      </c>
      <c r="O316" s="14" t="s">
        <v>7689</v>
      </c>
      <c r="P316" s="14" t="s">
        <v>7690</v>
      </c>
      <c r="Q316" s="14">
        <v>425027.7</v>
      </c>
      <c r="R316" s="14">
        <v>6187995.25</v>
      </c>
      <c r="S316" s="14" t="s">
        <v>7691</v>
      </c>
      <c r="T316" s="14" t="s">
        <v>7692</v>
      </c>
      <c r="U316" s="14">
        <v>425045.72</v>
      </c>
      <c r="V316" s="14">
        <v>6187980.3600000003</v>
      </c>
      <c r="W316" s="14">
        <v>180.52</v>
      </c>
      <c r="X316" s="14">
        <v>150.05000000000001</v>
      </c>
    </row>
    <row r="317" spans="1:24" s="14" customFormat="1" x14ac:dyDescent="0.25">
      <c r="A317" s="50">
        <v>45096</v>
      </c>
      <c r="B317" s="16">
        <v>170</v>
      </c>
      <c r="C317" s="36">
        <v>0.89053240740740736</v>
      </c>
      <c r="D317" s="16" t="s">
        <v>7408</v>
      </c>
      <c r="E317" s="14" t="s">
        <v>65</v>
      </c>
      <c r="F317" s="16" t="s">
        <v>460</v>
      </c>
      <c r="G317" s="16" t="s">
        <v>699</v>
      </c>
      <c r="H317" s="14">
        <v>0.16500000000000001</v>
      </c>
      <c r="I317" s="14" t="s">
        <v>7697</v>
      </c>
      <c r="J317" s="14" t="s">
        <v>7698</v>
      </c>
      <c r="K317" s="14" t="s">
        <v>7699</v>
      </c>
      <c r="L317" s="14" t="s">
        <v>7688</v>
      </c>
      <c r="O317" s="14" t="s">
        <v>7693</v>
      </c>
      <c r="P317" s="14" t="s">
        <v>7694</v>
      </c>
      <c r="Q317" s="14">
        <v>425017.94</v>
      </c>
      <c r="R317" s="14">
        <v>6187984.0800000001</v>
      </c>
      <c r="S317" s="14" t="s">
        <v>7695</v>
      </c>
      <c r="T317" s="14" t="s">
        <v>7696</v>
      </c>
      <c r="U317" s="14">
        <v>425036.61</v>
      </c>
      <c r="V317" s="14">
        <v>6187974.4900000002</v>
      </c>
      <c r="W317" s="14">
        <v>0.35</v>
      </c>
      <c r="X317" s="14">
        <v>150.05000000000001</v>
      </c>
    </row>
    <row r="318" spans="1:24" s="14" customFormat="1" x14ac:dyDescent="0.25">
      <c r="A318" s="50">
        <v>45096</v>
      </c>
      <c r="B318" s="16">
        <v>170</v>
      </c>
      <c r="C318" s="36">
        <v>0.8944212962962963</v>
      </c>
      <c r="D318" s="16" t="s">
        <v>7408</v>
      </c>
      <c r="E318" s="14" t="s">
        <v>70</v>
      </c>
      <c r="F318" s="16" t="s">
        <v>460</v>
      </c>
      <c r="G318" s="16" t="s">
        <v>699</v>
      </c>
      <c r="H318" s="14">
        <v>-2.3E-2</v>
      </c>
      <c r="I318" s="14" t="s">
        <v>7697</v>
      </c>
      <c r="J318" s="14" t="s">
        <v>7698</v>
      </c>
      <c r="K318" s="14" t="s">
        <v>7699</v>
      </c>
      <c r="L318" s="14" t="s">
        <v>7704</v>
      </c>
      <c r="O318" s="14" t="s">
        <v>7700</v>
      </c>
      <c r="P318" s="14" t="s">
        <v>7701</v>
      </c>
      <c r="Q318" s="14">
        <v>425018.03</v>
      </c>
      <c r="R318" s="14">
        <v>6188169.46</v>
      </c>
      <c r="S318" s="14" t="s">
        <v>7702</v>
      </c>
      <c r="T318" s="14" t="s">
        <v>7703</v>
      </c>
      <c r="U318" s="14">
        <v>425036.6</v>
      </c>
      <c r="V318" s="14">
        <v>6188162.0800000001</v>
      </c>
      <c r="W318" s="14">
        <v>359.33</v>
      </c>
      <c r="X318" s="14">
        <v>150.05000000000001</v>
      </c>
    </row>
    <row r="319" spans="1:24" s="14" customFormat="1" x14ac:dyDescent="0.25">
      <c r="A319" s="50">
        <v>45096</v>
      </c>
      <c r="B319" s="16">
        <v>170</v>
      </c>
      <c r="C319" s="36">
        <v>0.8966319444444445</v>
      </c>
      <c r="D319" s="16" t="s">
        <v>7408</v>
      </c>
      <c r="E319" s="14" t="s">
        <v>65</v>
      </c>
      <c r="F319" s="16" t="s">
        <v>460</v>
      </c>
      <c r="G319" s="16" t="s">
        <v>705</v>
      </c>
      <c r="H319" s="14">
        <v>-1.7999999999999999E-2</v>
      </c>
      <c r="I319" s="14" t="s">
        <v>7709</v>
      </c>
      <c r="J319" s="14" t="s">
        <v>7710</v>
      </c>
      <c r="K319" s="14" t="s">
        <v>7711</v>
      </c>
      <c r="L319" s="14" t="s">
        <v>7704</v>
      </c>
      <c r="O319" s="14" t="s">
        <v>7705</v>
      </c>
      <c r="P319" s="14" t="s">
        <v>7706</v>
      </c>
      <c r="Q319" s="14">
        <v>425009.33</v>
      </c>
      <c r="R319" s="14">
        <v>6188183.0099999998</v>
      </c>
      <c r="S319" s="14" t="s">
        <v>7707</v>
      </c>
      <c r="T319" s="14" t="s">
        <v>7708</v>
      </c>
      <c r="U319" s="14">
        <v>425027.74</v>
      </c>
      <c r="V319" s="14">
        <v>6188168.1799999997</v>
      </c>
      <c r="W319" s="14">
        <v>181.74</v>
      </c>
      <c r="X319" s="14">
        <v>150.05000000000001</v>
      </c>
    </row>
    <row r="320" spans="1:24" s="14" customFormat="1" x14ac:dyDescent="0.25">
      <c r="A320" s="50">
        <v>45096</v>
      </c>
      <c r="B320" s="16">
        <v>170</v>
      </c>
      <c r="C320" s="36">
        <v>0.9006249999999999</v>
      </c>
      <c r="D320" s="16" t="s">
        <v>7408</v>
      </c>
      <c r="E320" s="14" t="s">
        <v>70</v>
      </c>
      <c r="F320" s="16" t="s">
        <v>460</v>
      </c>
      <c r="G320" s="16" t="s">
        <v>705</v>
      </c>
      <c r="H320" s="14">
        <v>0.17</v>
      </c>
      <c r="I320" s="14" t="s">
        <v>7709</v>
      </c>
      <c r="J320" s="14" t="s">
        <v>7710</v>
      </c>
      <c r="K320" s="14" t="s">
        <v>7711</v>
      </c>
      <c r="L320" s="14" t="s">
        <v>7704</v>
      </c>
      <c r="O320" s="14" t="s">
        <v>7712</v>
      </c>
      <c r="P320" s="14" t="s">
        <v>7713</v>
      </c>
      <c r="Q320" s="14">
        <v>425010.49</v>
      </c>
      <c r="R320" s="14">
        <v>6187996.0800000001</v>
      </c>
      <c r="S320" s="14" t="s">
        <v>7714</v>
      </c>
      <c r="T320" s="14" t="s">
        <v>7715</v>
      </c>
      <c r="U320" s="14">
        <v>425027.64</v>
      </c>
      <c r="V320" s="14">
        <v>6187980.6200000001</v>
      </c>
      <c r="W320" s="14">
        <v>179.56</v>
      </c>
      <c r="X320" s="14">
        <v>150.05000000000001</v>
      </c>
    </row>
    <row r="321" spans="1:24" s="14" customFormat="1" x14ac:dyDescent="0.25">
      <c r="A321" s="50">
        <v>45096</v>
      </c>
      <c r="B321" s="16">
        <v>170</v>
      </c>
      <c r="C321" s="36">
        <v>0.9030555555555555</v>
      </c>
      <c r="D321" s="16" t="s">
        <v>7408</v>
      </c>
      <c r="E321" s="14" t="s">
        <v>65</v>
      </c>
      <c r="F321" s="16" t="s">
        <v>460</v>
      </c>
      <c r="G321" s="16" t="s">
        <v>704</v>
      </c>
      <c r="H321" s="14">
        <v>0.16500000000000001</v>
      </c>
      <c r="I321" s="14" t="s">
        <v>7720</v>
      </c>
      <c r="J321" s="14" t="s">
        <v>7721</v>
      </c>
      <c r="K321" s="14" t="s">
        <v>7722</v>
      </c>
      <c r="L321" s="14" t="s">
        <v>7723</v>
      </c>
      <c r="O321" s="14" t="s">
        <v>7716</v>
      </c>
      <c r="P321" s="14" t="s">
        <v>7717</v>
      </c>
      <c r="Q321" s="14">
        <v>424999.79</v>
      </c>
      <c r="R321" s="14">
        <v>6187979.3099999996</v>
      </c>
      <c r="S321" s="14" t="s">
        <v>7718</v>
      </c>
      <c r="T321" s="14" t="s">
        <v>7719</v>
      </c>
      <c r="U321" s="14">
        <v>425018.9</v>
      </c>
      <c r="V321" s="14">
        <v>6187974.3799999999</v>
      </c>
      <c r="W321" s="14">
        <v>359.53</v>
      </c>
      <c r="X321" s="14">
        <v>150.05000000000001</v>
      </c>
    </row>
    <row r="322" spans="1:24" s="14" customFormat="1" x14ac:dyDescent="0.25">
      <c r="A322" s="50">
        <v>45096</v>
      </c>
      <c r="B322" s="16">
        <v>170</v>
      </c>
      <c r="C322" s="36">
        <v>0.90739583333333329</v>
      </c>
      <c r="D322" s="16" t="s">
        <v>7408</v>
      </c>
      <c r="E322" s="14" t="s">
        <v>70</v>
      </c>
      <c r="F322" s="16" t="s">
        <v>460</v>
      </c>
      <c r="G322" s="16" t="s">
        <v>704</v>
      </c>
      <c r="H322" s="14">
        <v>-2.1999999999999999E-2</v>
      </c>
      <c r="I322" s="14" t="s">
        <v>7720</v>
      </c>
      <c r="J322" s="14" t="s">
        <v>7721</v>
      </c>
      <c r="K322" s="14" t="s">
        <v>7722</v>
      </c>
      <c r="L322" s="14" t="s">
        <v>7723</v>
      </c>
      <c r="O322" s="14" t="s">
        <v>7724</v>
      </c>
      <c r="P322" s="14" t="s">
        <v>7725</v>
      </c>
      <c r="Q322" s="14">
        <v>424999.92</v>
      </c>
      <c r="R322" s="14">
        <v>6188170.8700000001</v>
      </c>
      <c r="S322" s="14" t="s">
        <v>7726</v>
      </c>
      <c r="T322" s="14" t="s">
        <v>7727</v>
      </c>
      <c r="U322" s="14">
        <v>425018.87</v>
      </c>
      <c r="V322" s="14">
        <v>6188161.8899999997</v>
      </c>
      <c r="W322" s="14">
        <v>0.34</v>
      </c>
      <c r="X322" s="14">
        <v>150.05000000000001</v>
      </c>
    </row>
    <row r="323" spans="1:24" s="14" customFormat="1" x14ac:dyDescent="0.25">
      <c r="A323" s="50">
        <v>45096</v>
      </c>
      <c r="B323" s="16">
        <v>170</v>
      </c>
      <c r="C323" s="36">
        <v>0.91</v>
      </c>
      <c r="D323" s="16" t="s">
        <v>7408</v>
      </c>
      <c r="E323" s="14" t="s">
        <v>65</v>
      </c>
      <c r="F323" s="16" t="s">
        <v>460</v>
      </c>
      <c r="G323" s="16" t="s">
        <v>703</v>
      </c>
      <c r="H323" s="14">
        <v>-2.1999999999999999E-2</v>
      </c>
      <c r="I323" s="14" t="s">
        <v>7732</v>
      </c>
      <c r="J323" s="14" t="s">
        <v>7733</v>
      </c>
      <c r="K323" s="14" t="s">
        <v>7734</v>
      </c>
      <c r="L323" s="14" t="s">
        <v>7723</v>
      </c>
      <c r="O323" s="14" t="s">
        <v>7728</v>
      </c>
      <c r="P323" s="14" t="s">
        <v>7729</v>
      </c>
      <c r="Q323" s="14">
        <v>424992.32</v>
      </c>
      <c r="R323" s="14">
        <v>6188181.7000000002</v>
      </c>
      <c r="S323" s="14" t="s">
        <v>7730</v>
      </c>
      <c r="T323" s="14" t="s">
        <v>7731</v>
      </c>
      <c r="U323" s="14">
        <v>425009.76</v>
      </c>
      <c r="V323" s="14">
        <v>6188172.1299999999</v>
      </c>
      <c r="W323" s="14">
        <v>179.58</v>
      </c>
      <c r="X323" s="14">
        <v>150.05000000000001</v>
      </c>
    </row>
    <row r="324" spans="1:24" s="14" customFormat="1" x14ac:dyDescent="0.25">
      <c r="A324" s="50">
        <v>45096</v>
      </c>
      <c r="B324" s="16">
        <v>170</v>
      </c>
      <c r="C324" s="36">
        <v>0.91393518518518524</v>
      </c>
      <c r="D324" s="16" t="s">
        <v>7408</v>
      </c>
      <c r="E324" s="14" t="s">
        <v>70</v>
      </c>
      <c r="F324" s="16" t="s">
        <v>460</v>
      </c>
      <c r="G324" s="16" t="s">
        <v>703</v>
      </c>
      <c r="H324" s="14">
        <v>0.17</v>
      </c>
      <c r="I324" s="14" t="s">
        <v>7732</v>
      </c>
      <c r="J324" s="14" t="s">
        <v>7733</v>
      </c>
      <c r="K324" s="14" t="s">
        <v>7734</v>
      </c>
      <c r="L324" s="14" t="s">
        <v>7739</v>
      </c>
      <c r="O324" s="14" t="s">
        <v>7735</v>
      </c>
      <c r="P324" s="14" t="s">
        <v>7736</v>
      </c>
      <c r="Q324" s="14">
        <v>424992.27</v>
      </c>
      <c r="R324" s="14">
        <v>6187988.54</v>
      </c>
      <c r="S324" s="14" t="s">
        <v>7737</v>
      </c>
      <c r="T324" s="14" t="s">
        <v>7738</v>
      </c>
      <c r="U324" s="14">
        <v>425009.75</v>
      </c>
      <c r="V324" s="14">
        <v>6187980.3099999996</v>
      </c>
      <c r="W324" s="14">
        <v>179.87</v>
      </c>
      <c r="X324" s="14">
        <v>150.05000000000001</v>
      </c>
    </row>
    <row r="325" spans="1:24" s="14" customFormat="1" x14ac:dyDescent="0.25">
      <c r="A325" s="50">
        <v>45096</v>
      </c>
      <c r="B325" s="16">
        <v>170</v>
      </c>
      <c r="C325" s="36">
        <v>0.9175578703703704</v>
      </c>
      <c r="D325" s="16" t="s">
        <v>175</v>
      </c>
      <c r="E325" s="14" t="s">
        <v>65</v>
      </c>
      <c r="F325" s="16" t="s">
        <v>460</v>
      </c>
      <c r="G325" s="16" t="s">
        <v>702</v>
      </c>
      <c r="H325" s="14">
        <v>0.16700000000000001</v>
      </c>
      <c r="I325" s="14" t="s">
        <v>7744</v>
      </c>
      <c r="J325" s="14" t="s">
        <v>7745</v>
      </c>
      <c r="K325" s="14" t="s">
        <v>7746</v>
      </c>
      <c r="L325" s="14" t="s">
        <v>7739</v>
      </c>
      <c r="O325" s="14" t="s">
        <v>7740</v>
      </c>
      <c r="P325" s="14" t="s">
        <v>7741</v>
      </c>
      <c r="Q325" s="14">
        <v>424982.5</v>
      </c>
      <c r="R325" s="14">
        <v>6187980.7800000003</v>
      </c>
      <c r="S325" s="14" t="s">
        <v>7742</v>
      </c>
      <c r="T325" s="14" t="s">
        <v>7743</v>
      </c>
      <c r="U325" s="14">
        <v>425000.75</v>
      </c>
      <c r="V325" s="14">
        <v>6187972.6699999999</v>
      </c>
      <c r="W325" s="14">
        <v>1.38</v>
      </c>
      <c r="X325" s="14">
        <v>150.05000000000001</v>
      </c>
    </row>
    <row r="326" spans="1:24" s="14" customFormat="1" x14ac:dyDescent="0.25">
      <c r="A326" s="50">
        <v>45096</v>
      </c>
      <c r="B326" s="16">
        <v>170</v>
      </c>
      <c r="C326" s="36">
        <v>0.92087962962962966</v>
      </c>
      <c r="D326" s="16" t="s">
        <v>175</v>
      </c>
      <c r="E326" s="14" t="s">
        <v>70</v>
      </c>
      <c r="F326" s="16" t="s">
        <v>460</v>
      </c>
      <c r="G326" s="16" t="s">
        <v>702</v>
      </c>
      <c r="H326" s="14">
        <v>-0.02</v>
      </c>
      <c r="I326" s="14" t="s">
        <v>7744</v>
      </c>
      <c r="J326" s="14" t="s">
        <v>7745</v>
      </c>
      <c r="K326" s="14" t="s">
        <v>7746</v>
      </c>
    </row>
    <row r="327" spans="1:24" s="14" customFormat="1" x14ac:dyDescent="0.25">
      <c r="A327" s="50">
        <v>45096</v>
      </c>
      <c r="B327" s="16">
        <v>170</v>
      </c>
      <c r="C327" s="36">
        <v>0.92645833333333327</v>
      </c>
      <c r="D327" s="16" t="s">
        <v>175</v>
      </c>
      <c r="E327" s="14" t="s">
        <v>65</v>
      </c>
      <c r="F327" s="16" t="s">
        <v>460</v>
      </c>
      <c r="G327" s="16" t="s">
        <v>701</v>
      </c>
      <c r="H327" s="14">
        <v>-2.1999999999999999E-2</v>
      </c>
      <c r="I327" s="14" t="s">
        <v>7822</v>
      </c>
      <c r="J327" s="14" t="s">
        <v>7833</v>
      </c>
      <c r="K327" s="14" t="s">
        <v>7824</v>
      </c>
    </row>
    <row r="328" spans="1:24" s="14" customFormat="1" x14ac:dyDescent="0.25">
      <c r="A328" s="50">
        <v>45096</v>
      </c>
      <c r="B328" s="16">
        <v>170</v>
      </c>
      <c r="C328" s="36">
        <v>0.93093750000000008</v>
      </c>
      <c r="D328" s="16" t="s">
        <v>175</v>
      </c>
      <c r="E328" s="14" t="s">
        <v>70</v>
      </c>
      <c r="F328" s="16" t="s">
        <v>460</v>
      </c>
      <c r="G328" s="16" t="s">
        <v>701</v>
      </c>
      <c r="H328" s="14">
        <v>0.16700000000000001</v>
      </c>
      <c r="I328" s="14" t="s">
        <v>7822</v>
      </c>
      <c r="J328" s="14" t="s">
        <v>7833</v>
      </c>
      <c r="K328" s="14" t="s">
        <v>7824</v>
      </c>
    </row>
    <row r="329" spans="1:24" s="14" customFormat="1" x14ac:dyDescent="0.25">
      <c r="A329" s="50">
        <v>45096</v>
      </c>
      <c r="B329" s="16">
        <v>170</v>
      </c>
      <c r="C329" s="36">
        <v>0.93331018518518516</v>
      </c>
      <c r="D329" s="16" t="s">
        <v>175</v>
      </c>
      <c r="E329" s="14" t="s">
        <v>65</v>
      </c>
      <c r="F329" s="16" t="s">
        <v>460</v>
      </c>
      <c r="G329" s="16" t="s">
        <v>700</v>
      </c>
      <c r="H329" s="14">
        <v>0.16700000000000001</v>
      </c>
      <c r="I329" s="14" t="s">
        <v>7823</v>
      </c>
      <c r="J329" s="14" t="s">
        <v>7834</v>
      </c>
      <c r="K329" s="14" t="s">
        <v>7825</v>
      </c>
    </row>
    <row r="330" spans="1:24" s="14" customFormat="1" x14ac:dyDescent="0.25">
      <c r="A330" s="50">
        <v>45096</v>
      </c>
      <c r="B330" s="16">
        <v>170</v>
      </c>
      <c r="C330" s="36">
        <v>0.93731481481481482</v>
      </c>
      <c r="D330" s="16" t="s">
        <v>175</v>
      </c>
      <c r="E330" s="14" t="s">
        <v>70</v>
      </c>
      <c r="F330" s="16" t="s">
        <v>460</v>
      </c>
      <c r="G330" s="16" t="s">
        <v>700</v>
      </c>
      <c r="H330" s="14">
        <v>-0.02</v>
      </c>
      <c r="I330" s="14" t="s">
        <v>7823</v>
      </c>
      <c r="J330" s="14" t="s">
        <v>7834</v>
      </c>
      <c r="K330" s="14" t="s">
        <v>7825</v>
      </c>
    </row>
    <row r="331" spans="1:24" s="14" customFormat="1" x14ac:dyDescent="0.25">
      <c r="A331" s="50">
        <v>45096</v>
      </c>
      <c r="B331" s="16">
        <v>170</v>
      </c>
      <c r="C331" s="36">
        <v>0.93987268518518519</v>
      </c>
      <c r="D331" s="16" t="s">
        <v>175</v>
      </c>
      <c r="E331" s="14" t="s">
        <v>7751</v>
      </c>
      <c r="F331" s="16" t="s">
        <v>460</v>
      </c>
      <c r="G331" s="16" t="s">
        <v>702</v>
      </c>
      <c r="H331" s="14">
        <v>-2.5000000000000001E-2</v>
      </c>
      <c r="O331" s="14" t="s">
        <v>7747</v>
      </c>
      <c r="P331" s="14" t="s">
        <v>7748</v>
      </c>
      <c r="Q331" s="14">
        <v>424982.79</v>
      </c>
      <c r="R331" s="14">
        <v>6188175.4900000002</v>
      </c>
      <c r="S331" s="14" t="s">
        <v>7749</v>
      </c>
      <c r="T331" s="14" t="s">
        <v>7750</v>
      </c>
      <c r="U331" s="14">
        <v>425000.77</v>
      </c>
      <c r="V331" s="14">
        <v>6188164.46</v>
      </c>
      <c r="W331" s="14">
        <v>359.96</v>
      </c>
      <c r="X331" s="14">
        <v>150.05000000000001</v>
      </c>
    </row>
    <row r="332" spans="1:24" s="60" customFormat="1" x14ac:dyDescent="0.25">
      <c r="A332" s="86">
        <v>45096</v>
      </c>
      <c r="B332" s="85">
        <v>170</v>
      </c>
      <c r="C332" s="84">
        <v>0.95508101851851857</v>
      </c>
      <c r="D332" s="85" t="s">
        <v>175</v>
      </c>
      <c r="E332" s="60" t="s">
        <v>7456</v>
      </c>
      <c r="F332" s="85" t="s">
        <v>460</v>
      </c>
      <c r="G332" s="85" t="s">
        <v>7816</v>
      </c>
      <c r="H332" s="60">
        <v>-4.2999999999999997E-2</v>
      </c>
      <c r="I332" s="60" t="s">
        <v>7752</v>
      </c>
      <c r="J332" s="60" t="s">
        <v>7753</v>
      </c>
      <c r="K332" s="60" t="s">
        <v>7754</v>
      </c>
      <c r="L332" s="60" t="s">
        <v>7755</v>
      </c>
      <c r="O332" s="60" t="s">
        <v>7756</v>
      </c>
      <c r="P332" s="60" t="s">
        <v>7757</v>
      </c>
      <c r="Q332" s="60">
        <v>424974</v>
      </c>
      <c r="R332" s="60">
        <v>6188209.7199999997</v>
      </c>
      <c r="S332" s="60" t="s">
        <v>7758</v>
      </c>
      <c r="T332" s="60" t="s">
        <v>7759</v>
      </c>
      <c r="U332" s="60">
        <v>424991.82</v>
      </c>
      <c r="V332" s="60">
        <v>6188193.1699999999</v>
      </c>
      <c r="W332" s="60">
        <v>179.92</v>
      </c>
      <c r="X332" s="60">
        <v>150.05000000000001</v>
      </c>
    </row>
    <row r="333" spans="1:24" s="60" customFormat="1" x14ac:dyDescent="0.25">
      <c r="A333" s="86">
        <v>45096</v>
      </c>
      <c r="B333" s="85">
        <v>170</v>
      </c>
      <c r="C333" s="84">
        <v>0.95582175925925927</v>
      </c>
      <c r="D333" s="85" t="s">
        <v>175</v>
      </c>
      <c r="E333" s="60" t="s">
        <v>7457</v>
      </c>
      <c r="F333" s="85" t="s">
        <v>460</v>
      </c>
      <c r="G333" s="85" t="s">
        <v>7816</v>
      </c>
      <c r="H333" s="60">
        <v>0.04</v>
      </c>
      <c r="I333" s="60" t="s">
        <v>7752</v>
      </c>
      <c r="J333" s="60" t="s">
        <v>7753</v>
      </c>
      <c r="K333" s="60" t="s">
        <v>7754</v>
      </c>
      <c r="L333" s="60" t="s">
        <v>7755</v>
      </c>
      <c r="O333" s="60" t="s">
        <v>7760</v>
      </c>
      <c r="P333" s="60" t="s">
        <v>7761</v>
      </c>
      <c r="Q333" s="60">
        <v>424974.37</v>
      </c>
      <c r="R333" s="60">
        <v>6188184.0999999996</v>
      </c>
      <c r="S333" s="60" t="s">
        <v>7762</v>
      </c>
      <c r="T333" s="60" t="s">
        <v>7763</v>
      </c>
      <c r="U333" s="60">
        <v>424991.77</v>
      </c>
      <c r="V333" s="60">
        <v>6188173.0499999998</v>
      </c>
      <c r="W333" s="60">
        <v>180.14</v>
      </c>
      <c r="X333" s="60">
        <v>150.05000000000001</v>
      </c>
    </row>
    <row r="334" spans="1:24" s="14" customFormat="1" x14ac:dyDescent="0.25">
      <c r="A334" s="50">
        <v>45096</v>
      </c>
      <c r="B334" s="16">
        <v>170</v>
      </c>
      <c r="C334" s="36">
        <v>0.95834490740740741</v>
      </c>
      <c r="D334" s="16" t="s">
        <v>175</v>
      </c>
      <c r="E334" s="14" t="s">
        <v>7630</v>
      </c>
      <c r="F334" s="16" t="s">
        <v>460</v>
      </c>
      <c r="G334" s="16" t="s">
        <v>391</v>
      </c>
      <c r="H334" s="14">
        <v>-4.1000000000000002E-2</v>
      </c>
      <c r="O334" s="14" t="s">
        <v>7764</v>
      </c>
      <c r="P334" s="14" t="s">
        <v>7765</v>
      </c>
      <c r="Q334" s="14">
        <v>424115.12</v>
      </c>
      <c r="R334" s="14">
        <v>6187994.6600000001</v>
      </c>
      <c r="S334" s="14" t="s">
        <v>7766</v>
      </c>
      <c r="T334" s="14" t="s">
        <v>7767</v>
      </c>
      <c r="U334" s="14">
        <v>424127.61</v>
      </c>
      <c r="V334" s="14">
        <v>6187993.6600000001</v>
      </c>
      <c r="W334" s="14">
        <v>359.91</v>
      </c>
      <c r="X334" s="14">
        <v>200.07</v>
      </c>
    </row>
    <row r="335" spans="1:24" s="14" customFormat="1" x14ac:dyDescent="0.25">
      <c r="A335" s="50">
        <v>45096</v>
      </c>
      <c r="B335" s="16">
        <v>170</v>
      </c>
      <c r="C335" s="36">
        <v>0.96190972222222226</v>
      </c>
      <c r="D335" s="16" t="s">
        <v>175</v>
      </c>
      <c r="E335" s="14" t="s">
        <v>65</v>
      </c>
      <c r="F335" s="16" t="s">
        <v>460</v>
      </c>
      <c r="G335" s="16" t="s">
        <v>391</v>
      </c>
      <c r="H335" s="14">
        <v>-1.7999999999999999E-2</v>
      </c>
      <c r="I335" s="14" t="s">
        <v>7772</v>
      </c>
      <c r="J335" s="14" t="s">
        <v>7773</v>
      </c>
      <c r="K335" s="14" t="s">
        <v>7774</v>
      </c>
      <c r="L335" s="14" t="s">
        <v>7755</v>
      </c>
      <c r="O335" s="14" t="s">
        <v>7768</v>
      </c>
      <c r="P335" s="14" t="s">
        <v>7769</v>
      </c>
      <c r="Q335" s="14">
        <v>424113.21</v>
      </c>
      <c r="R335" s="14">
        <v>6187996.9100000001</v>
      </c>
      <c r="S335" s="14" t="s">
        <v>7770</v>
      </c>
      <c r="T335" s="14" t="s">
        <v>7771</v>
      </c>
      <c r="U335" s="14">
        <v>424126.96</v>
      </c>
      <c r="V335" s="14">
        <v>6187982.0599999996</v>
      </c>
      <c r="W335" s="14">
        <v>180.52</v>
      </c>
      <c r="X335" s="14">
        <v>200.07</v>
      </c>
    </row>
    <row r="336" spans="1:24" s="14" customFormat="1" x14ac:dyDescent="0.25">
      <c r="A336" s="50">
        <v>45096</v>
      </c>
      <c r="B336" s="16">
        <v>170</v>
      </c>
      <c r="C336" s="36">
        <v>0.9679282407407408</v>
      </c>
      <c r="D336" s="16" t="s">
        <v>175</v>
      </c>
      <c r="E336" s="14" t="s">
        <v>70</v>
      </c>
      <c r="F336" s="16" t="s">
        <v>460</v>
      </c>
      <c r="G336" s="16" t="s">
        <v>391</v>
      </c>
      <c r="H336" s="14">
        <v>0.22700000000000001</v>
      </c>
      <c r="I336" s="14" t="s">
        <v>7772</v>
      </c>
      <c r="J336" s="14" t="s">
        <v>7773</v>
      </c>
      <c r="K336" s="14" t="s">
        <v>7774</v>
      </c>
      <c r="L336" s="14" t="s">
        <v>7779</v>
      </c>
      <c r="O336" s="14" t="s">
        <v>7775</v>
      </c>
      <c r="P336" s="14" t="s">
        <v>7776</v>
      </c>
      <c r="Q336" s="14">
        <v>424114.03</v>
      </c>
      <c r="R336" s="14">
        <v>6187752.7699999996</v>
      </c>
      <c r="S336" s="14" t="s">
        <v>7777</v>
      </c>
      <c r="T336" s="14" t="s">
        <v>7778</v>
      </c>
      <c r="U336" s="14">
        <v>424126.89</v>
      </c>
      <c r="V336" s="14">
        <v>6187737.0099999998</v>
      </c>
      <c r="W336" s="14">
        <v>179.58</v>
      </c>
      <c r="X336" s="14">
        <v>200.07</v>
      </c>
    </row>
    <row r="337" spans="1:24" s="14" customFormat="1" x14ac:dyDescent="0.25">
      <c r="A337" s="50">
        <v>45096</v>
      </c>
      <c r="B337" s="16">
        <v>170</v>
      </c>
      <c r="C337" s="36">
        <v>0.97569444444444453</v>
      </c>
      <c r="D337" s="16" t="s">
        <v>175</v>
      </c>
      <c r="E337" s="14" t="s">
        <v>65</v>
      </c>
      <c r="F337" s="16" t="s">
        <v>460</v>
      </c>
      <c r="G337" s="16" t="s">
        <v>390</v>
      </c>
      <c r="H337" s="14">
        <v>0.20799999999999999</v>
      </c>
      <c r="I337" s="14" t="s">
        <v>7784</v>
      </c>
      <c r="J337" s="14" t="s">
        <v>7785</v>
      </c>
      <c r="K337" s="14" t="s">
        <v>7786</v>
      </c>
      <c r="L337" s="14" t="s">
        <v>7787</v>
      </c>
      <c r="O337" s="14" t="s">
        <v>7780</v>
      </c>
      <c r="P337" s="14" t="s">
        <v>7781</v>
      </c>
      <c r="Q337" s="14">
        <v>424097.54</v>
      </c>
      <c r="R337" s="14">
        <v>6187749.25</v>
      </c>
      <c r="S337" s="14" t="s">
        <v>7782</v>
      </c>
      <c r="T337" s="14" t="s">
        <v>7783</v>
      </c>
      <c r="U337" s="14">
        <v>424118.05</v>
      </c>
      <c r="V337" s="14">
        <v>6187744.5700000003</v>
      </c>
      <c r="W337" s="14">
        <v>0.85</v>
      </c>
      <c r="X337" s="14">
        <v>200.07</v>
      </c>
    </row>
    <row r="338" spans="1:24" s="14" customFormat="1" x14ac:dyDescent="0.25">
      <c r="A338" s="50">
        <v>45096</v>
      </c>
      <c r="B338" s="16">
        <v>170</v>
      </c>
      <c r="C338" s="36">
        <v>0.98112268518518519</v>
      </c>
      <c r="D338" s="16" t="s">
        <v>175</v>
      </c>
      <c r="E338" s="14" t="s">
        <v>70</v>
      </c>
      <c r="F338" s="16" t="s">
        <v>460</v>
      </c>
      <c r="G338" s="16" t="s">
        <v>390</v>
      </c>
      <c r="H338" s="14">
        <v>-3.4000000000000002E-2</v>
      </c>
      <c r="I338" s="14" t="s">
        <v>7784</v>
      </c>
      <c r="J338" s="14" t="s">
        <v>7785</v>
      </c>
      <c r="K338" s="14" t="s">
        <v>7786</v>
      </c>
      <c r="L338" s="14" t="s">
        <v>7787</v>
      </c>
      <c r="O338" s="14" t="s">
        <v>7788</v>
      </c>
      <c r="P338" s="14" t="s">
        <v>7789</v>
      </c>
      <c r="Q338" s="14">
        <v>424097.13</v>
      </c>
      <c r="R338" s="14">
        <v>6187988.8700000001</v>
      </c>
      <c r="S338" s="14" t="s">
        <v>7790</v>
      </c>
      <c r="T338" s="14" t="s">
        <v>7791</v>
      </c>
      <c r="U338" s="14">
        <v>424117.98</v>
      </c>
      <c r="V338" s="14">
        <v>6187986.6600000001</v>
      </c>
      <c r="W338" s="14">
        <v>0.13</v>
      </c>
      <c r="X338" s="14">
        <v>200.07</v>
      </c>
    </row>
    <row r="339" spans="1:24" s="14" customFormat="1" x14ac:dyDescent="0.25">
      <c r="A339" s="50">
        <v>45096</v>
      </c>
      <c r="B339" s="16">
        <v>170</v>
      </c>
      <c r="C339" s="36">
        <v>0.99053240740740733</v>
      </c>
      <c r="D339" s="16" t="s">
        <v>175</v>
      </c>
      <c r="E339" s="14" t="s">
        <v>65</v>
      </c>
      <c r="F339" s="16" t="s">
        <v>460</v>
      </c>
      <c r="G339" s="16" t="s">
        <v>389</v>
      </c>
      <c r="H339" s="14">
        <v>-8.9999999999999993E-3</v>
      </c>
      <c r="I339" s="14" t="s">
        <v>7796</v>
      </c>
      <c r="J339" s="14" t="s">
        <v>7797</v>
      </c>
      <c r="K339" s="14" t="s">
        <v>7798</v>
      </c>
      <c r="L339" s="14" t="s">
        <v>7799</v>
      </c>
      <c r="O339" s="14" t="s">
        <v>7792</v>
      </c>
      <c r="P339" s="14" t="s">
        <v>7793</v>
      </c>
      <c r="Q339" s="14">
        <v>424089.86</v>
      </c>
      <c r="R339" s="14">
        <v>6187973.46</v>
      </c>
      <c r="S339" s="14" t="s">
        <v>7794</v>
      </c>
      <c r="T339" s="14" t="s">
        <v>7795</v>
      </c>
      <c r="U339" s="14">
        <v>424108.93</v>
      </c>
      <c r="V339" s="14">
        <v>6187972.9199999999</v>
      </c>
      <c r="W339" s="14">
        <v>180.96</v>
      </c>
      <c r="X339" s="14">
        <v>200.07</v>
      </c>
    </row>
    <row r="340" spans="1:24" s="14" customFormat="1" x14ac:dyDescent="0.25">
      <c r="A340" s="50">
        <v>45096</v>
      </c>
      <c r="B340" s="16">
        <v>170</v>
      </c>
      <c r="C340" s="36">
        <v>0.99578703703703697</v>
      </c>
      <c r="D340" s="16" t="s">
        <v>175</v>
      </c>
      <c r="E340" s="14" t="s">
        <v>70</v>
      </c>
      <c r="F340" s="16" t="s">
        <v>460</v>
      </c>
      <c r="G340" s="16" t="s">
        <v>389</v>
      </c>
      <c r="H340" s="14">
        <v>0.222</v>
      </c>
      <c r="I340" s="14" t="s">
        <v>7796</v>
      </c>
      <c r="J340" s="14" t="s">
        <v>7797</v>
      </c>
      <c r="K340" s="14" t="s">
        <v>7798</v>
      </c>
      <c r="L340" s="14" t="s">
        <v>7799</v>
      </c>
      <c r="O340" s="14" t="s">
        <v>7800</v>
      </c>
      <c r="P340" s="14" t="s">
        <v>7801</v>
      </c>
      <c r="Q340" s="14">
        <v>424089.04</v>
      </c>
      <c r="R340" s="14">
        <v>6187743.0999999996</v>
      </c>
      <c r="S340" s="14" t="s">
        <v>7802</v>
      </c>
      <c r="T340" s="14" t="s">
        <v>7803</v>
      </c>
      <c r="U340" s="14">
        <v>424108.86</v>
      </c>
      <c r="V340" s="14">
        <v>6187741.6799999997</v>
      </c>
      <c r="W340" s="14">
        <v>179.66</v>
      </c>
      <c r="X340" s="14">
        <v>200.07</v>
      </c>
    </row>
    <row r="341" spans="1:24" s="72" customFormat="1" x14ac:dyDescent="0.25">
      <c r="A341" s="69">
        <v>45097</v>
      </c>
      <c r="B341" s="70">
        <v>171</v>
      </c>
      <c r="C341" s="71">
        <v>0</v>
      </c>
      <c r="D341" s="70" t="s">
        <v>175</v>
      </c>
      <c r="E341" s="72" t="s">
        <v>77</v>
      </c>
      <c r="F341" s="70" t="s">
        <v>460</v>
      </c>
      <c r="G341" s="70" t="s">
        <v>388</v>
      </c>
      <c r="H341" s="72">
        <v>0.23699999999999999</v>
      </c>
      <c r="O341" s="72" t="s">
        <v>7804</v>
      </c>
      <c r="P341" s="72" t="s">
        <v>7805</v>
      </c>
      <c r="Q341" s="72">
        <v>424075.88</v>
      </c>
      <c r="R341" s="72">
        <v>6187719.2699999996</v>
      </c>
      <c r="S341" s="72" t="s">
        <v>7806</v>
      </c>
      <c r="T341" s="72" t="s">
        <v>7807</v>
      </c>
      <c r="U341" s="72">
        <v>424099.8</v>
      </c>
      <c r="V341" s="72">
        <v>6187715.46</v>
      </c>
      <c r="W341" s="72">
        <v>359.75</v>
      </c>
      <c r="X341" s="72">
        <v>200.07</v>
      </c>
    </row>
    <row r="342" spans="1:24" s="14" customFormat="1" x14ac:dyDescent="0.25">
      <c r="A342" s="50">
        <v>45097</v>
      </c>
      <c r="B342" s="16">
        <v>171</v>
      </c>
      <c r="C342" s="36">
        <v>2.0833333333333333E-3</v>
      </c>
      <c r="D342" s="16" t="s">
        <v>175</v>
      </c>
      <c r="E342" s="14" t="s">
        <v>65</v>
      </c>
      <c r="F342" s="16" t="s">
        <v>460</v>
      </c>
      <c r="G342" s="16" t="s">
        <v>388</v>
      </c>
      <c r="H342" s="14">
        <v>0.21099999999999999</v>
      </c>
      <c r="I342" s="14" t="s">
        <v>7812</v>
      </c>
      <c r="J342" s="14" t="s">
        <v>7813</v>
      </c>
      <c r="K342" s="14" t="s">
        <v>7814</v>
      </c>
      <c r="L342" s="14" t="s">
        <v>7815</v>
      </c>
      <c r="O342" s="14" t="s">
        <v>7808</v>
      </c>
      <c r="P342" s="14" t="s">
        <v>7809</v>
      </c>
      <c r="Q342" s="14">
        <v>424077.21</v>
      </c>
      <c r="R342" s="14">
        <v>6187747.2199999997</v>
      </c>
      <c r="S342" s="14" t="s">
        <v>7810</v>
      </c>
      <c r="T342" s="14" t="s">
        <v>7811</v>
      </c>
      <c r="U342" s="14">
        <v>424099.88</v>
      </c>
      <c r="V342" s="14">
        <v>6187741.4400000004</v>
      </c>
      <c r="W342" s="14">
        <v>359.6</v>
      </c>
      <c r="X342" s="14">
        <v>200.07</v>
      </c>
    </row>
    <row r="343" spans="1:24" s="14" customFormat="1" x14ac:dyDescent="0.25">
      <c r="A343" s="50">
        <v>45097</v>
      </c>
      <c r="B343" s="16">
        <v>171</v>
      </c>
      <c r="C343" s="36">
        <v>8.2986111111111108E-3</v>
      </c>
      <c r="D343" s="16" t="s">
        <v>175</v>
      </c>
      <c r="E343" s="14" t="s">
        <v>70</v>
      </c>
      <c r="F343" s="16" t="s">
        <v>460</v>
      </c>
      <c r="G343" s="16" t="s">
        <v>388</v>
      </c>
      <c r="H343" s="14">
        <v>-2.1000000000000001E-2</v>
      </c>
      <c r="I343" s="14" t="s">
        <v>7812</v>
      </c>
      <c r="J343" s="14" t="s">
        <v>7813</v>
      </c>
      <c r="K343" s="14" t="s">
        <v>7814</v>
      </c>
      <c r="L343" s="14" t="s">
        <v>7821</v>
      </c>
      <c r="O343" s="14" t="s">
        <v>7817</v>
      </c>
      <c r="P343" s="14" t="s">
        <v>7818</v>
      </c>
      <c r="Q343" s="14">
        <v>424076.79999999999</v>
      </c>
      <c r="R343" s="14">
        <v>6187978.6699999999</v>
      </c>
      <c r="S343" s="14" t="s">
        <v>7819</v>
      </c>
      <c r="T343" s="14" t="s">
        <v>7820</v>
      </c>
      <c r="U343" s="14">
        <v>424099.81</v>
      </c>
      <c r="V343" s="14">
        <v>6187973.9699999997</v>
      </c>
      <c r="W343" s="14">
        <v>0.52</v>
      </c>
      <c r="X343" s="14">
        <v>200.07</v>
      </c>
    </row>
    <row r="344" spans="1:24" s="14" customFormat="1" x14ac:dyDescent="0.25">
      <c r="A344" s="50">
        <v>45097</v>
      </c>
      <c r="B344" s="16">
        <v>171</v>
      </c>
      <c r="C344" s="36">
        <v>1.357638888888889E-2</v>
      </c>
      <c r="D344" s="16" t="s">
        <v>175</v>
      </c>
      <c r="E344" s="14" t="s">
        <v>65</v>
      </c>
      <c r="F344" s="16" t="s">
        <v>460</v>
      </c>
      <c r="G344" s="16" t="s">
        <v>387</v>
      </c>
      <c r="H344" s="14">
        <v>-1.6E-2</v>
      </c>
      <c r="I344" s="14" t="s">
        <v>7830</v>
      </c>
      <c r="J344" s="14" t="s">
        <v>7831</v>
      </c>
      <c r="K344" s="14" t="s">
        <v>7832</v>
      </c>
      <c r="L344" s="14" t="s">
        <v>7821</v>
      </c>
      <c r="O344" s="14" t="s">
        <v>7826</v>
      </c>
      <c r="P344" s="14" t="s">
        <v>7827</v>
      </c>
      <c r="Q344" s="14">
        <v>424074.18</v>
      </c>
      <c r="R344" s="14">
        <v>6187994.3499999996</v>
      </c>
      <c r="S344" s="14" t="s">
        <v>7828</v>
      </c>
      <c r="T344" s="14" t="s">
        <v>7829</v>
      </c>
      <c r="U344" s="14">
        <v>424090.85</v>
      </c>
      <c r="V344" s="14">
        <v>6187979.96</v>
      </c>
      <c r="W344" s="14">
        <v>180.51</v>
      </c>
      <c r="X344" s="14">
        <v>200.07</v>
      </c>
    </row>
    <row r="345" spans="1:24" s="14" customFormat="1" x14ac:dyDescent="0.25">
      <c r="A345" s="50">
        <v>45097</v>
      </c>
      <c r="B345" s="16">
        <v>171</v>
      </c>
      <c r="C345" s="36">
        <v>1.9143518518518518E-2</v>
      </c>
      <c r="D345" s="16" t="s">
        <v>175</v>
      </c>
      <c r="E345" s="14" t="s">
        <v>70</v>
      </c>
      <c r="F345" s="16" t="s">
        <v>460</v>
      </c>
      <c r="G345" s="16" t="s">
        <v>387</v>
      </c>
      <c r="H345" s="14">
        <v>0.222</v>
      </c>
      <c r="I345" s="14" t="s">
        <v>7830</v>
      </c>
      <c r="J345" s="14" t="s">
        <v>7831</v>
      </c>
      <c r="K345" s="14" t="s">
        <v>7832</v>
      </c>
      <c r="L345" s="14" t="s">
        <v>7839</v>
      </c>
      <c r="O345" s="14" t="s">
        <v>7835</v>
      </c>
      <c r="P345" s="14" t="s">
        <v>7836</v>
      </c>
      <c r="Q345" s="14">
        <v>424075.67</v>
      </c>
      <c r="R345" s="14">
        <v>6187753.0800000001</v>
      </c>
      <c r="S345" s="14" t="s">
        <v>7837</v>
      </c>
      <c r="T345" s="14" t="s">
        <v>7838</v>
      </c>
      <c r="U345" s="14">
        <v>424090.92</v>
      </c>
      <c r="V345" s="14">
        <v>6187741.8399999999</v>
      </c>
      <c r="W345" s="14">
        <v>180.29</v>
      </c>
      <c r="X345" s="14">
        <v>200.07</v>
      </c>
    </row>
    <row r="346" spans="1:24" s="14" customFormat="1" x14ac:dyDescent="0.25">
      <c r="A346" s="50">
        <v>45097</v>
      </c>
      <c r="B346" s="16">
        <v>171</v>
      </c>
      <c r="C346" s="36">
        <v>2.4074074074074071E-2</v>
      </c>
      <c r="D346" s="16" t="s">
        <v>175</v>
      </c>
      <c r="E346" s="14" t="s">
        <v>65</v>
      </c>
      <c r="F346" s="16" t="s">
        <v>460</v>
      </c>
      <c r="G346" s="16" t="s">
        <v>386</v>
      </c>
      <c r="H346" s="14">
        <v>0.214</v>
      </c>
      <c r="I346" s="14" t="s">
        <v>7844</v>
      </c>
      <c r="J346" s="14" t="s">
        <v>7845</v>
      </c>
      <c r="K346" s="14" t="s">
        <v>7846</v>
      </c>
      <c r="L346" s="14" t="s">
        <v>7839</v>
      </c>
      <c r="O346" s="14" t="s">
        <v>7840</v>
      </c>
      <c r="P346" s="14" t="s">
        <v>7841</v>
      </c>
      <c r="Q346" s="14">
        <v>424065.25</v>
      </c>
      <c r="R346" s="14">
        <v>6187753.9000000004</v>
      </c>
      <c r="S346" s="14" t="s">
        <v>7842</v>
      </c>
      <c r="T346" s="14" t="s">
        <v>7843</v>
      </c>
      <c r="U346" s="14">
        <v>424081.91999999998</v>
      </c>
      <c r="V346" s="14">
        <v>6187738.6500000004</v>
      </c>
      <c r="W346" s="14">
        <v>0.72</v>
      </c>
      <c r="X346" s="14">
        <v>200.07</v>
      </c>
    </row>
    <row r="347" spans="1:24" s="14" customFormat="1" x14ac:dyDescent="0.25">
      <c r="A347" s="50">
        <v>45097</v>
      </c>
      <c r="B347" s="16">
        <v>171</v>
      </c>
      <c r="C347" s="36">
        <v>2.9374999999999998E-2</v>
      </c>
      <c r="D347" s="16" t="s">
        <v>175</v>
      </c>
      <c r="E347" s="14" t="s">
        <v>70</v>
      </c>
      <c r="F347" s="16" t="s">
        <v>460</v>
      </c>
      <c r="G347" s="16" t="s">
        <v>386</v>
      </c>
      <c r="H347" s="14">
        <v>-2.1000000000000001E-2</v>
      </c>
      <c r="I347" s="14" t="s">
        <v>7844</v>
      </c>
      <c r="J347" s="14" t="s">
        <v>7845</v>
      </c>
      <c r="K347" s="14" t="s">
        <v>7846</v>
      </c>
      <c r="L347" s="14" t="s">
        <v>7852</v>
      </c>
      <c r="O347" s="14" t="s">
        <v>7848</v>
      </c>
      <c r="P347" s="14" t="s">
        <v>7849</v>
      </c>
      <c r="Q347" s="14">
        <v>424064.75</v>
      </c>
      <c r="R347" s="14">
        <v>6187988.5499999998</v>
      </c>
      <c r="S347" s="14" t="s">
        <v>7850</v>
      </c>
      <c r="T347" s="14" t="s">
        <v>7851</v>
      </c>
      <c r="U347" s="14">
        <v>424081.88</v>
      </c>
      <c r="V347" s="14">
        <v>6187973.5</v>
      </c>
      <c r="W347" s="14">
        <v>7.0000000000000007E-2</v>
      </c>
      <c r="X347" s="14">
        <v>200.07</v>
      </c>
    </row>
    <row r="348" spans="1:24" s="14" customFormat="1" x14ac:dyDescent="0.25">
      <c r="A348" s="50">
        <v>45097</v>
      </c>
      <c r="B348" s="16">
        <v>171</v>
      </c>
      <c r="C348" s="36">
        <v>3.3020833333333333E-2</v>
      </c>
      <c r="D348" s="16" t="s">
        <v>175</v>
      </c>
      <c r="E348" s="14" t="s">
        <v>65</v>
      </c>
      <c r="F348" s="16" t="s">
        <v>460</v>
      </c>
      <c r="G348" s="16" t="s">
        <v>385</v>
      </c>
      <c r="H348" s="14">
        <v>-1.7000000000000001E-2</v>
      </c>
      <c r="I348" s="14" t="s">
        <v>7857</v>
      </c>
      <c r="J348" s="14" t="s">
        <v>7858</v>
      </c>
      <c r="K348" s="14" t="s">
        <v>7859</v>
      </c>
      <c r="L348" s="14" t="s">
        <v>7852</v>
      </c>
      <c r="O348" s="14" t="s">
        <v>7853</v>
      </c>
      <c r="P348" s="14" t="s">
        <v>7854</v>
      </c>
      <c r="Q348" s="14">
        <v>424056.51</v>
      </c>
      <c r="R348" s="14">
        <v>6187993.4100000001</v>
      </c>
      <c r="S348" s="14" t="s">
        <v>7855</v>
      </c>
      <c r="T348" s="14" t="s">
        <v>7856</v>
      </c>
      <c r="U348" s="14">
        <v>424072.93</v>
      </c>
      <c r="V348" s="14">
        <v>6187980.7699999996</v>
      </c>
      <c r="W348" s="14">
        <v>181.17</v>
      </c>
      <c r="X348" s="14">
        <v>200.07</v>
      </c>
    </row>
    <row r="349" spans="1:24" s="14" customFormat="1" x14ac:dyDescent="0.25">
      <c r="A349" s="50">
        <v>45097</v>
      </c>
      <c r="B349" s="16">
        <v>171</v>
      </c>
      <c r="C349" s="36">
        <v>3.8414351851851852E-2</v>
      </c>
      <c r="D349" s="16" t="s">
        <v>175</v>
      </c>
      <c r="E349" s="14" t="s">
        <v>70</v>
      </c>
      <c r="F349" s="16" t="s">
        <v>460</v>
      </c>
      <c r="G349" s="16" t="s">
        <v>385</v>
      </c>
      <c r="H349" s="14">
        <v>0.22</v>
      </c>
      <c r="I349" s="14" t="s">
        <v>7857</v>
      </c>
      <c r="J349" s="14" t="s">
        <v>7858</v>
      </c>
      <c r="K349" s="14" t="s">
        <v>7859</v>
      </c>
      <c r="L349" s="14" t="s">
        <v>7864</v>
      </c>
      <c r="O349" s="14" t="s">
        <v>7860</v>
      </c>
      <c r="P349" s="14" t="s">
        <v>7861</v>
      </c>
      <c r="Q349" s="14">
        <v>424057.51</v>
      </c>
      <c r="R349" s="14">
        <v>6187756.0800000001</v>
      </c>
      <c r="S349" s="14" t="s">
        <v>7862</v>
      </c>
      <c r="T349" s="14" t="s">
        <v>7863</v>
      </c>
      <c r="U349" s="14">
        <v>424072.81</v>
      </c>
      <c r="V349" s="14">
        <v>6187744.0800000001</v>
      </c>
      <c r="W349" s="14">
        <v>179.35</v>
      </c>
      <c r="X349" s="14">
        <v>200.07</v>
      </c>
    </row>
    <row r="350" spans="1:24" s="14" customFormat="1" x14ac:dyDescent="0.25">
      <c r="A350" s="50">
        <v>45097</v>
      </c>
      <c r="B350" s="16">
        <v>171</v>
      </c>
      <c r="C350" s="36">
        <v>4.2893518518518518E-2</v>
      </c>
      <c r="D350" s="16" t="s">
        <v>175</v>
      </c>
      <c r="E350" s="14" t="s">
        <v>65</v>
      </c>
      <c r="F350" s="16" t="s">
        <v>460</v>
      </c>
      <c r="G350" s="16" t="s">
        <v>384</v>
      </c>
      <c r="H350" s="14">
        <v>0.214</v>
      </c>
      <c r="I350" s="14" t="s">
        <v>7869</v>
      </c>
      <c r="J350" s="14" t="s">
        <v>7870</v>
      </c>
      <c r="K350" s="14" t="s">
        <v>7871</v>
      </c>
      <c r="L350" s="14" t="s">
        <v>7864</v>
      </c>
      <c r="O350" s="14" t="s">
        <v>7865</v>
      </c>
      <c r="P350" s="14" t="s">
        <v>7866</v>
      </c>
      <c r="Q350" s="14">
        <v>424048.12</v>
      </c>
      <c r="R350" s="14">
        <v>6187753.46</v>
      </c>
      <c r="S350" s="14" t="s">
        <v>7867</v>
      </c>
      <c r="T350" s="14" t="s">
        <v>7868</v>
      </c>
      <c r="U350" s="14">
        <v>424063.94</v>
      </c>
      <c r="V350" s="14">
        <v>6187738.9100000001</v>
      </c>
      <c r="W350" s="14">
        <v>359.97</v>
      </c>
      <c r="X350" s="14">
        <v>200.07</v>
      </c>
    </row>
    <row r="351" spans="1:24" s="14" customFormat="1" x14ac:dyDescent="0.25">
      <c r="A351" s="50">
        <v>45097</v>
      </c>
      <c r="B351" s="16">
        <v>171</v>
      </c>
      <c r="C351" s="36">
        <v>4.6319444444444441E-2</v>
      </c>
      <c r="D351" s="16" t="s">
        <v>175</v>
      </c>
      <c r="E351" s="61" t="s">
        <v>7909</v>
      </c>
      <c r="F351" s="16" t="s">
        <v>460</v>
      </c>
      <c r="G351" s="16" t="s">
        <v>384</v>
      </c>
      <c r="H351" s="14">
        <v>6.4000000000000001E-2</v>
      </c>
      <c r="O351" s="14" t="s">
        <v>7872</v>
      </c>
      <c r="P351" s="14" t="s">
        <v>7873</v>
      </c>
      <c r="Q351" s="14">
        <v>424045.58</v>
      </c>
      <c r="R351" s="14">
        <v>6187905.3600000003</v>
      </c>
      <c r="S351" s="14" t="s">
        <v>7874</v>
      </c>
      <c r="T351" s="14" t="s">
        <v>7875</v>
      </c>
      <c r="U351" s="14">
        <v>424064.06</v>
      </c>
      <c r="V351" s="14">
        <v>6187888.96</v>
      </c>
      <c r="W351" s="14">
        <v>359.22</v>
      </c>
      <c r="X351" s="14">
        <v>200.07</v>
      </c>
    </row>
    <row r="352" spans="1:24" s="14" customFormat="1" x14ac:dyDescent="0.25">
      <c r="A352" s="50">
        <v>45097</v>
      </c>
      <c r="B352" s="16">
        <v>171</v>
      </c>
      <c r="C352" s="36">
        <v>4.8113425925925928E-2</v>
      </c>
      <c r="D352" s="16" t="s">
        <v>175</v>
      </c>
      <c r="E352" s="14" t="s">
        <v>70</v>
      </c>
      <c r="F352" s="16" t="s">
        <v>460</v>
      </c>
      <c r="G352" s="16" t="s">
        <v>384</v>
      </c>
      <c r="H352" s="14">
        <v>-1.4999999999999999E-2</v>
      </c>
      <c r="I352" s="14" t="s">
        <v>7869</v>
      </c>
      <c r="J352" s="14" t="s">
        <v>7870</v>
      </c>
      <c r="K352" s="14" t="s">
        <v>7871</v>
      </c>
      <c r="L352" s="14" t="s">
        <v>7864</v>
      </c>
      <c r="O352" s="14" t="s">
        <v>7876</v>
      </c>
      <c r="P352" s="14" t="s">
        <v>7877</v>
      </c>
      <c r="Q352" s="14">
        <v>424046.42</v>
      </c>
      <c r="R352" s="14">
        <v>6187984.7400000002</v>
      </c>
      <c r="S352" s="14" t="s">
        <v>7878</v>
      </c>
      <c r="T352" s="14" t="s">
        <v>7879</v>
      </c>
      <c r="U352" s="14">
        <v>424063.97</v>
      </c>
      <c r="V352" s="14">
        <v>6187967.9000000004</v>
      </c>
      <c r="W352" s="14">
        <v>0.1</v>
      </c>
      <c r="X352" s="14">
        <v>200.07</v>
      </c>
    </row>
    <row r="353" spans="1:24" s="14" customFormat="1" x14ac:dyDescent="0.25">
      <c r="A353" s="50">
        <v>45097</v>
      </c>
      <c r="B353" s="16">
        <v>171</v>
      </c>
      <c r="C353" s="36">
        <v>5.2731481481481483E-2</v>
      </c>
      <c r="D353" s="16" t="s">
        <v>175</v>
      </c>
      <c r="E353" s="14" t="s">
        <v>65</v>
      </c>
      <c r="F353" s="16" t="s">
        <v>460</v>
      </c>
      <c r="G353" s="16" t="s">
        <v>375</v>
      </c>
      <c r="H353" s="14">
        <v>-0.01</v>
      </c>
      <c r="I353" s="14" t="s">
        <v>7884</v>
      </c>
      <c r="J353" s="14" t="s">
        <v>7885</v>
      </c>
      <c r="K353" s="14" t="s">
        <v>7886</v>
      </c>
      <c r="L353" s="14" t="s">
        <v>7887</v>
      </c>
      <c r="O353" s="14" t="s">
        <v>7880</v>
      </c>
      <c r="P353" s="14" t="s">
        <v>7881</v>
      </c>
      <c r="Q353" s="14">
        <v>424036.76</v>
      </c>
      <c r="R353" s="14">
        <v>6187980.9100000001</v>
      </c>
      <c r="S353" s="14" t="s">
        <v>7882</v>
      </c>
      <c r="T353" s="14" t="s">
        <v>7883</v>
      </c>
      <c r="U353" s="14">
        <v>424054.91</v>
      </c>
      <c r="V353" s="14">
        <v>6187973.6399999997</v>
      </c>
      <c r="W353" s="14">
        <v>179.86</v>
      </c>
      <c r="X353" s="14">
        <v>200.07</v>
      </c>
    </row>
    <row r="354" spans="1:24" s="14" customFormat="1" x14ac:dyDescent="0.25">
      <c r="A354" s="50">
        <v>45097</v>
      </c>
      <c r="B354" s="16">
        <v>171</v>
      </c>
      <c r="C354" s="36">
        <v>5.7905092592592598E-2</v>
      </c>
      <c r="D354" s="16" t="s">
        <v>175</v>
      </c>
      <c r="E354" s="14" t="s">
        <v>70</v>
      </c>
      <c r="F354" s="16" t="s">
        <v>460</v>
      </c>
      <c r="G354" s="16" t="s">
        <v>375</v>
      </c>
      <c r="H354" s="14">
        <v>0.22</v>
      </c>
      <c r="I354" s="14" t="s">
        <v>7884</v>
      </c>
      <c r="J354" s="14" t="s">
        <v>7885</v>
      </c>
      <c r="K354" s="14" t="s">
        <v>7886</v>
      </c>
      <c r="L354" s="14" t="s">
        <v>7887</v>
      </c>
      <c r="O354" s="14" t="s">
        <v>7888</v>
      </c>
      <c r="P354" s="14" t="s">
        <v>7889</v>
      </c>
      <c r="Q354" s="14">
        <v>424037.98</v>
      </c>
      <c r="R354" s="14">
        <v>6187750.0499999998</v>
      </c>
      <c r="S354" s="14" t="s">
        <v>7890</v>
      </c>
      <c r="T354" s="14" t="s">
        <v>7891</v>
      </c>
      <c r="U354" s="14">
        <v>424054.88</v>
      </c>
      <c r="V354" s="14">
        <v>6187743.5</v>
      </c>
      <c r="W354" s="14">
        <v>180.09</v>
      </c>
      <c r="X354" s="14">
        <v>200.07</v>
      </c>
    </row>
    <row r="355" spans="1:24" s="14" customFormat="1" x14ac:dyDescent="0.25">
      <c r="A355" s="50">
        <v>45097</v>
      </c>
      <c r="B355" s="16">
        <v>171</v>
      </c>
      <c r="C355" s="36">
        <v>5.876157407407407E-2</v>
      </c>
      <c r="D355" s="16" t="s">
        <v>175</v>
      </c>
      <c r="E355" s="14" t="s">
        <v>7908</v>
      </c>
      <c r="F355" s="16" t="s">
        <v>460</v>
      </c>
      <c r="G355" s="16" t="s">
        <v>384</v>
      </c>
      <c r="H355" s="14">
        <v>0.251</v>
      </c>
      <c r="O355" s="14" t="s">
        <v>7892</v>
      </c>
      <c r="P355" s="14" t="s">
        <v>7893</v>
      </c>
      <c r="Q355" s="14">
        <v>424037.11</v>
      </c>
      <c r="R355" s="14">
        <v>6187720.71</v>
      </c>
      <c r="S355" s="14" t="s">
        <v>7894</v>
      </c>
      <c r="T355" s="14" t="s">
        <v>7895</v>
      </c>
      <c r="U355" s="14">
        <v>424056.87</v>
      </c>
      <c r="V355" s="14">
        <v>6187713.1500000004</v>
      </c>
      <c r="W355" s="14">
        <v>176</v>
      </c>
      <c r="X355" s="14">
        <v>200.07</v>
      </c>
    </row>
    <row r="356" spans="1:24" s="14" customFormat="1" x14ac:dyDescent="0.25">
      <c r="A356" s="50">
        <v>45097</v>
      </c>
      <c r="B356" s="16">
        <v>171</v>
      </c>
      <c r="C356" s="36">
        <v>6.2314814814814816E-2</v>
      </c>
      <c r="D356" s="16" t="s">
        <v>175</v>
      </c>
      <c r="E356" s="14" t="s">
        <v>65</v>
      </c>
      <c r="F356" s="16" t="s">
        <v>460</v>
      </c>
      <c r="G356" s="16" t="s">
        <v>384</v>
      </c>
      <c r="H356" s="14">
        <v>0.217</v>
      </c>
      <c r="I356" s="14" t="s">
        <v>7900</v>
      </c>
      <c r="J356" s="14" t="s">
        <v>7901</v>
      </c>
      <c r="K356" s="14" t="s">
        <v>7902</v>
      </c>
      <c r="L356" s="14" t="s">
        <v>7903</v>
      </c>
      <c r="O356" s="14" t="s">
        <v>7896</v>
      </c>
      <c r="P356" s="14" t="s">
        <v>7897</v>
      </c>
      <c r="Q356" s="14">
        <v>424046.21</v>
      </c>
      <c r="R356" s="14">
        <v>6187743.3799999999</v>
      </c>
      <c r="S356" s="14" t="s">
        <v>7898</v>
      </c>
      <c r="T356" s="14" t="s">
        <v>7899</v>
      </c>
      <c r="U356" s="14">
        <v>424064.01</v>
      </c>
      <c r="V356" s="14">
        <v>6187736.0800000001</v>
      </c>
      <c r="W356" s="14">
        <v>0.21</v>
      </c>
      <c r="X356" s="14">
        <v>200.07</v>
      </c>
    </row>
    <row r="357" spans="1:24" s="14" customFormat="1" x14ac:dyDescent="0.25">
      <c r="A357" s="50">
        <v>45097</v>
      </c>
      <c r="B357" s="16">
        <v>171</v>
      </c>
      <c r="C357" s="36">
        <v>6.7696759259259262E-2</v>
      </c>
      <c r="D357" s="16" t="s">
        <v>175</v>
      </c>
      <c r="E357" s="14" t="s">
        <v>70</v>
      </c>
      <c r="F357" s="16" t="s">
        <v>460</v>
      </c>
      <c r="G357" s="16" t="s">
        <v>384</v>
      </c>
      <c r="H357" s="14">
        <v>-1.7000000000000001E-2</v>
      </c>
      <c r="I357" s="14" t="s">
        <v>7900</v>
      </c>
      <c r="J357" s="14" t="s">
        <v>7901</v>
      </c>
      <c r="K357" s="14" t="s">
        <v>7902</v>
      </c>
      <c r="L357" s="14" t="s">
        <v>7903</v>
      </c>
      <c r="O357" s="14" t="s">
        <v>7904</v>
      </c>
      <c r="P357" s="14" t="s">
        <v>7905</v>
      </c>
      <c r="Q357" s="14">
        <v>424045.94</v>
      </c>
      <c r="R357" s="14">
        <v>6187981.3300000001</v>
      </c>
      <c r="S357" s="14" t="s">
        <v>7906</v>
      </c>
      <c r="T357" s="14" t="s">
        <v>7907</v>
      </c>
      <c r="U357" s="14">
        <v>424063.92</v>
      </c>
      <c r="V357" s="14">
        <v>6187969.3700000001</v>
      </c>
      <c r="W357" s="14">
        <v>0.2</v>
      </c>
      <c r="X357" s="14">
        <v>200.07</v>
      </c>
    </row>
    <row r="358" spans="1:24" s="14" customFormat="1" x14ac:dyDescent="0.25">
      <c r="A358" s="50">
        <v>45097</v>
      </c>
      <c r="B358" s="16">
        <v>171</v>
      </c>
      <c r="C358" s="36">
        <v>7.3379629629629628E-2</v>
      </c>
      <c r="D358" s="16" t="s">
        <v>175</v>
      </c>
      <c r="E358" s="14" t="s">
        <v>65</v>
      </c>
      <c r="F358" s="16" t="s">
        <v>460</v>
      </c>
      <c r="G358" s="16" t="s">
        <v>377</v>
      </c>
      <c r="H358" s="14">
        <v>-1.2E-2</v>
      </c>
      <c r="I358" s="14" t="s">
        <v>7914</v>
      </c>
      <c r="J358" s="14" t="s">
        <v>7915</v>
      </c>
      <c r="K358" s="14" t="s">
        <v>7916</v>
      </c>
      <c r="L358" s="14" t="s">
        <v>7917</v>
      </c>
      <c r="O358" s="14" t="s">
        <v>7910</v>
      </c>
      <c r="P358" s="14" t="s">
        <v>7911</v>
      </c>
      <c r="Q358" s="14">
        <v>424019.41</v>
      </c>
      <c r="R358" s="14">
        <v>6187985.8099999996</v>
      </c>
      <c r="S358" s="14" t="s">
        <v>7912</v>
      </c>
      <c r="T358" s="14" t="s">
        <v>7913</v>
      </c>
      <c r="U358" s="14">
        <v>424036.88</v>
      </c>
      <c r="V358" s="14">
        <v>6187975.7599999998</v>
      </c>
      <c r="W358" s="14">
        <v>179.47</v>
      </c>
      <c r="X358" s="14">
        <v>200.07</v>
      </c>
    </row>
    <row r="359" spans="1:24" s="14" customFormat="1" x14ac:dyDescent="0.25">
      <c r="A359" s="50">
        <v>45097</v>
      </c>
      <c r="B359" s="16">
        <v>171</v>
      </c>
      <c r="C359" s="36">
        <v>7.8703703703703706E-2</v>
      </c>
      <c r="D359" s="16" t="s">
        <v>175</v>
      </c>
      <c r="E359" s="14" t="s">
        <v>70</v>
      </c>
      <c r="F359" s="16" t="s">
        <v>460</v>
      </c>
      <c r="G359" s="16" t="s">
        <v>377</v>
      </c>
      <c r="H359" s="14">
        <v>0.221</v>
      </c>
      <c r="I359" s="14" t="s">
        <v>7914</v>
      </c>
      <c r="J359" s="14" t="s">
        <v>7915</v>
      </c>
      <c r="K359" s="14" t="s">
        <v>7916</v>
      </c>
      <c r="L359" s="14" t="s">
        <v>7917</v>
      </c>
      <c r="O359" s="14" t="s">
        <v>7918</v>
      </c>
      <c r="P359" s="14" t="s">
        <v>7919</v>
      </c>
      <c r="Q359" s="14">
        <v>424020.09</v>
      </c>
      <c r="R359" s="14">
        <v>6187749.5</v>
      </c>
      <c r="S359" s="14" t="s">
        <v>7920</v>
      </c>
      <c r="T359" s="14" t="s">
        <v>7921</v>
      </c>
      <c r="U359" s="14">
        <v>424036.87</v>
      </c>
      <c r="V359" s="14">
        <v>6187742.8300000001</v>
      </c>
      <c r="W359" s="14">
        <v>180.08</v>
      </c>
      <c r="X359" s="14">
        <v>200.07</v>
      </c>
    </row>
    <row r="360" spans="1:24" s="14" customFormat="1" x14ac:dyDescent="0.25">
      <c r="A360" s="50">
        <v>45097</v>
      </c>
      <c r="B360" s="16">
        <v>171</v>
      </c>
      <c r="C360" s="36">
        <v>8.3159722222222218E-2</v>
      </c>
      <c r="D360" s="16" t="s">
        <v>175</v>
      </c>
      <c r="E360" s="14" t="s">
        <v>65</v>
      </c>
      <c r="F360" s="16" t="s">
        <v>460</v>
      </c>
      <c r="G360" s="16" t="s">
        <v>376</v>
      </c>
      <c r="H360" s="14">
        <v>0.21299999999999999</v>
      </c>
      <c r="I360" s="14" t="s">
        <v>7926</v>
      </c>
      <c r="J360" s="14" t="s">
        <v>7927</v>
      </c>
      <c r="K360" s="14" t="s">
        <v>7928</v>
      </c>
      <c r="L360" s="14" t="s">
        <v>7929</v>
      </c>
      <c r="O360" s="14" t="s">
        <v>7922</v>
      </c>
      <c r="P360" s="14" t="s">
        <v>7923</v>
      </c>
      <c r="Q360" s="14">
        <v>424029.06</v>
      </c>
      <c r="R360" s="14">
        <v>6187749.7999999998</v>
      </c>
      <c r="S360" s="14" t="s">
        <v>7924</v>
      </c>
      <c r="T360" s="14" t="s">
        <v>7925</v>
      </c>
      <c r="U360" s="14">
        <v>424046</v>
      </c>
      <c r="V360" s="14">
        <v>6187739.7599999998</v>
      </c>
      <c r="W360" s="14">
        <v>1.1200000000000001</v>
      </c>
      <c r="X360" s="14">
        <v>200.07</v>
      </c>
    </row>
    <row r="361" spans="1:24" s="14" customFormat="1" x14ac:dyDescent="0.25">
      <c r="A361" s="50">
        <v>45097</v>
      </c>
      <c r="B361" s="16">
        <v>171</v>
      </c>
      <c r="C361" s="36">
        <v>8.8344907407407414E-2</v>
      </c>
      <c r="D361" s="16" t="s">
        <v>175</v>
      </c>
      <c r="E361" s="14" t="s">
        <v>70</v>
      </c>
      <c r="F361" s="16" t="s">
        <v>460</v>
      </c>
      <c r="G361" s="16" t="s">
        <v>376</v>
      </c>
      <c r="H361" s="14">
        <v>-1.6E-2</v>
      </c>
      <c r="I361" s="14" t="s">
        <v>7926</v>
      </c>
      <c r="J361" s="14" t="s">
        <v>7927</v>
      </c>
      <c r="K361" s="14" t="s">
        <v>7928</v>
      </c>
      <c r="L361" s="14" t="s">
        <v>7929</v>
      </c>
      <c r="O361" s="14" t="s">
        <v>7930</v>
      </c>
      <c r="P361" s="14" t="s">
        <v>7931</v>
      </c>
      <c r="Q361" s="14">
        <v>424027.1</v>
      </c>
      <c r="R361" s="14">
        <v>6187978.2699999996</v>
      </c>
      <c r="S361" s="14" t="s">
        <v>7932</v>
      </c>
      <c r="T361" s="14" t="s">
        <v>7933</v>
      </c>
      <c r="U361" s="14">
        <v>424045.96</v>
      </c>
      <c r="V361" s="14">
        <v>6187968.9800000004</v>
      </c>
      <c r="W361" s="14">
        <v>0.41</v>
      </c>
      <c r="X361" s="14">
        <v>200.07</v>
      </c>
    </row>
    <row r="362" spans="1:24" s="14" customFormat="1" x14ac:dyDescent="0.25">
      <c r="A362" s="50">
        <v>45097</v>
      </c>
      <c r="B362" s="16">
        <v>171</v>
      </c>
      <c r="C362" s="36">
        <v>9.6145833333333333E-2</v>
      </c>
      <c r="D362" s="16" t="s">
        <v>175</v>
      </c>
      <c r="E362" s="14" t="s">
        <v>65</v>
      </c>
      <c r="F362" s="16" t="s">
        <v>460</v>
      </c>
      <c r="G362" s="16" t="s">
        <v>379</v>
      </c>
      <c r="H362" s="14">
        <v>-1.4999999999999999E-2</v>
      </c>
      <c r="I362" s="14" t="s">
        <v>7938</v>
      </c>
      <c r="J362" s="14" t="s">
        <v>7939</v>
      </c>
      <c r="K362" s="14" t="s">
        <v>7940</v>
      </c>
      <c r="L362" s="14" t="s">
        <v>7941</v>
      </c>
      <c r="O362" s="14" t="s">
        <v>7934</v>
      </c>
      <c r="P362" s="14" t="s">
        <v>7935</v>
      </c>
      <c r="Q362" s="14">
        <v>424003.22</v>
      </c>
      <c r="R362" s="14">
        <v>6187989.0499999998</v>
      </c>
      <c r="S362" s="14" t="s">
        <v>7936</v>
      </c>
      <c r="T362" s="14" t="s">
        <v>7937</v>
      </c>
      <c r="U362" s="14">
        <v>424018.99</v>
      </c>
      <c r="V362" s="14">
        <v>6187978.4699999997</v>
      </c>
      <c r="W362" s="14">
        <v>179.75</v>
      </c>
      <c r="X362" s="14">
        <v>200.07</v>
      </c>
    </row>
    <row r="363" spans="1:24" s="14" customFormat="1" x14ac:dyDescent="0.25">
      <c r="A363" s="50">
        <v>45097</v>
      </c>
      <c r="B363" s="16">
        <v>171</v>
      </c>
      <c r="C363" s="36">
        <v>0.10153935185185185</v>
      </c>
      <c r="D363" s="16" t="s">
        <v>175</v>
      </c>
      <c r="E363" s="14" t="s">
        <v>70</v>
      </c>
      <c r="F363" s="16" t="s">
        <v>460</v>
      </c>
      <c r="G363" s="16" t="s">
        <v>379</v>
      </c>
      <c r="H363" s="14">
        <v>0.222</v>
      </c>
      <c r="I363" s="14" t="s">
        <v>7938</v>
      </c>
      <c r="J363" s="14" t="s">
        <v>7939</v>
      </c>
      <c r="K363" s="14" t="s">
        <v>7940</v>
      </c>
      <c r="L363" s="14" t="s">
        <v>7946</v>
      </c>
      <c r="O363" s="14" t="s">
        <v>7942</v>
      </c>
      <c r="P363" s="14" t="s">
        <v>7943</v>
      </c>
      <c r="Q363" s="14">
        <v>424004.69</v>
      </c>
      <c r="R363" s="14">
        <v>6187751.2000000002</v>
      </c>
      <c r="S363" s="14" t="s">
        <v>7944</v>
      </c>
      <c r="T363" s="14" t="s">
        <v>7945</v>
      </c>
      <c r="U363" s="14">
        <v>424018.94</v>
      </c>
      <c r="V363" s="14">
        <v>6187741.3600000003</v>
      </c>
      <c r="W363" s="14">
        <v>180.14</v>
      </c>
      <c r="X363" s="14">
        <v>200.07</v>
      </c>
    </row>
    <row r="364" spans="1:24" s="60" customFormat="1" x14ac:dyDescent="0.25">
      <c r="A364" s="50">
        <v>45097</v>
      </c>
      <c r="B364" s="16">
        <v>171</v>
      </c>
      <c r="C364" s="36">
        <v>0.10584490740740742</v>
      </c>
      <c r="D364" s="16" t="s">
        <v>175</v>
      </c>
      <c r="E364" s="14" t="s">
        <v>65</v>
      </c>
      <c r="F364" s="16" t="s">
        <v>460</v>
      </c>
      <c r="G364" s="16" t="s">
        <v>378</v>
      </c>
      <c r="H364" s="14">
        <v>0.215</v>
      </c>
      <c r="I364" s="14" t="s">
        <v>7951</v>
      </c>
      <c r="J364" s="14" t="s">
        <v>7952</v>
      </c>
      <c r="K364" s="14" t="s">
        <v>7953</v>
      </c>
      <c r="L364" s="14" t="s">
        <v>7946</v>
      </c>
      <c r="M364" s="14"/>
      <c r="N364" s="14"/>
      <c r="O364" s="14" t="s">
        <v>7947</v>
      </c>
      <c r="P364" s="14" t="s">
        <v>7948</v>
      </c>
      <c r="Q364" s="14">
        <v>424013.54</v>
      </c>
      <c r="R364" s="14">
        <v>6187746.8499999996</v>
      </c>
      <c r="S364" s="14" t="s">
        <v>7949</v>
      </c>
      <c r="T364" s="14" t="s">
        <v>7950</v>
      </c>
      <c r="U364" s="14">
        <v>424027.99</v>
      </c>
      <c r="V364" s="14">
        <v>6187737.1900000004</v>
      </c>
      <c r="W364" s="14">
        <v>0.2</v>
      </c>
      <c r="X364" s="60">
        <v>200.07</v>
      </c>
    </row>
    <row r="365" spans="1:24" s="14" customFormat="1" x14ac:dyDescent="0.25">
      <c r="A365" s="50">
        <v>45097</v>
      </c>
      <c r="B365" s="16">
        <v>171</v>
      </c>
      <c r="C365" s="36">
        <v>0.11119212962962964</v>
      </c>
      <c r="D365" s="16" t="s">
        <v>175</v>
      </c>
      <c r="E365" s="14" t="s">
        <v>70</v>
      </c>
      <c r="F365" s="16" t="s">
        <v>460</v>
      </c>
      <c r="G365" s="16" t="s">
        <v>378</v>
      </c>
      <c r="H365" s="14">
        <v>-1.9E-2</v>
      </c>
      <c r="I365" s="14" t="s">
        <v>7951</v>
      </c>
      <c r="J365" s="14" t="s">
        <v>7952</v>
      </c>
      <c r="K365" s="14" t="s">
        <v>7953</v>
      </c>
      <c r="L365" s="14" t="s">
        <v>7958</v>
      </c>
      <c r="O365" s="14" t="s">
        <v>7954</v>
      </c>
      <c r="P365" s="14" t="s">
        <v>7955</v>
      </c>
      <c r="Q365" s="14">
        <v>424012.24</v>
      </c>
      <c r="R365" s="14">
        <v>6187982.8600000003</v>
      </c>
      <c r="S365" s="14" t="s">
        <v>7956</v>
      </c>
      <c r="T365" s="14" t="s">
        <v>7957</v>
      </c>
      <c r="U365" s="14">
        <v>424028.02</v>
      </c>
      <c r="V365" s="14">
        <v>6187972.0099999998</v>
      </c>
      <c r="W365" s="14">
        <v>359.17</v>
      </c>
      <c r="X365" s="14">
        <v>200.07</v>
      </c>
    </row>
    <row r="366" spans="1:24" s="14" customFormat="1" x14ac:dyDescent="0.25">
      <c r="A366" s="50">
        <v>45097</v>
      </c>
      <c r="B366" s="16">
        <v>171</v>
      </c>
      <c r="C366" s="36">
        <v>0.11618055555555555</v>
      </c>
      <c r="D366" s="16" t="s">
        <v>175</v>
      </c>
      <c r="E366" s="14" t="s">
        <v>65</v>
      </c>
      <c r="F366" s="16" t="s">
        <v>460</v>
      </c>
      <c r="G366" s="16" t="s">
        <v>381</v>
      </c>
      <c r="H366" s="14">
        <v>-1.2999999999999999E-2</v>
      </c>
      <c r="I366" s="14" t="s">
        <v>7962</v>
      </c>
      <c r="J366" s="14" t="s">
        <v>7963</v>
      </c>
      <c r="K366" s="14" t="s">
        <v>7964</v>
      </c>
      <c r="L366" s="14" t="s">
        <v>7958</v>
      </c>
      <c r="O366" s="14" t="s">
        <v>7959</v>
      </c>
      <c r="P366" s="14" t="s">
        <v>7960</v>
      </c>
      <c r="Q366" s="14">
        <v>423985.41</v>
      </c>
      <c r="R366" s="14">
        <v>6187987.2699999996</v>
      </c>
      <c r="S366" s="14" t="s">
        <v>7912</v>
      </c>
      <c r="T366" s="14" t="s">
        <v>7961</v>
      </c>
      <c r="U366" s="14">
        <v>424000.8</v>
      </c>
      <c r="V366" s="14">
        <v>6187976.3899999997</v>
      </c>
      <c r="W366" s="14">
        <v>177.44</v>
      </c>
      <c r="X366" s="14">
        <v>200.07</v>
      </c>
    </row>
    <row r="367" spans="1:24" s="14" customFormat="1" x14ac:dyDescent="0.25">
      <c r="A367" s="50">
        <v>45097</v>
      </c>
      <c r="B367" s="16">
        <v>171</v>
      </c>
      <c r="C367" s="36">
        <v>0.12155092592592592</v>
      </c>
      <c r="D367" s="16" t="s">
        <v>175</v>
      </c>
      <c r="E367" s="14" t="s">
        <v>70</v>
      </c>
      <c r="F367" s="16" t="s">
        <v>460</v>
      </c>
      <c r="G367" s="16" t="s">
        <v>381</v>
      </c>
      <c r="H367" s="14">
        <v>0.223</v>
      </c>
      <c r="I367" s="14" t="s">
        <v>7962</v>
      </c>
      <c r="J367" s="14" t="s">
        <v>7963</v>
      </c>
      <c r="K367" s="14" t="s">
        <v>7964</v>
      </c>
      <c r="L367" s="14" t="s">
        <v>7969</v>
      </c>
      <c r="O367" s="14" t="s">
        <v>7965</v>
      </c>
      <c r="P367" s="14" t="s">
        <v>7966</v>
      </c>
      <c r="Q367" s="14">
        <v>423986.78</v>
      </c>
      <c r="R367" s="14">
        <v>6187749.5899999999</v>
      </c>
      <c r="S367" s="14" t="s">
        <v>7967</v>
      </c>
      <c r="T367" s="14" t="s">
        <v>7968</v>
      </c>
      <c r="U367" s="14">
        <v>424001.02</v>
      </c>
      <c r="V367" s="14">
        <v>6187740.6600000001</v>
      </c>
      <c r="W367" s="14">
        <v>180.81</v>
      </c>
      <c r="X367" s="14">
        <v>200.07</v>
      </c>
    </row>
    <row r="368" spans="1:24" s="14" customFormat="1" x14ac:dyDescent="0.25">
      <c r="A368" s="50">
        <v>45097</v>
      </c>
      <c r="B368" s="16">
        <v>171</v>
      </c>
      <c r="C368" s="36">
        <v>0.12591435185185185</v>
      </c>
      <c r="D368" s="16" t="s">
        <v>175</v>
      </c>
      <c r="E368" s="14" t="s">
        <v>65</v>
      </c>
      <c r="F368" s="16" t="s">
        <v>460</v>
      </c>
      <c r="G368" s="16" t="s">
        <v>380</v>
      </c>
      <c r="H368" s="14">
        <v>0.214</v>
      </c>
      <c r="I368" s="14" t="s">
        <v>7974</v>
      </c>
      <c r="J368" s="14" t="s">
        <v>7975</v>
      </c>
      <c r="K368" s="14" t="s">
        <v>7976</v>
      </c>
      <c r="L368" s="14" t="s">
        <v>7969</v>
      </c>
      <c r="O368" s="14" t="s">
        <v>7970</v>
      </c>
      <c r="P368" s="14" t="s">
        <v>7971</v>
      </c>
      <c r="Q368" s="14">
        <v>423992.61</v>
      </c>
      <c r="R368" s="14">
        <v>6187749.3799999999</v>
      </c>
      <c r="S368" s="14" t="s">
        <v>7972</v>
      </c>
      <c r="T368" s="14" t="s">
        <v>7973</v>
      </c>
      <c r="U368" s="14">
        <v>424009.93</v>
      </c>
      <c r="V368" s="14">
        <v>6187738.4100000001</v>
      </c>
      <c r="W368" s="14">
        <v>0.45</v>
      </c>
      <c r="X368" s="14">
        <v>200.07</v>
      </c>
    </row>
    <row r="369" spans="1:24" s="14" customFormat="1" x14ac:dyDescent="0.25">
      <c r="A369" s="50">
        <v>45097</v>
      </c>
      <c r="B369" s="16">
        <v>171</v>
      </c>
      <c r="C369" s="36">
        <v>0.13119212962962964</v>
      </c>
      <c r="D369" s="16" t="s">
        <v>175</v>
      </c>
      <c r="E369" s="14" t="s">
        <v>70</v>
      </c>
      <c r="F369" s="16" t="s">
        <v>460</v>
      </c>
      <c r="G369" s="16" t="s">
        <v>380</v>
      </c>
      <c r="H369" s="14">
        <v>-1.9E-2</v>
      </c>
      <c r="I369" s="14" t="s">
        <v>7974</v>
      </c>
      <c r="J369" s="14" t="s">
        <v>7975</v>
      </c>
      <c r="K369" s="14" t="s">
        <v>7976</v>
      </c>
      <c r="L369" s="14" t="s">
        <v>7969</v>
      </c>
      <c r="O369" s="14" t="s">
        <v>7977</v>
      </c>
      <c r="P369" s="14" t="s">
        <v>7978</v>
      </c>
      <c r="Q369" s="14">
        <v>423994.56</v>
      </c>
      <c r="R369" s="14">
        <v>6187982.2199999997</v>
      </c>
      <c r="S369" s="14" t="s">
        <v>7979</v>
      </c>
      <c r="T369" s="14" t="s">
        <v>7980</v>
      </c>
      <c r="U369" s="14">
        <v>424010.1</v>
      </c>
      <c r="V369" s="14">
        <v>6187971.9000000004</v>
      </c>
      <c r="W369" s="14">
        <v>357.2</v>
      </c>
      <c r="X369" s="14">
        <v>200.07</v>
      </c>
    </row>
    <row r="370" spans="1:24" s="14" customFormat="1" x14ac:dyDescent="0.25">
      <c r="A370" s="50">
        <v>45097</v>
      </c>
      <c r="B370" s="16">
        <v>171</v>
      </c>
      <c r="C370" s="36">
        <v>0.13703703703703704</v>
      </c>
      <c r="D370" s="16" t="s">
        <v>175</v>
      </c>
      <c r="E370" s="14" t="s">
        <v>65</v>
      </c>
      <c r="F370" s="16" t="s">
        <v>460</v>
      </c>
      <c r="G370" s="16" t="s">
        <v>383</v>
      </c>
      <c r="H370" s="14">
        <v>-1.2999999999999999E-2</v>
      </c>
      <c r="I370" s="14" t="s">
        <v>7985</v>
      </c>
      <c r="J370" s="14" t="s">
        <v>7986</v>
      </c>
      <c r="K370" s="14" t="s">
        <v>7987</v>
      </c>
      <c r="L370" s="14" t="s">
        <v>7988</v>
      </c>
      <c r="O370" s="14" t="s">
        <v>7981</v>
      </c>
      <c r="P370" s="14" t="s">
        <v>7982</v>
      </c>
      <c r="Q370" s="14">
        <v>423968.33</v>
      </c>
      <c r="R370" s="14">
        <v>6187988.8899999997</v>
      </c>
      <c r="S370" s="14" t="s">
        <v>7983</v>
      </c>
      <c r="T370" s="14" t="s">
        <v>7984</v>
      </c>
      <c r="U370" s="14">
        <v>423982.96</v>
      </c>
      <c r="V370" s="14">
        <v>6187976.4800000004</v>
      </c>
      <c r="W370" s="14">
        <v>179.73</v>
      </c>
      <c r="X370" s="14">
        <v>200.07</v>
      </c>
    </row>
    <row r="371" spans="1:24" s="14" customFormat="1" x14ac:dyDescent="0.25">
      <c r="A371" s="50">
        <v>45097</v>
      </c>
      <c r="B371" s="16">
        <v>171</v>
      </c>
      <c r="C371" s="36">
        <v>0.14244212962962963</v>
      </c>
      <c r="D371" s="16" t="s">
        <v>175</v>
      </c>
      <c r="E371" s="14" t="s">
        <v>70</v>
      </c>
      <c r="F371" s="16" t="s">
        <v>460</v>
      </c>
      <c r="G371" s="16" t="s">
        <v>383</v>
      </c>
      <c r="H371" s="14">
        <v>0.223</v>
      </c>
      <c r="I371" s="14" t="s">
        <v>7985</v>
      </c>
      <c r="J371" s="14" t="s">
        <v>7986</v>
      </c>
      <c r="K371" s="14" t="s">
        <v>7987</v>
      </c>
      <c r="L371" s="14" t="s">
        <v>7993</v>
      </c>
      <c r="O371" s="14" t="s">
        <v>7989</v>
      </c>
      <c r="P371" s="14" t="s">
        <v>7990</v>
      </c>
      <c r="Q371" s="14">
        <v>423968.68</v>
      </c>
      <c r="R371" s="14">
        <v>6187750.0499999998</v>
      </c>
      <c r="S371" s="14" t="s">
        <v>7991</v>
      </c>
      <c r="T371" s="14" t="s">
        <v>7992</v>
      </c>
      <c r="U371" s="14">
        <v>423982.93</v>
      </c>
      <c r="V371" s="14">
        <v>6187740.6299999999</v>
      </c>
      <c r="W371" s="14">
        <v>180.02</v>
      </c>
      <c r="X371" s="14">
        <v>200.07</v>
      </c>
    </row>
    <row r="372" spans="1:24" s="14" customFormat="1" x14ac:dyDescent="0.25">
      <c r="A372" s="50">
        <v>45097</v>
      </c>
      <c r="B372" s="16">
        <v>171</v>
      </c>
      <c r="C372" s="36">
        <v>0.14736111111111111</v>
      </c>
      <c r="D372" s="16" t="s">
        <v>175</v>
      </c>
      <c r="E372" s="14" t="s">
        <v>65</v>
      </c>
      <c r="F372" s="16" t="s">
        <v>460</v>
      </c>
      <c r="G372" s="16" t="s">
        <v>382</v>
      </c>
      <c r="H372" s="14">
        <v>0.215</v>
      </c>
      <c r="I372" s="14" t="s">
        <v>7998</v>
      </c>
      <c r="J372" s="14" t="s">
        <v>7999</v>
      </c>
      <c r="K372" s="14" t="s">
        <v>8000</v>
      </c>
      <c r="L372" s="14" t="s">
        <v>7993</v>
      </c>
      <c r="O372" s="14" t="s">
        <v>7994</v>
      </c>
      <c r="P372" s="14" t="s">
        <v>7995</v>
      </c>
      <c r="Q372" s="14">
        <v>423976.64</v>
      </c>
      <c r="R372" s="14">
        <v>6187750.3700000001</v>
      </c>
      <c r="S372" s="14" t="s">
        <v>7996</v>
      </c>
      <c r="T372" s="14" t="s">
        <v>7997</v>
      </c>
      <c r="U372" s="14">
        <v>423991.88</v>
      </c>
      <c r="V372" s="14">
        <v>6187737.2999999998</v>
      </c>
      <c r="W372" s="14">
        <v>0.76</v>
      </c>
      <c r="X372" s="14">
        <v>200.07</v>
      </c>
    </row>
    <row r="373" spans="1:24" s="14" customFormat="1" x14ac:dyDescent="0.25">
      <c r="A373" s="50">
        <v>45097</v>
      </c>
      <c r="B373" s="16">
        <v>171</v>
      </c>
      <c r="C373" s="36">
        <v>0.15262731481481481</v>
      </c>
      <c r="D373" s="16" t="s">
        <v>175</v>
      </c>
      <c r="E373" s="14" t="s">
        <v>70</v>
      </c>
      <c r="F373" s="16" t="s">
        <v>460</v>
      </c>
      <c r="G373" s="16" t="s">
        <v>382</v>
      </c>
      <c r="H373" s="14">
        <v>-0.02</v>
      </c>
      <c r="I373" s="14" t="s">
        <v>7998</v>
      </c>
      <c r="J373" s="14" t="s">
        <v>7999</v>
      </c>
      <c r="K373" s="14" t="s">
        <v>8000</v>
      </c>
      <c r="L373" s="14" t="s">
        <v>8005</v>
      </c>
      <c r="O373" s="14" t="s">
        <v>8001</v>
      </c>
      <c r="P373" s="14" t="s">
        <v>8002</v>
      </c>
      <c r="Q373" s="14">
        <v>423975.43</v>
      </c>
      <c r="R373" s="14">
        <v>6187983.25</v>
      </c>
      <c r="S373" s="14" t="s">
        <v>8003</v>
      </c>
      <c r="T373" s="14" t="s">
        <v>8004</v>
      </c>
      <c r="U373" s="14">
        <v>423991.92</v>
      </c>
      <c r="V373" s="14">
        <v>6187972.1200000001</v>
      </c>
      <c r="W373" s="14">
        <v>0.13</v>
      </c>
      <c r="X373" s="14">
        <v>200.07</v>
      </c>
    </row>
    <row r="374" spans="1:24" s="14" customFormat="1" x14ac:dyDescent="0.25">
      <c r="A374" s="50">
        <v>45097</v>
      </c>
      <c r="B374" s="16">
        <v>171</v>
      </c>
      <c r="C374" s="36">
        <v>0.15564814814814815</v>
      </c>
      <c r="D374" s="16" t="s">
        <v>175</v>
      </c>
      <c r="E374" s="14" t="s">
        <v>8010</v>
      </c>
      <c r="F374" s="16" t="s">
        <v>460</v>
      </c>
      <c r="G374" s="16" t="s">
        <v>382</v>
      </c>
      <c r="H374" s="14">
        <v>-3.9E-2</v>
      </c>
      <c r="O374" s="14" t="s">
        <v>8006</v>
      </c>
      <c r="P374" s="14" t="s">
        <v>8007</v>
      </c>
      <c r="Q374" s="14">
        <v>423975.45</v>
      </c>
      <c r="R374" s="14">
        <v>6188008.7000000002</v>
      </c>
      <c r="S374" s="14" t="s">
        <v>8008</v>
      </c>
      <c r="T374" s="14" t="s">
        <v>8009</v>
      </c>
      <c r="U374" s="14">
        <v>423983.12</v>
      </c>
      <c r="V374" s="14">
        <v>6187999.0199999996</v>
      </c>
      <c r="W374" s="14">
        <v>103.24</v>
      </c>
      <c r="X374" s="14">
        <v>200.07</v>
      </c>
    </row>
    <row r="375" spans="1:24" s="14" customFormat="1" x14ac:dyDescent="0.25">
      <c r="A375" s="50">
        <v>45097</v>
      </c>
      <c r="B375" s="16">
        <v>171</v>
      </c>
      <c r="C375" s="36">
        <v>0.16649305555555557</v>
      </c>
      <c r="D375" s="16" t="s">
        <v>175</v>
      </c>
      <c r="E375" s="14" t="s">
        <v>6362</v>
      </c>
      <c r="F375" s="16" t="s">
        <v>8011</v>
      </c>
      <c r="G375" s="16" t="s">
        <v>1084</v>
      </c>
      <c r="H375" s="14">
        <v>-5.3999999999999999E-2</v>
      </c>
      <c r="O375" s="14" t="s">
        <v>8012</v>
      </c>
      <c r="P375" s="14" t="s">
        <v>8013</v>
      </c>
      <c r="Q375" s="14">
        <v>422838.03</v>
      </c>
      <c r="R375" s="14">
        <v>6186700.2400000002</v>
      </c>
      <c r="S375" s="14" t="s">
        <v>8014</v>
      </c>
      <c r="T375" s="14" t="s">
        <v>8015</v>
      </c>
      <c r="U375" s="14">
        <v>422846.01</v>
      </c>
      <c r="V375" s="14">
        <v>6186692.9299999997</v>
      </c>
      <c r="W375" s="14">
        <v>102.59</v>
      </c>
      <c r="X375" s="14">
        <v>150.05000000000001</v>
      </c>
    </row>
    <row r="376" spans="1:24" s="14" customFormat="1" x14ac:dyDescent="0.25">
      <c r="A376" s="50">
        <v>45097</v>
      </c>
      <c r="B376" s="16">
        <v>171</v>
      </c>
      <c r="C376" s="36">
        <v>0.16969907407407406</v>
      </c>
      <c r="D376" s="16" t="s">
        <v>177</v>
      </c>
      <c r="E376" s="14" t="s">
        <v>8026</v>
      </c>
      <c r="F376" s="16" t="s">
        <v>8011</v>
      </c>
      <c r="G376" s="16" t="s">
        <v>1084</v>
      </c>
      <c r="H376" s="14">
        <v>-5.2999999999999999E-2</v>
      </c>
      <c r="O376" s="14" t="s">
        <v>8016</v>
      </c>
      <c r="P376" s="14" t="s">
        <v>8017</v>
      </c>
      <c r="Q376" s="14">
        <v>422837.45</v>
      </c>
      <c r="R376" s="14">
        <v>6186695.96</v>
      </c>
      <c r="S376" s="14" t="s">
        <v>8018</v>
      </c>
      <c r="T376" s="14" t="s">
        <v>8019</v>
      </c>
      <c r="U376" s="14">
        <v>422848.03</v>
      </c>
      <c r="V376" s="14">
        <v>6186691.7999999998</v>
      </c>
      <c r="W376" s="14">
        <v>100.91</v>
      </c>
      <c r="X376" s="14">
        <v>150.05000000000001</v>
      </c>
    </row>
    <row r="377" spans="1:24" s="68" customFormat="1" x14ac:dyDescent="0.25">
      <c r="A377" s="65">
        <v>45097</v>
      </c>
      <c r="B377" s="66">
        <v>171</v>
      </c>
      <c r="C377" s="67">
        <v>0.16988425925925923</v>
      </c>
      <c r="D377" s="66" t="s">
        <v>177</v>
      </c>
      <c r="E377" s="68" t="s">
        <v>8025</v>
      </c>
      <c r="F377" s="66" t="s">
        <v>8011</v>
      </c>
      <c r="G377" s="66" t="s">
        <v>1084</v>
      </c>
      <c r="H377" s="68">
        <v>-5.2999999999999999E-2</v>
      </c>
      <c r="M377" s="68" t="s">
        <v>8020</v>
      </c>
      <c r="O377" s="68" t="s">
        <v>8021</v>
      </c>
      <c r="P377" s="68" t="s">
        <v>8022</v>
      </c>
      <c r="Q377" s="68">
        <v>422837.55</v>
      </c>
      <c r="R377" s="68">
        <v>6186696.1500000004</v>
      </c>
      <c r="S377" s="68" t="s">
        <v>8023</v>
      </c>
      <c r="T377" s="68" t="s">
        <v>8024</v>
      </c>
      <c r="U377" s="68">
        <v>422849.53</v>
      </c>
      <c r="V377" s="68">
        <v>6186692.8099999996</v>
      </c>
      <c r="W377" s="68">
        <v>103.27</v>
      </c>
      <c r="X377" s="68">
        <v>150.05000000000001</v>
      </c>
    </row>
    <row r="378" spans="1:24" s="14" customFormat="1" x14ac:dyDescent="0.25">
      <c r="A378" s="50">
        <v>45097</v>
      </c>
      <c r="B378" s="16">
        <v>171</v>
      </c>
      <c r="C378" s="36">
        <v>0.17472222222222222</v>
      </c>
      <c r="D378" s="16" t="s">
        <v>177</v>
      </c>
      <c r="E378" s="14" t="s">
        <v>65</v>
      </c>
      <c r="F378" s="16" t="s">
        <v>8011</v>
      </c>
      <c r="G378" s="16" t="s">
        <v>1084</v>
      </c>
      <c r="H378" s="14">
        <v>-1.7999999999999999E-2</v>
      </c>
      <c r="I378" s="14" t="s">
        <v>8031</v>
      </c>
      <c r="J378" s="14" t="s">
        <v>8032</v>
      </c>
      <c r="K378" s="14" t="s">
        <v>8033</v>
      </c>
      <c r="L378" s="14" t="s">
        <v>8034</v>
      </c>
      <c r="O378" s="14" t="s">
        <v>8027</v>
      </c>
      <c r="P378" s="14" t="s">
        <v>8028</v>
      </c>
      <c r="Q378" s="14">
        <v>422837.17</v>
      </c>
      <c r="R378" s="14">
        <v>6186675.4900000002</v>
      </c>
      <c r="S378" s="14" t="s">
        <v>8029</v>
      </c>
      <c r="T378" s="14" t="s">
        <v>8030</v>
      </c>
      <c r="U378" s="14">
        <v>422850.37</v>
      </c>
      <c r="V378" s="14">
        <v>6186661.9100000001</v>
      </c>
      <c r="W378" s="14">
        <v>180.09</v>
      </c>
      <c r="X378" s="14">
        <v>150.05000000000001</v>
      </c>
    </row>
    <row r="379" spans="1:24" s="14" customFormat="1" x14ac:dyDescent="0.25">
      <c r="A379" s="50">
        <v>45097</v>
      </c>
      <c r="B379" s="16">
        <v>171</v>
      </c>
      <c r="C379" s="36">
        <v>0.17902777777777779</v>
      </c>
      <c r="D379" s="16" t="s">
        <v>177</v>
      </c>
      <c r="E379" s="14" t="s">
        <v>70</v>
      </c>
      <c r="F379" s="16" t="s">
        <v>8011</v>
      </c>
      <c r="G379" s="16" t="s">
        <v>1084</v>
      </c>
      <c r="H379" s="14">
        <v>0.17100000000000001</v>
      </c>
      <c r="I379" s="14" t="s">
        <v>8031</v>
      </c>
      <c r="J379" s="14" t="s">
        <v>8032</v>
      </c>
      <c r="K379" s="14" t="s">
        <v>8033</v>
      </c>
      <c r="L379" s="14" t="s">
        <v>8034</v>
      </c>
      <c r="O379" s="14" t="s">
        <v>8035</v>
      </c>
      <c r="P379" s="14" t="s">
        <v>8036</v>
      </c>
      <c r="Q379" s="14">
        <v>422835.64</v>
      </c>
      <c r="R379" s="14">
        <v>6186485.7400000002</v>
      </c>
      <c r="S379" s="14" t="s">
        <v>8037</v>
      </c>
      <c r="T379" s="14" t="s">
        <v>8038</v>
      </c>
      <c r="U379" s="14">
        <v>422850.33</v>
      </c>
      <c r="V379" s="14">
        <v>6186472.8099999996</v>
      </c>
      <c r="W379" s="14">
        <v>180.03</v>
      </c>
      <c r="X379" s="14">
        <v>150.05000000000001</v>
      </c>
    </row>
    <row r="380" spans="1:24" s="14" customFormat="1" x14ac:dyDescent="0.25">
      <c r="A380" s="50">
        <v>45097</v>
      </c>
      <c r="B380" s="16">
        <v>171</v>
      </c>
      <c r="C380" s="36">
        <v>0.18291666666666664</v>
      </c>
      <c r="D380" s="16" t="s">
        <v>177</v>
      </c>
      <c r="E380" s="14" t="s">
        <v>65</v>
      </c>
      <c r="F380" s="16" t="s">
        <v>8011</v>
      </c>
      <c r="G380" s="16" t="s">
        <v>1083</v>
      </c>
      <c r="H380" s="14">
        <v>0.16500000000000001</v>
      </c>
      <c r="I380" s="14" t="s">
        <v>8043</v>
      </c>
      <c r="J380" s="14" t="s">
        <v>8044</v>
      </c>
      <c r="K380" s="14" t="s">
        <v>8045</v>
      </c>
      <c r="L380" s="14" t="s">
        <v>8034</v>
      </c>
      <c r="O380" s="14" t="s">
        <v>8039</v>
      </c>
      <c r="P380" s="14" t="s">
        <v>8040</v>
      </c>
      <c r="Q380" s="14">
        <v>422824.51</v>
      </c>
      <c r="R380" s="14">
        <v>6186469.71</v>
      </c>
      <c r="S380" s="14" t="s">
        <v>8041</v>
      </c>
      <c r="T380" s="14" t="s">
        <v>8042</v>
      </c>
      <c r="U380" s="14">
        <v>422841.36</v>
      </c>
      <c r="V380" s="14">
        <v>6186467.6699999999</v>
      </c>
      <c r="W380" s="14">
        <v>0.18</v>
      </c>
      <c r="X380" s="14">
        <v>150.05000000000001</v>
      </c>
    </row>
    <row r="381" spans="1:24" s="14" customFormat="1" x14ac:dyDescent="0.25">
      <c r="A381" s="50">
        <v>45097</v>
      </c>
      <c r="B381" s="16">
        <v>171</v>
      </c>
      <c r="C381" s="36">
        <v>0.18679398148148149</v>
      </c>
      <c r="D381" s="16" t="s">
        <v>177</v>
      </c>
      <c r="E381" s="14" t="s">
        <v>70</v>
      </c>
      <c r="F381" s="16" t="s">
        <v>8011</v>
      </c>
      <c r="G381" s="16" t="s">
        <v>1083</v>
      </c>
      <c r="H381" s="14">
        <v>-0.03</v>
      </c>
      <c r="I381" s="14" t="s">
        <v>8043</v>
      </c>
      <c r="J381" s="14" t="s">
        <v>8044</v>
      </c>
      <c r="K381" s="14" t="s">
        <v>8045</v>
      </c>
      <c r="L381" s="14" t="s">
        <v>8050</v>
      </c>
      <c r="O381" s="14" t="s">
        <v>8046</v>
      </c>
      <c r="P381" s="14" t="s">
        <v>8047</v>
      </c>
      <c r="Q381" s="14">
        <v>422824.02</v>
      </c>
      <c r="R381" s="14">
        <v>6186661.5300000003</v>
      </c>
      <c r="S381" s="14" t="s">
        <v>8048</v>
      </c>
      <c r="T381" s="14" t="s">
        <v>8049</v>
      </c>
      <c r="U381" s="14">
        <v>422841.31</v>
      </c>
      <c r="V381" s="14">
        <v>6186662.4500000002</v>
      </c>
      <c r="W381" s="14">
        <v>0.13</v>
      </c>
      <c r="X381" s="14">
        <v>150.05000000000001</v>
      </c>
    </row>
    <row r="382" spans="1:24" s="14" customFormat="1" x14ac:dyDescent="0.25">
      <c r="A382" s="50">
        <v>45097</v>
      </c>
      <c r="B382" s="16">
        <v>171</v>
      </c>
      <c r="C382" s="36">
        <v>0.19027777777777777</v>
      </c>
      <c r="D382" s="16" t="s">
        <v>177</v>
      </c>
      <c r="E382" s="14" t="s">
        <v>65</v>
      </c>
      <c r="F382" s="16" t="s">
        <v>8011</v>
      </c>
      <c r="G382" s="16" t="s">
        <v>1082</v>
      </c>
      <c r="H382" s="14">
        <v>-1.7999999999999999E-2</v>
      </c>
      <c r="I382" s="14" t="s">
        <v>8055</v>
      </c>
      <c r="J382" s="14" t="s">
        <v>8044</v>
      </c>
      <c r="K382" s="14" t="s">
        <v>8056</v>
      </c>
      <c r="L382" s="14" t="s">
        <v>8050</v>
      </c>
      <c r="O382" s="14" t="s">
        <v>8051</v>
      </c>
      <c r="P382" s="14" t="s">
        <v>8052</v>
      </c>
      <c r="Q382" s="14">
        <v>422815.55</v>
      </c>
      <c r="R382" s="14">
        <v>6186668.2599999998</v>
      </c>
      <c r="S382" s="14" t="s">
        <v>8053</v>
      </c>
      <c r="T382" s="14" t="s">
        <v>8054</v>
      </c>
      <c r="U382" s="14">
        <v>422832.41</v>
      </c>
      <c r="V382" s="14">
        <v>6186661.9000000004</v>
      </c>
      <c r="W382" s="14">
        <v>180.21</v>
      </c>
      <c r="X382" s="14">
        <v>150.05000000000001</v>
      </c>
    </row>
    <row r="383" spans="1:24" s="14" customFormat="1" x14ac:dyDescent="0.25">
      <c r="A383" s="50">
        <v>45097</v>
      </c>
      <c r="B383" s="16">
        <v>171</v>
      </c>
      <c r="C383" s="36">
        <v>0.19393518518518518</v>
      </c>
      <c r="D383" s="16" t="s">
        <v>177</v>
      </c>
      <c r="E383" s="14" t="s">
        <v>70</v>
      </c>
      <c r="F383" s="16" t="s">
        <v>8011</v>
      </c>
      <c r="G383" s="16" t="s">
        <v>1082</v>
      </c>
      <c r="H383" s="14">
        <v>0.17100000000000001</v>
      </c>
      <c r="I383" s="14" t="s">
        <v>8055</v>
      </c>
      <c r="J383" s="14" t="s">
        <v>8044</v>
      </c>
      <c r="K383" s="14" t="s">
        <v>8056</v>
      </c>
      <c r="L383" s="14" t="s">
        <v>8050</v>
      </c>
      <c r="O383" s="14" t="s">
        <v>8057</v>
      </c>
      <c r="P383" s="14" t="s">
        <v>8058</v>
      </c>
      <c r="Q383" s="14">
        <v>422814.49</v>
      </c>
      <c r="R383" s="14">
        <v>6186477.6699999999</v>
      </c>
      <c r="S383" s="14" t="s">
        <v>8059</v>
      </c>
      <c r="T383" s="14" t="s">
        <v>8060</v>
      </c>
      <c r="U383" s="14">
        <v>422832.36</v>
      </c>
      <c r="V383" s="14">
        <v>6186473.1699999999</v>
      </c>
      <c r="W383" s="14">
        <v>179.54</v>
      </c>
      <c r="X383" s="14">
        <v>150.05000000000001</v>
      </c>
    </row>
    <row r="384" spans="1:24" s="14" customFormat="1" x14ac:dyDescent="0.25">
      <c r="A384" s="50">
        <v>45097</v>
      </c>
      <c r="B384" s="16">
        <v>171</v>
      </c>
      <c r="C384" s="36">
        <v>0.19760416666666666</v>
      </c>
      <c r="D384" s="16" t="s">
        <v>177</v>
      </c>
      <c r="E384" s="14" t="s">
        <v>65</v>
      </c>
      <c r="F384" s="16" t="s">
        <v>8011</v>
      </c>
      <c r="G384" s="16" t="s">
        <v>1081</v>
      </c>
      <c r="H384" s="14">
        <v>0.17699999999999999</v>
      </c>
      <c r="I384" s="14" t="s">
        <v>8065</v>
      </c>
      <c r="J384" s="14" t="s">
        <v>8066</v>
      </c>
      <c r="K384" s="14" t="s">
        <v>8067</v>
      </c>
      <c r="L384" s="14" t="s">
        <v>8068</v>
      </c>
      <c r="O384" s="14" t="s">
        <v>8061</v>
      </c>
      <c r="P384" s="14" t="s">
        <v>8062</v>
      </c>
      <c r="Q384" s="14">
        <v>422805.86</v>
      </c>
      <c r="R384" s="14">
        <v>6186461.0899999999</v>
      </c>
      <c r="S384" s="14" t="s">
        <v>8063</v>
      </c>
      <c r="T384" s="14" t="s">
        <v>8064</v>
      </c>
      <c r="U384" s="14">
        <v>422823.28</v>
      </c>
      <c r="V384" s="14">
        <v>6186455.6799999997</v>
      </c>
      <c r="W384" s="14">
        <v>1.2</v>
      </c>
      <c r="X384" s="14">
        <v>150.05000000000001</v>
      </c>
    </row>
    <row r="385" spans="1:24" s="14" customFormat="1" x14ac:dyDescent="0.25">
      <c r="A385" s="50">
        <v>45097</v>
      </c>
      <c r="B385" s="16">
        <v>171</v>
      </c>
      <c r="C385" s="36">
        <v>0.20143518518518519</v>
      </c>
      <c r="D385" s="16" t="s">
        <v>177</v>
      </c>
      <c r="E385" s="14" t="s">
        <v>70</v>
      </c>
      <c r="F385" s="16" t="s">
        <v>8011</v>
      </c>
      <c r="G385" s="16" t="s">
        <v>1081</v>
      </c>
      <c r="H385" s="14">
        <v>-2.4E-2</v>
      </c>
      <c r="I385" s="14" t="s">
        <v>8065</v>
      </c>
      <c r="J385" s="14" t="s">
        <v>8066</v>
      </c>
      <c r="K385" s="14" t="s">
        <v>8067</v>
      </c>
      <c r="L385" s="14" t="s">
        <v>8068</v>
      </c>
      <c r="O385" s="14" t="s">
        <v>8069</v>
      </c>
      <c r="P385" s="14" t="s">
        <v>8070</v>
      </c>
      <c r="Q385" s="14">
        <v>422806.43</v>
      </c>
      <c r="R385" s="14">
        <v>6186661.7000000002</v>
      </c>
      <c r="S385" s="14" t="s">
        <v>8071</v>
      </c>
      <c r="T385" s="14" t="s">
        <v>8072</v>
      </c>
      <c r="U385" s="14">
        <v>422823.27</v>
      </c>
      <c r="V385" s="14">
        <v>6186656.3600000003</v>
      </c>
      <c r="W385" s="14">
        <v>0.03</v>
      </c>
      <c r="X385" s="14">
        <v>150.05000000000001</v>
      </c>
    </row>
    <row r="386" spans="1:24" s="14" customFormat="1" x14ac:dyDescent="0.25">
      <c r="A386" s="50">
        <v>45097</v>
      </c>
      <c r="B386" s="16">
        <v>171</v>
      </c>
      <c r="C386" s="36">
        <v>0.20473379629629629</v>
      </c>
      <c r="D386" s="16" t="s">
        <v>177</v>
      </c>
      <c r="E386" s="14" t="s">
        <v>65</v>
      </c>
      <c r="F386" s="16" t="s">
        <v>8011</v>
      </c>
      <c r="G386" s="16" t="s">
        <v>1080</v>
      </c>
      <c r="H386" s="14">
        <v>-1.9E-2</v>
      </c>
      <c r="I386" s="14" t="s">
        <v>8077</v>
      </c>
      <c r="J386" s="14" t="s">
        <v>8078</v>
      </c>
      <c r="K386" s="14" t="s">
        <v>8079</v>
      </c>
      <c r="L386" s="14" t="s">
        <v>8080</v>
      </c>
      <c r="O386" s="14" t="s">
        <v>8073</v>
      </c>
      <c r="P386" s="14" t="s">
        <v>8074</v>
      </c>
      <c r="Q386" s="14">
        <v>422797.55</v>
      </c>
      <c r="R386" s="14">
        <v>6186666.5899999999</v>
      </c>
      <c r="S386" s="14" t="s">
        <v>8075</v>
      </c>
      <c r="T386" s="14" t="s">
        <v>8076</v>
      </c>
      <c r="U386" s="14">
        <v>422814.42</v>
      </c>
      <c r="V386" s="14">
        <v>6186662.2800000003</v>
      </c>
      <c r="W386" s="14">
        <v>181.01</v>
      </c>
      <c r="X386" s="14">
        <v>150.05000000000001</v>
      </c>
    </row>
    <row r="387" spans="1:24" s="14" customFormat="1" x14ac:dyDescent="0.25">
      <c r="A387" s="50">
        <v>45097</v>
      </c>
      <c r="B387" s="16">
        <v>171</v>
      </c>
      <c r="C387" s="36">
        <v>0.20851851851851852</v>
      </c>
      <c r="D387" s="16" t="s">
        <v>177</v>
      </c>
      <c r="E387" s="14" t="s">
        <v>70</v>
      </c>
      <c r="F387" s="16" t="s">
        <v>8011</v>
      </c>
      <c r="G387" s="16" t="s">
        <v>1080</v>
      </c>
      <c r="H387" s="14">
        <v>0.18</v>
      </c>
      <c r="I387" s="14" t="s">
        <v>8077</v>
      </c>
      <c r="J387" s="14" t="s">
        <v>8078</v>
      </c>
      <c r="K387" s="14" t="s">
        <v>8079</v>
      </c>
      <c r="L387" s="14" t="s">
        <v>8080</v>
      </c>
      <c r="O387" s="14" t="s">
        <v>8081</v>
      </c>
      <c r="P387" s="14" t="s">
        <v>8082</v>
      </c>
      <c r="Q387" s="14">
        <v>422796.47</v>
      </c>
      <c r="R387" s="14">
        <v>6186469.5</v>
      </c>
      <c r="S387" s="14" t="s">
        <v>8083</v>
      </c>
      <c r="T387" s="14" t="s">
        <v>8084</v>
      </c>
      <c r="U387" s="14">
        <v>422814.36</v>
      </c>
      <c r="V387" s="14">
        <v>6186463.7000000002</v>
      </c>
      <c r="W387" s="14">
        <v>180.07</v>
      </c>
      <c r="X387" s="14">
        <v>150.05000000000001</v>
      </c>
    </row>
    <row r="388" spans="1:24" s="14" customFormat="1" x14ac:dyDescent="0.25">
      <c r="A388" s="50">
        <v>45097</v>
      </c>
      <c r="B388" s="16">
        <v>171</v>
      </c>
      <c r="C388" s="36">
        <v>0.21185185185185185</v>
      </c>
      <c r="D388" s="16" t="s">
        <v>177</v>
      </c>
      <c r="E388" s="14" t="s">
        <v>65</v>
      </c>
      <c r="F388" s="16" t="s">
        <v>8011</v>
      </c>
      <c r="G388" s="16" t="s">
        <v>1079</v>
      </c>
      <c r="H388" s="14">
        <v>0.17100000000000001</v>
      </c>
      <c r="I388" s="14" t="s">
        <v>8089</v>
      </c>
      <c r="J388" s="14" t="s">
        <v>8090</v>
      </c>
      <c r="K388" s="14" t="s">
        <v>8091</v>
      </c>
      <c r="L388" s="14" t="s">
        <v>8080</v>
      </c>
      <c r="O388" s="14" t="s">
        <v>8085</v>
      </c>
      <c r="P388" s="14" t="s">
        <v>8086</v>
      </c>
      <c r="Q388" s="14">
        <v>422787.26</v>
      </c>
      <c r="R388" s="14">
        <v>6186457.9500000002</v>
      </c>
      <c r="S388" s="14" t="s">
        <v>8087</v>
      </c>
      <c r="T388" s="14" t="s">
        <v>8088</v>
      </c>
      <c r="U388" s="14">
        <v>422805.4</v>
      </c>
      <c r="V388" s="14">
        <v>6186461.71</v>
      </c>
      <c r="W388" s="14">
        <v>0.03</v>
      </c>
      <c r="X388" s="14">
        <v>150.05000000000001</v>
      </c>
    </row>
    <row r="389" spans="1:24" s="14" customFormat="1" x14ac:dyDescent="0.25">
      <c r="A389" s="50">
        <v>45097</v>
      </c>
      <c r="B389" s="16">
        <v>171</v>
      </c>
      <c r="C389" s="36">
        <v>0.21570601851851853</v>
      </c>
      <c r="D389" s="16" t="s">
        <v>177</v>
      </c>
      <c r="E389" s="14" t="s">
        <v>70</v>
      </c>
      <c r="F389" s="16" t="s">
        <v>8011</v>
      </c>
      <c r="G389" s="16" t="s">
        <v>1079</v>
      </c>
      <c r="H389" s="14">
        <v>-2.5000000000000001E-2</v>
      </c>
      <c r="I389" s="14" t="s">
        <v>8089</v>
      </c>
      <c r="J389" s="14" t="s">
        <v>8090</v>
      </c>
      <c r="K389" s="14" t="s">
        <v>8091</v>
      </c>
      <c r="L389" s="14" t="s">
        <v>8096</v>
      </c>
      <c r="O389" s="14" t="s">
        <v>8092</v>
      </c>
      <c r="P389" s="14" t="s">
        <v>8093</v>
      </c>
      <c r="Q389" s="14">
        <v>422786.91</v>
      </c>
      <c r="R389" s="14">
        <v>6186655.3899999997</v>
      </c>
      <c r="S389" s="14" t="s">
        <v>8094</v>
      </c>
      <c r="T389" s="14" t="s">
        <v>8095</v>
      </c>
      <c r="U389" s="14">
        <v>422805.34</v>
      </c>
      <c r="V389" s="14">
        <v>6186657.5300000003</v>
      </c>
      <c r="W389" s="14">
        <v>0.5</v>
      </c>
      <c r="X389" s="14">
        <v>150.05000000000001</v>
      </c>
    </row>
    <row r="390" spans="1:24" s="14" customFormat="1" x14ac:dyDescent="0.25">
      <c r="A390" s="50">
        <v>45097</v>
      </c>
      <c r="B390" s="16">
        <v>171</v>
      </c>
      <c r="C390" s="36">
        <v>0.2189699074074074</v>
      </c>
      <c r="D390" s="16" t="s">
        <v>177</v>
      </c>
      <c r="E390" s="14" t="s">
        <v>65</v>
      </c>
      <c r="F390" s="16" t="s">
        <v>8011</v>
      </c>
      <c r="G390" s="16" t="s">
        <v>1073</v>
      </c>
      <c r="H390" s="14">
        <v>-1.7999999999999999E-2</v>
      </c>
      <c r="I390" s="14" t="s">
        <v>8101</v>
      </c>
      <c r="J390" s="14" t="s">
        <v>8102</v>
      </c>
      <c r="K390" s="14" t="s">
        <v>8103</v>
      </c>
      <c r="L390" s="14" t="s">
        <v>8096</v>
      </c>
      <c r="O390" s="14" t="s">
        <v>8097</v>
      </c>
      <c r="P390" s="14" t="s">
        <v>8098</v>
      </c>
      <c r="Q390" s="14">
        <v>422779.62</v>
      </c>
      <c r="R390" s="14">
        <v>6186666.2400000002</v>
      </c>
      <c r="S390" s="14" t="s">
        <v>8099</v>
      </c>
      <c r="T390" s="14" t="s">
        <v>8100</v>
      </c>
      <c r="U390" s="14">
        <v>422796.36</v>
      </c>
      <c r="V390" s="14">
        <v>6186661.2199999997</v>
      </c>
      <c r="W390" s="14">
        <v>180.97</v>
      </c>
      <c r="X390" s="14">
        <v>150.05000000000001</v>
      </c>
    </row>
    <row r="391" spans="1:24" s="14" customFormat="1" x14ac:dyDescent="0.25">
      <c r="A391" s="50">
        <v>45097</v>
      </c>
      <c r="B391" s="16">
        <v>171</v>
      </c>
      <c r="C391" s="36">
        <v>0.22265046296296298</v>
      </c>
      <c r="D391" s="16" t="s">
        <v>177</v>
      </c>
      <c r="E391" s="14" t="s">
        <v>70</v>
      </c>
      <c r="F391" s="16" t="s">
        <v>8011</v>
      </c>
      <c r="G391" s="16" t="s">
        <v>1073</v>
      </c>
      <c r="H391" s="14">
        <v>0.17399999999999999</v>
      </c>
      <c r="I391" s="14" t="s">
        <v>8101</v>
      </c>
      <c r="J391" s="14" t="s">
        <v>8102</v>
      </c>
      <c r="K391" s="14" t="s">
        <v>8103</v>
      </c>
      <c r="L391" s="14" t="s">
        <v>8096</v>
      </c>
      <c r="O391" s="14" t="s">
        <v>8104</v>
      </c>
      <c r="P391" s="14" t="s">
        <v>8105</v>
      </c>
      <c r="Q391" s="14">
        <v>422778.41</v>
      </c>
      <c r="R391" s="14">
        <v>6186476.6699999999</v>
      </c>
      <c r="S391" s="14" t="s">
        <v>8106</v>
      </c>
      <c r="T391" s="14" t="s">
        <v>8107</v>
      </c>
      <c r="U391" s="14">
        <v>422796.32</v>
      </c>
      <c r="V391" s="14">
        <v>6186470.0300000003</v>
      </c>
      <c r="W391" s="14">
        <v>179.99</v>
      </c>
      <c r="X391" s="14">
        <v>150.05000000000001</v>
      </c>
    </row>
    <row r="392" spans="1:24" s="14" customFormat="1" x14ac:dyDescent="0.25">
      <c r="A392" s="50">
        <v>45097</v>
      </c>
      <c r="B392" s="16">
        <v>171</v>
      </c>
      <c r="C392" s="36">
        <v>0.2260763888888889</v>
      </c>
      <c r="D392" s="16" t="s">
        <v>177</v>
      </c>
      <c r="E392" s="14" t="s">
        <v>65</v>
      </c>
      <c r="F392" s="16" t="s">
        <v>8011</v>
      </c>
      <c r="G392" s="16" t="s">
        <v>1074</v>
      </c>
      <c r="H392" s="14">
        <v>0.16500000000000001</v>
      </c>
      <c r="I392" s="14" t="s">
        <v>8112</v>
      </c>
      <c r="J392" s="14" t="s">
        <v>8113</v>
      </c>
      <c r="K392" s="14" t="s">
        <v>8114</v>
      </c>
      <c r="L392" s="14" t="s">
        <v>8115</v>
      </c>
      <c r="O392" s="14" t="s">
        <v>8108</v>
      </c>
      <c r="P392" s="14" t="s">
        <v>8109</v>
      </c>
      <c r="Q392" s="14">
        <v>422768.5</v>
      </c>
      <c r="R392" s="14">
        <v>6186475.2699999996</v>
      </c>
      <c r="S392" s="14" t="s">
        <v>8110</v>
      </c>
      <c r="T392" s="14" t="s">
        <v>8111</v>
      </c>
      <c r="U392" s="14">
        <v>422787.43</v>
      </c>
      <c r="V392" s="14">
        <v>6186467.3600000003</v>
      </c>
      <c r="W392" s="14">
        <v>359.99</v>
      </c>
      <c r="X392" s="14">
        <v>150.05000000000001</v>
      </c>
    </row>
    <row r="393" spans="1:24" s="14" customFormat="1" x14ac:dyDescent="0.25">
      <c r="A393" s="50">
        <v>45097</v>
      </c>
      <c r="B393" s="16">
        <v>171</v>
      </c>
      <c r="C393" s="36">
        <v>0.23028935185185184</v>
      </c>
      <c r="D393" s="16" t="s">
        <v>177</v>
      </c>
      <c r="E393" s="14" t="s">
        <v>70</v>
      </c>
      <c r="F393" s="16" t="s">
        <v>8011</v>
      </c>
      <c r="G393" s="16" t="s">
        <v>1074</v>
      </c>
      <c r="H393" s="14">
        <v>-2.3E-2</v>
      </c>
      <c r="I393" s="14" t="s">
        <v>8112</v>
      </c>
      <c r="J393" s="14" t="s">
        <v>8113</v>
      </c>
      <c r="K393" s="14" t="s">
        <v>8114</v>
      </c>
      <c r="L393" s="14" t="s">
        <v>8115</v>
      </c>
      <c r="O393" s="14" t="s">
        <v>8116</v>
      </c>
      <c r="P393" s="14" t="s">
        <v>8117</v>
      </c>
      <c r="Q393" s="14">
        <v>422768.89</v>
      </c>
      <c r="R393" s="14">
        <v>6186660.54</v>
      </c>
      <c r="S393" s="14" t="s">
        <v>8118</v>
      </c>
      <c r="T393" s="14" t="s">
        <v>8119</v>
      </c>
      <c r="U393" s="14">
        <v>422787.36</v>
      </c>
      <c r="V393" s="14">
        <v>6186655.8099999996</v>
      </c>
      <c r="W393" s="14">
        <v>359.84</v>
      </c>
      <c r="X393" s="14">
        <v>150.05000000000001</v>
      </c>
    </row>
    <row r="394" spans="1:24" s="14" customFormat="1" x14ac:dyDescent="0.25">
      <c r="A394" s="50">
        <v>45097</v>
      </c>
      <c r="B394" s="16">
        <v>171</v>
      </c>
      <c r="C394" s="36">
        <v>0.23385416666666667</v>
      </c>
      <c r="D394" s="16" t="s">
        <v>177</v>
      </c>
      <c r="E394" s="14" t="s">
        <v>65</v>
      </c>
      <c r="F394" s="16" t="s">
        <v>8011</v>
      </c>
      <c r="G394" s="16" t="s">
        <v>1075</v>
      </c>
      <c r="H394" s="14">
        <v>-1.4999999999999999E-2</v>
      </c>
      <c r="I394" s="14" t="s">
        <v>8124</v>
      </c>
      <c r="J394" s="14" t="s">
        <v>8125</v>
      </c>
      <c r="K394" s="14" t="s">
        <v>8126</v>
      </c>
      <c r="L394" s="14" t="s">
        <v>8115</v>
      </c>
      <c r="O394" s="14" t="s">
        <v>8120</v>
      </c>
      <c r="P394" s="14" t="s">
        <v>8121</v>
      </c>
      <c r="Q394" s="14">
        <v>422760.94</v>
      </c>
      <c r="R394" s="14">
        <v>6186659.9699999997</v>
      </c>
      <c r="S394" s="14" t="s">
        <v>8122</v>
      </c>
      <c r="T394" s="14" t="s">
        <v>8123</v>
      </c>
      <c r="U394" s="14">
        <v>422778.41</v>
      </c>
      <c r="V394" s="14">
        <v>6186658.2199999997</v>
      </c>
      <c r="W394" s="14">
        <v>181.25</v>
      </c>
      <c r="X394" s="14">
        <v>150.05000000000001</v>
      </c>
    </row>
    <row r="395" spans="1:24" s="14" customFormat="1" x14ac:dyDescent="0.25">
      <c r="A395" s="50">
        <v>45097</v>
      </c>
      <c r="B395" s="16">
        <v>171</v>
      </c>
      <c r="C395" s="36">
        <v>0.23731481481481484</v>
      </c>
      <c r="D395" s="16" t="s">
        <v>177</v>
      </c>
      <c r="E395" s="14" t="s">
        <v>70</v>
      </c>
      <c r="F395" s="16" t="s">
        <v>8011</v>
      </c>
      <c r="G395" s="16" t="s">
        <v>1075</v>
      </c>
      <c r="H395" s="14">
        <v>0.16900000000000001</v>
      </c>
      <c r="I395" s="14" t="s">
        <v>8124</v>
      </c>
      <c r="J395" s="14" t="s">
        <v>8125</v>
      </c>
      <c r="K395" s="14" t="s">
        <v>8126</v>
      </c>
      <c r="L395" s="14" t="s">
        <v>8131</v>
      </c>
      <c r="O395" s="14" t="s">
        <v>8127</v>
      </c>
      <c r="P395" s="14" t="s">
        <v>8128</v>
      </c>
      <c r="Q395" s="14">
        <v>422759.43</v>
      </c>
      <c r="R395" s="14">
        <v>6186477.0499999998</v>
      </c>
      <c r="S395" s="14" t="s">
        <v>8129</v>
      </c>
      <c r="T395" s="14" t="s">
        <v>8130</v>
      </c>
      <c r="U395" s="14">
        <v>422778.36</v>
      </c>
      <c r="V395" s="14">
        <v>6186474.8899999997</v>
      </c>
      <c r="W395" s="14">
        <v>180.43</v>
      </c>
      <c r="X395" s="14">
        <v>150.05000000000001</v>
      </c>
    </row>
    <row r="396" spans="1:24" s="14" customFormat="1" x14ac:dyDescent="0.25">
      <c r="A396" s="50">
        <v>45097</v>
      </c>
      <c r="B396" s="16">
        <v>171</v>
      </c>
      <c r="C396" s="36">
        <v>0.24083333333333334</v>
      </c>
      <c r="D396" s="16" t="s">
        <v>177</v>
      </c>
      <c r="E396" s="14" t="s">
        <v>65</v>
      </c>
      <c r="F396" s="16" t="s">
        <v>8011</v>
      </c>
      <c r="G396" s="16" t="s">
        <v>1076</v>
      </c>
      <c r="H396" s="14">
        <v>0.16400000000000001</v>
      </c>
      <c r="I396" s="14" t="s">
        <v>8136</v>
      </c>
      <c r="J396" s="14" t="s">
        <v>8137</v>
      </c>
      <c r="K396" s="14" t="s">
        <v>8138</v>
      </c>
      <c r="L396" s="14" t="s">
        <v>8131</v>
      </c>
      <c r="O396" s="14" t="s">
        <v>8132</v>
      </c>
      <c r="P396" s="14" t="s">
        <v>8133</v>
      </c>
      <c r="Q396" s="14">
        <v>422750.24</v>
      </c>
      <c r="R396" s="14">
        <v>6186477.4100000001</v>
      </c>
      <c r="S396" s="14" t="s">
        <v>8134</v>
      </c>
      <c r="T396" s="14" t="s">
        <v>8135</v>
      </c>
      <c r="U396" s="14">
        <v>422769.37</v>
      </c>
      <c r="V396" s="14">
        <v>6186468.5899999999</v>
      </c>
      <c r="W396" s="14">
        <v>0.2</v>
      </c>
      <c r="X396" s="14">
        <v>150.05000000000001</v>
      </c>
    </row>
    <row r="397" spans="1:24" s="14" customFormat="1" x14ac:dyDescent="0.25">
      <c r="A397" s="50">
        <v>45097</v>
      </c>
      <c r="B397" s="16">
        <v>171</v>
      </c>
      <c r="C397" s="36">
        <v>0.2444212962962963</v>
      </c>
      <c r="D397" s="16" t="s">
        <v>177</v>
      </c>
      <c r="E397" s="14" t="s">
        <v>70</v>
      </c>
      <c r="F397" s="16" t="s">
        <v>8011</v>
      </c>
      <c r="G397" s="16" t="s">
        <v>1076</v>
      </c>
      <c r="H397" s="14">
        <v>-2.4E-2</v>
      </c>
      <c r="I397" s="14" t="s">
        <v>8136</v>
      </c>
      <c r="J397" s="14" t="s">
        <v>8137</v>
      </c>
      <c r="K397" s="14" t="s">
        <v>8138</v>
      </c>
      <c r="L397" s="14" t="s">
        <v>8131</v>
      </c>
      <c r="O397" s="14" t="s">
        <v>8139</v>
      </c>
      <c r="P397" s="14" t="s">
        <v>8140</v>
      </c>
      <c r="Q397" s="14">
        <v>422750.08</v>
      </c>
      <c r="R397" s="14">
        <v>6186665.71</v>
      </c>
      <c r="S397" s="14" t="s">
        <v>8141</v>
      </c>
      <c r="T397" s="14" t="s">
        <v>8142</v>
      </c>
      <c r="U397" s="14">
        <v>422769.33</v>
      </c>
      <c r="V397" s="14">
        <v>6186656.4699999997</v>
      </c>
      <c r="W397" s="14">
        <v>0.05</v>
      </c>
      <c r="X397" s="14">
        <v>150.05000000000001</v>
      </c>
    </row>
    <row r="398" spans="1:24" s="14" customFormat="1" x14ac:dyDescent="0.25">
      <c r="A398" s="50">
        <v>45097</v>
      </c>
      <c r="B398" s="16">
        <v>171</v>
      </c>
      <c r="C398" s="36">
        <v>0.24802083333333333</v>
      </c>
      <c r="D398" s="16" t="s">
        <v>177</v>
      </c>
      <c r="E398" s="14" t="s">
        <v>65</v>
      </c>
      <c r="F398" s="16" t="s">
        <v>8011</v>
      </c>
      <c r="G398" s="16" t="s">
        <v>1077</v>
      </c>
      <c r="H398" s="14">
        <v>-1.7000000000000001E-2</v>
      </c>
      <c r="I398" s="14" t="s">
        <v>8147</v>
      </c>
      <c r="J398" s="14" t="s">
        <v>8148</v>
      </c>
      <c r="K398" s="14" t="s">
        <v>8149</v>
      </c>
      <c r="L398" s="14" t="s">
        <v>8150</v>
      </c>
      <c r="O398" s="14" t="s">
        <v>8143</v>
      </c>
      <c r="P398" s="14" t="s">
        <v>8144</v>
      </c>
      <c r="Q398" s="14">
        <v>422742</v>
      </c>
      <c r="R398" s="14">
        <v>6186659.2800000003</v>
      </c>
      <c r="S398" s="14" t="s">
        <v>8145</v>
      </c>
      <c r="T398" s="14" t="s">
        <v>8146</v>
      </c>
      <c r="U398" s="14">
        <v>422760.38</v>
      </c>
      <c r="V398" s="14">
        <v>6186660.6200000001</v>
      </c>
      <c r="W398" s="14">
        <v>181.76</v>
      </c>
      <c r="X398" s="14">
        <v>150.05000000000001</v>
      </c>
    </row>
    <row r="399" spans="1:24" s="14" customFormat="1" x14ac:dyDescent="0.25">
      <c r="A399" s="50">
        <v>45097</v>
      </c>
      <c r="B399" s="16">
        <v>171</v>
      </c>
      <c r="C399" s="36">
        <v>0.25155092592592593</v>
      </c>
      <c r="D399" s="16" t="s">
        <v>177</v>
      </c>
      <c r="E399" s="14" t="s">
        <v>70</v>
      </c>
      <c r="F399" s="16" t="s">
        <v>8011</v>
      </c>
      <c r="G399" s="16" t="s">
        <v>1077</v>
      </c>
      <c r="H399" s="14">
        <v>0.17</v>
      </c>
      <c r="I399" s="14" t="s">
        <v>8147</v>
      </c>
      <c r="J399" s="14" t="s">
        <v>8148</v>
      </c>
      <c r="K399" s="14" t="s">
        <v>8149</v>
      </c>
      <c r="L399" s="14" t="s">
        <v>8150</v>
      </c>
      <c r="O399" s="14" t="s">
        <v>8151</v>
      </c>
      <c r="P399" s="14" t="s">
        <v>8152</v>
      </c>
      <c r="Q399" s="14">
        <v>422740.6</v>
      </c>
      <c r="R399" s="14">
        <v>6186472.3200000003</v>
      </c>
      <c r="S399" s="14" t="s">
        <v>8153</v>
      </c>
      <c r="T399" s="14" t="s">
        <v>8154</v>
      </c>
      <c r="U399" s="14">
        <v>422760.31</v>
      </c>
      <c r="V399" s="14">
        <v>6186473.8600000003</v>
      </c>
      <c r="W399" s="14">
        <v>179.7</v>
      </c>
      <c r="X399" s="14">
        <v>150.05000000000001</v>
      </c>
    </row>
    <row r="400" spans="1:24" s="14" customFormat="1" x14ac:dyDescent="0.25">
      <c r="A400" s="50">
        <v>45097</v>
      </c>
      <c r="B400" s="16">
        <v>171</v>
      </c>
      <c r="C400" s="36">
        <v>0.25488425925925923</v>
      </c>
      <c r="D400" s="16" t="s">
        <v>177</v>
      </c>
      <c r="E400" s="14" t="s">
        <v>65</v>
      </c>
      <c r="F400" s="16" t="s">
        <v>8011</v>
      </c>
      <c r="G400" s="16" t="s">
        <v>1078</v>
      </c>
      <c r="H400" s="14">
        <v>0.16500000000000001</v>
      </c>
      <c r="I400" s="14" t="s">
        <v>8159</v>
      </c>
      <c r="J400" s="14" t="s">
        <v>8160</v>
      </c>
      <c r="K400" s="14" t="s">
        <v>8161</v>
      </c>
      <c r="L400" s="14" t="s">
        <v>8150</v>
      </c>
      <c r="O400" s="14" t="s">
        <v>8155</v>
      </c>
      <c r="P400" s="14" t="s">
        <v>8156</v>
      </c>
      <c r="Q400" s="14">
        <v>422730.79</v>
      </c>
      <c r="R400" s="14">
        <v>6186473.79</v>
      </c>
      <c r="S400" s="14" t="s">
        <v>8157</v>
      </c>
      <c r="T400" s="14" t="s">
        <v>8158</v>
      </c>
      <c r="U400" s="14">
        <v>422751.29</v>
      </c>
      <c r="V400" s="14">
        <v>6186467.8300000001</v>
      </c>
      <c r="W400" s="14">
        <v>0.25</v>
      </c>
      <c r="X400" s="14">
        <v>150.05000000000001</v>
      </c>
    </row>
    <row r="401" spans="1:24" s="14" customFormat="1" x14ac:dyDescent="0.25">
      <c r="A401" s="50">
        <v>45097</v>
      </c>
      <c r="B401" s="16">
        <v>171</v>
      </c>
      <c r="C401" s="36">
        <v>0.25843749999999999</v>
      </c>
      <c r="D401" s="16" t="s">
        <v>177</v>
      </c>
      <c r="E401" s="14" t="s">
        <v>70</v>
      </c>
      <c r="F401" s="16" t="s">
        <v>8011</v>
      </c>
      <c r="G401" s="16" t="s">
        <v>1078</v>
      </c>
      <c r="H401" s="14">
        <v>-2.3E-2</v>
      </c>
      <c r="I401" s="14" t="s">
        <v>8159</v>
      </c>
      <c r="J401" s="14" t="s">
        <v>8160</v>
      </c>
      <c r="K401" s="14" t="s">
        <v>8161</v>
      </c>
      <c r="L401" s="14" t="s">
        <v>8166</v>
      </c>
      <c r="O401" s="14" t="s">
        <v>8162</v>
      </c>
      <c r="P401" s="14" t="s">
        <v>8163</v>
      </c>
      <c r="Q401" s="14">
        <v>422730.67</v>
      </c>
      <c r="R401" s="14">
        <v>6186661.0999999996</v>
      </c>
      <c r="S401" s="14" t="s">
        <v>8164</v>
      </c>
      <c r="T401" s="14" t="s">
        <v>8165</v>
      </c>
      <c r="U401" s="14">
        <v>422751.33</v>
      </c>
      <c r="V401" s="14">
        <v>6186655.7199999997</v>
      </c>
      <c r="W401" s="14">
        <v>0.08</v>
      </c>
      <c r="X401" s="14">
        <v>150.05000000000001</v>
      </c>
    </row>
    <row r="402" spans="1:24" s="14" customFormat="1" x14ac:dyDescent="0.25">
      <c r="A402" s="50">
        <v>45097</v>
      </c>
      <c r="B402" s="16">
        <v>171</v>
      </c>
      <c r="C402" s="36">
        <v>0.2596296296296296</v>
      </c>
      <c r="D402" s="16" t="s">
        <v>177</v>
      </c>
      <c r="E402" s="14" t="s">
        <v>8171</v>
      </c>
      <c r="F402" s="16" t="s">
        <v>8011</v>
      </c>
      <c r="G402" s="16" t="s">
        <v>1194</v>
      </c>
      <c r="H402" s="14">
        <v>-0.40899999999999997</v>
      </c>
      <c r="O402" s="14" t="s">
        <v>8167</v>
      </c>
      <c r="P402" s="14" t="s">
        <v>8168</v>
      </c>
      <c r="Q402" s="14">
        <v>422732.36</v>
      </c>
      <c r="R402" s="14">
        <v>6186683.4800000004</v>
      </c>
      <c r="S402" s="14" t="s">
        <v>8169</v>
      </c>
      <c r="T402" s="14" t="s">
        <v>8170</v>
      </c>
      <c r="U402" s="14">
        <v>422749.9</v>
      </c>
      <c r="V402" s="14">
        <v>6186676.9299999997</v>
      </c>
      <c r="W402" s="14">
        <v>99.03</v>
      </c>
      <c r="X402" s="14">
        <v>150.05000000000001</v>
      </c>
    </row>
    <row r="403" spans="1:24" s="14" customFormat="1" x14ac:dyDescent="0.25">
      <c r="A403" s="50">
        <v>45097</v>
      </c>
      <c r="B403" s="16">
        <v>171</v>
      </c>
      <c r="C403" s="36">
        <v>0.26408564814814817</v>
      </c>
      <c r="D403" s="16" t="s">
        <v>177</v>
      </c>
      <c r="E403" s="14" t="s">
        <v>8176</v>
      </c>
      <c r="F403" s="16" t="s">
        <v>8011</v>
      </c>
      <c r="G403" s="16" t="s">
        <v>1194</v>
      </c>
      <c r="H403" s="14">
        <v>-0.40899999999999997</v>
      </c>
      <c r="O403" s="14" t="s">
        <v>8172</v>
      </c>
      <c r="P403" s="14" t="s">
        <v>8173</v>
      </c>
      <c r="Q403" s="14">
        <v>422731.9</v>
      </c>
      <c r="R403" s="14">
        <v>6186683.6200000001</v>
      </c>
      <c r="S403" s="14" t="s">
        <v>8174</v>
      </c>
      <c r="T403" s="14" t="s">
        <v>8175</v>
      </c>
      <c r="U403" s="14">
        <v>422749.84</v>
      </c>
      <c r="V403" s="14">
        <v>6186676.9500000002</v>
      </c>
      <c r="W403" s="14">
        <v>98.34</v>
      </c>
      <c r="X403" s="14">
        <v>150.05000000000001</v>
      </c>
    </row>
    <row r="404" spans="1:24" s="14" customFormat="1" x14ac:dyDescent="0.25">
      <c r="A404" s="50">
        <v>45097</v>
      </c>
      <c r="B404" s="16">
        <v>171</v>
      </c>
      <c r="C404" s="36">
        <v>0.26747685185185183</v>
      </c>
      <c r="D404" s="16" t="s">
        <v>177</v>
      </c>
      <c r="E404" s="14" t="s">
        <v>8177</v>
      </c>
      <c r="F404" s="16" t="s">
        <v>8011</v>
      </c>
      <c r="G404" s="16" t="s">
        <v>1194</v>
      </c>
      <c r="H404" s="14">
        <v>-0.41199999999999998</v>
      </c>
      <c r="O404" s="14" t="s">
        <v>8178</v>
      </c>
      <c r="P404" s="14" t="s">
        <v>8179</v>
      </c>
      <c r="Q404" s="14">
        <v>422732.18</v>
      </c>
      <c r="R404" s="14">
        <v>6186683.9500000002</v>
      </c>
      <c r="S404" s="14" t="s">
        <v>8180</v>
      </c>
      <c r="T404" s="14" t="s">
        <v>8181</v>
      </c>
      <c r="U404" s="14">
        <v>422741.89</v>
      </c>
      <c r="V404" s="14">
        <v>6186680.3300000001</v>
      </c>
      <c r="W404" s="14">
        <v>96.94</v>
      </c>
      <c r="X404" s="14">
        <v>150.05000000000001</v>
      </c>
    </row>
    <row r="405" spans="1:24" s="14" customFormat="1" x14ac:dyDescent="0.25">
      <c r="A405" s="50">
        <v>45097</v>
      </c>
      <c r="B405" s="16">
        <v>171</v>
      </c>
      <c r="C405" s="36">
        <v>0.27812500000000001</v>
      </c>
      <c r="D405" s="16" t="s">
        <v>177</v>
      </c>
      <c r="E405" s="14" t="s">
        <v>6362</v>
      </c>
      <c r="F405" s="16" t="s">
        <v>8011</v>
      </c>
      <c r="G405" s="16" t="s">
        <v>1194</v>
      </c>
      <c r="H405" s="14">
        <v>-3.3000000000000002E-2</v>
      </c>
      <c r="O405" s="14" t="s">
        <v>8183</v>
      </c>
      <c r="P405" s="14" t="s">
        <v>8184</v>
      </c>
      <c r="Q405" s="14">
        <v>421122.95</v>
      </c>
      <c r="R405" s="14">
        <v>6186306.1100000003</v>
      </c>
      <c r="S405" s="14" t="s">
        <v>8185</v>
      </c>
      <c r="T405" s="14" t="s">
        <v>8186</v>
      </c>
      <c r="U405" s="14">
        <v>421133.26</v>
      </c>
      <c r="V405" s="14">
        <v>6186301.3399999999</v>
      </c>
      <c r="W405" s="14">
        <v>96.64</v>
      </c>
      <c r="X405" s="14">
        <v>150.05000000000001</v>
      </c>
    </row>
    <row r="406" spans="1:24" s="68" customFormat="1" x14ac:dyDescent="0.25">
      <c r="A406" s="65">
        <v>45097</v>
      </c>
      <c r="B406" s="66">
        <v>171</v>
      </c>
      <c r="C406" s="67">
        <v>0.28112268518518518</v>
      </c>
      <c r="D406" s="66" t="s">
        <v>177</v>
      </c>
      <c r="E406" s="68" t="s">
        <v>8192</v>
      </c>
      <c r="F406" s="66" t="s">
        <v>8011</v>
      </c>
      <c r="G406" s="66" t="s">
        <v>1194</v>
      </c>
      <c r="H406" s="68">
        <v>-0.03</v>
      </c>
      <c r="M406" s="68" t="s">
        <v>8187</v>
      </c>
      <c r="O406" s="68" t="s">
        <v>8188</v>
      </c>
      <c r="P406" s="68" t="s">
        <v>8189</v>
      </c>
      <c r="Q406" s="68">
        <v>421119.19</v>
      </c>
      <c r="R406" s="68">
        <v>6186305.2699999996</v>
      </c>
      <c r="S406" s="68" t="s">
        <v>8190</v>
      </c>
      <c r="T406" s="68" t="s">
        <v>8191</v>
      </c>
      <c r="U406" s="68">
        <v>421133.16</v>
      </c>
      <c r="V406" s="68">
        <v>6186297.7699999996</v>
      </c>
      <c r="W406" s="68">
        <v>93.9</v>
      </c>
      <c r="X406" s="68">
        <v>150.05000000000001</v>
      </c>
    </row>
    <row r="407" spans="1:24" s="14" customFormat="1" x14ac:dyDescent="0.25">
      <c r="A407" s="50">
        <v>45097</v>
      </c>
      <c r="B407" s="16">
        <v>171</v>
      </c>
      <c r="C407" s="36">
        <v>0.28575231481481483</v>
      </c>
      <c r="D407" s="16" t="s">
        <v>177</v>
      </c>
      <c r="E407" s="14" t="s">
        <v>65</v>
      </c>
      <c r="F407" s="16" t="s">
        <v>8011</v>
      </c>
      <c r="G407" s="16" t="s">
        <v>1194</v>
      </c>
      <c r="H407" s="14">
        <v>-1.2E-2</v>
      </c>
      <c r="I407" s="14" t="s">
        <v>8197</v>
      </c>
      <c r="J407" s="14" t="s">
        <v>8198</v>
      </c>
      <c r="K407" s="14" t="s">
        <v>8199</v>
      </c>
      <c r="L407" s="14" t="s">
        <v>8200</v>
      </c>
      <c r="O407" s="14" t="s">
        <v>8193</v>
      </c>
      <c r="P407" s="14" t="s">
        <v>8194</v>
      </c>
      <c r="Q407" s="14">
        <v>421123.83</v>
      </c>
      <c r="R407" s="14">
        <v>6186292.8200000003</v>
      </c>
      <c r="S407" s="14" t="s">
        <v>8195</v>
      </c>
      <c r="T407" s="14" t="s">
        <v>8196</v>
      </c>
      <c r="U407" s="14">
        <v>421139.85</v>
      </c>
      <c r="V407" s="14">
        <v>6186285.2800000003</v>
      </c>
      <c r="W407" s="14">
        <v>180.15</v>
      </c>
      <c r="X407" s="14">
        <v>150.05000000000001</v>
      </c>
    </row>
    <row r="408" spans="1:24" s="14" customFormat="1" x14ac:dyDescent="0.25">
      <c r="A408" s="50">
        <v>45097</v>
      </c>
      <c r="B408" s="16">
        <v>171</v>
      </c>
      <c r="C408" s="36">
        <v>0.28935185185185186</v>
      </c>
      <c r="D408" s="16" t="s">
        <v>177</v>
      </c>
      <c r="E408" s="14" t="s">
        <v>70</v>
      </c>
      <c r="F408" s="16" t="s">
        <v>8011</v>
      </c>
      <c r="G408" s="16" t="s">
        <v>1194</v>
      </c>
      <c r="H408" s="14">
        <v>0.17100000000000001</v>
      </c>
      <c r="I408" s="14" t="s">
        <v>8197</v>
      </c>
      <c r="J408" s="14" t="s">
        <v>8198</v>
      </c>
      <c r="K408" s="14" t="s">
        <v>8199</v>
      </c>
      <c r="L408" s="14" t="s">
        <v>8205</v>
      </c>
      <c r="O408" s="14" t="s">
        <v>8201</v>
      </c>
      <c r="P408" s="14" t="s">
        <v>8202</v>
      </c>
      <c r="Q408" s="14">
        <v>421122.89</v>
      </c>
      <c r="R408" s="14">
        <v>6186107.5999999996</v>
      </c>
      <c r="S408" s="14" t="s">
        <v>8203</v>
      </c>
      <c r="T408" s="14" t="s">
        <v>8204</v>
      </c>
      <c r="U408" s="14">
        <v>421139.99</v>
      </c>
      <c r="V408" s="14">
        <v>6186101.7999999998</v>
      </c>
      <c r="W408" s="14">
        <v>179.31</v>
      </c>
      <c r="X408" s="14">
        <v>150.05000000000001</v>
      </c>
    </row>
    <row r="409" spans="1:24" s="14" customFormat="1" x14ac:dyDescent="0.25">
      <c r="A409" s="50">
        <v>45097</v>
      </c>
      <c r="B409" s="16">
        <v>171</v>
      </c>
      <c r="C409" s="36">
        <v>0.29304398148148147</v>
      </c>
      <c r="D409" s="16" t="s">
        <v>177</v>
      </c>
      <c r="E409" s="14" t="s">
        <v>65</v>
      </c>
      <c r="F409" s="16" t="s">
        <v>8011</v>
      </c>
      <c r="G409" s="16" t="s">
        <v>1193</v>
      </c>
      <c r="H409" s="14">
        <v>0.16600000000000001</v>
      </c>
      <c r="I409" s="14" t="s">
        <v>8210</v>
      </c>
      <c r="J409" s="14" t="s">
        <v>8211</v>
      </c>
      <c r="K409" s="14" t="s">
        <v>8212</v>
      </c>
      <c r="L409" s="14" t="s">
        <v>8205</v>
      </c>
      <c r="O409" s="14" t="s">
        <v>8206</v>
      </c>
      <c r="P409" s="14" t="s">
        <v>8207</v>
      </c>
      <c r="Q409" s="14">
        <v>421113.02</v>
      </c>
      <c r="R409" s="14">
        <v>6186103.7599999998</v>
      </c>
      <c r="S409" s="14" t="s">
        <v>8208</v>
      </c>
      <c r="T409" s="14" t="s">
        <v>8209</v>
      </c>
      <c r="U409" s="14">
        <v>421131.05</v>
      </c>
      <c r="V409" s="14">
        <v>6186096.3499999996</v>
      </c>
      <c r="W409" s="14">
        <v>0.87</v>
      </c>
      <c r="X409" s="14">
        <v>150.05000000000001</v>
      </c>
    </row>
    <row r="410" spans="1:24" s="14" customFormat="1" x14ac:dyDescent="0.25">
      <c r="A410" s="50">
        <v>45097</v>
      </c>
      <c r="B410" s="16">
        <v>171</v>
      </c>
      <c r="C410" s="36">
        <v>0.29651620370370374</v>
      </c>
      <c r="D410" s="16" t="s">
        <v>177</v>
      </c>
      <c r="E410" s="14" t="s">
        <v>70</v>
      </c>
      <c r="F410" s="16" t="s">
        <v>8011</v>
      </c>
      <c r="G410" s="16" t="s">
        <v>1193</v>
      </c>
      <c r="H410" s="14">
        <v>-1.7000000000000001E-2</v>
      </c>
      <c r="I410" s="14" t="s">
        <v>8210</v>
      </c>
      <c r="J410" s="14" t="s">
        <v>8211</v>
      </c>
      <c r="K410" s="14" t="s">
        <v>8212</v>
      </c>
      <c r="L410" s="14" t="s">
        <v>8205</v>
      </c>
      <c r="O410" s="14" t="s">
        <v>8213</v>
      </c>
      <c r="P410" s="14" t="s">
        <v>8214</v>
      </c>
      <c r="Q410" s="14">
        <v>421112.83</v>
      </c>
      <c r="R410" s="14">
        <v>6186285.4100000001</v>
      </c>
      <c r="S410" s="14" t="s">
        <v>8215</v>
      </c>
      <c r="T410" s="14" t="s">
        <v>8216</v>
      </c>
      <c r="U410" s="14">
        <v>421131.07</v>
      </c>
      <c r="V410" s="14">
        <v>6186279.21</v>
      </c>
      <c r="W410" s="14">
        <v>359.81</v>
      </c>
      <c r="X410" s="14">
        <v>150.05000000000001</v>
      </c>
    </row>
    <row r="411" spans="1:24" s="14" customFormat="1" x14ac:dyDescent="0.25">
      <c r="A411" s="50">
        <v>45097</v>
      </c>
      <c r="B411" s="16">
        <v>171</v>
      </c>
      <c r="C411" s="36">
        <v>0.30012731481481481</v>
      </c>
      <c r="D411" s="16" t="s">
        <v>177</v>
      </c>
      <c r="E411" s="14" t="s">
        <v>65</v>
      </c>
      <c r="F411" s="16" t="s">
        <v>8011</v>
      </c>
      <c r="G411" s="16" t="s">
        <v>1192</v>
      </c>
      <c r="H411" s="14">
        <v>-1.2999999999999999E-2</v>
      </c>
      <c r="I411" s="14" t="s">
        <v>8221</v>
      </c>
      <c r="J411" s="14" t="s">
        <v>8222</v>
      </c>
      <c r="K411" s="14" t="s">
        <v>8223</v>
      </c>
      <c r="L411" s="14" t="s">
        <v>8224</v>
      </c>
      <c r="O411" s="14" t="s">
        <v>8217</v>
      </c>
      <c r="P411" s="14" t="s">
        <v>8218</v>
      </c>
      <c r="Q411" s="14">
        <v>421105.12</v>
      </c>
      <c r="R411" s="14">
        <v>6186292.3799999999</v>
      </c>
      <c r="S411" s="14" t="s">
        <v>8219</v>
      </c>
      <c r="T411" s="14" t="s">
        <v>8220</v>
      </c>
      <c r="U411" s="14">
        <v>421122.17</v>
      </c>
      <c r="V411" s="14">
        <v>6186285.79</v>
      </c>
      <c r="W411" s="14">
        <v>180.96</v>
      </c>
      <c r="X411" s="14">
        <v>150.05000000000001</v>
      </c>
    </row>
    <row r="412" spans="1:24" s="14" customFormat="1" x14ac:dyDescent="0.25">
      <c r="A412" s="50">
        <v>45097</v>
      </c>
      <c r="B412" s="16">
        <v>171</v>
      </c>
      <c r="C412" s="36">
        <v>0.30361111111111111</v>
      </c>
      <c r="D412" s="16" t="s">
        <v>177</v>
      </c>
      <c r="E412" s="14" t="s">
        <v>70</v>
      </c>
      <c r="F412" s="16" t="s">
        <v>8011</v>
      </c>
      <c r="G412" s="16" t="s">
        <v>1192</v>
      </c>
      <c r="H412" s="14">
        <v>0.16900000000000001</v>
      </c>
      <c r="I412" s="14" t="s">
        <v>8221</v>
      </c>
      <c r="J412" s="14" t="s">
        <v>8222</v>
      </c>
      <c r="K412" s="14" t="s">
        <v>8223</v>
      </c>
      <c r="L412" s="14" t="s">
        <v>8224</v>
      </c>
      <c r="O412" s="14" t="s">
        <v>8225</v>
      </c>
      <c r="P412" s="14" t="s">
        <v>8226</v>
      </c>
      <c r="Q412" s="14">
        <v>421104.46</v>
      </c>
      <c r="R412" s="14">
        <v>6186108.0800000001</v>
      </c>
      <c r="S412" s="14" t="s">
        <v>8227</v>
      </c>
      <c r="T412" s="14" t="s">
        <v>8228</v>
      </c>
      <c r="U412" s="14">
        <v>421122.13</v>
      </c>
      <c r="V412" s="14">
        <v>6186103.6299999999</v>
      </c>
      <c r="W412" s="14">
        <v>180.32</v>
      </c>
      <c r="X412" s="14">
        <v>150.05000000000001</v>
      </c>
    </row>
    <row r="413" spans="1:24" s="14" customFormat="1" x14ac:dyDescent="0.25">
      <c r="A413" s="50">
        <v>45097</v>
      </c>
      <c r="B413" s="16">
        <v>171</v>
      </c>
      <c r="C413" s="36">
        <v>0.30706018518518519</v>
      </c>
      <c r="D413" s="16" t="s">
        <v>177</v>
      </c>
      <c r="E413" s="14" t="s">
        <v>65</v>
      </c>
      <c r="F413" s="16" t="s">
        <v>8011</v>
      </c>
      <c r="G413" s="16" t="s">
        <v>1191</v>
      </c>
      <c r="H413" s="14">
        <v>0.16200000000000001</v>
      </c>
      <c r="I413" s="14" t="s">
        <v>8233</v>
      </c>
      <c r="J413" s="14" t="s">
        <v>8234</v>
      </c>
      <c r="K413" s="14" t="s">
        <v>8235</v>
      </c>
      <c r="L413" s="14" t="s">
        <v>8224</v>
      </c>
      <c r="O413" s="14" t="s">
        <v>8229</v>
      </c>
      <c r="P413" s="14" t="s">
        <v>8230</v>
      </c>
      <c r="Q413" s="14">
        <v>421094.92</v>
      </c>
      <c r="R413" s="14">
        <v>6186103.1500000004</v>
      </c>
      <c r="S413" s="14" t="s">
        <v>8231</v>
      </c>
      <c r="T413" s="14" t="s">
        <v>8232</v>
      </c>
      <c r="U413" s="14">
        <v>421113</v>
      </c>
      <c r="V413" s="14">
        <v>6186099.8799999999</v>
      </c>
      <c r="W413" s="14">
        <v>0.18</v>
      </c>
      <c r="X413" s="14">
        <v>150.05000000000001</v>
      </c>
    </row>
    <row r="414" spans="1:24" s="14" customFormat="1" x14ac:dyDescent="0.25">
      <c r="A414" s="50">
        <v>45097</v>
      </c>
      <c r="B414" s="16">
        <v>171</v>
      </c>
      <c r="C414" s="36">
        <v>0.31056712962962962</v>
      </c>
      <c r="D414" s="16" t="s">
        <v>177</v>
      </c>
      <c r="E414" s="14" t="s">
        <v>70</v>
      </c>
      <c r="F414" s="16" t="s">
        <v>8011</v>
      </c>
      <c r="G414" s="16" t="s">
        <v>1191</v>
      </c>
      <c r="H414" s="14">
        <v>-1.7999999999999999E-2</v>
      </c>
      <c r="I414" s="14" t="s">
        <v>8233</v>
      </c>
      <c r="J414" s="14" t="s">
        <v>8234</v>
      </c>
      <c r="K414" s="14" t="s">
        <v>8235</v>
      </c>
      <c r="L414" s="14" t="s">
        <v>8240</v>
      </c>
      <c r="O414" s="14" t="s">
        <v>8236</v>
      </c>
      <c r="P414" s="14" t="s">
        <v>8237</v>
      </c>
      <c r="Q414" s="14">
        <v>421094.34</v>
      </c>
      <c r="R414" s="14">
        <v>6186283.2300000004</v>
      </c>
      <c r="S414" s="14" t="s">
        <v>8238</v>
      </c>
      <c r="T414" s="14" t="s">
        <v>8239</v>
      </c>
      <c r="U414" s="14">
        <v>421113.06</v>
      </c>
      <c r="V414" s="14">
        <v>6186279.6200000001</v>
      </c>
      <c r="W414" s="14">
        <v>359.84</v>
      </c>
      <c r="X414" s="14">
        <v>150.05000000000001</v>
      </c>
    </row>
    <row r="415" spans="1:24" s="14" customFormat="1" x14ac:dyDescent="0.25">
      <c r="A415" s="50">
        <v>45097</v>
      </c>
      <c r="B415" s="16">
        <v>171</v>
      </c>
      <c r="C415" s="36">
        <v>0.31414351851851852</v>
      </c>
      <c r="D415" s="16" t="s">
        <v>177</v>
      </c>
      <c r="E415" s="14" t="s">
        <v>65</v>
      </c>
      <c r="F415" s="16" t="s">
        <v>8011</v>
      </c>
      <c r="G415" s="16" t="s">
        <v>1190</v>
      </c>
      <c r="H415" s="14">
        <v>-1.2999999999999999E-2</v>
      </c>
      <c r="I415" s="14" t="s">
        <v>8245</v>
      </c>
      <c r="J415" s="14" t="s">
        <v>8246</v>
      </c>
      <c r="K415" s="14" t="s">
        <v>8247</v>
      </c>
      <c r="L415" s="14" t="s">
        <v>8240</v>
      </c>
      <c r="O415" s="14" t="s">
        <v>8241</v>
      </c>
      <c r="P415" s="14" t="s">
        <v>8242</v>
      </c>
      <c r="Q415" s="14">
        <v>421087.62</v>
      </c>
      <c r="R415" s="14">
        <v>6186298.1600000001</v>
      </c>
      <c r="S415" s="14" t="s">
        <v>8243</v>
      </c>
      <c r="T415" s="14" t="s">
        <v>8244</v>
      </c>
      <c r="U415" s="14">
        <v>421104.05</v>
      </c>
      <c r="V415" s="14">
        <v>6186285.6299999999</v>
      </c>
      <c r="W415" s="14">
        <v>180.52</v>
      </c>
      <c r="X415" s="14">
        <v>150.05000000000001</v>
      </c>
    </row>
    <row r="416" spans="1:24" s="14" customFormat="1" x14ac:dyDescent="0.25">
      <c r="A416" s="50">
        <v>45097</v>
      </c>
      <c r="B416" s="16">
        <v>171</v>
      </c>
      <c r="C416" s="36">
        <v>0.31761574074074073</v>
      </c>
      <c r="D416" s="16" t="s">
        <v>177</v>
      </c>
      <c r="E416" s="14" t="s">
        <v>70</v>
      </c>
      <c r="F416" s="16" t="s">
        <v>8011</v>
      </c>
      <c r="G416" s="16" t="s">
        <v>1190</v>
      </c>
      <c r="H416" s="14">
        <v>0.16900000000000001</v>
      </c>
      <c r="I416" s="14" t="s">
        <v>8252</v>
      </c>
      <c r="J416" s="14" t="s">
        <v>8246</v>
      </c>
      <c r="K416" s="14" t="s">
        <v>8247</v>
      </c>
      <c r="L416" s="14" t="s">
        <v>8240</v>
      </c>
      <c r="O416" s="14" t="s">
        <v>8248</v>
      </c>
      <c r="P416" s="14" t="s">
        <v>8249</v>
      </c>
      <c r="Q416" s="14">
        <v>421087.47</v>
      </c>
      <c r="R416" s="14">
        <v>6186115.9800000004</v>
      </c>
      <c r="S416" s="14" t="s">
        <v>8250</v>
      </c>
      <c r="T416" s="14" t="s">
        <v>8251</v>
      </c>
      <c r="U416" s="14">
        <v>421104.07</v>
      </c>
      <c r="V416" s="14">
        <v>6186103.9000000004</v>
      </c>
      <c r="W416" s="14">
        <v>180.38</v>
      </c>
      <c r="X416" s="14">
        <v>150.05000000000001</v>
      </c>
    </row>
    <row r="417" spans="1:24" s="14" customFormat="1" x14ac:dyDescent="0.25">
      <c r="A417" s="50">
        <v>45097</v>
      </c>
      <c r="B417" s="16">
        <v>171</v>
      </c>
      <c r="C417" s="36">
        <v>0.32032407407407409</v>
      </c>
      <c r="D417" s="16" t="s">
        <v>177</v>
      </c>
      <c r="E417" s="14" t="s">
        <v>8257</v>
      </c>
      <c r="F417" s="16" t="s">
        <v>8011</v>
      </c>
      <c r="G417" s="16" t="s">
        <v>1189</v>
      </c>
      <c r="H417" s="14">
        <v>0.184</v>
      </c>
      <c r="O417" s="14" t="s">
        <v>8253</v>
      </c>
      <c r="P417" s="14" t="s">
        <v>8254</v>
      </c>
      <c r="Q417" s="14">
        <v>421079.08</v>
      </c>
      <c r="R417" s="14">
        <v>6186086.7300000004</v>
      </c>
      <c r="S417" s="14" t="s">
        <v>8255</v>
      </c>
      <c r="T417" s="14" t="s">
        <v>8256</v>
      </c>
      <c r="U417" s="14">
        <v>421097.99</v>
      </c>
      <c r="V417" s="14">
        <v>6186083.96</v>
      </c>
      <c r="W417" s="14">
        <v>98.56</v>
      </c>
      <c r="X417" s="14">
        <v>150.05000000000001</v>
      </c>
    </row>
    <row r="418" spans="1:24" s="81" customFormat="1" x14ac:dyDescent="0.25">
      <c r="A418" s="78">
        <v>45097</v>
      </c>
      <c r="B418" s="79">
        <v>171</v>
      </c>
      <c r="C418" s="80">
        <v>0.32974537037037038</v>
      </c>
      <c r="D418" s="79" t="s">
        <v>177</v>
      </c>
      <c r="E418" s="81" t="s">
        <v>8262</v>
      </c>
      <c r="F418" s="79" t="s">
        <v>8011</v>
      </c>
      <c r="G418" s="79" t="s">
        <v>1189</v>
      </c>
      <c r="H418" s="81">
        <v>0.188</v>
      </c>
      <c r="O418" s="81" t="s">
        <v>8258</v>
      </c>
      <c r="P418" s="81" t="s">
        <v>8259</v>
      </c>
      <c r="Q418" s="81">
        <v>421078.87</v>
      </c>
      <c r="R418" s="81">
        <v>6186086.6299999999</v>
      </c>
      <c r="S418" s="81" t="s">
        <v>8260</v>
      </c>
      <c r="T418" s="81" t="s">
        <v>8261</v>
      </c>
      <c r="U418" s="81">
        <v>421089.45</v>
      </c>
      <c r="V418" s="81">
        <v>6186081.2000000002</v>
      </c>
      <c r="W418" s="81">
        <v>108.36</v>
      </c>
      <c r="X418" s="81">
        <v>150.05000000000001</v>
      </c>
    </row>
    <row r="419" spans="1:24" s="77" customFormat="1" x14ac:dyDescent="0.25">
      <c r="A419" s="74">
        <v>45097</v>
      </c>
      <c r="B419" s="75">
        <v>171</v>
      </c>
      <c r="C419" s="76">
        <v>0.33924768518518517</v>
      </c>
      <c r="D419" s="75" t="s">
        <v>177</v>
      </c>
      <c r="E419" s="77" t="s">
        <v>8267</v>
      </c>
      <c r="F419" s="75" t="s">
        <v>8011</v>
      </c>
      <c r="G419" s="75" t="s">
        <v>1189</v>
      </c>
      <c r="H419" s="77">
        <v>0.187</v>
      </c>
      <c r="O419" s="77" t="s">
        <v>8263</v>
      </c>
      <c r="P419" s="77" t="s">
        <v>8264</v>
      </c>
      <c r="Q419" s="77">
        <v>421078.54</v>
      </c>
      <c r="R419" s="77">
        <v>6186086.5700000003</v>
      </c>
      <c r="S419" s="77" t="s">
        <v>8265</v>
      </c>
      <c r="T419" s="77" t="s">
        <v>8266</v>
      </c>
      <c r="U419" s="77">
        <v>421089</v>
      </c>
      <c r="V419" s="77">
        <v>6186081.4699999997</v>
      </c>
      <c r="W419" s="77">
        <v>105.3</v>
      </c>
      <c r="X419" s="77">
        <v>150.05000000000001</v>
      </c>
    </row>
    <row r="420" spans="1:24" s="14" customFormat="1" x14ac:dyDescent="0.25">
      <c r="A420" s="50">
        <v>45097</v>
      </c>
      <c r="B420" s="16">
        <v>171</v>
      </c>
      <c r="C420" s="36">
        <v>0.34843750000000001</v>
      </c>
      <c r="D420" s="16" t="s">
        <v>177</v>
      </c>
      <c r="E420" s="14" t="s">
        <v>65</v>
      </c>
      <c r="F420" s="16" t="s">
        <v>8011</v>
      </c>
      <c r="G420" s="16" t="s">
        <v>1189</v>
      </c>
      <c r="H420" s="14">
        <v>0.16300000000000001</v>
      </c>
      <c r="I420" s="14" t="s">
        <v>8272</v>
      </c>
      <c r="J420" s="14" t="s">
        <v>8273</v>
      </c>
      <c r="K420" s="14" t="s">
        <v>8274</v>
      </c>
      <c r="L420" s="14" t="s">
        <v>8275</v>
      </c>
      <c r="O420" s="14" t="s">
        <v>8268</v>
      </c>
      <c r="P420" s="14" t="s">
        <v>8269</v>
      </c>
      <c r="Q420" s="14">
        <v>421078.27</v>
      </c>
      <c r="R420" s="14">
        <v>6186101.1600000001</v>
      </c>
      <c r="S420" s="14" t="s">
        <v>8270</v>
      </c>
      <c r="T420" s="14" t="s">
        <v>8271</v>
      </c>
      <c r="U420" s="14">
        <v>421094.94</v>
      </c>
      <c r="V420" s="14">
        <v>6186099.0300000003</v>
      </c>
      <c r="W420" s="14">
        <v>1.34</v>
      </c>
      <c r="X420" s="14">
        <v>150.05000000000001</v>
      </c>
    </row>
    <row r="421" spans="1:24" s="14" customFormat="1" x14ac:dyDescent="0.25">
      <c r="A421" s="50">
        <v>45097</v>
      </c>
      <c r="B421" s="16">
        <v>171</v>
      </c>
      <c r="C421" s="36">
        <v>0.35256944444444444</v>
      </c>
      <c r="D421" s="16" t="s">
        <v>177</v>
      </c>
      <c r="E421" s="14" t="s">
        <v>70</v>
      </c>
      <c r="F421" s="16" t="s">
        <v>8011</v>
      </c>
      <c r="G421" s="16" t="s">
        <v>1189</v>
      </c>
      <c r="H421" s="14">
        <v>-1.7000000000000001E-2</v>
      </c>
      <c r="I421" s="14" t="s">
        <v>8272</v>
      </c>
      <c r="J421" s="14" t="s">
        <v>8273</v>
      </c>
      <c r="K421" s="14" t="s">
        <v>8274</v>
      </c>
      <c r="L421" s="14" t="s">
        <v>8280</v>
      </c>
      <c r="O421" s="14" t="s">
        <v>8276</v>
      </c>
      <c r="P421" s="14" t="s">
        <v>8277</v>
      </c>
      <c r="Q421" s="14">
        <v>421078.58</v>
      </c>
      <c r="R421" s="14">
        <v>6186282.2599999998</v>
      </c>
      <c r="S421" s="14" t="s">
        <v>8278</v>
      </c>
      <c r="T421" s="14" t="s">
        <v>8279</v>
      </c>
      <c r="U421" s="14">
        <v>421094.99</v>
      </c>
      <c r="V421" s="14">
        <v>6186279.0300000003</v>
      </c>
      <c r="W421" s="14">
        <v>0.37</v>
      </c>
      <c r="X421" s="14">
        <v>150.05000000000001</v>
      </c>
    </row>
    <row r="422" spans="1:24" s="14" customFormat="1" x14ac:dyDescent="0.25">
      <c r="A422" s="50">
        <v>45097</v>
      </c>
      <c r="B422" s="16">
        <v>171</v>
      </c>
      <c r="C422" s="36">
        <v>0.3567939814814815</v>
      </c>
      <c r="D422" s="16" t="s">
        <v>177</v>
      </c>
      <c r="E422" s="14" t="s">
        <v>65</v>
      </c>
      <c r="F422" s="16" t="s">
        <v>8011</v>
      </c>
      <c r="G422" s="16" t="s">
        <v>1183</v>
      </c>
      <c r="H422" s="14">
        <v>-8.9999999999999993E-3</v>
      </c>
      <c r="I422" s="14" t="s">
        <v>8285</v>
      </c>
      <c r="J422" s="14" t="s">
        <v>8286</v>
      </c>
      <c r="K422" s="14" t="s">
        <v>8287</v>
      </c>
      <c r="L422" s="14" t="s">
        <v>8280</v>
      </c>
      <c r="O422" s="14" t="s">
        <v>8281</v>
      </c>
      <c r="P422" s="14" t="s">
        <v>8282</v>
      </c>
      <c r="Q422" s="14">
        <v>421070.33</v>
      </c>
      <c r="R422" s="14">
        <v>6186289.9299999997</v>
      </c>
      <c r="S422" s="14" t="s">
        <v>8283</v>
      </c>
      <c r="T422" s="14" t="s">
        <v>8284</v>
      </c>
      <c r="U422" s="14">
        <v>421086.03</v>
      </c>
      <c r="V422" s="14">
        <v>6186282.1100000003</v>
      </c>
      <c r="W422" s="14">
        <v>179.61</v>
      </c>
      <c r="X422" s="14">
        <v>150.05000000000001</v>
      </c>
    </row>
    <row r="423" spans="1:24" s="14" customFormat="1" x14ac:dyDescent="0.25">
      <c r="A423" s="50">
        <v>45097</v>
      </c>
      <c r="B423" s="16">
        <v>171</v>
      </c>
      <c r="C423" s="36">
        <v>0.36025462962962962</v>
      </c>
      <c r="D423" s="16" t="s">
        <v>177</v>
      </c>
      <c r="E423" s="14" t="s">
        <v>70</v>
      </c>
      <c r="F423" s="16" t="s">
        <v>8011</v>
      </c>
      <c r="G423" s="16" t="s">
        <v>1183</v>
      </c>
      <c r="H423" s="14">
        <v>0.16900000000000001</v>
      </c>
      <c r="I423" s="14" t="s">
        <v>8285</v>
      </c>
      <c r="J423" s="14" t="s">
        <v>8286</v>
      </c>
      <c r="K423" s="14" t="s">
        <v>8287</v>
      </c>
      <c r="L423" s="14" t="s">
        <v>8280</v>
      </c>
      <c r="O423" s="14" t="s">
        <v>8288</v>
      </c>
      <c r="P423" s="14" t="s">
        <v>8289</v>
      </c>
      <c r="Q423" s="14">
        <v>421071.08</v>
      </c>
      <c r="R423" s="14">
        <v>6186116.5199999996</v>
      </c>
      <c r="S423" s="14" t="s">
        <v>8290</v>
      </c>
      <c r="T423" s="14" t="s">
        <v>8291</v>
      </c>
      <c r="U423" s="14">
        <v>421086.09</v>
      </c>
      <c r="V423" s="14">
        <v>6186104.1799999997</v>
      </c>
      <c r="W423" s="14">
        <v>180.02</v>
      </c>
      <c r="X423" s="14">
        <v>150.05000000000001</v>
      </c>
    </row>
    <row r="424" spans="1:24" s="14" customFormat="1" x14ac:dyDescent="0.25">
      <c r="A424" s="50">
        <v>45097</v>
      </c>
      <c r="B424" s="16">
        <v>171</v>
      </c>
      <c r="C424" s="36">
        <v>0.36405092592592592</v>
      </c>
      <c r="D424" s="16" t="s">
        <v>177</v>
      </c>
      <c r="E424" s="52" t="s">
        <v>65</v>
      </c>
      <c r="F424" s="16" t="s">
        <v>8011</v>
      </c>
      <c r="G424" s="16" t="s">
        <v>1184</v>
      </c>
      <c r="H424" s="14">
        <v>0.161</v>
      </c>
      <c r="I424" s="14" t="s">
        <v>8296</v>
      </c>
      <c r="J424" s="14" t="s">
        <v>8297</v>
      </c>
      <c r="K424" s="14" t="s">
        <v>8298</v>
      </c>
      <c r="L424" s="14" t="s">
        <v>8299</v>
      </c>
      <c r="O424" s="14" t="s">
        <v>8292</v>
      </c>
      <c r="P424" s="14" t="s">
        <v>8293</v>
      </c>
      <c r="Q424" s="14">
        <v>421061.22</v>
      </c>
      <c r="R424" s="14">
        <v>6186107.3399999999</v>
      </c>
      <c r="S424" s="14" t="s">
        <v>8294</v>
      </c>
      <c r="T424" s="14" t="s">
        <v>8295</v>
      </c>
      <c r="U424" s="14">
        <v>421077.06</v>
      </c>
      <c r="V424" s="14">
        <v>6186101.1100000003</v>
      </c>
      <c r="W424" s="14">
        <v>1.55</v>
      </c>
      <c r="X424" s="14">
        <v>150.05000000000001</v>
      </c>
    </row>
    <row r="425" spans="1:24" s="14" customFormat="1" x14ac:dyDescent="0.25">
      <c r="A425" s="50">
        <v>45097</v>
      </c>
      <c r="B425" s="16">
        <v>171</v>
      </c>
      <c r="C425" s="36">
        <v>0.36753472222222222</v>
      </c>
      <c r="D425" s="16" t="s">
        <v>177</v>
      </c>
      <c r="E425" s="52" t="s">
        <v>70</v>
      </c>
      <c r="F425" s="16" t="s">
        <v>8011</v>
      </c>
      <c r="G425" s="16" t="s">
        <v>1184</v>
      </c>
      <c r="H425" s="14">
        <v>-2.1999999999999999E-2</v>
      </c>
      <c r="I425" s="14" t="s">
        <v>8296</v>
      </c>
      <c r="J425" s="14" t="s">
        <v>8297</v>
      </c>
      <c r="K425" s="14" t="s">
        <v>8298</v>
      </c>
      <c r="L425" s="14" t="s">
        <v>8299</v>
      </c>
      <c r="O425" s="14" t="s">
        <v>8300</v>
      </c>
      <c r="P425" s="14" t="s">
        <v>8301</v>
      </c>
      <c r="Q425" s="14">
        <v>421062.04</v>
      </c>
      <c r="R425" s="14">
        <v>6186289.6799999997</v>
      </c>
      <c r="S425" s="14" t="s">
        <v>8302</v>
      </c>
      <c r="T425" s="14" t="s">
        <v>8303</v>
      </c>
      <c r="U425" s="14">
        <v>421077.12</v>
      </c>
      <c r="V425" s="14">
        <v>6186283.4699999997</v>
      </c>
      <c r="W425" s="14">
        <v>358.34</v>
      </c>
      <c r="X425" s="14">
        <v>150.05000000000001</v>
      </c>
    </row>
    <row r="426" spans="1:24" s="14" customFormat="1" x14ac:dyDescent="0.25">
      <c r="A426" s="50">
        <v>45097</v>
      </c>
      <c r="B426" s="16">
        <v>171</v>
      </c>
      <c r="C426" s="36">
        <v>0.37112268518518521</v>
      </c>
      <c r="D426" s="16" t="s">
        <v>177</v>
      </c>
      <c r="E426" s="14" t="s">
        <v>65</v>
      </c>
      <c r="F426" s="16" t="s">
        <v>8011</v>
      </c>
      <c r="G426" s="16" t="s">
        <v>1185</v>
      </c>
      <c r="H426" s="14">
        <v>-8.9999999999999993E-3</v>
      </c>
      <c r="I426" s="14" t="s">
        <v>8308</v>
      </c>
      <c r="J426" s="14" t="s">
        <v>8309</v>
      </c>
      <c r="K426" s="14" t="s">
        <v>8310</v>
      </c>
      <c r="L426" s="14" t="s">
        <v>8299</v>
      </c>
      <c r="O426" s="14" t="s">
        <v>8304</v>
      </c>
      <c r="P426" s="14" t="s">
        <v>8305</v>
      </c>
      <c r="Q426" s="14">
        <v>421053.6</v>
      </c>
      <c r="R426" s="14">
        <v>6186293.6900000004</v>
      </c>
      <c r="S426" s="14" t="s">
        <v>8306</v>
      </c>
      <c r="T426" s="14" t="s">
        <v>8307</v>
      </c>
      <c r="U426" s="14">
        <v>421068.06</v>
      </c>
      <c r="V426" s="14">
        <v>6186282.0800000001</v>
      </c>
      <c r="W426" s="14">
        <v>181.3</v>
      </c>
      <c r="X426" s="14">
        <v>150.05000000000001</v>
      </c>
    </row>
    <row r="427" spans="1:24" s="14" customFormat="1" x14ac:dyDescent="0.25">
      <c r="A427" s="50">
        <v>45097</v>
      </c>
      <c r="B427" s="16">
        <v>171</v>
      </c>
      <c r="C427" s="36">
        <v>0.37451388888888887</v>
      </c>
      <c r="D427" s="16" t="s">
        <v>177</v>
      </c>
      <c r="E427" s="14" t="s">
        <v>70</v>
      </c>
      <c r="F427" s="16" t="s">
        <v>8011</v>
      </c>
      <c r="G427" s="16" t="s">
        <v>1185</v>
      </c>
      <c r="H427" s="14">
        <v>0.17</v>
      </c>
      <c r="I427" s="14" t="s">
        <v>8308</v>
      </c>
      <c r="J427" s="14" t="s">
        <v>8309</v>
      </c>
      <c r="K427" s="14" t="s">
        <v>8310</v>
      </c>
      <c r="L427" s="14" t="s">
        <v>8315</v>
      </c>
      <c r="O427" s="14" t="s">
        <v>8311</v>
      </c>
      <c r="P427" s="14" t="s">
        <v>8312</v>
      </c>
      <c r="Q427" s="14">
        <v>421053.53</v>
      </c>
      <c r="R427" s="14">
        <v>6186115.6500000004</v>
      </c>
      <c r="S427" s="14" t="s">
        <v>8313</v>
      </c>
      <c r="T427" s="14" t="s">
        <v>8314</v>
      </c>
      <c r="U427" s="14">
        <v>421068.02</v>
      </c>
      <c r="V427" s="14">
        <v>6186102.8399999999</v>
      </c>
      <c r="W427" s="14">
        <v>180.12</v>
      </c>
      <c r="X427" s="14">
        <v>150.05000000000001</v>
      </c>
    </row>
    <row r="428" spans="1:24" s="14" customFormat="1" x14ac:dyDescent="0.25">
      <c r="A428" s="50">
        <v>45097</v>
      </c>
      <c r="B428" s="16">
        <v>171</v>
      </c>
      <c r="C428" s="36">
        <v>0.37790509259259258</v>
      </c>
      <c r="D428" s="16" t="s">
        <v>177</v>
      </c>
      <c r="E428" s="14" t="s">
        <v>65</v>
      </c>
      <c r="F428" s="16" t="s">
        <v>8011</v>
      </c>
      <c r="G428" s="16" t="s">
        <v>1186</v>
      </c>
      <c r="H428" s="14">
        <v>0.16500000000000001</v>
      </c>
      <c r="I428" s="14" t="s">
        <v>8320</v>
      </c>
      <c r="J428" s="14" t="s">
        <v>8321</v>
      </c>
      <c r="K428" s="14" t="s">
        <v>8322</v>
      </c>
      <c r="L428" s="14" t="s">
        <v>8315</v>
      </c>
      <c r="O428" s="14" t="s">
        <v>8316</v>
      </c>
      <c r="P428" s="14" t="s">
        <v>8317</v>
      </c>
      <c r="Q428" s="14">
        <v>421044.02</v>
      </c>
      <c r="R428" s="14">
        <v>6186103.4699999997</v>
      </c>
      <c r="S428" s="14" t="s">
        <v>8318</v>
      </c>
      <c r="T428" s="14" t="s">
        <v>8319</v>
      </c>
      <c r="U428" s="14">
        <v>421058.98</v>
      </c>
      <c r="V428" s="14">
        <v>6186096.9000000004</v>
      </c>
      <c r="W428" s="14">
        <v>1.34</v>
      </c>
      <c r="X428" s="14">
        <v>150.05000000000001</v>
      </c>
    </row>
    <row r="429" spans="1:24" s="14" customFormat="1" x14ac:dyDescent="0.25">
      <c r="A429" s="50">
        <v>45097</v>
      </c>
      <c r="B429" s="16">
        <v>171</v>
      </c>
      <c r="C429" s="36">
        <v>0.38142361111111112</v>
      </c>
      <c r="D429" s="16" t="s">
        <v>177</v>
      </c>
      <c r="E429" s="14" t="s">
        <v>70</v>
      </c>
      <c r="F429" s="16" t="s">
        <v>8011</v>
      </c>
      <c r="G429" s="16" t="s">
        <v>1186</v>
      </c>
      <c r="H429" s="14">
        <v>-1.7000000000000001E-2</v>
      </c>
      <c r="I429" s="14" t="s">
        <v>8320</v>
      </c>
      <c r="J429" s="14" t="s">
        <v>8321</v>
      </c>
      <c r="K429" s="14" t="s">
        <v>8322</v>
      </c>
      <c r="L429" s="14" t="s">
        <v>8315</v>
      </c>
      <c r="O429" s="14" t="s">
        <v>8323</v>
      </c>
      <c r="P429" s="14" t="s">
        <v>8324</v>
      </c>
      <c r="Q429" s="14">
        <v>421044.71</v>
      </c>
      <c r="R429" s="14">
        <v>6186284.4500000002</v>
      </c>
      <c r="S429" s="14" t="s">
        <v>8325</v>
      </c>
      <c r="T429" s="14" t="s">
        <v>8326</v>
      </c>
      <c r="U429" s="14">
        <v>421059.05</v>
      </c>
      <c r="V429" s="14">
        <v>6186278.4699999997</v>
      </c>
      <c r="W429" s="14">
        <v>359.9</v>
      </c>
      <c r="X429" s="14">
        <v>150.05000000000001</v>
      </c>
    </row>
    <row r="430" spans="1:24" s="14" customFormat="1" x14ac:dyDescent="0.25">
      <c r="A430" s="50">
        <v>45097</v>
      </c>
      <c r="B430" s="16">
        <v>171</v>
      </c>
      <c r="C430" s="36">
        <v>0.38480324074074074</v>
      </c>
      <c r="D430" s="16" t="s">
        <v>177</v>
      </c>
      <c r="E430" s="14" t="s">
        <v>65</v>
      </c>
      <c r="F430" s="16" t="s">
        <v>8011</v>
      </c>
      <c r="G430" s="16" t="s">
        <v>1187</v>
      </c>
      <c r="H430" s="14">
        <v>-0.01</v>
      </c>
      <c r="I430" s="14" t="s">
        <v>8331</v>
      </c>
      <c r="J430" s="14" t="s">
        <v>8332</v>
      </c>
      <c r="K430" s="14" t="s">
        <v>8333</v>
      </c>
      <c r="L430" s="14" t="s">
        <v>8334</v>
      </c>
      <c r="O430" s="14" t="s">
        <v>8327</v>
      </c>
      <c r="P430" s="14" t="s">
        <v>8328</v>
      </c>
      <c r="Q430" s="14">
        <v>421036.46</v>
      </c>
      <c r="R430" s="14">
        <v>6186295.9800000004</v>
      </c>
      <c r="S430" s="14" t="s">
        <v>8329</v>
      </c>
      <c r="T430" s="14" t="s">
        <v>8330</v>
      </c>
      <c r="U430" s="14">
        <v>421049.89</v>
      </c>
      <c r="V430" s="14">
        <v>6186282.4699999997</v>
      </c>
      <c r="W430" s="14">
        <v>178.4</v>
      </c>
      <c r="X430" s="14">
        <v>150.05000000000001</v>
      </c>
    </row>
    <row r="431" spans="1:24" s="14" customFormat="1" x14ac:dyDescent="0.25">
      <c r="A431" s="50">
        <v>45097</v>
      </c>
      <c r="B431" s="16">
        <v>171</v>
      </c>
      <c r="C431" s="36">
        <v>0.38841435185185186</v>
      </c>
      <c r="D431" s="16" t="s">
        <v>177</v>
      </c>
      <c r="E431" s="14" t="s">
        <v>70</v>
      </c>
      <c r="F431" s="16" t="s">
        <v>8011</v>
      </c>
      <c r="G431" s="16" t="s">
        <v>1187</v>
      </c>
      <c r="H431" s="14">
        <v>0.17799999999999999</v>
      </c>
      <c r="I431" s="14" t="s">
        <v>8331</v>
      </c>
      <c r="J431" s="14" t="s">
        <v>8332</v>
      </c>
      <c r="K431" s="14" t="s">
        <v>8333</v>
      </c>
      <c r="L431" s="14" t="s">
        <v>8334</v>
      </c>
      <c r="O431" s="14" t="s">
        <v>8335</v>
      </c>
      <c r="P431" s="14" t="s">
        <v>8336</v>
      </c>
      <c r="Q431" s="14">
        <v>421036.84</v>
      </c>
      <c r="R431" s="14">
        <v>6186108.4299999997</v>
      </c>
      <c r="S431" s="14" t="s">
        <v>8337</v>
      </c>
      <c r="T431" s="14" t="s">
        <v>8338</v>
      </c>
      <c r="U431" s="14">
        <v>421049.99</v>
      </c>
      <c r="V431" s="14">
        <v>6186094.6699999999</v>
      </c>
      <c r="W431" s="14">
        <v>179.09</v>
      </c>
      <c r="X431" s="14">
        <v>150.05000000000001</v>
      </c>
    </row>
    <row r="432" spans="1:24" s="14" customFormat="1" x14ac:dyDescent="0.25">
      <c r="A432" s="50">
        <v>45097</v>
      </c>
      <c r="B432" s="16">
        <v>171</v>
      </c>
      <c r="C432" s="36">
        <v>0.39163194444444444</v>
      </c>
      <c r="D432" s="16" t="s">
        <v>177</v>
      </c>
      <c r="E432" s="14" t="s">
        <v>65</v>
      </c>
      <c r="F432" s="16" t="s">
        <v>8011</v>
      </c>
      <c r="G432" s="16" t="s">
        <v>1188</v>
      </c>
      <c r="H432" s="14">
        <v>0.16200000000000001</v>
      </c>
      <c r="I432" s="14" t="s">
        <v>8343</v>
      </c>
      <c r="J432" s="14" t="s">
        <v>8344</v>
      </c>
      <c r="K432" s="14" t="s">
        <v>8345</v>
      </c>
      <c r="L432" s="14" t="s">
        <v>8334</v>
      </c>
      <c r="O432" s="14" t="s">
        <v>8339</v>
      </c>
      <c r="P432" s="14" t="s">
        <v>8340</v>
      </c>
      <c r="Q432" s="14">
        <v>421026.67</v>
      </c>
      <c r="R432" s="14">
        <v>6186098.9100000001</v>
      </c>
      <c r="S432" s="14" t="s">
        <v>8341</v>
      </c>
      <c r="T432" s="14" t="s">
        <v>8342</v>
      </c>
      <c r="U432" s="14">
        <v>421041.01</v>
      </c>
      <c r="V432" s="14">
        <v>6186099.5499999998</v>
      </c>
      <c r="W432" s="14">
        <v>359.56</v>
      </c>
      <c r="X432" s="14">
        <v>150.05000000000001</v>
      </c>
    </row>
    <row r="433" spans="1:24" s="14" customFormat="1" x14ac:dyDescent="0.25">
      <c r="A433" s="50">
        <v>45097</v>
      </c>
      <c r="B433" s="16">
        <v>171</v>
      </c>
      <c r="C433" s="36">
        <v>0.39531250000000001</v>
      </c>
      <c r="D433" s="16" t="s">
        <v>177</v>
      </c>
      <c r="E433" s="14" t="s">
        <v>70</v>
      </c>
      <c r="F433" s="16" t="s">
        <v>8011</v>
      </c>
      <c r="G433" s="16" t="s">
        <v>1188</v>
      </c>
      <c r="H433" s="14">
        <v>-2.7E-2</v>
      </c>
      <c r="I433" s="14" t="s">
        <v>8343</v>
      </c>
      <c r="J433" s="14" t="s">
        <v>8344</v>
      </c>
      <c r="K433" s="14" t="s">
        <v>8345</v>
      </c>
      <c r="L433" s="14" t="s">
        <v>8350</v>
      </c>
      <c r="O433" s="14" t="s">
        <v>8346</v>
      </c>
      <c r="P433" s="14" t="s">
        <v>8347</v>
      </c>
      <c r="Q433" s="14">
        <v>421028.27</v>
      </c>
      <c r="R433" s="14">
        <v>6186288.8799999999</v>
      </c>
      <c r="S433" s="14" t="s">
        <v>8348</v>
      </c>
      <c r="T433" s="14" t="s">
        <v>8349</v>
      </c>
      <c r="U433" s="14">
        <v>421040.97</v>
      </c>
      <c r="V433" s="14">
        <v>6186288.9699999997</v>
      </c>
      <c r="W433" s="14">
        <v>359.26</v>
      </c>
      <c r="X433" s="14">
        <v>150.05000000000001</v>
      </c>
    </row>
    <row r="434" spans="1:24" s="14" customFormat="1" x14ac:dyDescent="0.25">
      <c r="A434" s="50">
        <v>45097</v>
      </c>
      <c r="B434" s="16">
        <v>171</v>
      </c>
      <c r="C434" s="36">
        <v>0.39564814814814814</v>
      </c>
      <c r="D434" s="16" t="s">
        <v>177</v>
      </c>
      <c r="E434" s="14" t="s">
        <v>8171</v>
      </c>
      <c r="F434" s="16" t="s">
        <v>8011</v>
      </c>
      <c r="G434" s="16" t="s">
        <v>1188</v>
      </c>
      <c r="H434" s="14">
        <v>-3.6999999999999998E-2</v>
      </c>
      <c r="O434" s="14" t="s">
        <v>8351</v>
      </c>
      <c r="P434" s="14" t="s">
        <v>8352</v>
      </c>
      <c r="Q434" s="14">
        <v>421028.17</v>
      </c>
      <c r="R434" s="14">
        <v>6186304.0700000003</v>
      </c>
      <c r="S434" s="14" t="s">
        <v>8353</v>
      </c>
      <c r="T434" s="14" t="s">
        <v>8354</v>
      </c>
      <c r="U434" s="14">
        <v>421041.83</v>
      </c>
      <c r="V434" s="14">
        <v>6186298.9299999997</v>
      </c>
      <c r="W434" s="14">
        <v>354.46</v>
      </c>
      <c r="X434" s="14">
        <v>150.05000000000001</v>
      </c>
    </row>
    <row r="435" spans="1:24" s="14" customFormat="1" x14ac:dyDescent="0.25">
      <c r="A435" s="50">
        <v>45097</v>
      </c>
      <c r="B435" s="16">
        <v>171</v>
      </c>
      <c r="C435" s="36">
        <v>0.39712962962962961</v>
      </c>
      <c r="D435" s="16" t="s">
        <v>177</v>
      </c>
      <c r="E435" s="14" t="s">
        <v>8176</v>
      </c>
      <c r="F435" s="16" t="s">
        <v>8011</v>
      </c>
      <c r="G435" s="16" t="s">
        <v>974</v>
      </c>
      <c r="H435" s="14">
        <v>-0.98299999999999998</v>
      </c>
      <c r="O435" s="14" t="s">
        <v>8355</v>
      </c>
      <c r="P435" s="14" t="s">
        <v>8356</v>
      </c>
      <c r="Q435" s="14">
        <v>421028.9</v>
      </c>
      <c r="R435" s="14">
        <v>6186311</v>
      </c>
      <c r="S435" s="14" t="s">
        <v>8357</v>
      </c>
      <c r="T435" s="14" t="s">
        <v>8358</v>
      </c>
      <c r="U435" s="14">
        <v>421041.66</v>
      </c>
      <c r="V435" s="14">
        <v>6186298.5999999996</v>
      </c>
      <c r="W435" s="14">
        <v>100.67</v>
      </c>
      <c r="X435" s="14">
        <v>200.06</v>
      </c>
    </row>
    <row r="436" spans="1:24" s="14" customFormat="1" x14ac:dyDescent="0.25">
      <c r="A436" s="50">
        <v>45097</v>
      </c>
      <c r="B436" s="16">
        <v>171</v>
      </c>
      <c r="C436" s="36">
        <v>0.40064814814814814</v>
      </c>
      <c r="D436" s="16" t="s">
        <v>177</v>
      </c>
      <c r="E436" s="14" t="s">
        <v>8364</v>
      </c>
      <c r="F436" s="16" t="s">
        <v>8011</v>
      </c>
      <c r="G436" s="16" t="s">
        <v>974</v>
      </c>
      <c r="H436" s="14">
        <v>-0.98799999999999999</v>
      </c>
      <c r="O436" s="14" t="s">
        <v>8360</v>
      </c>
      <c r="P436" s="14" t="s">
        <v>8361</v>
      </c>
      <c r="Q436" s="14">
        <v>421028.74</v>
      </c>
      <c r="R436" s="14">
        <v>6186311.3300000001</v>
      </c>
      <c r="S436" s="14" t="s">
        <v>8362</v>
      </c>
      <c r="T436" s="14" t="s">
        <v>8363</v>
      </c>
      <c r="U436" s="14">
        <v>421038.7</v>
      </c>
      <c r="V436" s="14">
        <v>6186305.0599999996</v>
      </c>
      <c r="W436" s="14">
        <v>109.93</v>
      </c>
      <c r="X436" s="14">
        <v>200.06</v>
      </c>
    </row>
    <row r="437" spans="1:24" s="14" customFormat="1" x14ac:dyDescent="0.25">
      <c r="A437" s="50">
        <v>45097</v>
      </c>
      <c r="B437" s="16">
        <v>171</v>
      </c>
      <c r="C437" s="36">
        <v>0.40077546296296296</v>
      </c>
      <c r="D437" s="16" t="s">
        <v>177</v>
      </c>
      <c r="E437" s="14" t="s">
        <v>8359</v>
      </c>
      <c r="F437" s="16" t="s">
        <v>8011</v>
      </c>
      <c r="G437" s="16" t="s">
        <v>974</v>
      </c>
      <c r="H437" s="14">
        <v>-0.98899999999999999</v>
      </c>
      <c r="O437" s="14" t="s">
        <v>8365</v>
      </c>
      <c r="P437" s="14" t="s">
        <v>8366</v>
      </c>
      <c r="Q437" s="14">
        <v>421028.86</v>
      </c>
      <c r="R437" s="14">
        <v>6186311.2000000002</v>
      </c>
      <c r="S437" s="14" t="s">
        <v>8367</v>
      </c>
      <c r="T437" s="14" t="s">
        <v>8368</v>
      </c>
      <c r="U437" s="14">
        <v>421038.82</v>
      </c>
      <c r="V437" s="14">
        <v>6186305.5199999996</v>
      </c>
      <c r="W437" s="14">
        <v>110.21</v>
      </c>
      <c r="X437" s="14">
        <v>200.06</v>
      </c>
    </row>
    <row r="438" spans="1:24" s="14" customFormat="1" x14ac:dyDescent="0.25">
      <c r="A438" s="50">
        <v>45097</v>
      </c>
      <c r="B438" s="16">
        <v>171</v>
      </c>
      <c r="C438" s="36">
        <v>0.41282407407407407</v>
      </c>
      <c r="D438" s="16" t="s">
        <v>177</v>
      </c>
      <c r="E438" s="14" t="s">
        <v>8026</v>
      </c>
      <c r="F438" s="16" t="s">
        <v>8011</v>
      </c>
      <c r="G438" s="16" t="s">
        <v>974</v>
      </c>
      <c r="H438" s="14">
        <v>-4.7E-2</v>
      </c>
      <c r="O438" s="14" t="s">
        <v>8369</v>
      </c>
      <c r="P438" s="14" t="s">
        <v>8370</v>
      </c>
      <c r="Q438" s="14">
        <v>421210.31</v>
      </c>
      <c r="R438" s="14">
        <v>6185367.2199999997</v>
      </c>
      <c r="S438" s="14" t="s">
        <v>8371</v>
      </c>
      <c r="T438" s="14" t="s">
        <v>8372</v>
      </c>
      <c r="U438" s="14">
        <v>421221.55</v>
      </c>
      <c r="V438" s="14">
        <v>6185365.4699999997</v>
      </c>
      <c r="W438" s="14">
        <v>127.31</v>
      </c>
      <c r="X438" s="14">
        <v>200.06</v>
      </c>
    </row>
    <row r="439" spans="1:24" s="68" customFormat="1" x14ac:dyDescent="0.25">
      <c r="A439" s="65">
        <v>45097</v>
      </c>
      <c r="B439" s="66">
        <v>171</v>
      </c>
      <c r="C439" s="67">
        <v>0.41456018518518517</v>
      </c>
      <c r="D439" s="66" t="s">
        <v>177</v>
      </c>
      <c r="E439" s="68" t="s">
        <v>8378</v>
      </c>
      <c r="F439" s="66" t="s">
        <v>8011</v>
      </c>
      <c r="G439" s="66" t="s">
        <v>974</v>
      </c>
      <c r="H439" s="68">
        <v>-3.5000000000000003E-2</v>
      </c>
      <c r="M439" s="68" t="s">
        <v>8373</v>
      </c>
      <c r="O439" s="68" t="s">
        <v>8374</v>
      </c>
      <c r="P439" s="68" t="s">
        <v>8375</v>
      </c>
      <c r="Q439" s="68">
        <v>421208.36</v>
      </c>
      <c r="R439" s="68">
        <v>6185366.9699999997</v>
      </c>
      <c r="S439" s="68" t="s">
        <v>8376</v>
      </c>
      <c r="T439" s="68" t="s">
        <v>8377</v>
      </c>
      <c r="U439" s="68">
        <v>421221.6</v>
      </c>
      <c r="V439" s="68">
        <v>6185354.3499999996</v>
      </c>
      <c r="W439" s="68">
        <v>137.76</v>
      </c>
      <c r="X439" s="68">
        <v>200.06</v>
      </c>
    </row>
    <row r="440" spans="1:24" s="14" customFormat="1" x14ac:dyDescent="0.25">
      <c r="A440" s="50">
        <v>45097</v>
      </c>
      <c r="B440" s="16">
        <v>171</v>
      </c>
      <c r="C440" s="36">
        <v>0.41925925925925928</v>
      </c>
      <c r="D440" s="16" t="s">
        <v>97</v>
      </c>
      <c r="E440" s="14" t="s">
        <v>65</v>
      </c>
      <c r="F440" s="16" t="s">
        <v>8011</v>
      </c>
      <c r="G440" s="16" t="s">
        <v>974</v>
      </c>
      <c r="H440" s="14">
        <v>-8.9999999999999993E-3</v>
      </c>
      <c r="I440" s="14" t="s">
        <v>8383</v>
      </c>
      <c r="J440" s="14" t="s">
        <v>8384</v>
      </c>
      <c r="K440" s="14" t="s">
        <v>8385</v>
      </c>
      <c r="L440" s="14" t="s">
        <v>8386</v>
      </c>
      <c r="O440" s="14" t="s">
        <v>8379</v>
      </c>
      <c r="P440" s="14" t="s">
        <v>8380</v>
      </c>
      <c r="Q440" s="14">
        <v>421212.38</v>
      </c>
      <c r="R440" s="14">
        <v>6185337.4100000001</v>
      </c>
      <c r="S440" s="14" t="s">
        <v>8381</v>
      </c>
      <c r="T440" s="14" t="s">
        <v>8382</v>
      </c>
      <c r="U440" s="14">
        <v>421230.31</v>
      </c>
      <c r="V440" s="14">
        <v>6185329.7800000003</v>
      </c>
      <c r="W440" s="14">
        <v>179.91</v>
      </c>
      <c r="X440" s="14">
        <v>200.06</v>
      </c>
    </row>
    <row r="441" spans="1:24" s="14" customFormat="1" x14ac:dyDescent="0.25">
      <c r="A441" s="50">
        <v>45097</v>
      </c>
      <c r="B441" s="16">
        <v>171</v>
      </c>
      <c r="C441" s="36">
        <v>0.42439814814814819</v>
      </c>
      <c r="D441" s="16" t="s">
        <v>97</v>
      </c>
      <c r="E441" s="14" t="s">
        <v>70</v>
      </c>
      <c r="F441" s="16" t="s">
        <v>8011</v>
      </c>
      <c r="G441" s="16" t="s">
        <v>974</v>
      </c>
      <c r="H441" s="14">
        <v>0.218</v>
      </c>
      <c r="I441" s="14" t="s">
        <v>8383</v>
      </c>
      <c r="J441" s="14" t="s">
        <v>8384</v>
      </c>
      <c r="K441" s="14" t="s">
        <v>8385</v>
      </c>
      <c r="L441" s="14" t="s">
        <v>8391</v>
      </c>
      <c r="O441" s="14" t="s">
        <v>8387</v>
      </c>
      <c r="P441" s="14" t="s">
        <v>8388</v>
      </c>
      <c r="Q441" s="14">
        <v>421211.99</v>
      </c>
      <c r="R441" s="14">
        <v>6185111.2199999997</v>
      </c>
      <c r="S441" s="14" t="s">
        <v>8389</v>
      </c>
      <c r="T441" s="14" t="s">
        <v>8390</v>
      </c>
      <c r="U441" s="14">
        <v>421230.38</v>
      </c>
      <c r="V441" s="14">
        <v>6185103.0800000001</v>
      </c>
      <c r="W441" s="14">
        <v>178.98</v>
      </c>
      <c r="X441" s="14">
        <v>200.06</v>
      </c>
    </row>
    <row r="442" spans="1:24" s="14" customFormat="1" x14ac:dyDescent="0.25">
      <c r="A442" s="50">
        <v>45097</v>
      </c>
      <c r="B442" s="16">
        <v>171</v>
      </c>
      <c r="C442" s="36">
        <v>0.4274189814814815</v>
      </c>
      <c r="D442" s="16" t="s">
        <v>97</v>
      </c>
      <c r="E442" s="14" t="s">
        <v>65</v>
      </c>
      <c r="F442" s="16" t="s">
        <v>8011</v>
      </c>
      <c r="G442" s="16" t="s">
        <v>973</v>
      </c>
      <c r="H442" s="14">
        <v>0.20899999999999999</v>
      </c>
      <c r="I442" s="14" t="s">
        <v>8396</v>
      </c>
      <c r="J442" s="14" t="s">
        <v>8397</v>
      </c>
      <c r="K442" s="14" t="s">
        <v>8398</v>
      </c>
      <c r="L442" s="14" t="s">
        <v>8391</v>
      </c>
      <c r="O442" s="14" t="s">
        <v>8392</v>
      </c>
      <c r="P442" s="14" t="s">
        <v>8393</v>
      </c>
      <c r="Q442" s="14">
        <v>421221.25</v>
      </c>
      <c r="R442" s="14">
        <v>6185102.96</v>
      </c>
      <c r="S442" s="14" t="s">
        <v>8394</v>
      </c>
      <c r="T442" s="14" t="s">
        <v>8395</v>
      </c>
      <c r="U442" s="14">
        <v>421239.3</v>
      </c>
      <c r="V442" s="14">
        <v>6185100.0700000003</v>
      </c>
      <c r="W442" s="14">
        <v>1.53</v>
      </c>
      <c r="X442" s="14">
        <v>200.06</v>
      </c>
    </row>
    <row r="443" spans="1:24" s="14" customFormat="1" x14ac:dyDescent="0.25">
      <c r="A443" s="50">
        <v>45097</v>
      </c>
      <c r="B443" s="16">
        <v>171</v>
      </c>
      <c r="C443" s="36">
        <v>0.4317361111111111</v>
      </c>
      <c r="D443" s="16" t="s">
        <v>97</v>
      </c>
      <c r="E443" s="14" t="s">
        <v>70</v>
      </c>
      <c r="F443" s="16" t="s">
        <v>8011</v>
      </c>
      <c r="G443" s="16" t="s">
        <v>973</v>
      </c>
      <c r="H443" s="14">
        <v>-1.6E-2</v>
      </c>
      <c r="I443" s="14" t="s">
        <v>8396</v>
      </c>
      <c r="J443" s="14" t="s">
        <v>8397</v>
      </c>
      <c r="K443" s="14" t="s">
        <v>8398</v>
      </c>
      <c r="L443" s="14" t="s">
        <v>8391</v>
      </c>
      <c r="O443" s="14" t="s">
        <v>8399</v>
      </c>
      <c r="P443" s="14" t="s">
        <v>8400</v>
      </c>
      <c r="Q443" s="14">
        <v>421221.03</v>
      </c>
      <c r="R443" s="14">
        <v>6185328.79</v>
      </c>
      <c r="S443" s="14" t="s">
        <v>8401</v>
      </c>
      <c r="T443" s="14" t="s">
        <v>8402</v>
      </c>
      <c r="U443" s="14">
        <v>421239.49</v>
      </c>
      <c r="V443" s="14">
        <v>6185325.3499999996</v>
      </c>
      <c r="W443" s="14">
        <v>359.48</v>
      </c>
      <c r="X443" s="14">
        <v>200.06</v>
      </c>
    </row>
    <row r="444" spans="1:24" s="14" customFormat="1" x14ac:dyDescent="0.25">
      <c r="A444" s="50">
        <v>45097</v>
      </c>
      <c r="B444" s="16">
        <v>171</v>
      </c>
      <c r="C444" s="36">
        <v>0.43444444444444441</v>
      </c>
      <c r="D444" s="16" t="s">
        <v>97</v>
      </c>
      <c r="E444" s="14" t="s">
        <v>65</v>
      </c>
      <c r="F444" s="16" t="s">
        <v>8011</v>
      </c>
      <c r="G444" s="16" t="s">
        <v>972</v>
      </c>
      <c r="H444" s="14">
        <v>-0.01</v>
      </c>
      <c r="I444" s="14" t="s">
        <v>8407</v>
      </c>
      <c r="J444" s="14" t="s">
        <v>8408</v>
      </c>
      <c r="K444" s="14" t="s">
        <v>8409</v>
      </c>
      <c r="L444" s="14" t="s">
        <v>8410</v>
      </c>
      <c r="O444" s="14" t="s">
        <v>8403</v>
      </c>
      <c r="P444" s="14" t="s">
        <v>8404</v>
      </c>
      <c r="Q444" s="14">
        <v>421229.15</v>
      </c>
      <c r="R444" s="14">
        <v>6185340.3399999999</v>
      </c>
      <c r="S444" s="14" t="s">
        <v>8405</v>
      </c>
      <c r="T444" s="14" t="s">
        <v>8406</v>
      </c>
      <c r="U444" s="14">
        <v>421248.38</v>
      </c>
      <c r="V444" s="14">
        <v>6185330.3300000001</v>
      </c>
      <c r="W444" s="14">
        <v>179.98</v>
      </c>
      <c r="X444" s="14">
        <v>200.06</v>
      </c>
    </row>
    <row r="445" spans="1:24" s="14" customFormat="1" x14ac:dyDescent="0.25">
      <c r="A445" s="50">
        <v>45097</v>
      </c>
      <c r="B445" s="16">
        <v>171</v>
      </c>
      <c r="C445" s="36">
        <v>0.43881944444444443</v>
      </c>
      <c r="D445" s="16" t="s">
        <v>97</v>
      </c>
      <c r="E445" s="14" t="s">
        <v>70</v>
      </c>
      <c r="F445" s="16" t="s">
        <v>8011</v>
      </c>
      <c r="G445" s="16" t="s">
        <v>972</v>
      </c>
      <c r="H445" s="14">
        <v>0.218</v>
      </c>
      <c r="I445" s="14" t="s">
        <v>8407</v>
      </c>
      <c r="J445" s="14" t="s">
        <v>8408</v>
      </c>
      <c r="K445" s="14" t="s">
        <v>8409</v>
      </c>
      <c r="L445" s="14" t="s">
        <v>8410</v>
      </c>
      <c r="O445" s="14" t="s">
        <v>8411</v>
      </c>
      <c r="P445" s="14" t="s">
        <v>8412</v>
      </c>
      <c r="Q445" s="14">
        <v>421229.99</v>
      </c>
      <c r="R445" s="14">
        <v>6185114.2699999996</v>
      </c>
      <c r="S445" s="14" t="s">
        <v>8413</v>
      </c>
      <c r="T445" s="14" t="s">
        <v>8414</v>
      </c>
      <c r="U445" s="14">
        <v>421248.39</v>
      </c>
      <c r="V445" s="14">
        <v>6185102.1600000001</v>
      </c>
      <c r="W445" s="14">
        <v>179.98</v>
      </c>
      <c r="X445" s="14">
        <v>200.06</v>
      </c>
    </row>
    <row r="446" spans="1:24" s="14" customFormat="1" x14ac:dyDescent="0.25">
      <c r="A446" s="50">
        <v>45097</v>
      </c>
      <c r="B446" s="16">
        <v>171</v>
      </c>
      <c r="C446" s="36">
        <v>0.44138888888888889</v>
      </c>
      <c r="D446" s="16" t="s">
        <v>97</v>
      </c>
      <c r="E446" s="14" t="s">
        <v>65</v>
      </c>
      <c r="F446" s="16" t="s">
        <v>8011</v>
      </c>
      <c r="G446" s="16" t="s">
        <v>971</v>
      </c>
      <c r="H446" s="14">
        <v>0.21</v>
      </c>
      <c r="I446" s="14" t="s">
        <v>8419</v>
      </c>
      <c r="J446" s="14" t="s">
        <v>8420</v>
      </c>
      <c r="K446" s="14" t="s">
        <v>8421</v>
      </c>
      <c r="L446" s="14" t="s">
        <v>8410</v>
      </c>
      <c r="O446" s="14" t="s">
        <v>8415</v>
      </c>
      <c r="P446" s="14" t="s">
        <v>8416</v>
      </c>
      <c r="Q446" s="14">
        <v>421237.44</v>
      </c>
      <c r="R446" s="14">
        <v>6185102.5099999998</v>
      </c>
      <c r="S446" s="14" t="s">
        <v>8417</v>
      </c>
      <c r="T446" s="14" t="s">
        <v>8418</v>
      </c>
      <c r="U446" s="14">
        <v>421257.23</v>
      </c>
      <c r="V446" s="14">
        <v>6185099.5499999998</v>
      </c>
      <c r="W446" s="14">
        <v>1.36</v>
      </c>
      <c r="X446" s="14">
        <v>200.06</v>
      </c>
    </row>
    <row r="447" spans="1:24" s="14" customFormat="1" x14ac:dyDescent="0.25">
      <c r="A447" s="50">
        <v>45097</v>
      </c>
      <c r="B447" s="16">
        <v>171</v>
      </c>
      <c r="C447" s="36">
        <v>0.44643518518518516</v>
      </c>
      <c r="D447" s="16" t="s">
        <v>97</v>
      </c>
      <c r="E447" s="14" t="s">
        <v>70</v>
      </c>
      <c r="F447" s="16" t="s">
        <v>8011</v>
      </c>
      <c r="G447" s="16" t="s">
        <v>971</v>
      </c>
      <c r="H447" s="14">
        <v>-1.2999999999999999E-2</v>
      </c>
      <c r="I447" s="14" t="s">
        <v>8419</v>
      </c>
      <c r="J447" s="14" t="s">
        <v>8420</v>
      </c>
      <c r="K447" s="14" t="s">
        <v>8421</v>
      </c>
      <c r="L447" s="14" t="s">
        <v>8426</v>
      </c>
      <c r="O447" s="14" t="s">
        <v>8422</v>
      </c>
      <c r="P447" s="14" t="s">
        <v>8423</v>
      </c>
      <c r="Q447" s="14">
        <v>421237.91</v>
      </c>
      <c r="R447" s="14">
        <v>6185325.0499999998</v>
      </c>
      <c r="S447" s="14" t="s">
        <v>8424</v>
      </c>
      <c r="T447" s="14" t="s">
        <v>8425</v>
      </c>
      <c r="U447" s="14">
        <v>421257.39</v>
      </c>
      <c r="V447" s="14">
        <v>6185322.3799999999</v>
      </c>
      <c r="W447" s="14">
        <v>359.57</v>
      </c>
      <c r="X447" s="14">
        <v>200.06</v>
      </c>
    </row>
    <row r="448" spans="1:24" s="14" customFormat="1" x14ac:dyDescent="0.25">
      <c r="A448" s="50">
        <v>45097</v>
      </c>
      <c r="B448" s="16">
        <v>171</v>
      </c>
      <c r="C448" s="36">
        <v>0.44937500000000002</v>
      </c>
      <c r="D448" s="16" t="s">
        <v>97</v>
      </c>
      <c r="E448" s="14" t="s">
        <v>65</v>
      </c>
      <c r="F448" s="16" t="s">
        <v>8011</v>
      </c>
      <c r="G448" s="16" t="s">
        <v>970</v>
      </c>
      <c r="H448" s="14">
        <v>-1E-3</v>
      </c>
      <c r="I448" s="14" t="s">
        <v>8431</v>
      </c>
      <c r="J448" s="14" t="s">
        <v>8432</v>
      </c>
      <c r="K448" s="14" t="s">
        <v>8433</v>
      </c>
      <c r="L448" s="14" t="s">
        <v>8426</v>
      </c>
      <c r="O448" s="14" t="s">
        <v>8427</v>
      </c>
      <c r="P448" s="14" t="s">
        <v>8428</v>
      </c>
      <c r="Q448" s="14">
        <v>421247.42</v>
      </c>
      <c r="R448" s="14">
        <v>6185330.0099999998</v>
      </c>
      <c r="S448" s="14" t="s">
        <v>8429</v>
      </c>
      <c r="T448" s="14" t="s">
        <v>8430</v>
      </c>
      <c r="U448" s="14">
        <v>421266.28</v>
      </c>
      <c r="V448" s="14">
        <v>6185321.2800000003</v>
      </c>
      <c r="W448" s="14">
        <v>179.62</v>
      </c>
      <c r="X448" s="14">
        <v>200.06</v>
      </c>
    </row>
    <row r="449" spans="1:24" s="14" customFormat="1" x14ac:dyDescent="0.25">
      <c r="A449" s="50">
        <v>45097</v>
      </c>
      <c r="B449" s="16">
        <v>171</v>
      </c>
      <c r="C449" s="36">
        <v>0.45354166666666668</v>
      </c>
      <c r="D449" s="16" t="s">
        <v>97</v>
      </c>
      <c r="E449" s="14" t="s">
        <v>70</v>
      </c>
      <c r="F449" s="16" t="s">
        <v>8011</v>
      </c>
      <c r="G449" s="16" t="s">
        <v>970</v>
      </c>
      <c r="H449" s="14">
        <v>0.218</v>
      </c>
      <c r="I449" s="14" t="s">
        <v>8431</v>
      </c>
      <c r="J449" s="14" t="s">
        <v>8432</v>
      </c>
      <c r="K449" s="14" t="s">
        <v>8433</v>
      </c>
      <c r="L449" s="14" t="s">
        <v>8426</v>
      </c>
      <c r="O449" s="14" t="s">
        <v>8434</v>
      </c>
      <c r="P449" s="14" t="s">
        <v>8435</v>
      </c>
      <c r="Q449" s="14">
        <v>421247.04</v>
      </c>
      <c r="R449" s="14">
        <v>6185112.3700000001</v>
      </c>
      <c r="S449" s="14" t="s">
        <v>8436</v>
      </c>
      <c r="T449" s="14" t="s">
        <v>8437</v>
      </c>
      <c r="U449" s="14">
        <v>421266.31</v>
      </c>
      <c r="V449" s="14">
        <v>6185102.2000000002</v>
      </c>
      <c r="W449" s="14">
        <v>179.13</v>
      </c>
      <c r="X449" s="14">
        <v>200.06</v>
      </c>
    </row>
    <row r="450" spans="1:24" s="14" customFormat="1" x14ac:dyDescent="0.25">
      <c r="A450" s="50">
        <v>45097</v>
      </c>
      <c r="B450" s="16">
        <v>171</v>
      </c>
      <c r="C450" s="36">
        <v>0.456087962962963</v>
      </c>
      <c r="D450" s="16" t="s">
        <v>97</v>
      </c>
      <c r="E450" s="14" t="s">
        <v>65</v>
      </c>
      <c r="F450" s="16" t="s">
        <v>8011</v>
      </c>
      <c r="G450" s="16" t="s">
        <v>969</v>
      </c>
      <c r="H450" s="14">
        <v>0.20899999999999999</v>
      </c>
      <c r="I450" s="14" t="s">
        <v>8442</v>
      </c>
      <c r="J450" s="14" t="s">
        <v>8443</v>
      </c>
      <c r="K450" s="14" t="s">
        <v>8444</v>
      </c>
      <c r="L450" s="14" t="s">
        <v>8445</v>
      </c>
      <c r="O450" s="14" t="s">
        <v>8438</v>
      </c>
      <c r="P450" s="14" t="s">
        <v>8439</v>
      </c>
      <c r="Q450" s="14">
        <v>421255.76</v>
      </c>
      <c r="R450" s="14">
        <v>6185105.5999999996</v>
      </c>
      <c r="S450" s="14" t="s">
        <v>8440</v>
      </c>
      <c r="T450" s="14" t="s">
        <v>8441</v>
      </c>
      <c r="U450" s="14">
        <v>421275.42</v>
      </c>
      <c r="V450" s="14">
        <v>6185100.0899999999</v>
      </c>
      <c r="W450" s="14">
        <v>0.42</v>
      </c>
      <c r="X450" s="14">
        <v>200.06</v>
      </c>
    </row>
    <row r="451" spans="1:24" s="14" customFormat="1" x14ac:dyDescent="0.25">
      <c r="A451" s="50">
        <v>45097</v>
      </c>
      <c r="B451" s="16">
        <v>171</v>
      </c>
      <c r="C451" s="36">
        <v>0.46111111111111108</v>
      </c>
      <c r="D451" s="16" t="s">
        <v>97</v>
      </c>
      <c r="E451" s="14" t="s">
        <v>70</v>
      </c>
      <c r="F451" s="16" t="s">
        <v>8011</v>
      </c>
      <c r="G451" s="16" t="s">
        <v>969</v>
      </c>
      <c r="H451" s="14">
        <v>-1.2E-2</v>
      </c>
      <c r="I451" s="14" t="s">
        <v>8442</v>
      </c>
      <c r="J451" s="14" t="s">
        <v>8443</v>
      </c>
      <c r="K451" s="14" t="s">
        <v>8444</v>
      </c>
      <c r="L451" s="14" t="s">
        <v>8445</v>
      </c>
      <c r="O451" s="14" t="s">
        <v>8446</v>
      </c>
      <c r="P451" s="14" t="s">
        <v>8447</v>
      </c>
      <c r="Q451" s="14">
        <v>421256.14</v>
      </c>
      <c r="R451" s="14">
        <v>6185327.46</v>
      </c>
      <c r="S451" s="14" t="s">
        <v>8448</v>
      </c>
      <c r="T451" s="14" t="s">
        <v>8449</v>
      </c>
      <c r="U451" s="14">
        <v>421275.42</v>
      </c>
      <c r="V451" s="14">
        <v>6185321.8799999999</v>
      </c>
      <c r="W451" s="14">
        <v>359.82</v>
      </c>
      <c r="X451" s="14">
        <v>200.06</v>
      </c>
    </row>
    <row r="452" spans="1:24" s="14" customFormat="1" x14ac:dyDescent="0.25">
      <c r="A452" s="50">
        <v>45097</v>
      </c>
      <c r="B452" s="16">
        <v>171</v>
      </c>
      <c r="C452" s="36">
        <v>0.46407407407407408</v>
      </c>
      <c r="D452" s="16" t="s">
        <v>97</v>
      </c>
      <c r="E452" s="14" t="s">
        <v>65</v>
      </c>
      <c r="F452" s="16" t="s">
        <v>8011</v>
      </c>
      <c r="G452" s="16" t="s">
        <v>968</v>
      </c>
      <c r="H452" s="14">
        <v>-4.0000000000000001E-3</v>
      </c>
      <c r="I452" s="14" t="s">
        <v>8454</v>
      </c>
      <c r="J452" s="14" t="s">
        <v>8455</v>
      </c>
      <c r="K452" s="14" t="s">
        <v>8456</v>
      </c>
      <c r="L452" s="14" t="s">
        <v>8445</v>
      </c>
      <c r="O452" s="14" t="s">
        <v>8450</v>
      </c>
      <c r="P452" s="14" t="s">
        <v>8451</v>
      </c>
      <c r="Q452" s="14">
        <v>421265.55</v>
      </c>
      <c r="R452" s="14">
        <v>6185328.2000000002</v>
      </c>
      <c r="S452" s="14" t="s">
        <v>8452</v>
      </c>
      <c r="T452" s="14" t="s">
        <v>8453</v>
      </c>
      <c r="U452" s="14">
        <v>421284.35</v>
      </c>
      <c r="V452" s="14">
        <v>6185324.2400000002</v>
      </c>
      <c r="W452" s="14">
        <v>180.31</v>
      </c>
      <c r="X452" s="14">
        <v>200.06</v>
      </c>
    </row>
    <row r="453" spans="1:24" s="14" customFormat="1" x14ac:dyDescent="0.25">
      <c r="A453" s="50">
        <v>45097</v>
      </c>
      <c r="B453" s="16">
        <v>171</v>
      </c>
      <c r="C453" s="36">
        <v>0.46827546296296302</v>
      </c>
      <c r="D453" s="16" t="s">
        <v>97</v>
      </c>
      <c r="E453" s="14" t="s">
        <v>70</v>
      </c>
      <c r="F453" s="16" t="s">
        <v>8011</v>
      </c>
      <c r="G453" s="16" t="s">
        <v>968</v>
      </c>
      <c r="H453" s="14">
        <v>0.218</v>
      </c>
      <c r="I453" s="14" t="s">
        <v>8454</v>
      </c>
      <c r="J453" s="14" t="s">
        <v>8455</v>
      </c>
      <c r="K453" s="14" t="s">
        <v>8456</v>
      </c>
      <c r="L453" s="14" t="s">
        <v>8461</v>
      </c>
      <c r="O453" s="14" t="s">
        <v>8457</v>
      </c>
      <c r="P453" s="14" t="s">
        <v>8458</v>
      </c>
      <c r="Q453" s="14">
        <v>421265.45</v>
      </c>
      <c r="R453" s="14">
        <v>6185107.7599999998</v>
      </c>
      <c r="S453" s="14" t="s">
        <v>8459</v>
      </c>
      <c r="T453" s="14" t="s">
        <v>8460</v>
      </c>
      <c r="U453" s="14">
        <v>421284.36</v>
      </c>
      <c r="V453" s="14">
        <v>6185102.3700000001</v>
      </c>
      <c r="W453" s="14">
        <v>179.48</v>
      </c>
      <c r="X453" s="14">
        <v>200.06</v>
      </c>
    </row>
    <row r="454" spans="1:24" s="14" customFormat="1" x14ac:dyDescent="0.25">
      <c r="A454" s="50">
        <v>45097</v>
      </c>
      <c r="B454" s="16">
        <v>171</v>
      </c>
      <c r="C454" s="36">
        <v>0.47150462962962963</v>
      </c>
      <c r="D454" s="16" t="s">
        <v>97</v>
      </c>
      <c r="E454" s="14" t="s">
        <v>65</v>
      </c>
      <c r="F454" s="16" t="s">
        <v>8011</v>
      </c>
      <c r="G454" s="16" t="s">
        <v>967</v>
      </c>
      <c r="H454" s="14">
        <v>0.21299999999999999</v>
      </c>
      <c r="I454" s="14" t="s">
        <v>8466</v>
      </c>
      <c r="J454" s="14" t="s">
        <v>8467</v>
      </c>
      <c r="K454" s="14" t="s">
        <v>8468</v>
      </c>
      <c r="L454" s="14" t="s">
        <v>8461</v>
      </c>
      <c r="O454" s="14" t="s">
        <v>8462</v>
      </c>
      <c r="P454" s="14" t="s">
        <v>8463</v>
      </c>
      <c r="Q454" s="14">
        <v>421273.9</v>
      </c>
      <c r="R454" s="14">
        <v>6185095.4900000002</v>
      </c>
      <c r="S454" s="14" t="s">
        <v>8464</v>
      </c>
      <c r="T454" s="14" t="s">
        <v>8465</v>
      </c>
      <c r="U454" s="14">
        <v>421293.42</v>
      </c>
      <c r="V454" s="14">
        <v>6185096.9400000004</v>
      </c>
      <c r="W454" s="14">
        <v>359.18</v>
      </c>
      <c r="X454" s="14">
        <v>200.06</v>
      </c>
    </row>
    <row r="455" spans="1:24" s="14" customFormat="1" x14ac:dyDescent="0.25">
      <c r="A455" s="50">
        <v>45097</v>
      </c>
      <c r="B455" s="16">
        <v>171</v>
      </c>
      <c r="C455" s="36">
        <v>0.47660879629629632</v>
      </c>
      <c r="D455" s="16" t="s">
        <v>97</v>
      </c>
      <c r="E455" s="14" t="s">
        <v>70</v>
      </c>
      <c r="F455" s="16" t="s">
        <v>8011</v>
      </c>
      <c r="G455" s="16" t="s">
        <v>967</v>
      </c>
      <c r="H455" s="14">
        <v>-1.2999999999999999E-2</v>
      </c>
      <c r="I455" s="14" t="s">
        <v>8466</v>
      </c>
      <c r="J455" s="14" t="s">
        <v>8467</v>
      </c>
      <c r="K455" s="14" t="s">
        <v>8468</v>
      </c>
      <c r="L455" s="14" t="s">
        <v>8473</v>
      </c>
      <c r="O455" s="14" t="s">
        <v>8469</v>
      </c>
      <c r="P455" s="14" t="s">
        <v>8470</v>
      </c>
      <c r="Q455" s="14">
        <v>421274.34</v>
      </c>
      <c r="R455" s="14">
        <v>6185321.0800000001</v>
      </c>
      <c r="S455" s="14" t="s">
        <v>8471</v>
      </c>
      <c r="T455" s="14" t="s">
        <v>8472</v>
      </c>
      <c r="U455" s="14">
        <v>421293.42</v>
      </c>
      <c r="V455" s="14">
        <v>6185322.4400000004</v>
      </c>
      <c r="W455" s="14">
        <v>359</v>
      </c>
      <c r="X455" s="14">
        <v>200.06</v>
      </c>
    </row>
    <row r="456" spans="1:24" s="14" customFormat="1" x14ac:dyDescent="0.25">
      <c r="A456" s="50">
        <v>45097</v>
      </c>
      <c r="B456" s="16">
        <v>171</v>
      </c>
      <c r="C456" s="36">
        <v>0.47958333333333331</v>
      </c>
      <c r="D456" s="16" t="s">
        <v>97</v>
      </c>
      <c r="E456" s="14" t="s">
        <v>65</v>
      </c>
      <c r="F456" s="16" t="s">
        <v>8011</v>
      </c>
      <c r="G456" s="16" t="s">
        <v>966</v>
      </c>
      <c r="H456" s="14">
        <v>-5.0000000000000001E-3</v>
      </c>
      <c r="I456" s="14" t="s">
        <v>8478</v>
      </c>
      <c r="J456" s="14" t="s">
        <v>8479</v>
      </c>
      <c r="K456" s="14" t="s">
        <v>8480</v>
      </c>
      <c r="L456" s="14" t="s">
        <v>8473</v>
      </c>
      <c r="O456" s="14" t="s">
        <v>8474</v>
      </c>
      <c r="P456" s="14" t="s">
        <v>8475</v>
      </c>
      <c r="Q456" s="14">
        <v>421283.69</v>
      </c>
      <c r="R456" s="14">
        <v>6185328.0300000003</v>
      </c>
      <c r="S456" s="14" t="s">
        <v>8476</v>
      </c>
      <c r="T456" s="14" t="s">
        <v>8477</v>
      </c>
      <c r="U456" s="14">
        <v>421302.47</v>
      </c>
      <c r="V456" s="14">
        <v>6185325.6500000004</v>
      </c>
      <c r="W456" s="14">
        <v>182.31</v>
      </c>
      <c r="X456" s="14">
        <v>200.06</v>
      </c>
    </row>
    <row r="457" spans="1:24" s="14" customFormat="1" x14ac:dyDescent="0.25">
      <c r="A457" s="50">
        <v>45097</v>
      </c>
      <c r="B457" s="16">
        <v>171</v>
      </c>
      <c r="C457" s="36">
        <v>0.48378472222222224</v>
      </c>
      <c r="D457" s="16" t="s">
        <v>97</v>
      </c>
      <c r="E457" s="14" t="s">
        <v>70</v>
      </c>
      <c r="F457" s="16" t="s">
        <v>8011</v>
      </c>
      <c r="G457" s="16" t="s">
        <v>966</v>
      </c>
      <c r="H457" s="14">
        <v>0.216</v>
      </c>
      <c r="I457" s="14" t="s">
        <v>8478</v>
      </c>
      <c r="J457" s="14" t="s">
        <v>8479</v>
      </c>
      <c r="K457" s="14" t="s">
        <v>8480</v>
      </c>
      <c r="L457" s="14" t="s">
        <v>8473</v>
      </c>
      <c r="O457" s="14" t="s">
        <v>8481</v>
      </c>
      <c r="P457" s="14" t="s">
        <v>8482</v>
      </c>
      <c r="Q457" s="14">
        <v>421283.04</v>
      </c>
      <c r="R457" s="14">
        <v>6185108.9500000002</v>
      </c>
      <c r="S457" s="14" t="s">
        <v>8483</v>
      </c>
      <c r="T457" s="14" t="s">
        <v>8484</v>
      </c>
      <c r="U457" s="14">
        <v>421302.39</v>
      </c>
      <c r="V457" s="14">
        <v>6185104.4400000004</v>
      </c>
      <c r="W457" s="14">
        <v>179.09</v>
      </c>
      <c r="X457" s="14">
        <v>200.06</v>
      </c>
    </row>
    <row r="458" spans="1:24" s="14" customFormat="1" x14ac:dyDescent="0.25">
      <c r="A458" s="50">
        <v>45097</v>
      </c>
      <c r="B458" s="16">
        <v>171</v>
      </c>
      <c r="C458" s="36">
        <v>0.48638888888888893</v>
      </c>
      <c r="D458" s="16" t="s">
        <v>97</v>
      </c>
      <c r="E458" s="14" t="s">
        <v>65</v>
      </c>
      <c r="F458" s="16" t="s">
        <v>8011</v>
      </c>
      <c r="G458" s="16" t="s">
        <v>975</v>
      </c>
      <c r="H458" s="14">
        <v>0.21299999999999999</v>
      </c>
      <c r="I458" s="14" t="s">
        <v>8489</v>
      </c>
      <c r="J458" s="14" t="s">
        <v>8490</v>
      </c>
      <c r="K458" s="14" t="s">
        <v>8491</v>
      </c>
      <c r="L458" s="14" t="s">
        <v>8492</v>
      </c>
      <c r="O458" s="14" t="s">
        <v>8485</v>
      </c>
      <c r="P458" s="14" t="s">
        <v>8486</v>
      </c>
      <c r="Q458" s="14">
        <v>421291.61</v>
      </c>
      <c r="R458" s="14">
        <v>6185103.8799999999</v>
      </c>
      <c r="S458" s="14" t="s">
        <v>8487</v>
      </c>
      <c r="T458" s="14" t="s">
        <v>8488</v>
      </c>
      <c r="U458" s="14">
        <v>421311.37</v>
      </c>
      <c r="V458" s="14">
        <v>6185096.9400000004</v>
      </c>
      <c r="W458" s="14">
        <v>1.3</v>
      </c>
      <c r="X458" s="14">
        <v>200.06</v>
      </c>
    </row>
    <row r="459" spans="1:24" s="14" customFormat="1" x14ac:dyDescent="0.25">
      <c r="A459" s="50">
        <v>45097</v>
      </c>
      <c r="B459" s="16">
        <v>171</v>
      </c>
      <c r="C459" s="36">
        <v>0.49081018518518515</v>
      </c>
      <c r="D459" s="16" t="s">
        <v>97</v>
      </c>
      <c r="E459" s="14" t="s">
        <v>70</v>
      </c>
      <c r="F459" s="16" t="s">
        <v>8011</v>
      </c>
      <c r="G459" s="16" t="s">
        <v>975</v>
      </c>
      <c r="H459" s="14">
        <v>-1.2999999999999999E-2</v>
      </c>
      <c r="I459" s="14" t="s">
        <v>8489</v>
      </c>
      <c r="J459" s="14" t="s">
        <v>8490</v>
      </c>
      <c r="K459" s="14" t="s">
        <v>8491</v>
      </c>
      <c r="L459" s="14" t="s">
        <v>8492</v>
      </c>
      <c r="O459" s="14" t="s">
        <v>8493</v>
      </c>
      <c r="P459" s="14" t="s">
        <v>8494</v>
      </c>
      <c r="Q459" s="14">
        <v>421292.48</v>
      </c>
      <c r="R459" s="14">
        <v>6185327.3300000001</v>
      </c>
      <c r="S459" s="14" t="s">
        <v>8495</v>
      </c>
      <c r="T459" s="14" t="s">
        <v>8496</v>
      </c>
      <c r="U459" s="14">
        <v>421311.51</v>
      </c>
      <c r="V459" s="14">
        <v>6185322.6900000004</v>
      </c>
      <c r="W459" s="14">
        <v>358.96</v>
      </c>
      <c r="X459" s="14">
        <v>200.06</v>
      </c>
    </row>
    <row r="460" spans="1:24" s="14" customFormat="1" x14ac:dyDescent="0.25">
      <c r="A460" s="50">
        <v>45097</v>
      </c>
      <c r="B460" s="16">
        <v>171</v>
      </c>
      <c r="C460" s="36">
        <v>0.49425925925925923</v>
      </c>
      <c r="D460" s="16" t="s">
        <v>97</v>
      </c>
      <c r="E460" s="14" t="s">
        <v>65</v>
      </c>
      <c r="F460" s="16" t="s">
        <v>8011</v>
      </c>
      <c r="G460" s="16" t="s">
        <v>976</v>
      </c>
      <c r="H460" s="14">
        <v>-1.0999999999999999E-2</v>
      </c>
      <c r="I460" s="14" t="s">
        <v>8501</v>
      </c>
      <c r="J460" s="14" t="s">
        <v>8502</v>
      </c>
      <c r="K460" s="14" t="s">
        <v>8503</v>
      </c>
      <c r="L460" s="14" t="s">
        <v>8492</v>
      </c>
      <c r="O460" s="14" t="s">
        <v>8497</v>
      </c>
      <c r="P460" s="14" t="s">
        <v>8498</v>
      </c>
      <c r="Q460" s="14">
        <v>421301.85</v>
      </c>
      <c r="R460" s="14">
        <v>6185333.9100000001</v>
      </c>
      <c r="S460" s="14" t="s">
        <v>8499</v>
      </c>
      <c r="T460" s="14" t="s">
        <v>8500</v>
      </c>
      <c r="U460" s="14">
        <v>421320.31</v>
      </c>
      <c r="V460" s="14">
        <v>6185331.4100000001</v>
      </c>
      <c r="W460" s="14">
        <v>177.94</v>
      </c>
      <c r="X460" s="14">
        <v>200.06</v>
      </c>
    </row>
    <row r="461" spans="1:24" s="14" customFormat="1" x14ac:dyDescent="0.25">
      <c r="A461" s="50">
        <v>45097</v>
      </c>
      <c r="B461" s="16">
        <v>171</v>
      </c>
      <c r="C461" s="36">
        <v>0.49858796296296298</v>
      </c>
      <c r="D461" s="16" t="s">
        <v>97</v>
      </c>
      <c r="E461" s="14" t="s">
        <v>70</v>
      </c>
      <c r="F461" s="16" t="s">
        <v>8011</v>
      </c>
      <c r="G461" s="16" t="s">
        <v>976</v>
      </c>
      <c r="H461" s="14">
        <v>0.217</v>
      </c>
      <c r="I461" s="14" t="s">
        <v>8501</v>
      </c>
      <c r="J461" s="14" t="s">
        <v>8502</v>
      </c>
      <c r="K461" s="14" t="s">
        <v>8503</v>
      </c>
      <c r="L461" s="14" t="s">
        <v>8508</v>
      </c>
      <c r="O461" s="14" t="s">
        <v>8504</v>
      </c>
      <c r="P461" s="14" t="s">
        <v>8505</v>
      </c>
      <c r="Q461" s="14">
        <v>421301.05</v>
      </c>
      <c r="R461" s="14">
        <v>6185106.5800000001</v>
      </c>
      <c r="S461" s="14" t="s">
        <v>8506</v>
      </c>
      <c r="T461" s="14" t="s">
        <v>8507</v>
      </c>
      <c r="U461" s="14">
        <v>421320.45</v>
      </c>
      <c r="V461" s="14">
        <v>6185103.2400000002</v>
      </c>
      <c r="W461" s="14">
        <v>179.43</v>
      </c>
      <c r="X461" s="14">
        <v>200.06</v>
      </c>
    </row>
    <row r="462" spans="1:24" s="14" customFormat="1" x14ac:dyDescent="0.25">
      <c r="A462" s="50">
        <v>45097</v>
      </c>
      <c r="B462" s="16">
        <v>171</v>
      </c>
      <c r="C462" s="36">
        <v>0.50152777777777779</v>
      </c>
      <c r="D462" s="16" t="s">
        <v>97</v>
      </c>
      <c r="E462" s="14" t="s">
        <v>65</v>
      </c>
      <c r="F462" s="16" t="s">
        <v>8011</v>
      </c>
      <c r="G462" s="16" t="s">
        <v>977</v>
      </c>
      <c r="H462" s="14">
        <v>0.21099999999999999</v>
      </c>
      <c r="I462" s="14" t="s">
        <v>8513</v>
      </c>
      <c r="J462" s="14" t="s">
        <v>8514</v>
      </c>
      <c r="K462" s="14" t="s">
        <v>8515</v>
      </c>
      <c r="L462" s="14" t="s">
        <v>8508</v>
      </c>
      <c r="O462" s="14" t="s">
        <v>8509</v>
      </c>
      <c r="P462" s="14" t="s">
        <v>8510</v>
      </c>
      <c r="Q462" s="14">
        <v>421310.36</v>
      </c>
      <c r="R462" s="14">
        <v>6185098.5599999996</v>
      </c>
      <c r="S462" s="14" t="s">
        <v>8511</v>
      </c>
      <c r="T462" s="14" t="s">
        <v>8512</v>
      </c>
      <c r="U462" s="14">
        <v>421329.45</v>
      </c>
      <c r="V462" s="14">
        <v>6185098.21</v>
      </c>
      <c r="W462" s="14">
        <v>359.7</v>
      </c>
      <c r="X462" s="14">
        <v>200.06</v>
      </c>
    </row>
    <row r="463" spans="1:24" s="14" customFormat="1" x14ac:dyDescent="0.25">
      <c r="A463" s="50">
        <v>45097</v>
      </c>
      <c r="B463" s="16">
        <v>171</v>
      </c>
      <c r="C463" s="36">
        <v>0.50592592592592589</v>
      </c>
      <c r="D463" s="16" t="s">
        <v>97</v>
      </c>
      <c r="E463" s="14" t="s">
        <v>70</v>
      </c>
      <c r="F463" s="16" t="s">
        <v>8011</v>
      </c>
      <c r="G463" s="16" t="s">
        <v>977</v>
      </c>
      <c r="H463" s="14">
        <v>-0.02</v>
      </c>
      <c r="I463" s="14" t="s">
        <v>8513</v>
      </c>
      <c r="J463" s="14" t="s">
        <v>8514</v>
      </c>
      <c r="K463" s="14" t="s">
        <v>8515</v>
      </c>
      <c r="L463" s="14" t="s">
        <v>8508</v>
      </c>
      <c r="O463" s="14" t="s">
        <v>8516</v>
      </c>
      <c r="P463" s="14" t="s">
        <v>8517</v>
      </c>
      <c r="Q463" s="14">
        <v>421311.42</v>
      </c>
      <c r="R463" s="14">
        <v>6185331.3600000003</v>
      </c>
      <c r="S463" s="14" t="s">
        <v>8518</v>
      </c>
      <c r="T463" s="14" t="s">
        <v>8519</v>
      </c>
      <c r="U463" s="14">
        <v>421329.49</v>
      </c>
      <c r="V463" s="14">
        <v>6185329.7300000004</v>
      </c>
      <c r="W463" s="14">
        <v>358.56</v>
      </c>
      <c r="X463" s="14">
        <v>200.06</v>
      </c>
    </row>
    <row r="464" spans="1:24" s="14" customFormat="1" x14ac:dyDescent="0.25">
      <c r="A464" s="50">
        <v>45097</v>
      </c>
      <c r="B464" s="16">
        <v>171</v>
      </c>
      <c r="C464" s="36">
        <v>0.50842592592592595</v>
      </c>
      <c r="D464" s="16" t="s">
        <v>97</v>
      </c>
      <c r="E464" s="14" t="s">
        <v>65</v>
      </c>
      <c r="F464" s="16" t="s">
        <v>8011</v>
      </c>
      <c r="G464" s="16" t="s">
        <v>978</v>
      </c>
      <c r="H464" s="14">
        <v>-1.2999999999999999E-2</v>
      </c>
      <c r="I464" s="14" t="s">
        <v>8524</v>
      </c>
      <c r="J464" s="14" t="s">
        <v>8525</v>
      </c>
      <c r="K464" s="14" t="s">
        <v>8526</v>
      </c>
      <c r="L464" s="14" t="s">
        <v>8527</v>
      </c>
      <c r="O464" s="14" t="s">
        <v>8520</v>
      </c>
      <c r="P464" s="14" t="s">
        <v>8521</v>
      </c>
      <c r="Q464" s="14">
        <v>421319.33</v>
      </c>
      <c r="R464" s="14">
        <v>6185336.5599999996</v>
      </c>
      <c r="S464" s="14" t="s">
        <v>8522</v>
      </c>
      <c r="T464" s="14" t="s">
        <v>8523</v>
      </c>
      <c r="U464" s="14">
        <v>421338.38</v>
      </c>
      <c r="V464" s="14">
        <v>6185333.9699999997</v>
      </c>
      <c r="W464" s="14">
        <v>179.51</v>
      </c>
      <c r="X464" s="14">
        <v>200.06</v>
      </c>
    </row>
    <row r="465" spans="1:24" s="14" customFormat="1" x14ac:dyDescent="0.25">
      <c r="A465" s="50">
        <v>45097</v>
      </c>
      <c r="B465" s="16">
        <v>171</v>
      </c>
      <c r="C465" s="36">
        <v>0.51282407407407404</v>
      </c>
      <c r="D465" s="16" t="s">
        <v>97</v>
      </c>
      <c r="E465" s="14" t="s">
        <v>70</v>
      </c>
      <c r="F465" s="16" t="s">
        <v>8011</v>
      </c>
      <c r="G465" s="16" t="s">
        <v>978</v>
      </c>
      <c r="H465" s="14">
        <v>0.217</v>
      </c>
      <c r="I465" s="14" t="s">
        <v>8524</v>
      </c>
      <c r="J465" s="14" t="s">
        <v>8532</v>
      </c>
      <c r="K465" s="14" t="s">
        <v>8526</v>
      </c>
      <c r="L465" s="14" t="s">
        <v>8527</v>
      </c>
      <c r="O465" s="14" t="s">
        <v>8528</v>
      </c>
      <c r="P465" s="14" t="s">
        <v>8529</v>
      </c>
      <c r="Q465" s="14">
        <v>421319.39</v>
      </c>
      <c r="R465" s="14">
        <v>6185111.5700000003</v>
      </c>
      <c r="S465" s="14" t="s">
        <v>8530</v>
      </c>
      <c r="T465" s="14" t="s">
        <v>8531</v>
      </c>
      <c r="U465" s="14">
        <v>421338.38</v>
      </c>
      <c r="V465" s="14">
        <v>6185104.0199999996</v>
      </c>
      <c r="W465" s="14">
        <v>180.01</v>
      </c>
      <c r="X465" s="14">
        <v>200.06</v>
      </c>
    </row>
    <row r="466" spans="1:24" s="14" customFormat="1" x14ac:dyDescent="0.25">
      <c r="A466" s="50">
        <v>45097</v>
      </c>
      <c r="B466" s="16">
        <v>171</v>
      </c>
      <c r="C466" s="36">
        <v>0.51521990740740742</v>
      </c>
      <c r="D466" s="16" t="s">
        <v>97</v>
      </c>
      <c r="E466" s="14" t="s">
        <v>65</v>
      </c>
      <c r="F466" s="16" t="s">
        <v>8011</v>
      </c>
      <c r="G466" s="16" t="s">
        <v>979</v>
      </c>
      <c r="H466" s="14">
        <v>0.21199999999999999</v>
      </c>
      <c r="I466" s="14" t="s">
        <v>8537</v>
      </c>
      <c r="J466" s="14" t="s">
        <v>8538</v>
      </c>
      <c r="K466" s="14" t="s">
        <v>8539</v>
      </c>
      <c r="L466" s="14" t="s">
        <v>8527</v>
      </c>
      <c r="O466" s="14" t="s">
        <v>8533</v>
      </c>
      <c r="P466" s="14" t="s">
        <v>8534</v>
      </c>
      <c r="Q466" s="14">
        <v>421326.9</v>
      </c>
      <c r="R466" s="14">
        <v>6185102.3700000001</v>
      </c>
      <c r="S466" s="14" t="s">
        <v>8535</v>
      </c>
      <c r="T466" s="14" t="s">
        <v>8536</v>
      </c>
      <c r="U466" s="14">
        <v>421347.39</v>
      </c>
      <c r="V466" s="14">
        <v>6185097.5599999996</v>
      </c>
      <c r="W466" s="14">
        <v>359.64</v>
      </c>
      <c r="X466" s="14">
        <v>200.06</v>
      </c>
    </row>
    <row r="467" spans="1:24" s="14" customFormat="1" x14ac:dyDescent="0.25">
      <c r="A467" s="50">
        <v>45097</v>
      </c>
      <c r="B467" s="16">
        <v>171</v>
      </c>
      <c r="C467" s="36">
        <v>0.5195833333333334</v>
      </c>
      <c r="D467" s="16" t="s">
        <v>97</v>
      </c>
      <c r="E467" s="14" t="s">
        <v>70</v>
      </c>
      <c r="F467" s="16" t="s">
        <v>8011</v>
      </c>
      <c r="G467" s="16" t="s">
        <v>979</v>
      </c>
      <c r="H467" s="14">
        <v>-1.6E-2</v>
      </c>
      <c r="I467" s="14" t="s">
        <v>8537</v>
      </c>
      <c r="J467" s="14" t="s">
        <v>8538</v>
      </c>
      <c r="K467" s="14" t="s">
        <v>8539</v>
      </c>
      <c r="L467" s="14" t="s">
        <v>8544</v>
      </c>
      <c r="O467" s="14" t="s">
        <v>8540</v>
      </c>
      <c r="P467" s="14" t="s">
        <v>8541</v>
      </c>
      <c r="Q467" s="14">
        <v>421328.31</v>
      </c>
      <c r="R467" s="14">
        <v>6185332.0099999998</v>
      </c>
      <c r="S467" s="14" t="s">
        <v>8542</v>
      </c>
      <c r="T467" s="14" t="s">
        <v>8543</v>
      </c>
      <c r="U467" s="14">
        <v>421347.47</v>
      </c>
      <c r="V467" s="14">
        <v>6185325.7800000003</v>
      </c>
      <c r="W467" s="14">
        <v>359.85</v>
      </c>
      <c r="X467" s="14">
        <v>200.06</v>
      </c>
    </row>
    <row r="468" spans="1:24" s="14" customFormat="1" x14ac:dyDescent="0.25">
      <c r="A468" s="50">
        <v>45097</v>
      </c>
      <c r="B468" s="16">
        <v>171</v>
      </c>
      <c r="C468" s="36">
        <v>0.52239583333333328</v>
      </c>
      <c r="D468" s="16" t="s">
        <v>97</v>
      </c>
      <c r="E468" s="14" t="s">
        <v>65</v>
      </c>
      <c r="F468" s="16" t="s">
        <v>8011</v>
      </c>
      <c r="G468" s="16" t="s">
        <v>980</v>
      </c>
      <c r="H468" s="14">
        <v>-8.0000000000000002E-3</v>
      </c>
      <c r="I468" s="14" t="s">
        <v>8549</v>
      </c>
      <c r="J468" s="14" t="s">
        <v>8550</v>
      </c>
      <c r="K468" s="14" t="s">
        <v>8551</v>
      </c>
      <c r="L468" s="14" t="s">
        <v>8544</v>
      </c>
      <c r="O468" s="14" t="s">
        <v>8545</v>
      </c>
      <c r="P468" s="14" t="s">
        <v>8546</v>
      </c>
      <c r="Q468" s="14">
        <v>421337.29</v>
      </c>
      <c r="R468" s="14">
        <v>6185334.2400000002</v>
      </c>
      <c r="S468" s="14" t="s">
        <v>8547</v>
      </c>
      <c r="T468" s="14" t="s">
        <v>8548</v>
      </c>
      <c r="U468" s="14">
        <v>421356.6</v>
      </c>
      <c r="V468" s="14">
        <v>6185328.9400000004</v>
      </c>
      <c r="W468" s="14">
        <v>181.85</v>
      </c>
      <c r="X468" s="14">
        <v>200.06</v>
      </c>
    </row>
    <row r="469" spans="1:24" s="14" customFormat="1" x14ac:dyDescent="0.25">
      <c r="A469" s="50">
        <v>45097</v>
      </c>
      <c r="B469" s="16">
        <v>171</v>
      </c>
      <c r="C469" s="36">
        <v>0.52665509259259258</v>
      </c>
      <c r="D469" s="16" t="s">
        <v>97</v>
      </c>
      <c r="E469" s="14" t="s">
        <v>70</v>
      </c>
      <c r="F469" s="16" t="s">
        <v>8011</v>
      </c>
      <c r="G469" s="16" t="s">
        <v>980</v>
      </c>
      <c r="H469" s="14">
        <v>0.217</v>
      </c>
      <c r="I469" s="14" t="s">
        <v>8549</v>
      </c>
      <c r="J469" s="14" t="s">
        <v>8550</v>
      </c>
      <c r="K469" s="14" t="s">
        <v>8551</v>
      </c>
      <c r="L469" s="14" t="s">
        <v>8544</v>
      </c>
      <c r="O469" s="14" t="s">
        <v>8552</v>
      </c>
      <c r="P469" s="14" t="s">
        <v>8553</v>
      </c>
      <c r="Q469" s="14">
        <v>421337.35</v>
      </c>
      <c r="R469" s="14">
        <v>6185110.75</v>
      </c>
      <c r="S469" s="14" t="s">
        <v>8554</v>
      </c>
      <c r="T469" s="14" t="s">
        <v>8555</v>
      </c>
      <c r="U469" s="14">
        <v>421356.43</v>
      </c>
      <c r="V469" s="14">
        <v>6185103.7599999998</v>
      </c>
      <c r="W469" s="14">
        <v>179.21</v>
      </c>
      <c r="X469" s="14">
        <v>200.06</v>
      </c>
    </row>
    <row r="470" spans="1:24" s="14" customFormat="1" x14ac:dyDescent="0.25">
      <c r="A470" s="50">
        <v>45097</v>
      </c>
      <c r="B470" s="16">
        <v>171</v>
      </c>
      <c r="C470" s="36">
        <v>0.52938657407407408</v>
      </c>
      <c r="D470" s="16" t="s">
        <v>97</v>
      </c>
      <c r="E470" s="14" t="s">
        <v>65</v>
      </c>
      <c r="F470" s="16" t="s">
        <v>8011</v>
      </c>
      <c r="G470" s="16" t="s">
        <v>981</v>
      </c>
      <c r="H470" s="14">
        <v>0.21099999999999999</v>
      </c>
      <c r="I470" s="14" t="s">
        <v>8560</v>
      </c>
      <c r="J470" s="14" t="s">
        <v>8561</v>
      </c>
      <c r="K470" s="14" t="s">
        <v>8562</v>
      </c>
      <c r="L470" s="14" t="s">
        <v>8563</v>
      </c>
      <c r="O470" s="14" t="s">
        <v>8556</v>
      </c>
      <c r="P470" s="14" t="s">
        <v>8557</v>
      </c>
      <c r="Q470" s="14">
        <v>421345.11</v>
      </c>
      <c r="R470" s="14">
        <v>6185101.96</v>
      </c>
      <c r="S470" s="14" t="s">
        <v>8558</v>
      </c>
      <c r="T470" s="14" t="s">
        <v>8559</v>
      </c>
      <c r="U470" s="14">
        <v>421365.24</v>
      </c>
      <c r="V470" s="14">
        <v>6185098.6600000001</v>
      </c>
      <c r="W470" s="14">
        <v>1.58</v>
      </c>
      <c r="X470" s="14">
        <v>200.06</v>
      </c>
    </row>
    <row r="471" spans="1:24" s="14" customFormat="1" x14ac:dyDescent="0.25">
      <c r="A471" s="50">
        <v>45097</v>
      </c>
      <c r="B471" s="16">
        <v>171</v>
      </c>
      <c r="C471" s="36">
        <v>0.53370370370370368</v>
      </c>
      <c r="D471" s="16" t="s">
        <v>97</v>
      </c>
      <c r="E471" s="14" t="s">
        <v>70</v>
      </c>
      <c r="F471" s="16" t="s">
        <v>8011</v>
      </c>
      <c r="G471" s="16" t="s">
        <v>981</v>
      </c>
      <c r="H471" s="14">
        <v>-1.7000000000000001E-2</v>
      </c>
      <c r="I471" s="14" t="s">
        <v>8560</v>
      </c>
      <c r="J471" s="14" t="s">
        <v>8561</v>
      </c>
      <c r="K471" s="14" t="s">
        <v>8562</v>
      </c>
      <c r="L471" s="14" t="s">
        <v>8563</v>
      </c>
      <c r="O471" s="14" t="s">
        <v>8564</v>
      </c>
      <c r="P471" s="14" t="s">
        <v>8565</v>
      </c>
      <c r="Q471" s="14">
        <v>421346.33</v>
      </c>
      <c r="R471" s="14">
        <v>6185328.46</v>
      </c>
      <c r="S471" s="14" t="s">
        <v>8566</v>
      </c>
      <c r="T471" s="14" t="s">
        <v>8567</v>
      </c>
      <c r="U471" s="14">
        <v>421365.42</v>
      </c>
      <c r="V471" s="14">
        <v>6185326.04</v>
      </c>
      <c r="W471" s="14">
        <v>0.34</v>
      </c>
      <c r="X471" s="14">
        <v>200.06</v>
      </c>
    </row>
    <row r="472" spans="1:24" s="14" customFormat="1" x14ac:dyDescent="0.25">
      <c r="A472" s="50">
        <v>45097</v>
      </c>
      <c r="B472" s="16">
        <v>171</v>
      </c>
      <c r="C472" s="36">
        <v>0.53659722222222228</v>
      </c>
      <c r="D472" s="16" t="s">
        <v>97</v>
      </c>
      <c r="E472" s="14" t="s">
        <v>65</v>
      </c>
      <c r="F472" s="16" t="s">
        <v>8011</v>
      </c>
      <c r="G472" s="16" t="s">
        <v>982</v>
      </c>
      <c r="H472" s="14">
        <v>-8.9999999999999993E-3</v>
      </c>
      <c r="I472" s="14" t="s">
        <v>8572</v>
      </c>
      <c r="J472" s="14" t="s">
        <v>8573</v>
      </c>
      <c r="K472" s="14" t="s">
        <v>8574</v>
      </c>
      <c r="L472" s="14" t="s">
        <v>8563</v>
      </c>
      <c r="O472" s="14" t="s">
        <v>8568</v>
      </c>
      <c r="P472" s="14" t="s">
        <v>8569</v>
      </c>
      <c r="Q472" s="14">
        <v>421355.12</v>
      </c>
      <c r="R472" s="14">
        <v>6185334.1500000004</v>
      </c>
      <c r="S472" s="14" t="s">
        <v>8570</v>
      </c>
      <c r="T472" s="14" t="s">
        <v>8571</v>
      </c>
      <c r="U472" s="14">
        <v>421374.47</v>
      </c>
      <c r="V472" s="14">
        <v>6185330.0300000003</v>
      </c>
      <c r="W472" s="14">
        <v>182.27</v>
      </c>
      <c r="X472" s="14">
        <v>200.06</v>
      </c>
    </row>
    <row r="473" spans="1:24" s="14" customFormat="1" x14ac:dyDescent="0.25">
      <c r="A473" s="50">
        <v>45097</v>
      </c>
      <c r="B473" s="16">
        <v>171</v>
      </c>
      <c r="C473" s="36">
        <v>0.54085648148148147</v>
      </c>
      <c r="D473" s="16" t="s">
        <v>97</v>
      </c>
      <c r="E473" s="14" t="s">
        <v>70</v>
      </c>
      <c r="F473" s="16" t="s">
        <v>8011</v>
      </c>
      <c r="G473" s="16" t="s">
        <v>982</v>
      </c>
      <c r="H473" s="14">
        <v>0.216</v>
      </c>
      <c r="I473" s="14" t="s">
        <v>8572</v>
      </c>
      <c r="J473" s="14" t="s">
        <v>8573</v>
      </c>
      <c r="K473" s="14" t="s">
        <v>8574</v>
      </c>
      <c r="L473" s="14" t="s">
        <v>8579</v>
      </c>
      <c r="O473" s="14" t="s">
        <v>8575</v>
      </c>
      <c r="P473" s="14" t="s">
        <v>8576</v>
      </c>
      <c r="Q473" s="14">
        <v>421355.35</v>
      </c>
      <c r="R473" s="14">
        <v>6185110.3099999996</v>
      </c>
      <c r="S473" s="14" t="s">
        <v>8577</v>
      </c>
      <c r="T473" s="14" t="s">
        <v>8578</v>
      </c>
      <c r="U473" s="14">
        <v>421374.34</v>
      </c>
      <c r="V473" s="14">
        <v>6185104.6799999997</v>
      </c>
      <c r="W473" s="14">
        <v>179.35</v>
      </c>
      <c r="X473" s="14">
        <v>200.06</v>
      </c>
    </row>
    <row r="474" spans="1:24" s="14" customFormat="1" x14ac:dyDescent="0.25">
      <c r="A474" s="50">
        <v>45097</v>
      </c>
      <c r="B474" s="16">
        <v>171</v>
      </c>
      <c r="C474" s="36">
        <v>0.54219907407407408</v>
      </c>
      <c r="D474" s="16" t="s">
        <v>97</v>
      </c>
      <c r="E474" s="14" t="s">
        <v>8171</v>
      </c>
      <c r="F474" s="16" t="s">
        <v>8011</v>
      </c>
      <c r="G474" s="16" t="s">
        <v>982</v>
      </c>
      <c r="H474" s="14">
        <v>0.22600000000000001</v>
      </c>
      <c r="O474" s="14" t="s">
        <v>8580</v>
      </c>
      <c r="P474" s="14" t="s">
        <v>8581</v>
      </c>
      <c r="Q474" s="14">
        <v>421354.97</v>
      </c>
      <c r="R474" s="14">
        <v>6185089.9500000002</v>
      </c>
      <c r="S474" s="14" t="s">
        <v>8582</v>
      </c>
      <c r="T474" s="14" t="s">
        <v>8583</v>
      </c>
      <c r="U474" s="14">
        <v>421373.55</v>
      </c>
      <c r="V474" s="14">
        <v>6185089.5499999998</v>
      </c>
      <c r="W474" s="14">
        <v>88.51</v>
      </c>
      <c r="X474" s="14">
        <v>200.06</v>
      </c>
    </row>
    <row r="475" spans="1:24" s="14" customFormat="1" x14ac:dyDescent="0.25">
      <c r="A475" s="50">
        <v>45097</v>
      </c>
      <c r="B475" s="16">
        <v>171</v>
      </c>
      <c r="C475" s="36">
        <v>0.54562500000000003</v>
      </c>
      <c r="D475" s="16" t="s">
        <v>97</v>
      </c>
      <c r="E475" s="14" t="s">
        <v>8176</v>
      </c>
      <c r="F475" s="16" t="s">
        <v>8011</v>
      </c>
      <c r="G475" s="16" t="s">
        <v>982</v>
      </c>
      <c r="H475" s="14">
        <v>-1.145</v>
      </c>
      <c r="O475" s="14" t="s">
        <v>8584</v>
      </c>
      <c r="P475" s="14" t="s">
        <v>8585</v>
      </c>
      <c r="Q475" s="14">
        <v>421355.43</v>
      </c>
      <c r="R475" s="14">
        <v>6185089.8600000003</v>
      </c>
      <c r="S475" s="14" t="s">
        <v>8586</v>
      </c>
      <c r="T475" s="14" t="s">
        <v>8587</v>
      </c>
      <c r="U475" s="14">
        <v>421366.91</v>
      </c>
      <c r="V475" s="14">
        <v>6185086.4800000004</v>
      </c>
      <c r="W475" s="14">
        <v>86.39</v>
      </c>
      <c r="X475" s="14">
        <v>150.05000000000001</v>
      </c>
    </row>
    <row r="476" spans="1:24" s="14" customFormat="1" x14ac:dyDescent="0.25">
      <c r="A476" s="50">
        <v>45097</v>
      </c>
      <c r="B476" s="16">
        <v>171</v>
      </c>
      <c r="C476" s="36">
        <v>0.54759259259259252</v>
      </c>
      <c r="D476" s="16" t="s">
        <v>97</v>
      </c>
      <c r="E476" s="14" t="s">
        <v>8364</v>
      </c>
      <c r="F476" s="16" t="s">
        <v>8011</v>
      </c>
      <c r="G476" s="16" t="s">
        <v>982</v>
      </c>
      <c r="H476" s="14">
        <v>-1.1479999999999999</v>
      </c>
      <c r="O476" s="14" t="s">
        <v>8589</v>
      </c>
      <c r="P476" s="14" t="s">
        <v>8590</v>
      </c>
      <c r="Q476" s="14">
        <v>421355.46</v>
      </c>
      <c r="R476" s="14">
        <v>6185089.9100000001</v>
      </c>
      <c r="S476" s="14" t="s">
        <v>8591</v>
      </c>
      <c r="T476" s="14" t="s">
        <v>8592</v>
      </c>
      <c r="U476" s="14">
        <v>421366</v>
      </c>
      <c r="V476" s="14">
        <v>6185088.6500000004</v>
      </c>
      <c r="W476" s="14">
        <v>83.8</v>
      </c>
      <c r="X476" s="14">
        <v>150.05000000000001</v>
      </c>
    </row>
    <row r="477" spans="1:24" s="14" customFormat="1" x14ac:dyDescent="0.25">
      <c r="A477" s="50">
        <v>45097</v>
      </c>
      <c r="B477" s="16">
        <v>171</v>
      </c>
      <c r="C477" s="36">
        <v>0.54761574074074071</v>
      </c>
      <c r="D477" s="16" t="s">
        <v>97</v>
      </c>
      <c r="E477" s="14" t="s">
        <v>8588</v>
      </c>
      <c r="F477" s="16" t="s">
        <v>1098</v>
      </c>
      <c r="G477" s="16" t="s">
        <v>1519</v>
      </c>
      <c r="H477" s="14">
        <v>-1.147</v>
      </c>
      <c r="O477" s="14" t="s">
        <v>8593</v>
      </c>
      <c r="P477" s="14" t="s">
        <v>8594</v>
      </c>
      <c r="Q477" s="14">
        <v>421355.5</v>
      </c>
      <c r="R477" s="14">
        <v>6185089.9299999997</v>
      </c>
      <c r="S477" s="14" t="s">
        <v>8595</v>
      </c>
      <c r="T477" s="14" t="s">
        <v>8596</v>
      </c>
      <c r="U477" s="14">
        <v>421366.04</v>
      </c>
      <c r="V477" s="14">
        <v>6185088.6299999999</v>
      </c>
      <c r="W477" s="14">
        <v>83.96</v>
      </c>
      <c r="X477" s="14">
        <v>150.05000000000001</v>
      </c>
    </row>
    <row r="478" spans="1:24" s="14" customFormat="1" x14ac:dyDescent="0.25">
      <c r="A478" s="50">
        <v>45097</v>
      </c>
      <c r="B478" s="16">
        <v>171</v>
      </c>
      <c r="C478" s="36">
        <v>0.55966435185185182</v>
      </c>
      <c r="D478" s="16" t="s">
        <v>97</v>
      </c>
      <c r="E478" s="14" t="s">
        <v>8597</v>
      </c>
      <c r="F478" s="16" t="s">
        <v>1098</v>
      </c>
      <c r="G478" s="16" t="s">
        <v>1519</v>
      </c>
      <c r="H478" s="14">
        <v>-3.5999999999999997E-2</v>
      </c>
      <c r="O478" s="14" t="s">
        <v>8598</v>
      </c>
      <c r="P478" s="14" t="s">
        <v>8599</v>
      </c>
      <c r="Q478" s="14">
        <v>419832.47</v>
      </c>
      <c r="R478" s="14">
        <v>6183979.9299999997</v>
      </c>
      <c r="S478" s="14" t="s">
        <v>8600</v>
      </c>
      <c r="T478" s="14" t="s">
        <v>8601</v>
      </c>
      <c r="U478" s="14">
        <v>419843.47</v>
      </c>
      <c r="V478" s="14">
        <v>6183977.8200000003</v>
      </c>
      <c r="W478" s="14">
        <v>84.6</v>
      </c>
      <c r="X478" s="14">
        <v>150.05000000000001</v>
      </c>
    </row>
    <row r="479" spans="1:24" s="68" customFormat="1" x14ac:dyDescent="0.25">
      <c r="A479" s="65">
        <v>45097</v>
      </c>
      <c r="B479" s="66">
        <v>171</v>
      </c>
      <c r="C479" s="67">
        <v>0.56137731481481479</v>
      </c>
      <c r="D479" s="66" t="s">
        <v>97</v>
      </c>
      <c r="E479" s="68" t="s">
        <v>8607</v>
      </c>
      <c r="F479" s="66" t="s">
        <v>1098</v>
      </c>
      <c r="G479" s="66" t="s">
        <v>1519</v>
      </c>
      <c r="H479" s="68">
        <v>-4.4999999999999998E-2</v>
      </c>
      <c r="M479" s="68" t="s">
        <v>8602</v>
      </c>
      <c r="O479" s="68" t="s">
        <v>8603</v>
      </c>
      <c r="P479" s="68" t="s">
        <v>8604</v>
      </c>
      <c r="Q479" s="68">
        <v>419832.27</v>
      </c>
      <c r="R479" s="68">
        <v>6183980.0199999996</v>
      </c>
      <c r="S479" s="68" t="s">
        <v>8605</v>
      </c>
      <c r="T479" s="68" t="s">
        <v>8606</v>
      </c>
      <c r="U479" s="68">
        <v>419846.44</v>
      </c>
      <c r="V479" s="68">
        <v>6183985.1799999997</v>
      </c>
      <c r="W479" s="68">
        <v>68.900000000000006</v>
      </c>
      <c r="X479" s="68">
        <v>150.05000000000001</v>
      </c>
    </row>
    <row r="480" spans="1:24" s="14" customFormat="1" x14ac:dyDescent="0.25">
      <c r="A480" s="50">
        <v>45097</v>
      </c>
      <c r="B480" s="16">
        <v>171</v>
      </c>
      <c r="C480" s="36">
        <v>0.56383101851851858</v>
      </c>
      <c r="D480" s="16" t="s">
        <v>97</v>
      </c>
      <c r="E480" s="14" t="s">
        <v>65</v>
      </c>
      <c r="F480" s="16" t="s">
        <v>1098</v>
      </c>
      <c r="G480" s="16" t="s">
        <v>1519</v>
      </c>
      <c r="H480" s="14">
        <v>-5.0000000000000001E-3</v>
      </c>
      <c r="I480" s="14" t="s">
        <v>8612</v>
      </c>
      <c r="J480" s="14" t="s">
        <v>8613</v>
      </c>
      <c r="K480" s="14" t="s">
        <v>8614</v>
      </c>
      <c r="L480" s="14" t="s">
        <v>8615</v>
      </c>
      <c r="O480" s="14" t="s">
        <v>8608</v>
      </c>
      <c r="P480" s="14" t="s">
        <v>8609</v>
      </c>
      <c r="Q480" s="14">
        <v>419832.16</v>
      </c>
      <c r="R480" s="14">
        <v>6183952.5599999996</v>
      </c>
      <c r="S480" s="14" t="s">
        <v>8610</v>
      </c>
      <c r="T480" s="14" t="s">
        <v>8611</v>
      </c>
      <c r="U480" s="14">
        <v>419853.54</v>
      </c>
      <c r="V480" s="14">
        <v>6183952.3300000001</v>
      </c>
      <c r="W480" s="14">
        <v>179.91</v>
      </c>
      <c r="X480" s="14">
        <v>150.05000000000001</v>
      </c>
    </row>
    <row r="481" spans="1:24" s="14" customFormat="1" x14ac:dyDescent="0.25">
      <c r="A481" s="50">
        <v>45097</v>
      </c>
      <c r="B481" s="16">
        <v>171</v>
      </c>
      <c r="C481" s="36">
        <v>0.56775462962962964</v>
      </c>
      <c r="D481" s="16" t="s">
        <v>97</v>
      </c>
      <c r="E481" s="14" t="s">
        <v>70</v>
      </c>
      <c r="F481" s="16" t="s">
        <v>1098</v>
      </c>
      <c r="G481" s="16" t="s">
        <v>1519</v>
      </c>
      <c r="H481" s="14">
        <v>0.16900000000000001</v>
      </c>
      <c r="I481" s="14" t="s">
        <v>8612</v>
      </c>
      <c r="J481" s="14" t="s">
        <v>8613</v>
      </c>
      <c r="K481" s="14" t="s">
        <v>8614</v>
      </c>
      <c r="L481" s="14" t="s">
        <v>8615</v>
      </c>
      <c r="O481" s="14" t="s">
        <v>8616</v>
      </c>
      <c r="P481" s="14" t="s">
        <v>8617</v>
      </c>
      <c r="Q481" s="14">
        <v>419831.99</v>
      </c>
      <c r="R481" s="14">
        <v>6183778.1399999997</v>
      </c>
      <c r="S481" s="14" t="s">
        <v>8618</v>
      </c>
      <c r="T481" s="14" t="s">
        <v>8619</v>
      </c>
      <c r="U481" s="14">
        <v>419853.47</v>
      </c>
      <c r="V481" s="14">
        <v>6183778.8899999997</v>
      </c>
      <c r="W481" s="14">
        <v>179.03</v>
      </c>
      <c r="X481" s="14">
        <v>150.05000000000001</v>
      </c>
    </row>
    <row r="482" spans="1:24" s="14" customFormat="1" x14ac:dyDescent="0.25">
      <c r="A482" s="50">
        <v>45097</v>
      </c>
      <c r="B482" s="16">
        <v>171</v>
      </c>
      <c r="C482" s="36">
        <v>0.57076388888888896</v>
      </c>
      <c r="D482" s="16" t="s">
        <v>97</v>
      </c>
      <c r="E482" s="14" t="s">
        <v>65</v>
      </c>
      <c r="F482" s="16" t="s">
        <v>1098</v>
      </c>
      <c r="G482" s="16" t="s">
        <v>1518</v>
      </c>
      <c r="H482" s="14">
        <v>0.14699999999999999</v>
      </c>
      <c r="I482" s="14" t="s">
        <v>8624</v>
      </c>
      <c r="J482" s="14" t="s">
        <v>8625</v>
      </c>
      <c r="K482" s="14" t="s">
        <v>8626</v>
      </c>
      <c r="L482" s="14" t="s">
        <v>8627</v>
      </c>
      <c r="O482" s="14" t="s">
        <v>8620</v>
      </c>
      <c r="P482" s="14" t="s">
        <v>8621</v>
      </c>
      <c r="Q482" s="14">
        <v>419822.98</v>
      </c>
      <c r="R482" s="14">
        <v>6183794.46</v>
      </c>
      <c r="S482" s="14" t="s">
        <v>8622</v>
      </c>
      <c r="T482" s="14" t="s">
        <v>8623</v>
      </c>
      <c r="U482" s="14">
        <v>419844.33</v>
      </c>
      <c r="V482" s="14">
        <v>6183788.9800000004</v>
      </c>
      <c r="W482" s="14">
        <v>0.68</v>
      </c>
      <c r="X482" s="14">
        <v>150.05000000000001</v>
      </c>
    </row>
    <row r="483" spans="1:24" s="163" customFormat="1" x14ac:dyDescent="0.25">
      <c r="A483" s="50">
        <v>45097</v>
      </c>
      <c r="B483" s="164">
        <v>171</v>
      </c>
      <c r="C483" s="36">
        <v>0.57076388888888896</v>
      </c>
      <c r="D483" s="164" t="s">
        <v>97</v>
      </c>
      <c r="E483" s="163" t="s">
        <v>21169</v>
      </c>
      <c r="F483" s="164" t="s">
        <v>1098</v>
      </c>
      <c r="G483" s="164" t="s">
        <v>1518</v>
      </c>
    </row>
    <row r="484" spans="1:24" s="14" customFormat="1" x14ac:dyDescent="0.25">
      <c r="A484" s="50">
        <v>45097</v>
      </c>
      <c r="B484" s="16">
        <v>171</v>
      </c>
      <c r="C484" s="36">
        <v>0.57407407407407407</v>
      </c>
      <c r="D484" s="16" t="s">
        <v>97</v>
      </c>
      <c r="E484" s="14" t="s">
        <v>70</v>
      </c>
      <c r="F484" s="16" t="s">
        <v>1098</v>
      </c>
      <c r="G484" s="16" t="s">
        <v>1518</v>
      </c>
      <c r="H484" s="14">
        <v>-2.5999999999999999E-2</v>
      </c>
      <c r="I484" s="14" t="s">
        <v>8624</v>
      </c>
      <c r="J484" s="14" t="s">
        <v>8625</v>
      </c>
      <c r="K484" s="14" t="s">
        <v>8626</v>
      </c>
      <c r="L484" s="14" t="s">
        <v>8627</v>
      </c>
      <c r="O484" s="14" t="s">
        <v>8628</v>
      </c>
      <c r="P484" s="14" t="s">
        <v>8629</v>
      </c>
      <c r="Q484" s="14">
        <v>419822.89</v>
      </c>
      <c r="R484" s="14">
        <v>6183968.0899999999</v>
      </c>
      <c r="S484" s="14" t="s">
        <v>8630</v>
      </c>
      <c r="T484" s="14" t="s">
        <v>8631</v>
      </c>
      <c r="U484" s="14">
        <v>419844.52</v>
      </c>
      <c r="V484" s="14">
        <v>6183962.7699999996</v>
      </c>
      <c r="W484" s="14">
        <v>356.13</v>
      </c>
      <c r="X484" s="14">
        <v>150.05000000000001</v>
      </c>
    </row>
    <row r="485" spans="1:24" s="14" customFormat="1" x14ac:dyDescent="0.25">
      <c r="A485" s="50">
        <v>45097</v>
      </c>
      <c r="B485" s="16">
        <v>171</v>
      </c>
      <c r="C485" s="36">
        <v>0.57667824074074081</v>
      </c>
      <c r="D485" s="16" t="s">
        <v>97</v>
      </c>
      <c r="E485" s="14" t="s">
        <v>65</v>
      </c>
      <c r="F485" s="16" t="s">
        <v>1098</v>
      </c>
      <c r="G485" s="16" t="s">
        <v>1517</v>
      </c>
      <c r="H485" s="14">
        <v>-1.4E-2</v>
      </c>
      <c r="I485" s="14" t="s">
        <v>8636</v>
      </c>
      <c r="J485" s="14" t="s">
        <v>8637</v>
      </c>
      <c r="K485" s="14" t="s">
        <v>8638</v>
      </c>
      <c r="L485" s="14" t="s">
        <v>8627</v>
      </c>
      <c r="O485" s="14" t="s">
        <v>8632</v>
      </c>
      <c r="P485" s="14" t="s">
        <v>8633</v>
      </c>
      <c r="Q485" s="14">
        <v>419815.17</v>
      </c>
      <c r="R485" s="14">
        <v>6183963.46</v>
      </c>
      <c r="S485" s="14" t="s">
        <v>8634</v>
      </c>
      <c r="T485" s="14" t="s">
        <v>8635</v>
      </c>
      <c r="U485" s="14">
        <v>419835.48</v>
      </c>
      <c r="V485" s="14">
        <v>6183961.9299999997</v>
      </c>
      <c r="W485" s="14">
        <v>180.68</v>
      </c>
      <c r="X485" s="14">
        <v>150.05000000000001</v>
      </c>
    </row>
    <row r="486" spans="1:24" s="14" customFormat="1" x14ac:dyDescent="0.25">
      <c r="A486" s="50">
        <v>45097</v>
      </c>
      <c r="B486" s="16">
        <v>171</v>
      </c>
      <c r="C486" s="36">
        <v>0.58076388888888886</v>
      </c>
      <c r="D486" s="16" t="s">
        <v>97</v>
      </c>
      <c r="E486" s="14" t="s">
        <v>70</v>
      </c>
      <c r="F486" s="16" t="s">
        <v>1098</v>
      </c>
      <c r="G486" s="16" t="s">
        <v>1517</v>
      </c>
      <c r="H486" s="14">
        <v>0.16500000000000001</v>
      </c>
      <c r="I486" s="14" t="s">
        <v>8636</v>
      </c>
      <c r="J486" s="14" t="s">
        <v>8637</v>
      </c>
      <c r="K486" s="14" t="s">
        <v>8638</v>
      </c>
      <c r="L486" s="14" t="s">
        <v>8643</v>
      </c>
      <c r="O486" s="14" t="s">
        <v>8639</v>
      </c>
      <c r="P486" s="14" t="s">
        <v>8640</v>
      </c>
      <c r="Q486" s="14">
        <v>419815.02</v>
      </c>
      <c r="R486" s="14">
        <v>6183784.1799999997</v>
      </c>
      <c r="S486" s="14" t="s">
        <v>8641</v>
      </c>
      <c r="T486" s="14" t="s">
        <v>8642</v>
      </c>
      <c r="U486" s="14">
        <v>419835.43</v>
      </c>
      <c r="V486" s="14">
        <v>6183782.1600000001</v>
      </c>
      <c r="W486" s="14">
        <v>179.84</v>
      </c>
      <c r="X486" s="14">
        <v>150.05000000000001</v>
      </c>
    </row>
    <row r="487" spans="1:24" s="14" customFormat="1" x14ac:dyDescent="0.25">
      <c r="A487" s="50">
        <v>45097</v>
      </c>
      <c r="B487" s="16">
        <v>171</v>
      </c>
      <c r="C487" s="36">
        <v>0.58344907407407409</v>
      </c>
      <c r="D487" s="16" t="s">
        <v>97</v>
      </c>
      <c r="E487" s="14" t="s">
        <v>65</v>
      </c>
      <c r="F487" s="16" t="s">
        <v>1098</v>
      </c>
      <c r="G487" s="16" t="s">
        <v>1516</v>
      </c>
      <c r="H487" s="14">
        <v>0.161</v>
      </c>
      <c r="I487" s="14" t="s">
        <v>8648</v>
      </c>
      <c r="J487" s="14" t="s">
        <v>8649</v>
      </c>
      <c r="K487" s="14" t="s">
        <v>8650</v>
      </c>
      <c r="L487" s="14" t="s">
        <v>8643</v>
      </c>
      <c r="O487" s="14" t="s">
        <v>8644</v>
      </c>
      <c r="P487" s="14" t="s">
        <v>8645</v>
      </c>
      <c r="Q487" s="14">
        <v>419806.07</v>
      </c>
      <c r="R487" s="14">
        <v>6183769.9400000004</v>
      </c>
      <c r="S487" s="14" t="s">
        <v>8646</v>
      </c>
      <c r="T487" s="14" t="s">
        <v>8647</v>
      </c>
      <c r="U487" s="14">
        <v>419826.51</v>
      </c>
      <c r="V487" s="14">
        <v>6183775.4299999997</v>
      </c>
      <c r="W487" s="14">
        <v>0.12</v>
      </c>
      <c r="X487" s="14">
        <v>150.05000000000001</v>
      </c>
    </row>
    <row r="488" spans="1:24" s="14" customFormat="1" x14ac:dyDescent="0.25">
      <c r="A488" s="50">
        <v>45097</v>
      </c>
      <c r="B488" s="16">
        <v>171</v>
      </c>
      <c r="C488" s="36">
        <v>0.58709490740740744</v>
      </c>
      <c r="D488" s="16" t="s">
        <v>97</v>
      </c>
      <c r="E488" s="14" t="s">
        <v>70</v>
      </c>
      <c r="F488" s="16" t="s">
        <v>1098</v>
      </c>
      <c r="G488" s="16" t="s">
        <v>1516</v>
      </c>
      <c r="H488" s="14">
        <v>-1.9E-2</v>
      </c>
      <c r="I488" s="14" t="s">
        <v>8648</v>
      </c>
      <c r="J488" s="14" t="s">
        <v>8649</v>
      </c>
      <c r="K488" s="14" t="s">
        <v>8650</v>
      </c>
      <c r="L488" s="14" t="s">
        <v>8643</v>
      </c>
      <c r="O488" s="14" t="s">
        <v>8651</v>
      </c>
      <c r="P488" s="14" t="s">
        <v>8652</v>
      </c>
      <c r="Q488" s="14">
        <v>419805.79</v>
      </c>
      <c r="R488" s="14">
        <v>6183955.2800000003</v>
      </c>
      <c r="S488" s="14" t="s">
        <v>8653</v>
      </c>
      <c r="T488" s="14" t="s">
        <v>8654</v>
      </c>
      <c r="U488" s="14">
        <v>419826.5</v>
      </c>
      <c r="V488" s="14">
        <v>6183955.1399999997</v>
      </c>
      <c r="W488" s="14">
        <v>359.29</v>
      </c>
      <c r="X488" s="14">
        <v>150.05000000000001</v>
      </c>
    </row>
    <row r="489" spans="1:24" s="14" customFormat="1" x14ac:dyDescent="0.25">
      <c r="A489" s="50">
        <v>45097</v>
      </c>
      <c r="B489" s="16">
        <v>171</v>
      </c>
      <c r="C489" s="36">
        <v>0.59024305555555556</v>
      </c>
      <c r="D489" s="16" t="s">
        <v>97</v>
      </c>
      <c r="E489" s="14" t="s">
        <v>65</v>
      </c>
      <c r="F489" s="16" t="s">
        <v>1098</v>
      </c>
      <c r="G489" s="16" t="s">
        <v>1515</v>
      </c>
      <c r="H489" s="14">
        <v>-1.2999999999999999E-2</v>
      </c>
      <c r="I489" s="14" t="s">
        <v>8659</v>
      </c>
      <c r="J489" s="14" t="s">
        <v>8660</v>
      </c>
      <c r="K489" s="14" t="s">
        <v>8661</v>
      </c>
      <c r="L489" s="14" t="s">
        <v>8662</v>
      </c>
      <c r="O489" s="14" t="s">
        <v>8655</v>
      </c>
      <c r="P489" s="14" t="s">
        <v>8656</v>
      </c>
      <c r="Q489" s="14">
        <v>419797.16</v>
      </c>
      <c r="R489" s="14">
        <v>6183964.9800000004</v>
      </c>
      <c r="S489" s="14" t="s">
        <v>8657</v>
      </c>
      <c r="T489" s="14" t="s">
        <v>8658</v>
      </c>
      <c r="U489" s="14">
        <v>419817.44</v>
      </c>
      <c r="V489" s="14">
        <v>6183960.6799999997</v>
      </c>
      <c r="W489" s="14">
        <v>179.01</v>
      </c>
      <c r="X489" s="14">
        <v>150.05000000000001</v>
      </c>
    </row>
    <row r="490" spans="1:24" s="14" customFormat="1" x14ac:dyDescent="0.25">
      <c r="A490" s="50">
        <v>45097</v>
      </c>
      <c r="B490" s="16">
        <v>171</v>
      </c>
      <c r="C490" s="36">
        <v>0.59432870370370372</v>
      </c>
      <c r="D490" s="16" t="s">
        <v>97</v>
      </c>
      <c r="E490" s="14" t="s">
        <v>70</v>
      </c>
      <c r="F490" s="16" t="s">
        <v>1098</v>
      </c>
      <c r="G490" s="16" t="s">
        <v>1515</v>
      </c>
      <c r="H490" s="14">
        <v>0.16800000000000001</v>
      </c>
      <c r="I490" s="14" t="s">
        <v>8659</v>
      </c>
      <c r="J490" s="14" t="s">
        <v>8660</v>
      </c>
      <c r="K490" s="14" t="s">
        <v>8661</v>
      </c>
      <c r="L490" s="14" t="s">
        <v>8662</v>
      </c>
      <c r="O490" s="14" t="s">
        <v>8663</v>
      </c>
      <c r="P490" s="14" t="s">
        <v>8664</v>
      </c>
      <c r="Q490" s="14">
        <v>419797.42</v>
      </c>
      <c r="R490" s="14">
        <v>6183784.6900000004</v>
      </c>
      <c r="S490" s="14" t="s">
        <v>8665</v>
      </c>
      <c r="T490" s="14" t="s">
        <v>8666</v>
      </c>
      <c r="U490" s="14">
        <v>419817.43</v>
      </c>
      <c r="V490" s="14">
        <v>6183779.9100000001</v>
      </c>
      <c r="W490" s="14">
        <v>178.43</v>
      </c>
      <c r="X490" s="14">
        <v>150.05000000000001</v>
      </c>
    </row>
    <row r="491" spans="1:24" s="14" customFormat="1" x14ac:dyDescent="0.25">
      <c r="A491" s="50">
        <v>45097</v>
      </c>
      <c r="B491" s="16">
        <v>171</v>
      </c>
      <c r="C491" s="36">
        <v>0.59774305555555551</v>
      </c>
      <c r="D491" s="16" t="s">
        <v>97</v>
      </c>
      <c r="E491" s="14" t="s">
        <v>65</v>
      </c>
      <c r="F491" s="16" t="s">
        <v>1098</v>
      </c>
      <c r="G491" s="16" t="s">
        <v>1514</v>
      </c>
      <c r="H491" s="14">
        <v>0.16400000000000001</v>
      </c>
      <c r="I491" s="14" t="s">
        <v>8671</v>
      </c>
      <c r="J491" s="14" t="s">
        <v>8672</v>
      </c>
      <c r="K491" s="14" t="s">
        <v>8673</v>
      </c>
      <c r="L491" s="14" t="s">
        <v>8662</v>
      </c>
      <c r="O491" s="14" t="s">
        <v>8667</v>
      </c>
      <c r="P491" s="14" t="s">
        <v>8668</v>
      </c>
      <c r="Q491" s="14">
        <v>419788.17</v>
      </c>
      <c r="R491" s="14">
        <v>6183774.4800000004</v>
      </c>
      <c r="S491" s="14" t="s">
        <v>8669</v>
      </c>
      <c r="T491" s="14" t="s">
        <v>8670</v>
      </c>
      <c r="U491" s="14">
        <v>419808.39</v>
      </c>
      <c r="V491" s="14">
        <v>6183772.8700000001</v>
      </c>
      <c r="W491" s="14">
        <v>359.49</v>
      </c>
      <c r="X491" s="14">
        <v>150.05000000000001</v>
      </c>
    </row>
    <row r="492" spans="1:24" s="14" customFormat="1" x14ac:dyDescent="0.25">
      <c r="A492" s="50">
        <v>45097</v>
      </c>
      <c r="B492" s="16">
        <v>171</v>
      </c>
      <c r="C492" s="36">
        <v>0.60130787037037037</v>
      </c>
      <c r="D492" s="16" t="s">
        <v>97</v>
      </c>
      <c r="E492" s="14" t="s">
        <v>70</v>
      </c>
      <c r="F492" s="16" t="s">
        <v>1098</v>
      </c>
      <c r="G492" s="16" t="s">
        <v>1514</v>
      </c>
      <c r="H492" s="14">
        <v>-1.9E-2</v>
      </c>
      <c r="I492" s="14" t="s">
        <v>8671</v>
      </c>
      <c r="J492" s="14" t="s">
        <v>8672</v>
      </c>
      <c r="K492" s="14" t="s">
        <v>8673</v>
      </c>
      <c r="L492" s="14" t="s">
        <v>8678</v>
      </c>
      <c r="O492" s="14" t="s">
        <v>8674</v>
      </c>
      <c r="P492" s="14" t="s">
        <v>8675</v>
      </c>
      <c r="Q492" s="14">
        <v>419788.14</v>
      </c>
      <c r="R492" s="14">
        <v>6183960.5800000001</v>
      </c>
      <c r="S492" s="14" t="s">
        <v>8676</v>
      </c>
      <c r="T492" s="14" t="s">
        <v>8677</v>
      </c>
      <c r="U492" s="14">
        <v>419808.52</v>
      </c>
      <c r="V492" s="14">
        <v>6183955.3300000001</v>
      </c>
      <c r="W492" s="14">
        <v>358.65</v>
      </c>
      <c r="X492" s="14">
        <v>150.05000000000001</v>
      </c>
    </row>
    <row r="493" spans="1:24" s="14" customFormat="1" x14ac:dyDescent="0.25">
      <c r="A493" s="50">
        <v>45097</v>
      </c>
      <c r="B493" s="16">
        <v>171</v>
      </c>
      <c r="C493" s="36">
        <v>0.60490740740740734</v>
      </c>
      <c r="D493" s="16" t="s">
        <v>97</v>
      </c>
      <c r="E493" s="14" t="s">
        <v>65</v>
      </c>
      <c r="F493" s="16" t="s">
        <v>1098</v>
      </c>
      <c r="G493" s="16" t="s">
        <v>1508</v>
      </c>
      <c r="H493" s="14">
        <v>-1.4E-2</v>
      </c>
      <c r="I493" s="14" t="s">
        <v>8683</v>
      </c>
      <c r="J493" s="14" t="s">
        <v>8684</v>
      </c>
      <c r="K493" s="14" t="s">
        <v>8685</v>
      </c>
      <c r="L493" s="14" t="s">
        <v>8678</v>
      </c>
      <c r="O493" s="14" t="s">
        <v>8679</v>
      </c>
      <c r="P493" s="14" t="s">
        <v>8680</v>
      </c>
      <c r="Q493" s="14">
        <v>419779.4</v>
      </c>
      <c r="R493" s="14">
        <v>6183966.5999999996</v>
      </c>
      <c r="S493" s="14" t="s">
        <v>8681</v>
      </c>
      <c r="T493" s="14" t="s">
        <v>8682</v>
      </c>
      <c r="U493" s="14">
        <v>419799.39</v>
      </c>
      <c r="V493" s="14">
        <v>6183961.3799999999</v>
      </c>
      <c r="W493" s="14">
        <v>178.7</v>
      </c>
      <c r="X493" s="14">
        <v>150.05000000000001</v>
      </c>
    </row>
    <row r="494" spans="1:24" s="14" customFormat="1" x14ac:dyDescent="0.25">
      <c r="A494" s="50">
        <v>45097</v>
      </c>
      <c r="B494" s="16">
        <v>171</v>
      </c>
      <c r="C494" s="36">
        <v>0.60903935185185187</v>
      </c>
      <c r="D494" s="16" t="s">
        <v>97</v>
      </c>
      <c r="E494" s="14" t="s">
        <v>70</v>
      </c>
      <c r="F494" s="16" t="s">
        <v>1098</v>
      </c>
      <c r="G494" s="16" t="s">
        <v>1508</v>
      </c>
      <c r="H494" s="14">
        <v>0.16900000000000001</v>
      </c>
      <c r="I494" s="14" t="s">
        <v>8683</v>
      </c>
      <c r="J494" s="14" t="s">
        <v>8684</v>
      </c>
      <c r="K494" s="14" t="s">
        <v>8685</v>
      </c>
      <c r="L494" s="14" t="s">
        <v>8678</v>
      </c>
      <c r="O494" s="14" t="s">
        <v>8686</v>
      </c>
      <c r="P494" s="14" t="s">
        <v>8687</v>
      </c>
      <c r="Q494" s="14">
        <v>419778.94</v>
      </c>
      <c r="R494" s="14">
        <v>6183783.6200000001</v>
      </c>
      <c r="S494" s="14" t="s">
        <v>8688</v>
      </c>
      <c r="T494" s="14" t="s">
        <v>8689</v>
      </c>
      <c r="U494" s="14">
        <v>419799.36</v>
      </c>
      <c r="V494" s="14">
        <v>6183778.7000000002</v>
      </c>
      <c r="W494" s="14">
        <v>178.76</v>
      </c>
      <c r="X494" s="14">
        <v>150.05000000000001</v>
      </c>
    </row>
    <row r="495" spans="1:24" s="14" customFormat="1" x14ac:dyDescent="0.25">
      <c r="A495" s="50">
        <v>45097</v>
      </c>
      <c r="B495" s="16">
        <v>171</v>
      </c>
      <c r="C495" s="36">
        <v>0.61192129629629632</v>
      </c>
      <c r="D495" s="16" t="s">
        <v>97</v>
      </c>
      <c r="E495" s="14" t="s">
        <v>65</v>
      </c>
      <c r="F495" s="16" t="s">
        <v>1098</v>
      </c>
      <c r="G495" s="16" t="s">
        <v>1509</v>
      </c>
      <c r="H495" s="14">
        <v>0.161</v>
      </c>
      <c r="I495" s="14" t="s">
        <v>8694</v>
      </c>
      <c r="J495" s="14" t="s">
        <v>8695</v>
      </c>
      <c r="K495" s="14" t="s">
        <v>8696</v>
      </c>
      <c r="L495" s="14" t="s">
        <v>8697</v>
      </c>
      <c r="O495" s="14" t="s">
        <v>8690</v>
      </c>
      <c r="P495" s="14" t="s">
        <v>8691</v>
      </c>
      <c r="Q495" s="14">
        <v>419769.91</v>
      </c>
      <c r="R495" s="14">
        <v>6183777.4800000004</v>
      </c>
      <c r="S495" s="14" t="s">
        <v>8692</v>
      </c>
      <c r="T495" s="14" t="s">
        <v>8693</v>
      </c>
      <c r="U495" s="14">
        <v>419790.4</v>
      </c>
      <c r="V495" s="14">
        <v>6183775.5999999996</v>
      </c>
      <c r="W495" s="14">
        <v>0.43</v>
      </c>
      <c r="X495" s="14">
        <v>150.05000000000001</v>
      </c>
    </row>
    <row r="496" spans="1:24" s="14" customFormat="1" x14ac:dyDescent="0.25">
      <c r="A496" s="50">
        <v>45097</v>
      </c>
      <c r="B496" s="16">
        <v>171</v>
      </c>
      <c r="C496" s="36">
        <v>0.61540509259259257</v>
      </c>
      <c r="D496" s="16" t="s">
        <v>97</v>
      </c>
      <c r="E496" s="14" t="s">
        <v>70</v>
      </c>
      <c r="F496" s="16" t="s">
        <v>1098</v>
      </c>
      <c r="G496" s="16" t="s">
        <v>1509</v>
      </c>
      <c r="H496" s="14">
        <v>-1.7999999999999999E-2</v>
      </c>
      <c r="I496" s="14" t="s">
        <v>8694</v>
      </c>
      <c r="J496" s="14" t="s">
        <v>8695</v>
      </c>
      <c r="K496" s="14" t="s">
        <v>8696</v>
      </c>
      <c r="L496" s="14" t="s">
        <v>8697</v>
      </c>
      <c r="O496" s="14" t="s">
        <v>8698</v>
      </c>
      <c r="P496" s="14" t="s">
        <v>8699</v>
      </c>
      <c r="Q496" s="14">
        <v>419770.3</v>
      </c>
      <c r="R496" s="14">
        <v>6183959.4000000004</v>
      </c>
      <c r="S496" s="14" t="s">
        <v>8700</v>
      </c>
      <c r="T496" s="14" t="s">
        <v>8701</v>
      </c>
      <c r="U496" s="14">
        <v>419790.44</v>
      </c>
      <c r="V496" s="14">
        <v>6183954.7300000004</v>
      </c>
      <c r="W496" s="14">
        <v>359.07</v>
      </c>
      <c r="X496" s="14">
        <v>150.05000000000001</v>
      </c>
    </row>
    <row r="497" spans="1:24" s="14" customFormat="1" x14ac:dyDescent="0.25">
      <c r="A497" s="50">
        <v>45097</v>
      </c>
      <c r="B497" s="16">
        <v>171</v>
      </c>
      <c r="C497" s="36">
        <v>0.61875000000000002</v>
      </c>
      <c r="D497" s="16" t="s">
        <v>97</v>
      </c>
      <c r="E497" s="14" t="s">
        <v>65</v>
      </c>
      <c r="F497" s="16" t="s">
        <v>1098</v>
      </c>
      <c r="G497" s="16" t="s">
        <v>1510</v>
      </c>
      <c r="H497" s="14">
        <v>-1.7000000000000001E-2</v>
      </c>
      <c r="I497" s="14" t="s">
        <v>8706</v>
      </c>
      <c r="J497" s="14" t="s">
        <v>8707</v>
      </c>
      <c r="K497" s="14" t="s">
        <v>8708</v>
      </c>
      <c r="L497" s="14" t="s">
        <v>8697</v>
      </c>
      <c r="O497" s="14" t="s">
        <v>8702</v>
      </c>
      <c r="P497" s="14" t="s">
        <v>8703</v>
      </c>
      <c r="Q497" s="14">
        <v>419761.3</v>
      </c>
      <c r="R497" s="14">
        <v>6183962.79</v>
      </c>
      <c r="S497" s="14" t="s">
        <v>8704</v>
      </c>
      <c r="T497" s="14" t="s">
        <v>8705</v>
      </c>
      <c r="U497" s="14">
        <v>419781.59</v>
      </c>
      <c r="V497" s="14">
        <v>6183964.6200000001</v>
      </c>
      <c r="W497" s="14">
        <v>181.41</v>
      </c>
      <c r="X497" s="14">
        <v>150.05000000000001</v>
      </c>
    </row>
    <row r="498" spans="1:24" s="14" customFormat="1" x14ac:dyDescent="0.25">
      <c r="A498" s="50">
        <v>45097</v>
      </c>
      <c r="B498" s="16">
        <v>171</v>
      </c>
      <c r="C498" s="36">
        <v>0.62283564814814818</v>
      </c>
      <c r="D498" s="16" t="s">
        <v>97</v>
      </c>
      <c r="E498" s="14" t="s">
        <v>70</v>
      </c>
      <c r="F498" s="16" t="s">
        <v>1098</v>
      </c>
      <c r="G498" s="16" t="s">
        <v>1510</v>
      </c>
      <c r="H498" s="14">
        <v>0.16700000000000001</v>
      </c>
      <c r="I498" s="14" t="s">
        <v>8706</v>
      </c>
      <c r="J498" s="14" t="s">
        <v>8707</v>
      </c>
      <c r="K498" s="14" t="s">
        <v>8708</v>
      </c>
      <c r="L498" s="14" t="s">
        <v>8713</v>
      </c>
      <c r="O498" s="14" t="s">
        <v>8709</v>
      </c>
      <c r="P498" s="14" t="s">
        <v>8710</v>
      </c>
      <c r="Q498" s="14">
        <v>419760.85</v>
      </c>
      <c r="R498" s="14">
        <v>6183781.9199999999</v>
      </c>
      <c r="S498" s="14" t="s">
        <v>8711</v>
      </c>
      <c r="T498" s="14" t="s">
        <v>8712</v>
      </c>
      <c r="U498" s="14">
        <v>419781.43</v>
      </c>
      <c r="V498" s="14">
        <v>6183780.8799999999</v>
      </c>
      <c r="W498" s="14">
        <v>179.01</v>
      </c>
      <c r="X498" s="14">
        <v>150.05000000000001</v>
      </c>
    </row>
    <row r="499" spans="1:24" s="14" customFormat="1" x14ac:dyDescent="0.25">
      <c r="A499" s="50">
        <v>45097</v>
      </c>
      <c r="B499" s="16">
        <v>171</v>
      </c>
      <c r="C499" s="36">
        <v>0.62545138888888896</v>
      </c>
      <c r="D499" s="16" t="s">
        <v>97</v>
      </c>
      <c r="E499" s="14" t="s">
        <v>65</v>
      </c>
      <c r="F499" s="16" t="s">
        <v>1098</v>
      </c>
      <c r="G499" s="16" t="s">
        <v>1511</v>
      </c>
      <c r="H499" s="14">
        <v>0.16400000000000001</v>
      </c>
      <c r="I499" s="14" t="s">
        <v>8718</v>
      </c>
      <c r="J499" s="14" t="s">
        <v>8719</v>
      </c>
      <c r="K499" s="14" t="s">
        <v>8720</v>
      </c>
      <c r="L499" s="14" t="s">
        <v>8713</v>
      </c>
      <c r="O499" s="14" t="s">
        <v>8714</v>
      </c>
      <c r="P499" s="14" t="s">
        <v>8715</v>
      </c>
      <c r="Q499" s="14">
        <v>419751.79</v>
      </c>
      <c r="R499" s="14">
        <v>6183773.0499999998</v>
      </c>
      <c r="S499" s="14" t="s">
        <v>8716</v>
      </c>
      <c r="T499" s="14" t="s">
        <v>8717</v>
      </c>
      <c r="U499" s="14">
        <v>419772.39</v>
      </c>
      <c r="V499" s="14">
        <v>6183772.8899999997</v>
      </c>
      <c r="W499" s="14">
        <v>359.94</v>
      </c>
      <c r="X499" s="14">
        <v>150.05000000000001</v>
      </c>
    </row>
    <row r="500" spans="1:24" s="14" customFormat="1" x14ac:dyDescent="0.25">
      <c r="A500" s="50">
        <v>45097</v>
      </c>
      <c r="B500" s="16">
        <v>171</v>
      </c>
      <c r="C500" s="36">
        <v>0.62894675925925925</v>
      </c>
      <c r="D500" s="16" t="s">
        <v>97</v>
      </c>
      <c r="E500" s="14" t="s">
        <v>70</v>
      </c>
      <c r="F500" s="16" t="s">
        <v>1098</v>
      </c>
      <c r="G500" s="16" t="s">
        <v>1511</v>
      </c>
      <c r="H500" s="14">
        <v>-1.9E-2</v>
      </c>
      <c r="I500" s="14" t="s">
        <v>8718</v>
      </c>
      <c r="J500" s="14" t="s">
        <v>8719</v>
      </c>
      <c r="K500" s="14" t="s">
        <v>8720</v>
      </c>
      <c r="L500" s="14" t="s">
        <v>8713</v>
      </c>
      <c r="O500" s="14" t="s">
        <v>8721</v>
      </c>
      <c r="P500" s="14" t="s">
        <v>8722</v>
      </c>
      <c r="Q500" s="14">
        <v>419752.19</v>
      </c>
      <c r="R500" s="14">
        <v>6183956.0099999998</v>
      </c>
      <c r="S500" s="14" t="s">
        <v>8723</v>
      </c>
      <c r="T500" s="14" t="s">
        <v>8724</v>
      </c>
      <c r="U500" s="14">
        <v>419772.52</v>
      </c>
      <c r="V500" s="14">
        <v>6183955.2999999998</v>
      </c>
      <c r="W500" s="14">
        <v>358.78</v>
      </c>
      <c r="X500" s="14">
        <v>150.05000000000001</v>
      </c>
    </row>
    <row r="501" spans="1:24" s="14" customFormat="1" x14ac:dyDescent="0.25">
      <c r="A501" s="50">
        <v>45097</v>
      </c>
      <c r="B501" s="16">
        <v>171</v>
      </c>
      <c r="C501" s="36">
        <v>0.63277777777777777</v>
      </c>
      <c r="D501" s="16" t="s">
        <v>97</v>
      </c>
      <c r="E501" s="14" t="s">
        <v>65</v>
      </c>
      <c r="F501" s="16" t="s">
        <v>1098</v>
      </c>
      <c r="G501" s="16" t="s">
        <v>1512</v>
      </c>
      <c r="H501" s="14">
        <v>-1.4E-2</v>
      </c>
      <c r="I501" s="14" t="s">
        <v>8729</v>
      </c>
      <c r="J501" s="14" t="s">
        <v>8730</v>
      </c>
      <c r="K501" s="14" t="s">
        <v>8731</v>
      </c>
      <c r="L501" s="14" t="s">
        <v>8732</v>
      </c>
      <c r="O501" s="14" t="s">
        <v>8725</v>
      </c>
      <c r="P501" s="14" t="s">
        <v>8726</v>
      </c>
      <c r="Q501" s="14">
        <v>419743.33</v>
      </c>
      <c r="R501" s="14">
        <v>6183958.79</v>
      </c>
      <c r="S501" s="14" t="s">
        <v>8727</v>
      </c>
      <c r="T501" s="14" t="s">
        <v>8728</v>
      </c>
      <c r="U501" s="14">
        <v>419763.51</v>
      </c>
      <c r="V501" s="14">
        <v>6183961.4299999997</v>
      </c>
      <c r="W501" s="14">
        <v>180.27</v>
      </c>
      <c r="X501" s="14">
        <v>150.05000000000001</v>
      </c>
    </row>
    <row r="502" spans="1:24" s="14" customFormat="1" x14ac:dyDescent="0.25">
      <c r="A502" s="50">
        <v>45097</v>
      </c>
      <c r="B502" s="16">
        <v>171</v>
      </c>
      <c r="C502" s="36">
        <v>0.63692129629629635</v>
      </c>
      <c r="D502" s="16" t="s">
        <v>97</v>
      </c>
      <c r="E502" s="14" t="s">
        <v>70</v>
      </c>
      <c r="F502" s="16" t="s">
        <v>1098</v>
      </c>
      <c r="G502" s="16" t="s">
        <v>1512</v>
      </c>
      <c r="H502" s="14">
        <v>0.17100000000000001</v>
      </c>
      <c r="I502" s="14" t="s">
        <v>8729</v>
      </c>
      <c r="J502" s="14" t="s">
        <v>8730</v>
      </c>
      <c r="K502" s="14" t="s">
        <v>8731</v>
      </c>
      <c r="L502" s="14" t="s">
        <v>8732</v>
      </c>
      <c r="O502" s="14" t="s">
        <v>8733</v>
      </c>
      <c r="P502" s="14" t="s">
        <v>8734</v>
      </c>
      <c r="Q502" s="14">
        <v>419743.13</v>
      </c>
      <c r="R502" s="14">
        <v>6183775.0499999998</v>
      </c>
      <c r="S502" s="14" t="s">
        <v>8735</v>
      </c>
      <c r="T502" s="14" t="s">
        <v>8736</v>
      </c>
      <c r="U502" s="14">
        <v>419763.43</v>
      </c>
      <c r="V502" s="14">
        <v>6183776.7699999996</v>
      </c>
      <c r="W502" s="14">
        <v>179.65</v>
      </c>
      <c r="X502" s="14">
        <v>150.05000000000001</v>
      </c>
    </row>
    <row r="503" spans="1:24" s="14" customFormat="1" x14ac:dyDescent="0.25">
      <c r="A503" s="50">
        <v>45097</v>
      </c>
      <c r="B503" s="16">
        <v>171</v>
      </c>
      <c r="C503" s="36">
        <v>0.64008101851851851</v>
      </c>
      <c r="D503" s="16" t="s">
        <v>97</v>
      </c>
      <c r="E503" s="14" t="s">
        <v>65</v>
      </c>
      <c r="F503" s="16" t="s">
        <v>1098</v>
      </c>
      <c r="G503" s="16" t="s">
        <v>1513</v>
      </c>
      <c r="H503" s="14">
        <v>0.16400000000000001</v>
      </c>
      <c r="I503" s="14" t="s">
        <v>8741</v>
      </c>
      <c r="J503" s="14" t="s">
        <v>8742</v>
      </c>
      <c r="K503" s="14" t="s">
        <v>8743</v>
      </c>
      <c r="L503" s="14" t="s">
        <v>8732</v>
      </c>
      <c r="O503" s="14" t="s">
        <v>8737</v>
      </c>
      <c r="P503" s="14" t="s">
        <v>8738</v>
      </c>
      <c r="Q503" s="14">
        <v>419733.91</v>
      </c>
      <c r="R503" s="14">
        <v>6183769.7000000002</v>
      </c>
      <c r="S503" s="14" t="s">
        <v>8739</v>
      </c>
      <c r="T503" s="14" t="s">
        <v>8740</v>
      </c>
      <c r="U503" s="14">
        <v>419754.5</v>
      </c>
      <c r="V503" s="14">
        <v>6183772.2400000002</v>
      </c>
      <c r="W503" s="14">
        <v>1.76</v>
      </c>
      <c r="X503" s="14">
        <v>150.05000000000001</v>
      </c>
    </row>
    <row r="504" spans="1:24" s="14" customFormat="1" x14ac:dyDescent="0.25">
      <c r="A504" s="50">
        <v>45097</v>
      </c>
      <c r="B504" s="16">
        <v>171</v>
      </c>
      <c r="C504" s="36">
        <v>0.64421296296296293</v>
      </c>
      <c r="D504" s="16" t="s">
        <v>97</v>
      </c>
      <c r="E504" s="14" t="s">
        <v>70</v>
      </c>
      <c r="F504" s="16" t="s">
        <v>1098</v>
      </c>
      <c r="G504" s="16" t="s">
        <v>1513</v>
      </c>
      <c r="H504" s="14">
        <v>-1.9E-2</v>
      </c>
      <c r="I504" s="14" t="s">
        <v>8741</v>
      </c>
      <c r="J504" s="14" t="s">
        <v>8742</v>
      </c>
      <c r="K504" s="14" t="s">
        <v>8743</v>
      </c>
      <c r="L504" s="14" t="s">
        <v>8748</v>
      </c>
      <c r="O504" s="14" t="s">
        <v>8744</v>
      </c>
      <c r="P504" s="14" t="s">
        <v>8745</v>
      </c>
      <c r="Q504" s="14">
        <v>419734.03</v>
      </c>
      <c r="R504" s="14">
        <v>6183950.7300000004</v>
      </c>
      <c r="S504" s="14" t="s">
        <v>8746</v>
      </c>
      <c r="T504" s="14" t="s">
        <v>8747</v>
      </c>
      <c r="U504" s="14">
        <v>419754.54</v>
      </c>
      <c r="V504" s="14">
        <v>6183955.0599999996</v>
      </c>
      <c r="W504" s="14">
        <v>0.51</v>
      </c>
      <c r="X504" s="14">
        <v>150.05000000000001</v>
      </c>
    </row>
    <row r="505" spans="1:24" s="14" customFormat="1" x14ac:dyDescent="0.25">
      <c r="A505" s="50">
        <v>45097</v>
      </c>
      <c r="B505" s="16">
        <v>171</v>
      </c>
      <c r="C505" s="36">
        <v>0.65318287037037037</v>
      </c>
      <c r="D505" s="16" t="s">
        <v>97</v>
      </c>
      <c r="E505" s="14" t="s">
        <v>8764</v>
      </c>
      <c r="F505" s="16" t="s">
        <v>1098</v>
      </c>
      <c r="G505" s="16" t="s">
        <v>1518</v>
      </c>
      <c r="H505" s="14">
        <v>0.16300000000000001</v>
      </c>
      <c r="I505" s="14" t="s">
        <v>8753</v>
      </c>
      <c r="J505" s="14" t="s">
        <v>8742</v>
      </c>
      <c r="K505" s="14" t="s">
        <v>8743</v>
      </c>
      <c r="L505" s="14" t="s">
        <v>8754</v>
      </c>
      <c r="O505" s="14" t="s">
        <v>8749</v>
      </c>
      <c r="P505" s="14" t="s">
        <v>8750</v>
      </c>
      <c r="Q505" s="14">
        <v>419827.78</v>
      </c>
      <c r="R505" s="14">
        <v>6183773.04</v>
      </c>
      <c r="S505" s="14" t="s">
        <v>8751</v>
      </c>
      <c r="T505" s="14" t="s">
        <v>8752</v>
      </c>
      <c r="U505" s="14">
        <v>419844.43</v>
      </c>
      <c r="V505" s="14">
        <v>6183773.71</v>
      </c>
      <c r="W505" s="14">
        <v>0.45</v>
      </c>
      <c r="X505" s="14">
        <v>150.05000000000001</v>
      </c>
    </row>
    <row r="506" spans="1:24" s="14" customFormat="1" x14ac:dyDescent="0.25">
      <c r="A506" s="50">
        <v>45097</v>
      </c>
      <c r="B506" s="16">
        <v>171</v>
      </c>
      <c r="C506" s="36">
        <v>0.65418981481481475</v>
      </c>
      <c r="D506" s="16" t="s">
        <v>97</v>
      </c>
      <c r="E506" s="14" t="s">
        <v>70</v>
      </c>
      <c r="F506" s="16" t="s">
        <v>1098</v>
      </c>
      <c r="G506" s="16" t="s">
        <v>1518</v>
      </c>
      <c r="H506" s="14">
        <v>0.13200000000000001</v>
      </c>
      <c r="I506" s="14" t="s">
        <v>8753</v>
      </c>
      <c r="J506" s="14" t="s">
        <v>8742</v>
      </c>
      <c r="K506" s="14" t="s">
        <v>8743</v>
      </c>
      <c r="L506" s="14" t="s">
        <v>8754</v>
      </c>
      <c r="O506" s="14" t="s">
        <v>8755</v>
      </c>
      <c r="P506" s="14" t="s">
        <v>8756</v>
      </c>
      <c r="Q506" s="14">
        <v>419827.41</v>
      </c>
      <c r="R506" s="14">
        <v>6183800.21</v>
      </c>
      <c r="S506" s="14" t="s">
        <v>8757</v>
      </c>
      <c r="T506" s="14" t="s">
        <v>8758</v>
      </c>
      <c r="U506" s="14">
        <v>419844.42</v>
      </c>
      <c r="V506" s="14">
        <v>6183804.6600000001</v>
      </c>
      <c r="W506" s="14">
        <v>0.6</v>
      </c>
      <c r="X506" s="14">
        <v>150.05000000000001</v>
      </c>
    </row>
    <row r="507" spans="1:24" s="14" customFormat="1" x14ac:dyDescent="0.25">
      <c r="A507" s="50">
        <v>45097</v>
      </c>
      <c r="B507" s="16">
        <v>171</v>
      </c>
      <c r="C507" s="36">
        <v>0.65511574074074075</v>
      </c>
      <c r="D507" s="16" t="s">
        <v>97</v>
      </c>
      <c r="E507" s="14" t="s">
        <v>8171</v>
      </c>
      <c r="F507" s="16" t="s">
        <v>8759</v>
      </c>
      <c r="G507" s="16" t="s">
        <v>1518</v>
      </c>
      <c r="H507" s="14">
        <v>0.13300000000000001</v>
      </c>
      <c r="O507" s="14" t="s">
        <v>8760</v>
      </c>
      <c r="P507" s="14" t="s">
        <v>8761</v>
      </c>
      <c r="Q507" s="14">
        <v>419827.89</v>
      </c>
      <c r="R507" s="14">
        <v>6183812.25</v>
      </c>
      <c r="S507" s="14" t="s">
        <v>8762</v>
      </c>
      <c r="T507" s="14" t="s">
        <v>8763</v>
      </c>
      <c r="U507" s="14">
        <v>419846.5</v>
      </c>
      <c r="V507" s="14">
        <v>6183809.4800000004</v>
      </c>
      <c r="W507" s="14">
        <v>89.84</v>
      </c>
      <c r="X507" s="14">
        <v>150.05000000000001</v>
      </c>
    </row>
    <row r="508" spans="1:24" s="14" customFormat="1" x14ac:dyDescent="0.25">
      <c r="A508" s="50">
        <v>45097</v>
      </c>
      <c r="B508" s="16">
        <v>171</v>
      </c>
      <c r="C508" s="36">
        <v>0.67039351851851858</v>
      </c>
      <c r="D508" s="16" t="s">
        <v>7408</v>
      </c>
      <c r="E508" s="14" t="s">
        <v>8176</v>
      </c>
      <c r="F508" s="16" t="s">
        <v>8759</v>
      </c>
      <c r="G508" s="16" t="s">
        <v>1942</v>
      </c>
      <c r="H508" s="14">
        <v>1.1299999999999999</v>
      </c>
      <c r="O508" s="14" t="s">
        <v>8765</v>
      </c>
      <c r="P508" s="14" t="s">
        <v>8766</v>
      </c>
      <c r="Q508" s="14">
        <v>419336.42</v>
      </c>
      <c r="R508" s="14">
        <v>6183989.0599999996</v>
      </c>
      <c r="S508" s="14" t="s">
        <v>8767</v>
      </c>
      <c r="T508" s="14" t="s">
        <v>8768</v>
      </c>
      <c r="U508" s="14">
        <v>419333.02</v>
      </c>
      <c r="V508" s="14">
        <v>6183978.3700000001</v>
      </c>
      <c r="W508" s="14">
        <v>185.26</v>
      </c>
      <c r="X508" s="14">
        <v>150.05000000000001</v>
      </c>
    </row>
    <row r="509" spans="1:24" s="14" customFormat="1" x14ac:dyDescent="0.25">
      <c r="A509" s="50">
        <v>45097</v>
      </c>
      <c r="B509" s="16">
        <v>171</v>
      </c>
      <c r="C509" s="36">
        <v>0.67388888888888887</v>
      </c>
      <c r="D509" s="16" t="s">
        <v>7408</v>
      </c>
      <c r="E509" s="14" t="s">
        <v>8364</v>
      </c>
      <c r="F509" s="16" t="s">
        <v>8759</v>
      </c>
      <c r="G509" s="16" t="s">
        <v>1942</v>
      </c>
      <c r="H509" s="14">
        <v>1.129</v>
      </c>
      <c r="O509" s="14" t="s">
        <v>8765</v>
      </c>
      <c r="P509" s="14" t="s">
        <v>8766</v>
      </c>
      <c r="Q509" s="14">
        <v>419336.42</v>
      </c>
      <c r="R509" s="14">
        <v>6183989.0599999996</v>
      </c>
      <c r="S509" s="14" t="s">
        <v>8767</v>
      </c>
      <c r="T509" s="14" t="s">
        <v>8768</v>
      </c>
      <c r="U509" s="14">
        <v>419333.02</v>
      </c>
      <c r="V509" s="14">
        <v>6183978.3700000001</v>
      </c>
      <c r="W509" s="14">
        <v>185.26</v>
      </c>
      <c r="X509" s="14">
        <v>150.05000000000001</v>
      </c>
    </row>
    <row r="510" spans="1:24" s="14" customFormat="1" x14ac:dyDescent="0.25">
      <c r="A510" s="50">
        <v>45097</v>
      </c>
      <c r="B510" s="16">
        <v>171</v>
      </c>
      <c r="C510" s="36">
        <v>0.67459490740740735</v>
      </c>
      <c r="D510" s="16" t="s">
        <v>7408</v>
      </c>
      <c r="E510" s="14" t="s">
        <v>8771</v>
      </c>
      <c r="F510" s="16" t="s">
        <v>8759</v>
      </c>
      <c r="G510" s="16" t="s">
        <v>1942</v>
      </c>
      <c r="H510" s="14">
        <v>1.129</v>
      </c>
      <c r="O510" s="14" t="s">
        <v>8769</v>
      </c>
      <c r="P510" s="14" t="s">
        <v>8770</v>
      </c>
      <c r="Q510" s="14">
        <v>419333.29</v>
      </c>
      <c r="R510" s="14">
        <v>6183989.0599999996</v>
      </c>
      <c r="S510" s="14" t="s">
        <v>8767</v>
      </c>
      <c r="T510" s="14" t="s">
        <v>8768</v>
      </c>
      <c r="U510" s="14">
        <v>419333.02</v>
      </c>
      <c r="V510" s="14">
        <v>6183978.3700000001</v>
      </c>
      <c r="W510" s="14">
        <v>185.26</v>
      </c>
      <c r="X510" s="14">
        <v>150.05000000000001</v>
      </c>
    </row>
    <row r="511" spans="1:24" s="68" customFormat="1" x14ac:dyDescent="0.25">
      <c r="A511" s="65">
        <v>45097</v>
      </c>
      <c r="B511" s="66">
        <v>171</v>
      </c>
      <c r="C511" s="67">
        <v>0.69622685185185185</v>
      </c>
      <c r="D511" s="66" t="s">
        <v>7408</v>
      </c>
      <c r="E511" s="68" t="s">
        <v>8777</v>
      </c>
      <c r="F511" s="66" t="s">
        <v>8759</v>
      </c>
      <c r="G511" s="66" t="s">
        <v>1942</v>
      </c>
      <c r="H511" s="68">
        <v>0.17399999999999999</v>
      </c>
      <c r="M511" s="68" t="s">
        <v>8772</v>
      </c>
      <c r="O511" s="68" t="s">
        <v>8773</v>
      </c>
      <c r="P511" s="68" t="s">
        <v>8774</v>
      </c>
      <c r="Q511" s="68">
        <v>415746.95</v>
      </c>
      <c r="R511" s="68">
        <v>6184924.29</v>
      </c>
      <c r="S511" s="68" t="s">
        <v>8775</v>
      </c>
      <c r="T511" s="68" t="s">
        <v>8776</v>
      </c>
      <c r="U511" s="68">
        <v>415764.46</v>
      </c>
      <c r="V511" s="68">
        <v>6184922.9199999999</v>
      </c>
      <c r="W511" s="68">
        <v>1.41</v>
      </c>
      <c r="X511" s="68">
        <v>150.05000000000001</v>
      </c>
    </row>
    <row r="512" spans="1:24" s="14" customFormat="1" x14ac:dyDescent="0.25">
      <c r="A512" s="50">
        <v>45097</v>
      </c>
      <c r="B512" s="16">
        <v>171</v>
      </c>
      <c r="C512" s="36">
        <v>0.70008101851851856</v>
      </c>
      <c r="D512" s="16" t="s">
        <v>7408</v>
      </c>
      <c r="E512" s="14" t="s">
        <v>65</v>
      </c>
      <c r="F512" s="16" t="s">
        <v>8759</v>
      </c>
      <c r="G512" s="16" t="s">
        <v>1942</v>
      </c>
      <c r="H512" s="14">
        <v>0.16400000000000001</v>
      </c>
      <c r="I512" s="14" t="s">
        <v>8782</v>
      </c>
      <c r="J512" s="14" t="s">
        <v>8783</v>
      </c>
      <c r="K512" s="14" t="s">
        <v>8784</v>
      </c>
      <c r="L512" s="14" t="s">
        <v>8785</v>
      </c>
      <c r="O512" s="14" t="s">
        <v>8778</v>
      </c>
      <c r="P512" s="14" t="s">
        <v>8779</v>
      </c>
      <c r="Q512" s="14">
        <v>415746.94</v>
      </c>
      <c r="R512" s="14">
        <v>6184934.2599999998</v>
      </c>
      <c r="S512" s="14" t="s">
        <v>8780</v>
      </c>
      <c r="T512" s="14" t="s">
        <v>8781</v>
      </c>
      <c r="U512" s="14">
        <v>415764.95</v>
      </c>
      <c r="V512" s="14">
        <v>6184932.6600000001</v>
      </c>
      <c r="W512" s="14">
        <v>359.98</v>
      </c>
      <c r="X512" s="14">
        <v>150.05000000000001</v>
      </c>
    </row>
    <row r="513" spans="1:24" s="14" customFormat="1" x14ac:dyDescent="0.25">
      <c r="A513" s="50">
        <v>45097</v>
      </c>
      <c r="B513" s="16">
        <v>171</v>
      </c>
      <c r="C513" s="36">
        <v>0.70430555555555552</v>
      </c>
      <c r="D513" s="16" t="s">
        <v>7408</v>
      </c>
      <c r="E513" s="14" t="s">
        <v>70</v>
      </c>
      <c r="F513" s="16" t="s">
        <v>8759</v>
      </c>
      <c r="G513" s="16" t="s">
        <v>1942</v>
      </c>
      <c r="H513" s="14">
        <v>-1.9E-2</v>
      </c>
      <c r="I513" s="14" t="s">
        <v>8782</v>
      </c>
      <c r="J513" s="14" t="s">
        <v>8783</v>
      </c>
      <c r="K513" s="14" t="s">
        <v>8784</v>
      </c>
      <c r="L513" s="14" t="s">
        <v>8785</v>
      </c>
      <c r="O513" s="14" t="s">
        <v>8786</v>
      </c>
      <c r="P513" s="14" t="s">
        <v>8787</v>
      </c>
      <c r="Q513" s="14">
        <v>415745.42</v>
      </c>
      <c r="R513" s="14">
        <v>6185116.8099999996</v>
      </c>
      <c r="S513" s="14" t="s">
        <v>8788</v>
      </c>
      <c r="T513" s="14" t="s">
        <v>8789</v>
      </c>
      <c r="U513" s="14">
        <v>415764.89</v>
      </c>
      <c r="V513" s="14">
        <v>6185115.2000000002</v>
      </c>
      <c r="W513" s="14">
        <v>0.1</v>
      </c>
      <c r="X513" s="14">
        <v>150.05000000000001</v>
      </c>
    </row>
    <row r="514" spans="1:24" s="14" customFormat="1" x14ac:dyDescent="0.25">
      <c r="A514" s="50">
        <v>45097</v>
      </c>
      <c r="B514" s="16">
        <v>171</v>
      </c>
      <c r="C514" s="36">
        <v>0.70711805555555562</v>
      </c>
      <c r="D514" s="16" t="s">
        <v>7408</v>
      </c>
      <c r="E514" s="14" t="s">
        <v>65</v>
      </c>
      <c r="F514" s="16" t="s">
        <v>8759</v>
      </c>
      <c r="G514" s="16" t="s">
        <v>1941</v>
      </c>
      <c r="H514" s="14">
        <v>-1.4999999999999999E-2</v>
      </c>
      <c r="I514" s="14" t="s">
        <v>8794</v>
      </c>
      <c r="J514" s="14" t="s">
        <v>8795</v>
      </c>
      <c r="K514" s="14" t="s">
        <v>8796</v>
      </c>
      <c r="L514" s="14" t="s">
        <v>8797</v>
      </c>
      <c r="O514" s="14" t="s">
        <v>8790</v>
      </c>
      <c r="P514" s="14" t="s">
        <v>8791</v>
      </c>
      <c r="Q514" s="14">
        <v>415736.4</v>
      </c>
      <c r="R514" s="14">
        <v>6185126.9900000002</v>
      </c>
      <c r="S514" s="14" t="s">
        <v>8792</v>
      </c>
      <c r="T514" s="14" t="s">
        <v>8793</v>
      </c>
      <c r="U514" s="14">
        <v>415755.95</v>
      </c>
      <c r="V514" s="14">
        <v>6185122.9699999997</v>
      </c>
      <c r="W514" s="14">
        <v>181.08</v>
      </c>
      <c r="X514" s="14">
        <v>150.05000000000001</v>
      </c>
    </row>
    <row r="515" spans="1:24" s="14" customFormat="1" x14ac:dyDescent="0.25">
      <c r="A515" s="50">
        <v>45097</v>
      </c>
      <c r="B515" s="16">
        <v>171</v>
      </c>
      <c r="C515" s="36">
        <v>0.71127314814814813</v>
      </c>
      <c r="D515" s="16" t="s">
        <v>7408</v>
      </c>
      <c r="E515" s="14" t="s">
        <v>70</v>
      </c>
      <c r="F515" s="16" t="s">
        <v>8759</v>
      </c>
      <c r="G515" s="16" t="s">
        <v>1941</v>
      </c>
      <c r="H515" s="14">
        <v>0.17</v>
      </c>
      <c r="I515" s="14" t="s">
        <v>8794</v>
      </c>
      <c r="J515" s="14" t="s">
        <v>8795</v>
      </c>
      <c r="K515" s="14" t="s">
        <v>8796</v>
      </c>
      <c r="L515" s="14" t="s">
        <v>8797</v>
      </c>
      <c r="O515" s="14" t="s">
        <v>8798</v>
      </c>
      <c r="P515" s="14" t="s">
        <v>8799</v>
      </c>
      <c r="Q515" s="14">
        <v>415736.37</v>
      </c>
      <c r="R515" s="14">
        <v>6184946.0499999998</v>
      </c>
      <c r="S515" s="14" t="s">
        <v>8800</v>
      </c>
      <c r="T515" s="14" t="s">
        <v>8801</v>
      </c>
      <c r="U515" s="14">
        <v>415755.88</v>
      </c>
      <c r="V515" s="14">
        <v>6184938.2800000003</v>
      </c>
      <c r="W515" s="14">
        <v>179.57</v>
      </c>
      <c r="X515" s="14">
        <v>150.05000000000001</v>
      </c>
    </row>
    <row r="516" spans="1:24" s="14" customFormat="1" x14ac:dyDescent="0.25">
      <c r="A516" s="50">
        <v>45097</v>
      </c>
      <c r="B516" s="16">
        <v>171</v>
      </c>
      <c r="C516" s="36">
        <v>0.71369212962962969</v>
      </c>
      <c r="D516" s="16" t="s">
        <v>7408</v>
      </c>
      <c r="E516" s="14" t="s">
        <v>65</v>
      </c>
      <c r="F516" s="16" t="s">
        <v>8759</v>
      </c>
      <c r="G516" s="16" t="s">
        <v>1940</v>
      </c>
      <c r="H516" s="14">
        <v>0.16600000000000001</v>
      </c>
      <c r="I516" s="14" t="s">
        <v>8806</v>
      </c>
      <c r="J516" s="14" t="s">
        <v>8807</v>
      </c>
      <c r="K516" s="14" t="s">
        <v>8808</v>
      </c>
      <c r="L516" s="14" t="s">
        <v>8797</v>
      </c>
      <c r="O516" s="14" t="s">
        <v>8802</v>
      </c>
      <c r="P516" s="14" t="s">
        <v>8803</v>
      </c>
      <c r="Q516" s="14">
        <v>415727.69</v>
      </c>
      <c r="R516" s="14">
        <v>6184925.1100000003</v>
      </c>
      <c r="S516" s="14" t="s">
        <v>8804</v>
      </c>
      <c r="T516" s="14" t="s">
        <v>8805</v>
      </c>
      <c r="U516" s="14">
        <v>415746.89</v>
      </c>
      <c r="V516" s="14">
        <v>6184931.2599999998</v>
      </c>
      <c r="W516" s="14">
        <v>358.49</v>
      </c>
      <c r="X516" s="14">
        <v>150.05000000000001</v>
      </c>
    </row>
    <row r="517" spans="1:24" s="14" customFormat="1" x14ac:dyDescent="0.25">
      <c r="A517" s="50">
        <v>45097</v>
      </c>
      <c r="B517" s="16">
        <v>171</v>
      </c>
      <c r="C517" s="36">
        <v>0.71805555555555556</v>
      </c>
      <c r="D517" s="16" t="s">
        <v>7408</v>
      </c>
      <c r="E517" s="14" t="s">
        <v>70</v>
      </c>
      <c r="F517" s="16" t="s">
        <v>8759</v>
      </c>
      <c r="G517" s="16" t="s">
        <v>1940</v>
      </c>
      <c r="H517" s="14">
        <v>-2.1000000000000001E-2</v>
      </c>
      <c r="I517" s="14" t="s">
        <v>8806</v>
      </c>
      <c r="J517" s="14" t="s">
        <v>8807</v>
      </c>
      <c r="K517" s="14" t="s">
        <v>8808</v>
      </c>
      <c r="L517" s="14" t="s">
        <v>8813</v>
      </c>
      <c r="O517" s="14" t="s">
        <v>8809</v>
      </c>
      <c r="P517" s="14" t="s">
        <v>8810</v>
      </c>
      <c r="Q517" s="14">
        <v>415726.87</v>
      </c>
      <c r="R517" s="14">
        <v>6185110.3799999999</v>
      </c>
      <c r="S517" s="14" t="s">
        <v>8811</v>
      </c>
      <c r="T517" s="14" t="s">
        <v>8812</v>
      </c>
      <c r="U517" s="14">
        <v>415746.75</v>
      </c>
      <c r="V517" s="14">
        <v>6185117.6900000004</v>
      </c>
      <c r="W517" s="14">
        <v>359.81</v>
      </c>
      <c r="X517" s="14">
        <v>150.05000000000001</v>
      </c>
    </row>
    <row r="518" spans="1:24" s="14" customFormat="1" x14ac:dyDescent="0.25">
      <c r="A518" s="50">
        <v>45097</v>
      </c>
      <c r="B518" s="16">
        <v>171</v>
      </c>
      <c r="C518" s="36">
        <v>0.72060185185185188</v>
      </c>
      <c r="D518" s="16" t="s">
        <v>7408</v>
      </c>
      <c r="E518" s="14" t="s">
        <v>65</v>
      </c>
      <c r="F518" s="16" t="s">
        <v>8759</v>
      </c>
      <c r="G518" s="16" t="s">
        <v>1939</v>
      </c>
      <c r="H518" s="14">
        <v>-1.7999999999999999E-2</v>
      </c>
      <c r="I518" s="14" t="s">
        <v>8818</v>
      </c>
      <c r="J518" s="14" t="s">
        <v>8819</v>
      </c>
      <c r="K518" s="14" t="s">
        <v>8820</v>
      </c>
      <c r="L518" s="14" t="s">
        <v>8813</v>
      </c>
      <c r="O518" s="14" t="s">
        <v>8814</v>
      </c>
      <c r="P518" s="14" t="s">
        <v>8815</v>
      </c>
      <c r="Q518" s="14">
        <v>415718.83</v>
      </c>
      <c r="R518" s="14">
        <v>6185131.3600000003</v>
      </c>
      <c r="S518" s="14" t="s">
        <v>8816</v>
      </c>
      <c r="T518" s="14" t="s">
        <v>8817</v>
      </c>
      <c r="U518" s="14">
        <v>415737.9</v>
      </c>
      <c r="V518" s="14">
        <v>6185125.4199999999</v>
      </c>
      <c r="W518" s="14">
        <v>182</v>
      </c>
      <c r="X518" s="14">
        <v>150.05000000000001</v>
      </c>
    </row>
    <row r="519" spans="1:24" s="14" customFormat="1" x14ac:dyDescent="0.25">
      <c r="A519" s="50">
        <v>45097</v>
      </c>
      <c r="B519" s="16">
        <v>171</v>
      </c>
      <c r="C519" s="36">
        <v>0.72490740740740733</v>
      </c>
      <c r="D519" s="16" t="s">
        <v>7408</v>
      </c>
      <c r="E519" s="14" t="s">
        <v>70</v>
      </c>
      <c r="F519" s="16" t="s">
        <v>8759</v>
      </c>
      <c r="G519" s="16" t="s">
        <v>1939</v>
      </c>
      <c r="H519" s="14">
        <v>0.17</v>
      </c>
      <c r="I519" s="14" t="s">
        <v>8818</v>
      </c>
      <c r="J519" s="14" t="s">
        <v>8819</v>
      </c>
      <c r="K519" s="14" t="s">
        <v>8820</v>
      </c>
      <c r="L519" s="14" t="s">
        <v>8813</v>
      </c>
      <c r="O519" s="14" t="s">
        <v>8821</v>
      </c>
      <c r="P519" s="14" t="s">
        <v>8822</v>
      </c>
      <c r="Q519" s="14">
        <v>415718.61</v>
      </c>
      <c r="R519" s="14">
        <v>6184944.3399999999</v>
      </c>
      <c r="S519" s="14" t="s">
        <v>8823</v>
      </c>
      <c r="T519" s="14" t="s">
        <v>8824</v>
      </c>
      <c r="U519" s="14">
        <v>415737.78</v>
      </c>
      <c r="V519" s="14">
        <v>6184937.5499999998</v>
      </c>
      <c r="W519" s="14">
        <v>180.4</v>
      </c>
      <c r="X519" s="14">
        <v>150.05000000000001</v>
      </c>
    </row>
    <row r="520" spans="1:24" s="14" customFormat="1" x14ac:dyDescent="0.25">
      <c r="A520" s="50">
        <v>45097</v>
      </c>
      <c r="B520" s="16">
        <v>171</v>
      </c>
      <c r="C520" s="36">
        <v>0.72766203703703702</v>
      </c>
      <c r="D520" s="16" t="s">
        <v>7408</v>
      </c>
      <c r="E520" s="14" t="s">
        <v>65</v>
      </c>
      <c r="F520" s="16" t="s">
        <v>8759</v>
      </c>
      <c r="G520" s="16" t="s">
        <v>1938</v>
      </c>
      <c r="H520" s="14">
        <v>0.16700000000000001</v>
      </c>
      <c r="I520" s="14" t="s">
        <v>8829</v>
      </c>
      <c r="J520" s="14" t="s">
        <v>8830</v>
      </c>
      <c r="K520" s="14" t="s">
        <v>8831</v>
      </c>
      <c r="L520" s="14" t="s">
        <v>8832</v>
      </c>
      <c r="O520" s="14" t="s">
        <v>8825</v>
      </c>
      <c r="P520" s="14" t="s">
        <v>8826</v>
      </c>
      <c r="Q520" s="14">
        <v>415709.05</v>
      </c>
      <c r="R520" s="14">
        <v>6184931.5700000003</v>
      </c>
      <c r="S520" s="14" t="s">
        <v>8827</v>
      </c>
      <c r="T520" s="14" t="s">
        <v>8828</v>
      </c>
      <c r="U520" s="14">
        <v>415728.86</v>
      </c>
      <c r="V520" s="14">
        <v>6184929.8899999997</v>
      </c>
      <c r="W520" s="14">
        <v>0.15</v>
      </c>
      <c r="X520" s="14">
        <v>150.05000000000001</v>
      </c>
    </row>
    <row r="521" spans="1:24" s="14" customFormat="1" x14ac:dyDescent="0.25">
      <c r="A521" s="50">
        <v>45097</v>
      </c>
      <c r="B521" s="16">
        <v>171</v>
      </c>
      <c r="C521" s="36">
        <v>0.7319444444444444</v>
      </c>
      <c r="D521" s="16" t="s">
        <v>7408</v>
      </c>
      <c r="E521" s="14" t="s">
        <v>70</v>
      </c>
      <c r="F521" s="16" t="s">
        <v>8759</v>
      </c>
      <c r="G521" s="16" t="s">
        <v>1938</v>
      </c>
      <c r="H521" s="14">
        <v>-2.3E-2</v>
      </c>
      <c r="I521" s="14" t="s">
        <v>8829</v>
      </c>
      <c r="J521" s="14" t="s">
        <v>8830</v>
      </c>
      <c r="K521" s="14" t="s">
        <v>8831</v>
      </c>
      <c r="L521" s="14" t="s">
        <v>8832</v>
      </c>
      <c r="O521" s="14" t="s">
        <v>8833</v>
      </c>
      <c r="P521" s="14" t="s">
        <v>8834</v>
      </c>
      <c r="Q521" s="14">
        <v>415708.08</v>
      </c>
      <c r="R521" s="14">
        <v>6185119.0800000001</v>
      </c>
      <c r="S521" s="14" t="s">
        <v>8835</v>
      </c>
      <c r="T521" s="14" t="s">
        <v>8836</v>
      </c>
      <c r="U521" s="14">
        <v>415728.78</v>
      </c>
      <c r="V521" s="14">
        <v>6185119.4400000004</v>
      </c>
      <c r="W521" s="14">
        <v>0.75</v>
      </c>
      <c r="X521" s="14">
        <v>150.05000000000001</v>
      </c>
    </row>
    <row r="522" spans="1:24" s="14" customFormat="1" x14ac:dyDescent="0.25">
      <c r="A522" s="50">
        <v>45097</v>
      </c>
      <c r="B522" s="16">
        <v>171</v>
      </c>
      <c r="C522" s="36">
        <v>0.73450231481481476</v>
      </c>
      <c r="D522" s="16" t="s">
        <v>7408</v>
      </c>
      <c r="E522" s="14" t="s">
        <v>65</v>
      </c>
      <c r="F522" s="16" t="s">
        <v>8759</v>
      </c>
      <c r="G522" s="16" t="s">
        <v>1937</v>
      </c>
      <c r="H522" s="14">
        <v>-0.02</v>
      </c>
      <c r="I522" s="14" t="s">
        <v>8841</v>
      </c>
      <c r="J522" s="14" t="s">
        <v>8842</v>
      </c>
      <c r="K522" s="14" t="s">
        <v>8843</v>
      </c>
      <c r="L522" s="14" t="s">
        <v>8832</v>
      </c>
      <c r="O522" s="14" t="s">
        <v>8837</v>
      </c>
      <c r="P522" s="14" t="s">
        <v>8838</v>
      </c>
      <c r="Q522" s="14">
        <v>415700.96</v>
      </c>
      <c r="R522" s="14">
        <v>6185133.5999999996</v>
      </c>
      <c r="S522" s="14" t="s">
        <v>8839</v>
      </c>
      <c r="T522" s="14" t="s">
        <v>8840</v>
      </c>
      <c r="U522" s="14">
        <v>415720.14</v>
      </c>
      <c r="V522" s="14">
        <v>6185127.5700000003</v>
      </c>
      <c r="W522" s="14">
        <v>181.3</v>
      </c>
      <c r="X522" s="14">
        <v>150.05000000000001</v>
      </c>
    </row>
    <row r="523" spans="1:24" s="14" customFormat="1" x14ac:dyDescent="0.25">
      <c r="A523" s="50">
        <v>45097</v>
      </c>
      <c r="B523" s="16">
        <v>171</v>
      </c>
      <c r="C523" s="36">
        <v>0.73888888888888893</v>
      </c>
      <c r="D523" s="16" t="s">
        <v>7408</v>
      </c>
      <c r="E523" s="14" t="s">
        <v>70</v>
      </c>
      <c r="F523" s="16" t="s">
        <v>8759</v>
      </c>
      <c r="G523" s="16" t="s">
        <v>1937</v>
      </c>
      <c r="H523" s="14">
        <v>0.17100000000000001</v>
      </c>
      <c r="I523" s="14" t="s">
        <v>8841</v>
      </c>
      <c r="J523" s="14" t="s">
        <v>8842</v>
      </c>
      <c r="K523" s="14" t="s">
        <v>8843</v>
      </c>
      <c r="L523" s="14" t="s">
        <v>8848</v>
      </c>
      <c r="O523" s="14" t="s">
        <v>8844</v>
      </c>
      <c r="P523" s="14" t="s">
        <v>8845</v>
      </c>
      <c r="Q523" s="14">
        <v>415700.45</v>
      </c>
      <c r="R523" s="14">
        <v>6184941.3600000003</v>
      </c>
      <c r="S523" s="14" t="s">
        <v>8846</v>
      </c>
      <c r="T523" s="14" t="s">
        <v>8847</v>
      </c>
      <c r="U523" s="14">
        <v>415720.07</v>
      </c>
      <c r="V523" s="14">
        <v>6184936.4400000004</v>
      </c>
      <c r="W523" s="14">
        <v>179.98</v>
      </c>
      <c r="X523" s="14">
        <v>150.05000000000001</v>
      </c>
    </row>
    <row r="524" spans="1:24" s="14" customFormat="1" x14ac:dyDescent="0.25">
      <c r="A524" s="50">
        <v>45097</v>
      </c>
      <c r="B524" s="16">
        <v>171</v>
      </c>
      <c r="C524" s="36">
        <v>0.7416666666666667</v>
      </c>
      <c r="D524" s="16" t="s">
        <v>7408</v>
      </c>
      <c r="E524" s="14" t="s">
        <v>65</v>
      </c>
      <c r="F524" s="16" t="s">
        <v>8759</v>
      </c>
      <c r="G524" s="16" t="s">
        <v>1931</v>
      </c>
      <c r="H524" s="14">
        <v>0.16600000000000001</v>
      </c>
      <c r="I524" s="14" t="s">
        <v>8853</v>
      </c>
      <c r="J524" s="14" t="s">
        <v>8854</v>
      </c>
      <c r="K524" s="14" t="s">
        <v>8855</v>
      </c>
      <c r="L524" s="14" t="s">
        <v>8848</v>
      </c>
      <c r="O524" s="14" t="s">
        <v>8849</v>
      </c>
      <c r="P524" s="14" t="s">
        <v>8850</v>
      </c>
      <c r="Q524" s="14">
        <v>415691.98</v>
      </c>
      <c r="R524" s="14">
        <v>6184933.5199999996</v>
      </c>
      <c r="S524" s="14" t="s">
        <v>8851</v>
      </c>
      <c r="T524" s="14" t="s">
        <v>8852</v>
      </c>
      <c r="U524" s="14">
        <v>415710.77</v>
      </c>
      <c r="V524" s="14">
        <v>6184930.21</v>
      </c>
      <c r="W524" s="14">
        <v>1.1200000000000001</v>
      </c>
      <c r="X524" s="14">
        <v>150.05000000000001</v>
      </c>
    </row>
    <row r="525" spans="1:24" s="14" customFormat="1" x14ac:dyDescent="0.25">
      <c r="A525" s="50">
        <v>45097</v>
      </c>
      <c r="B525" s="16">
        <v>171</v>
      </c>
      <c r="C525" s="36">
        <v>0.74594907407407407</v>
      </c>
      <c r="D525" s="16" t="s">
        <v>7408</v>
      </c>
      <c r="E525" s="14" t="s">
        <v>70</v>
      </c>
      <c r="F525" s="16" t="s">
        <v>8759</v>
      </c>
      <c r="G525" s="16" t="s">
        <v>1931</v>
      </c>
      <c r="H525" s="14">
        <v>-2.5000000000000001E-2</v>
      </c>
      <c r="I525" s="14" t="s">
        <v>8853</v>
      </c>
      <c r="J525" s="14" t="s">
        <v>8854</v>
      </c>
      <c r="K525" s="14" t="s">
        <v>8855</v>
      </c>
      <c r="L525" s="14" t="s">
        <v>8848</v>
      </c>
      <c r="O525" s="14" t="s">
        <v>8856</v>
      </c>
      <c r="P525" s="14" t="s">
        <v>8857</v>
      </c>
      <c r="Q525" s="14">
        <v>415691.25</v>
      </c>
      <c r="R525" s="14">
        <v>6185121.2599999998</v>
      </c>
      <c r="S525" s="14" t="s">
        <v>8858</v>
      </c>
      <c r="T525" s="14" t="s">
        <v>8859</v>
      </c>
      <c r="U525" s="14">
        <v>415710.83</v>
      </c>
      <c r="V525" s="14">
        <v>6185121.7199999997</v>
      </c>
      <c r="W525" s="14">
        <v>0.65</v>
      </c>
      <c r="X525" s="14">
        <v>150.05000000000001</v>
      </c>
    </row>
    <row r="526" spans="1:24" s="14" customFormat="1" x14ac:dyDescent="0.25">
      <c r="A526" s="50">
        <v>45097</v>
      </c>
      <c r="B526" s="16">
        <v>171</v>
      </c>
      <c r="C526" s="36">
        <v>0.74824074074074076</v>
      </c>
      <c r="D526" s="16" t="s">
        <v>7408</v>
      </c>
      <c r="E526" s="14" t="s">
        <v>65</v>
      </c>
      <c r="F526" s="16" t="s">
        <v>8759</v>
      </c>
      <c r="G526" s="16" t="s">
        <v>1932</v>
      </c>
      <c r="H526" s="14">
        <v>-1.9E-2</v>
      </c>
      <c r="I526" s="14" t="s">
        <v>8864</v>
      </c>
      <c r="J526" s="14" t="s">
        <v>8865</v>
      </c>
      <c r="K526" s="14" t="s">
        <v>8866</v>
      </c>
      <c r="L526" s="14" t="s">
        <v>8867</v>
      </c>
      <c r="O526" s="14" t="s">
        <v>8860</v>
      </c>
      <c r="P526" s="14" t="s">
        <v>8861</v>
      </c>
      <c r="Q526" s="14">
        <v>415683.14</v>
      </c>
      <c r="R526" s="14">
        <v>6185136.2599999998</v>
      </c>
      <c r="S526" s="14" t="s">
        <v>8862</v>
      </c>
      <c r="T526" s="14" t="s">
        <v>8863</v>
      </c>
      <c r="U526" s="14">
        <v>415701.9</v>
      </c>
      <c r="V526" s="14">
        <v>6185127.0800000001</v>
      </c>
      <c r="W526" s="14">
        <v>181.05</v>
      </c>
      <c r="X526" s="14">
        <v>150.05000000000001</v>
      </c>
    </row>
    <row r="527" spans="1:24" s="14" customFormat="1" x14ac:dyDescent="0.25">
      <c r="A527" s="50">
        <v>45097</v>
      </c>
      <c r="B527" s="16">
        <v>171</v>
      </c>
      <c r="C527" s="36">
        <v>0.75265046296296301</v>
      </c>
      <c r="D527" s="16" t="s">
        <v>7408</v>
      </c>
      <c r="E527" s="14" t="s">
        <v>70</v>
      </c>
      <c r="F527" s="16" t="s">
        <v>8759</v>
      </c>
      <c r="G527" s="16" t="s">
        <v>1932</v>
      </c>
      <c r="H527" s="14">
        <v>0.17199999999999999</v>
      </c>
      <c r="I527" s="14" t="s">
        <v>8864</v>
      </c>
      <c r="J527" s="14" t="s">
        <v>8865</v>
      </c>
      <c r="K527" s="14" t="s">
        <v>8866</v>
      </c>
      <c r="L527" s="14" t="s">
        <v>8867</v>
      </c>
      <c r="O527" s="14" t="s">
        <v>8868</v>
      </c>
      <c r="P527" s="14" t="s">
        <v>8869</v>
      </c>
      <c r="Q527" s="14">
        <v>415682.42</v>
      </c>
      <c r="R527" s="14">
        <v>6184944.0700000003</v>
      </c>
      <c r="S527" s="14" t="s">
        <v>8870</v>
      </c>
      <c r="T527" s="14" t="s">
        <v>8871</v>
      </c>
      <c r="U527" s="14">
        <v>415701.85</v>
      </c>
      <c r="V527" s="14">
        <v>6184935.6100000003</v>
      </c>
      <c r="W527" s="14">
        <v>179.81</v>
      </c>
      <c r="X527" s="14">
        <v>150.05000000000001</v>
      </c>
    </row>
    <row r="528" spans="1:24" s="14" customFormat="1" x14ac:dyDescent="0.25">
      <c r="A528" s="50">
        <v>45097</v>
      </c>
      <c r="B528" s="16">
        <v>171</v>
      </c>
      <c r="C528" s="36">
        <v>0.75594907407407408</v>
      </c>
      <c r="D528" s="16" t="s">
        <v>7408</v>
      </c>
      <c r="E528" s="14" t="s">
        <v>65</v>
      </c>
      <c r="F528" s="16" t="s">
        <v>8759</v>
      </c>
      <c r="G528" s="16" t="s">
        <v>1933</v>
      </c>
      <c r="H528" s="14">
        <v>0.16500000000000001</v>
      </c>
      <c r="I528" s="14" t="s">
        <v>8876</v>
      </c>
      <c r="J528" s="14" t="s">
        <v>8877</v>
      </c>
      <c r="K528" s="14" t="s">
        <v>8878</v>
      </c>
      <c r="L528" s="14" t="s">
        <v>8867</v>
      </c>
      <c r="O528" s="14" t="s">
        <v>8872</v>
      </c>
      <c r="P528" s="14" t="s">
        <v>8873</v>
      </c>
      <c r="Q528" s="14">
        <v>415672.82</v>
      </c>
      <c r="R528" s="14">
        <v>6184939.0099999998</v>
      </c>
      <c r="S528" s="14" t="s">
        <v>8874</v>
      </c>
      <c r="T528" s="14" t="s">
        <v>8875</v>
      </c>
      <c r="U528" s="14">
        <v>415692.81</v>
      </c>
      <c r="V528" s="14">
        <v>6184931.2599999998</v>
      </c>
      <c r="W528" s="14">
        <v>0.65</v>
      </c>
      <c r="X528" s="14">
        <v>150.05000000000001</v>
      </c>
    </row>
    <row r="529" spans="1:24" s="14" customFormat="1" x14ac:dyDescent="0.25">
      <c r="A529" s="50">
        <v>45097</v>
      </c>
      <c r="B529" s="16">
        <v>171</v>
      </c>
      <c r="C529" s="36">
        <v>0.76023148148148145</v>
      </c>
      <c r="D529" s="16" t="s">
        <v>7408</v>
      </c>
      <c r="E529" s="14" t="s">
        <v>70</v>
      </c>
      <c r="F529" s="16" t="s">
        <v>8759</v>
      </c>
      <c r="G529" s="16" t="s">
        <v>1933</v>
      </c>
      <c r="H529" s="14">
        <v>-2.5000000000000001E-2</v>
      </c>
      <c r="I529" s="14" t="s">
        <v>8876</v>
      </c>
      <c r="J529" s="14" t="s">
        <v>8877</v>
      </c>
      <c r="K529" s="14" t="s">
        <v>8878</v>
      </c>
      <c r="L529" s="14" t="s">
        <v>8883</v>
      </c>
      <c r="O529" s="14" t="s">
        <v>8879</v>
      </c>
      <c r="P529" s="14" t="s">
        <v>8880</v>
      </c>
      <c r="Q529" s="14">
        <v>415671.89</v>
      </c>
      <c r="R529" s="14">
        <v>6185127.4699999997</v>
      </c>
      <c r="S529" s="14" t="s">
        <v>8881</v>
      </c>
      <c r="T529" s="14" t="s">
        <v>8882</v>
      </c>
      <c r="U529" s="14">
        <v>415692.79</v>
      </c>
      <c r="V529" s="14">
        <v>6185121.8200000003</v>
      </c>
      <c r="W529" s="14">
        <v>0.02</v>
      </c>
      <c r="X529" s="14">
        <v>150.05000000000001</v>
      </c>
    </row>
    <row r="530" spans="1:24" s="14" customFormat="1" x14ac:dyDescent="0.25">
      <c r="A530" s="50">
        <v>45097</v>
      </c>
      <c r="B530" s="16">
        <v>171</v>
      </c>
      <c r="C530" s="36">
        <v>0.76284722222222223</v>
      </c>
      <c r="D530" s="16" t="s">
        <v>7408</v>
      </c>
      <c r="E530" s="14" t="s">
        <v>65</v>
      </c>
      <c r="F530" s="16" t="s">
        <v>8759</v>
      </c>
      <c r="G530" s="16" t="s">
        <v>1934</v>
      </c>
      <c r="H530" s="14">
        <v>-1.9E-2</v>
      </c>
      <c r="I530" s="14" t="s">
        <v>8888</v>
      </c>
      <c r="J530" s="14" t="s">
        <v>8889</v>
      </c>
      <c r="K530" s="14" t="s">
        <v>8890</v>
      </c>
      <c r="L530" s="14" t="s">
        <v>8883</v>
      </c>
      <c r="O530" s="14" t="s">
        <v>8884</v>
      </c>
      <c r="P530" s="14" t="s">
        <v>8885</v>
      </c>
      <c r="Q530" s="14">
        <v>415663.62</v>
      </c>
      <c r="R530" s="14">
        <v>6185132.8799999999</v>
      </c>
      <c r="S530" s="14" t="s">
        <v>8886</v>
      </c>
      <c r="T530" s="14" t="s">
        <v>8887</v>
      </c>
      <c r="U530" s="14">
        <v>415683.93</v>
      </c>
      <c r="V530" s="14">
        <v>6185126.3099999996</v>
      </c>
      <c r="W530" s="14">
        <v>181.09</v>
      </c>
      <c r="X530" s="14">
        <v>150.05000000000001</v>
      </c>
    </row>
    <row r="531" spans="1:24" s="14" customFormat="1" x14ac:dyDescent="0.25">
      <c r="A531" s="50">
        <v>45097</v>
      </c>
      <c r="B531" s="16">
        <v>171</v>
      </c>
      <c r="C531" s="36">
        <v>0.7672106481481481</v>
      </c>
      <c r="D531" s="16" t="s">
        <v>7408</v>
      </c>
      <c r="E531" s="14" t="s">
        <v>70</v>
      </c>
      <c r="F531" s="16" t="s">
        <v>8759</v>
      </c>
      <c r="G531" s="16" t="s">
        <v>1934</v>
      </c>
      <c r="H531" s="14">
        <v>0.17100000000000001</v>
      </c>
      <c r="I531" s="14" t="s">
        <v>8888</v>
      </c>
      <c r="J531" s="14" t="s">
        <v>8889</v>
      </c>
      <c r="K531" s="14" t="s">
        <v>8890</v>
      </c>
      <c r="L531" s="14" t="s">
        <v>8895</v>
      </c>
      <c r="O531" s="14" t="s">
        <v>8891</v>
      </c>
      <c r="P531" s="14" t="s">
        <v>8892</v>
      </c>
      <c r="Q531" s="14">
        <v>415663.42</v>
      </c>
      <c r="R531" s="14">
        <v>6184940.6399999997</v>
      </c>
      <c r="S531" s="14" t="s">
        <v>8893</v>
      </c>
      <c r="T531" s="14" t="s">
        <v>8894</v>
      </c>
      <c r="U531" s="14">
        <v>415683.88</v>
      </c>
      <c r="V531" s="14">
        <v>6184936.5499999998</v>
      </c>
      <c r="W531" s="14">
        <v>179.76</v>
      </c>
      <c r="X531" s="14">
        <v>150.05000000000001</v>
      </c>
    </row>
    <row r="532" spans="1:24" s="14" customFormat="1" x14ac:dyDescent="0.25">
      <c r="A532" s="50">
        <v>45097</v>
      </c>
      <c r="B532" s="16">
        <v>171</v>
      </c>
      <c r="C532" s="36">
        <v>0.7693402777777778</v>
      </c>
      <c r="D532" s="16" t="s">
        <v>7408</v>
      </c>
      <c r="E532" s="14" t="s">
        <v>65</v>
      </c>
      <c r="F532" s="16" t="s">
        <v>8759</v>
      </c>
      <c r="G532" s="16" t="s">
        <v>1935</v>
      </c>
      <c r="H532" s="14">
        <v>0.16500000000000001</v>
      </c>
      <c r="I532" s="14" t="s">
        <v>8900</v>
      </c>
      <c r="J532" s="14" t="s">
        <v>8901</v>
      </c>
      <c r="K532" s="14" t="s">
        <v>8902</v>
      </c>
      <c r="L532" s="14" t="s">
        <v>8895</v>
      </c>
      <c r="O532" s="14" t="s">
        <v>8896</v>
      </c>
      <c r="P532" s="14" t="s">
        <v>8897</v>
      </c>
      <c r="Q532" s="14">
        <v>415655.3</v>
      </c>
      <c r="R532" s="14">
        <v>6184933.5700000003</v>
      </c>
      <c r="S532" s="14" t="s">
        <v>8898</v>
      </c>
      <c r="T532" s="14" t="s">
        <v>8899</v>
      </c>
      <c r="U532" s="14">
        <v>415674.78</v>
      </c>
      <c r="V532" s="14">
        <v>6184931.46</v>
      </c>
      <c r="W532" s="14">
        <v>359.93</v>
      </c>
      <c r="X532" s="14">
        <v>150.05000000000001</v>
      </c>
    </row>
    <row r="533" spans="1:24" s="14" customFormat="1" x14ac:dyDescent="0.25">
      <c r="A533" s="50">
        <v>45097</v>
      </c>
      <c r="B533" s="16">
        <v>171</v>
      </c>
      <c r="C533" s="36">
        <v>0.77358796296296306</v>
      </c>
      <c r="D533" s="16" t="s">
        <v>7408</v>
      </c>
      <c r="E533" s="14" t="s">
        <v>70</v>
      </c>
      <c r="F533" s="16" t="s">
        <v>8759</v>
      </c>
      <c r="G533" s="16" t="s">
        <v>1935</v>
      </c>
      <c r="H533" s="14">
        <v>-2.4E-2</v>
      </c>
      <c r="I533" s="14" t="s">
        <v>8900</v>
      </c>
      <c r="J533" s="14" t="s">
        <v>8901</v>
      </c>
      <c r="K533" s="14" t="s">
        <v>8902</v>
      </c>
      <c r="L533" s="14" t="s">
        <v>8895</v>
      </c>
      <c r="O533" s="14" t="s">
        <v>8903</v>
      </c>
      <c r="P533" s="14" t="s">
        <v>8904</v>
      </c>
      <c r="Q533" s="14">
        <v>415654.15</v>
      </c>
      <c r="R533" s="14">
        <v>6185120.4400000004</v>
      </c>
      <c r="S533" s="14" t="s">
        <v>8905</v>
      </c>
      <c r="T533" s="14" t="s">
        <v>8906</v>
      </c>
      <c r="U533" s="14">
        <v>415674.81</v>
      </c>
      <c r="V533" s="14">
        <v>6185120.5599999996</v>
      </c>
      <c r="W533" s="14">
        <v>0.4</v>
      </c>
      <c r="X533" s="14">
        <v>150.05000000000001</v>
      </c>
    </row>
    <row r="534" spans="1:24" s="14" customFormat="1" x14ac:dyDescent="0.25">
      <c r="A534" s="50">
        <v>45097</v>
      </c>
      <c r="B534" s="16">
        <v>171</v>
      </c>
      <c r="C534" s="36">
        <v>0.77631944444444445</v>
      </c>
      <c r="D534" s="16" t="s">
        <v>7408</v>
      </c>
      <c r="E534" s="14" t="s">
        <v>65</v>
      </c>
      <c r="F534" s="16" t="s">
        <v>8759</v>
      </c>
      <c r="G534" s="16" t="s">
        <v>1936</v>
      </c>
      <c r="H534" s="14">
        <v>-1.9E-2</v>
      </c>
      <c r="I534" s="14" t="s">
        <v>8911</v>
      </c>
      <c r="J534" s="14" t="s">
        <v>8912</v>
      </c>
      <c r="K534" s="14" t="s">
        <v>8913</v>
      </c>
      <c r="L534" s="14" t="s">
        <v>8895</v>
      </c>
      <c r="O534" s="14" t="s">
        <v>8907</v>
      </c>
      <c r="P534" s="14" t="s">
        <v>8908</v>
      </c>
      <c r="Q534" s="14">
        <v>415646.18</v>
      </c>
      <c r="R534" s="14">
        <v>6185130.3899999997</v>
      </c>
      <c r="S534" s="14" t="s">
        <v>8909</v>
      </c>
      <c r="T534" s="14" t="s">
        <v>8910</v>
      </c>
      <c r="U534" s="14">
        <v>415665.91</v>
      </c>
      <c r="V534" s="14">
        <v>6185126.8300000001</v>
      </c>
      <c r="W534" s="14">
        <v>181.04</v>
      </c>
      <c r="X534" s="14">
        <v>150.05000000000001</v>
      </c>
    </row>
    <row r="535" spans="1:24" s="14" customFormat="1" x14ac:dyDescent="0.25">
      <c r="A535" s="50">
        <v>45097</v>
      </c>
      <c r="B535" s="16">
        <v>171</v>
      </c>
      <c r="C535" s="36">
        <v>0.78062500000000001</v>
      </c>
      <c r="D535" s="16" t="s">
        <v>7408</v>
      </c>
      <c r="E535" s="14" t="s">
        <v>70</v>
      </c>
      <c r="F535" s="16" t="s">
        <v>8759</v>
      </c>
      <c r="G535" s="16" t="s">
        <v>1936</v>
      </c>
      <c r="H535" s="14">
        <v>0.17100000000000001</v>
      </c>
      <c r="I535" s="14" t="s">
        <v>8911</v>
      </c>
      <c r="J535" s="14" t="s">
        <v>8912</v>
      </c>
      <c r="K535" s="14" t="s">
        <v>8913</v>
      </c>
      <c r="L535" s="14" t="s">
        <v>8918</v>
      </c>
      <c r="O535" s="14" t="s">
        <v>8914</v>
      </c>
      <c r="P535" s="14" t="s">
        <v>8915</v>
      </c>
      <c r="Q535" s="14">
        <v>415645.66</v>
      </c>
      <c r="R535" s="14">
        <v>6184941.1399999997</v>
      </c>
      <c r="S535" s="14" t="s">
        <v>8916</v>
      </c>
      <c r="T535" s="14" t="s">
        <v>8917</v>
      </c>
      <c r="U535" s="14">
        <v>415665.89</v>
      </c>
      <c r="V535" s="14">
        <v>6184937.0099999998</v>
      </c>
      <c r="W535" s="14">
        <v>179.51</v>
      </c>
      <c r="X535" s="14">
        <v>150.05000000000001</v>
      </c>
    </row>
    <row r="536" spans="1:24" s="14" customFormat="1" x14ac:dyDescent="0.25">
      <c r="A536" s="50">
        <v>45097</v>
      </c>
      <c r="B536" s="16">
        <v>171</v>
      </c>
      <c r="C536" s="36">
        <v>0.82327546296296295</v>
      </c>
      <c r="D536" s="16" t="s">
        <v>7408</v>
      </c>
      <c r="E536" s="14" t="s">
        <v>8171</v>
      </c>
      <c r="F536" s="16" t="s">
        <v>8759</v>
      </c>
      <c r="G536" s="16" t="s">
        <v>1936</v>
      </c>
      <c r="H536" s="14">
        <v>0.18099999999999999</v>
      </c>
      <c r="O536" s="14" t="s">
        <v>8919</v>
      </c>
      <c r="P536" s="14" t="s">
        <v>8920</v>
      </c>
      <c r="Q536" s="14">
        <v>415645.54</v>
      </c>
      <c r="R536" s="14">
        <v>6184924.9400000004</v>
      </c>
      <c r="S536" s="14" t="s">
        <v>8921</v>
      </c>
      <c r="T536" s="14" t="s">
        <v>8922</v>
      </c>
      <c r="U536" s="14">
        <v>415658.48</v>
      </c>
      <c r="V536" s="14">
        <v>6184921.6399999997</v>
      </c>
      <c r="W536" s="14">
        <v>94.7</v>
      </c>
      <c r="X536" s="14">
        <v>150.05000000000001</v>
      </c>
    </row>
    <row r="537" spans="1:24" s="14" customFormat="1" x14ac:dyDescent="0.25">
      <c r="A537" s="50">
        <v>45097</v>
      </c>
      <c r="B537" s="16">
        <v>171</v>
      </c>
      <c r="C537" s="36">
        <v>0.82</v>
      </c>
      <c r="D537" s="16" t="s">
        <v>7408</v>
      </c>
      <c r="E537" s="14" t="s">
        <v>8927</v>
      </c>
      <c r="F537" s="16" t="s">
        <v>8759</v>
      </c>
      <c r="G537" s="16" t="s">
        <v>1940</v>
      </c>
      <c r="H537" s="14">
        <v>0.182</v>
      </c>
      <c r="O537" s="14" t="s">
        <v>8923</v>
      </c>
      <c r="P537" s="14" t="s">
        <v>8924</v>
      </c>
      <c r="Q537" s="14">
        <v>415658.1</v>
      </c>
      <c r="R537" s="14">
        <v>6184924.8700000001</v>
      </c>
      <c r="S537" s="14" t="s">
        <v>8925</v>
      </c>
      <c r="T537" s="14" t="s">
        <v>8926</v>
      </c>
      <c r="U537" s="14">
        <v>415670.81</v>
      </c>
      <c r="V537" s="14">
        <v>6184921.3399999999</v>
      </c>
      <c r="W537" s="14">
        <v>97.87</v>
      </c>
      <c r="X537" s="14">
        <v>150.05000000000001</v>
      </c>
    </row>
    <row r="538" spans="1:24" s="14" customFormat="1" x14ac:dyDescent="0.25">
      <c r="A538" s="50">
        <v>45097</v>
      </c>
      <c r="B538" s="16">
        <v>171</v>
      </c>
      <c r="C538" s="36">
        <v>0.82758101851851851</v>
      </c>
      <c r="D538" s="16" t="s">
        <v>7408</v>
      </c>
      <c r="E538" s="14" t="s">
        <v>8932</v>
      </c>
      <c r="F538" s="16" t="s">
        <v>8759</v>
      </c>
      <c r="G538" s="16" t="s">
        <v>1940</v>
      </c>
      <c r="H538" s="14">
        <v>0.17199999999999999</v>
      </c>
      <c r="O538" s="14" t="s">
        <v>8928</v>
      </c>
      <c r="P538" s="14" t="s">
        <v>8929</v>
      </c>
      <c r="Q538" s="14">
        <v>415726.73</v>
      </c>
      <c r="R538" s="14">
        <v>6184923.1399999997</v>
      </c>
      <c r="S538" s="14" t="s">
        <v>8930</v>
      </c>
      <c r="T538" s="14" t="s">
        <v>8931</v>
      </c>
      <c r="U538" s="14">
        <v>415746.72</v>
      </c>
      <c r="V538" s="14">
        <v>6184925.2199999997</v>
      </c>
      <c r="W538" s="14">
        <v>1.54</v>
      </c>
      <c r="X538" s="14">
        <v>150.05000000000001</v>
      </c>
    </row>
    <row r="539" spans="1:24" s="14" customFormat="1" x14ac:dyDescent="0.25">
      <c r="A539" s="50">
        <v>45097</v>
      </c>
      <c r="B539" s="16">
        <v>171</v>
      </c>
      <c r="C539" s="36">
        <v>0.82824074074074072</v>
      </c>
      <c r="D539" s="16" t="s">
        <v>7408</v>
      </c>
      <c r="E539" s="14" t="s">
        <v>65</v>
      </c>
      <c r="F539" s="16" t="s">
        <v>8759</v>
      </c>
      <c r="G539" s="16" t="s">
        <v>1940</v>
      </c>
      <c r="H539" s="14">
        <v>0.16800000000000001</v>
      </c>
      <c r="I539" s="14" t="s">
        <v>8937</v>
      </c>
      <c r="J539" s="14" t="s">
        <v>8912</v>
      </c>
      <c r="K539" s="14" t="s">
        <v>8938</v>
      </c>
      <c r="L539" s="14" t="s">
        <v>8939</v>
      </c>
      <c r="O539" s="14" t="s">
        <v>8933</v>
      </c>
      <c r="P539" s="14" t="s">
        <v>8934</v>
      </c>
      <c r="Q539" s="14">
        <v>415726.53</v>
      </c>
      <c r="R539" s="14">
        <v>6184929.4900000002</v>
      </c>
      <c r="S539" s="14" t="s">
        <v>8935</v>
      </c>
      <c r="T539" s="14" t="s">
        <v>8936</v>
      </c>
      <c r="U539" s="14">
        <v>415746.95</v>
      </c>
      <c r="V539" s="14">
        <v>6184928.4000000004</v>
      </c>
      <c r="W539" s="14">
        <v>359.92</v>
      </c>
      <c r="X539" s="14">
        <v>150.05000000000001</v>
      </c>
    </row>
    <row r="540" spans="1:24" s="14" customFormat="1" x14ac:dyDescent="0.25">
      <c r="A540" s="50">
        <v>45097</v>
      </c>
      <c r="B540" s="16">
        <v>171</v>
      </c>
      <c r="C540" s="36">
        <v>0.8325231481481481</v>
      </c>
      <c r="D540" s="16" t="s">
        <v>7408</v>
      </c>
      <c r="E540" s="14" t="s">
        <v>70</v>
      </c>
      <c r="F540" s="16" t="s">
        <v>8759</v>
      </c>
      <c r="G540" s="16" t="s">
        <v>1940</v>
      </c>
      <c r="H540" s="14">
        <v>-1.7000000000000001E-2</v>
      </c>
      <c r="I540" s="14" t="s">
        <v>8937</v>
      </c>
      <c r="J540" s="14" t="s">
        <v>8944</v>
      </c>
      <c r="K540" s="14" t="s">
        <v>8938</v>
      </c>
      <c r="L540" s="14" t="s">
        <v>8945</v>
      </c>
      <c r="O540" s="14" t="s">
        <v>8940</v>
      </c>
      <c r="P540" s="14" t="s">
        <v>8941</v>
      </c>
      <c r="Q540" s="14">
        <v>415726.43</v>
      </c>
      <c r="R540" s="14">
        <v>6185114.1600000001</v>
      </c>
      <c r="S540" s="14" t="s">
        <v>8942</v>
      </c>
      <c r="T540" s="14" t="s">
        <v>8943</v>
      </c>
      <c r="U540" s="14">
        <v>415746.91</v>
      </c>
      <c r="V540" s="14">
        <v>6185113.96</v>
      </c>
      <c r="W540" s="14">
        <v>0.1</v>
      </c>
      <c r="X540" s="14">
        <v>150.05000000000001</v>
      </c>
    </row>
    <row r="541" spans="1:24" s="14" customFormat="1" x14ac:dyDescent="0.25">
      <c r="A541" s="50">
        <v>45097</v>
      </c>
      <c r="B541" s="16">
        <v>171</v>
      </c>
      <c r="C541" s="36">
        <v>0.83357638888888885</v>
      </c>
      <c r="D541" s="16" t="s">
        <v>7408</v>
      </c>
      <c r="E541" s="14" t="s">
        <v>8950</v>
      </c>
      <c r="F541" s="16" t="s">
        <v>8759</v>
      </c>
      <c r="G541" s="16" t="s">
        <v>1940</v>
      </c>
      <c r="H541" s="14">
        <v>-1.9E-2</v>
      </c>
      <c r="O541" s="14" t="s">
        <v>8946</v>
      </c>
      <c r="P541" s="14" t="s">
        <v>8947</v>
      </c>
      <c r="Q541" s="14">
        <v>415726.35</v>
      </c>
      <c r="R541" s="14">
        <v>6185126.8499999996</v>
      </c>
      <c r="S541" s="14" t="s">
        <v>8948</v>
      </c>
      <c r="T541" s="14" t="s">
        <v>8949</v>
      </c>
      <c r="U541" s="14">
        <v>415743.49</v>
      </c>
      <c r="V541" s="14">
        <v>6185120.6500000004</v>
      </c>
      <c r="W541" s="14">
        <v>82.18</v>
      </c>
      <c r="X541" s="14">
        <v>150.05000000000001</v>
      </c>
    </row>
    <row r="542" spans="1:24" s="81" customFormat="1" x14ac:dyDescent="0.25">
      <c r="A542" s="78">
        <v>45097</v>
      </c>
      <c r="B542" s="79">
        <v>171</v>
      </c>
      <c r="C542" s="80">
        <v>0.84173611111111113</v>
      </c>
      <c r="D542" s="79" t="s">
        <v>7408</v>
      </c>
      <c r="E542" s="81" t="s">
        <v>8955</v>
      </c>
      <c r="F542" s="79" t="s">
        <v>8759</v>
      </c>
      <c r="G542" s="79" t="s">
        <v>1513</v>
      </c>
      <c r="H542" s="81">
        <v>-1.1839999999999999</v>
      </c>
      <c r="O542" s="81" t="s">
        <v>8951</v>
      </c>
      <c r="P542" s="81" t="s">
        <v>8952</v>
      </c>
      <c r="Q542" s="81">
        <v>415726.37</v>
      </c>
      <c r="R542" s="81">
        <v>6185127.71</v>
      </c>
      <c r="S542" s="81" t="s">
        <v>8953</v>
      </c>
      <c r="T542" s="81" t="s">
        <v>8954</v>
      </c>
      <c r="U542" s="81">
        <v>415737.32</v>
      </c>
      <c r="V542" s="81">
        <v>6185125.7800000003</v>
      </c>
      <c r="W542" s="81">
        <v>86.51</v>
      </c>
      <c r="X542" s="81">
        <v>150.05000000000001</v>
      </c>
    </row>
    <row r="543" spans="1:24" s="14" customFormat="1" x14ac:dyDescent="0.25">
      <c r="A543" s="50">
        <v>45097</v>
      </c>
      <c r="B543" s="16">
        <v>171</v>
      </c>
      <c r="C543" s="36">
        <v>0.84324074074074085</v>
      </c>
      <c r="D543" s="16" t="s">
        <v>7408</v>
      </c>
      <c r="E543" s="14" t="s">
        <v>8960</v>
      </c>
      <c r="F543" s="16" t="s">
        <v>8759</v>
      </c>
      <c r="G543" s="16" t="s">
        <v>1513</v>
      </c>
      <c r="H543" s="14">
        <v>-1.177</v>
      </c>
      <c r="O543" s="14" t="s">
        <v>8956</v>
      </c>
      <c r="P543" s="14" t="s">
        <v>8957</v>
      </c>
      <c r="Q543" s="14">
        <v>415722.86</v>
      </c>
      <c r="R543" s="14">
        <v>6185104.8399999999</v>
      </c>
      <c r="S543" s="14" t="s">
        <v>8958</v>
      </c>
      <c r="T543" s="14" t="s">
        <v>8959</v>
      </c>
      <c r="U543" s="14">
        <v>415729.21</v>
      </c>
      <c r="V543" s="14">
        <v>6185113.9800000004</v>
      </c>
      <c r="W543" s="14">
        <v>21.34</v>
      </c>
      <c r="X543" s="14">
        <v>150.05000000000001</v>
      </c>
    </row>
    <row r="544" spans="1:24" s="14" customFormat="1" x14ac:dyDescent="0.25">
      <c r="A544" s="50">
        <v>45097</v>
      </c>
      <c r="B544" s="16">
        <v>171</v>
      </c>
      <c r="C544" s="36">
        <v>0.84381944444444434</v>
      </c>
      <c r="D544" s="16" t="s">
        <v>7408</v>
      </c>
      <c r="E544" s="14" t="s">
        <v>8970</v>
      </c>
      <c r="F544" s="16" t="s">
        <v>8759</v>
      </c>
      <c r="G544" s="16" t="s">
        <v>1513</v>
      </c>
      <c r="H544" s="14">
        <v>-0.54900000000000004</v>
      </c>
      <c r="O544" s="14" t="s">
        <v>8961</v>
      </c>
      <c r="P544" s="14" t="s">
        <v>8962</v>
      </c>
      <c r="Q544" s="14">
        <v>417797.5</v>
      </c>
      <c r="R544" s="14">
        <v>6184475.5800000001</v>
      </c>
      <c r="S544" s="14" t="s">
        <v>8963</v>
      </c>
      <c r="T544" s="14" t="s">
        <v>8964</v>
      </c>
      <c r="U544" s="14">
        <v>417802.65</v>
      </c>
      <c r="V544" s="14">
        <v>6184485.5099999998</v>
      </c>
      <c r="W544" s="14">
        <v>14.53</v>
      </c>
      <c r="X544" s="14">
        <v>150.05000000000001</v>
      </c>
    </row>
    <row r="545" spans="1:24" s="77" customFormat="1" x14ac:dyDescent="0.25">
      <c r="A545" s="74">
        <v>45097</v>
      </c>
      <c r="B545" s="75">
        <v>171</v>
      </c>
      <c r="C545" s="76">
        <v>0.86349537037037039</v>
      </c>
      <c r="D545" s="75" t="s">
        <v>7408</v>
      </c>
      <c r="E545" s="77" t="s">
        <v>8969</v>
      </c>
      <c r="F545" s="75" t="s">
        <v>8759</v>
      </c>
      <c r="G545" s="75" t="s">
        <v>1513</v>
      </c>
      <c r="H545" s="77">
        <v>0.19600000000000001</v>
      </c>
      <c r="O545" s="77" t="s">
        <v>8965</v>
      </c>
      <c r="P545" s="77" t="s">
        <v>8966</v>
      </c>
      <c r="Q545" s="77">
        <v>419778.49</v>
      </c>
      <c r="R545" s="77">
        <v>6183744.4199999999</v>
      </c>
      <c r="S545" s="77" t="s">
        <v>8967</v>
      </c>
      <c r="T545" s="77" t="s">
        <v>8968</v>
      </c>
      <c r="U545" s="77">
        <v>419767.34</v>
      </c>
      <c r="V545" s="77">
        <v>6183746.1600000001</v>
      </c>
      <c r="W545" s="77">
        <v>264.75</v>
      </c>
      <c r="X545" s="77">
        <v>150.05000000000001</v>
      </c>
    </row>
    <row r="546" spans="1:24" s="68" customFormat="1" x14ac:dyDescent="0.25">
      <c r="A546" s="65">
        <v>45097</v>
      </c>
      <c r="B546" s="66">
        <v>171</v>
      </c>
      <c r="C546" s="67">
        <v>0.8692939814814814</v>
      </c>
      <c r="D546" s="66" t="s">
        <v>7408</v>
      </c>
      <c r="E546" s="68" t="s">
        <v>8976</v>
      </c>
      <c r="F546" s="66" t="s">
        <v>8759</v>
      </c>
      <c r="G546" s="66" t="s">
        <v>1513</v>
      </c>
      <c r="H546" s="68">
        <v>0.19500000000000001</v>
      </c>
      <c r="M546" s="68" t="s">
        <v>8971</v>
      </c>
      <c r="O546" s="68" t="s">
        <v>8972</v>
      </c>
      <c r="P546" s="68" t="s">
        <v>8973</v>
      </c>
      <c r="Q546" s="68">
        <v>419778.38</v>
      </c>
      <c r="R546" s="68">
        <v>6183745.0199999996</v>
      </c>
      <c r="S546" s="68" t="s">
        <v>8974</v>
      </c>
      <c r="T546" s="68" t="s">
        <v>8975</v>
      </c>
      <c r="U546" s="68">
        <v>419758.17</v>
      </c>
      <c r="V546" s="68">
        <v>6183742.5499999998</v>
      </c>
      <c r="W546" s="68">
        <v>331.47</v>
      </c>
      <c r="X546" s="68">
        <v>150.05000000000001</v>
      </c>
    </row>
    <row r="547" spans="1:24" s="14" customFormat="1" x14ac:dyDescent="0.25">
      <c r="A547" s="50">
        <v>45097</v>
      </c>
      <c r="B547" s="16">
        <v>171</v>
      </c>
      <c r="C547" s="36">
        <v>0.8728125000000001</v>
      </c>
      <c r="D547" s="16" t="s">
        <v>7408</v>
      </c>
      <c r="E547" s="14" t="s">
        <v>8994</v>
      </c>
      <c r="F547" s="16" t="s">
        <v>8759</v>
      </c>
      <c r="G547" s="16" t="s">
        <v>1513</v>
      </c>
      <c r="H547" s="14">
        <v>0.16500000000000001</v>
      </c>
      <c r="I547" s="14" t="s">
        <v>8981</v>
      </c>
      <c r="J547" s="14" t="s">
        <v>8982</v>
      </c>
      <c r="K547" s="14" t="s">
        <v>8983</v>
      </c>
      <c r="L547" s="14" t="s">
        <v>8984</v>
      </c>
      <c r="O547" s="14" t="s">
        <v>8977</v>
      </c>
      <c r="P547" s="14" t="s">
        <v>8978</v>
      </c>
      <c r="Q547" s="14">
        <v>419777.08</v>
      </c>
      <c r="R547" s="14">
        <v>6183770.2199999997</v>
      </c>
      <c r="S547" s="14" t="s">
        <v>8979</v>
      </c>
      <c r="T547" s="14" t="s">
        <v>8980</v>
      </c>
      <c r="U547" s="14">
        <v>419754.46</v>
      </c>
      <c r="V547" s="14">
        <v>6183772</v>
      </c>
      <c r="W547" s="14">
        <v>1.35</v>
      </c>
      <c r="X547" s="14">
        <v>150.05000000000001</v>
      </c>
    </row>
    <row r="548" spans="1:24" s="14" customFormat="1" x14ac:dyDescent="0.25">
      <c r="A548" s="50">
        <v>45097</v>
      </c>
      <c r="B548" s="16">
        <v>171</v>
      </c>
      <c r="C548" s="36">
        <v>0.87689814814814815</v>
      </c>
      <c r="D548" s="16" t="s">
        <v>7408</v>
      </c>
      <c r="E548" s="14" t="s">
        <v>8995</v>
      </c>
      <c r="F548" s="16" t="s">
        <v>8759</v>
      </c>
      <c r="G548" s="16" t="s">
        <v>1513</v>
      </c>
      <c r="H548" s="14">
        <v>-1.6E-2</v>
      </c>
      <c r="I548" s="14" t="s">
        <v>8981</v>
      </c>
      <c r="J548" s="14" t="s">
        <v>8982</v>
      </c>
      <c r="K548" s="14" t="s">
        <v>8983</v>
      </c>
      <c r="L548" s="14" t="s">
        <v>8984</v>
      </c>
      <c r="O548" s="14" t="s">
        <v>8985</v>
      </c>
      <c r="P548" s="14" t="s">
        <v>8986</v>
      </c>
      <c r="Q548" s="14">
        <v>419775.13</v>
      </c>
      <c r="R548" s="14">
        <v>6183951</v>
      </c>
      <c r="S548" s="14" t="s">
        <v>8987</v>
      </c>
      <c r="T548" s="14" t="s">
        <v>8988</v>
      </c>
      <c r="U548" s="14">
        <v>419754.44</v>
      </c>
      <c r="V548" s="14">
        <v>6183952.7300000004</v>
      </c>
      <c r="W548" s="14">
        <v>0.28000000000000003</v>
      </c>
      <c r="X548" s="14">
        <v>150.05000000000001</v>
      </c>
    </row>
    <row r="549" spans="1:24" s="14" customFormat="1" x14ac:dyDescent="0.25">
      <c r="A549" s="50">
        <v>45097</v>
      </c>
      <c r="B549" s="16">
        <v>171</v>
      </c>
      <c r="C549" s="36">
        <v>0.88130787037037039</v>
      </c>
      <c r="D549" s="16" t="s">
        <v>7408</v>
      </c>
      <c r="E549" s="14" t="s">
        <v>8989</v>
      </c>
      <c r="F549" s="16" t="s">
        <v>8759</v>
      </c>
      <c r="G549" s="16" t="s">
        <v>1471</v>
      </c>
      <c r="H549" s="14">
        <v>2.641</v>
      </c>
      <c r="O549" s="14" t="s">
        <v>8990</v>
      </c>
      <c r="P549" s="14" t="s">
        <v>8991</v>
      </c>
      <c r="Q549" s="14">
        <v>419775.6</v>
      </c>
      <c r="R549" s="14">
        <v>6183969.3700000001</v>
      </c>
      <c r="S549" s="14" t="s">
        <v>8992</v>
      </c>
      <c r="T549" s="14" t="s">
        <v>8993</v>
      </c>
      <c r="U549" s="14">
        <v>419764.41</v>
      </c>
      <c r="V549" s="14">
        <v>6183970.0999999996</v>
      </c>
      <c r="W549" s="14">
        <v>257.45999999999998</v>
      </c>
      <c r="X549" s="14">
        <v>150.05000000000001</v>
      </c>
    </row>
    <row r="550" spans="1:24" s="68" customFormat="1" x14ac:dyDescent="0.25">
      <c r="A550" s="65">
        <v>45097</v>
      </c>
      <c r="B550" s="66">
        <v>171</v>
      </c>
      <c r="C550" s="67">
        <v>0.89959490740740744</v>
      </c>
      <c r="D550" s="66" t="s">
        <v>7408</v>
      </c>
      <c r="E550" s="68" t="s">
        <v>9001</v>
      </c>
      <c r="F550" s="66" t="s">
        <v>1098</v>
      </c>
      <c r="G550" s="66" t="s">
        <v>1471</v>
      </c>
      <c r="H550" s="68">
        <v>0.19800000000000001</v>
      </c>
      <c r="M550" s="68" t="s">
        <v>8996</v>
      </c>
      <c r="O550" s="68" t="s">
        <v>8997</v>
      </c>
      <c r="P550" s="68" t="s">
        <v>8998</v>
      </c>
      <c r="Q550" s="68">
        <v>418013.8</v>
      </c>
      <c r="R550" s="68">
        <v>6186414.9000000004</v>
      </c>
      <c r="S550" s="68" t="s">
        <v>8999</v>
      </c>
      <c r="T550" s="68" t="s">
        <v>9000</v>
      </c>
      <c r="U550" s="68">
        <v>418003.75</v>
      </c>
      <c r="V550" s="68">
        <v>6186409.4500000002</v>
      </c>
      <c r="W550" s="68">
        <v>283.73</v>
      </c>
      <c r="X550" s="68">
        <v>150.05000000000001</v>
      </c>
    </row>
    <row r="551" spans="1:24" s="14" customFormat="1" x14ac:dyDescent="0.25">
      <c r="A551" s="50">
        <v>45097</v>
      </c>
      <c r="B551" s="16">
        <v>171</v>
      </c>
      <c r="C551" s="36">
        <v>0.90218750000000003</v>
      </c>
      <c r="D551" s="16" t="s">
        <v>7408</v>
      </c>
      <c r="E551" s="14" t="s">
        <v>65</v>
      </c>
      <c r="F551" s="16" t="s">
        <v>1098</v>
      </c>
      <c r="G551" s="16" t="s">
        <v>1471</v>
      </c>
      <c r="H551" s="14">
        <v>0.17199999999999999</v>
      </c>
      <c r="I551" s="14" t="s">
        <v>9006</v>
      </c>
      <c r="J551" s="14" t="s">
        <v>9007</v>
      </c>
      <c r="K551" s="14" t="s">
        <v>9008</v>
      </c>
      <c r="L551" s="14" t="s">
        <v>9009</v>
      </c>
      <c r="O551" s="14" t="s">
        <v>9002</v>
      </c>
      <c r="P551" s="14" t="s">
        <v>9003</v>
      </c>
      <c r="Q551" s="14">
        <v>418016.57</v>
      </c>
      <c r="R551" s="14">
        <v>6186429.4000000004</v>
      </c>
      <c r="S551" s="14" t="s">
        <v>9004</v>
      </c>
      <c r="T551" s="14" t="s">
        <v>9005</v>
      </c>
      <c r="U551" s="14">
        <v>417996.31</v>
      </c>
      <c r="V551" s="14">
        <v>6186431.9900000002</v>
      </c>
      <c r="W551" s="14">
        <v>0.71</v>
      </c>
      <c r="X551" s="14">
        <v>150.05000000000001</v>
      </c>
    </row>
    <row r="552" spans="1:24" s="14" customFormat="1" x14ac:dyDescent="0.25">
      <c r="A552" s="50">
        <v>45097</v>
      </c>
      <c r="B552" s="16">
        <v>171</v>
      </c>
      <c r="C552" s="36">
        <v>0.9065509259259259</v>
      </c>
      <c r="D552" s="16" t="s">
        <v>7408</v>
      </c>
      <c r="E552" s="14" t="s">
        <v>70</v>
      </c>
      <c r="F552" s="16" t="s">
        <v>1098</v>
      </c>
      <c r="G552" s="16" t="s">
        <v>1471</v>
      </c>
      <c r="H552" s="14">
        <v>-2.1000000000000001E-2</v>
      </c>
      <c r="I552" s="14" t="s">
        <v>9006</v>
      </c>
      <c r="J552" s="14" t="s">
        <v>9007</v>
      </c>
      <c r="K552" s="14" t="s">
        <v>9008</v>
      </c>
      <c r="L552" s="14" t="s">
        <v>9014</v>
      </c>
      <c r="O552" s="14" t="s">
        <v>9010</v>
      </c>
      <c r="P552" s="14" t="s">
        <v>9011</v>
      </c>
      <c r="Q552" s="14">
        <v>418016.65</v>
      </c>
      <c r="R552" s="14">
        <v>6186622.0099999998</v>
      </c>
      <c r="S552" s="14" t="s">
        <v>9012</v>
      </c>
      <c r="T552" s="14" t="s">
        <v>9013</v>
      </c>
      <c r="U552" s="14">
        <v>417996.34</v>
      </c>
      <c r="V552" s="14">
        <v>6186624.6299999999</v>
      </c>
      <c r="W552" s="14">
        <v>359.35</v>
      </c>
      <c r="X552" s="14">
        <v>150.05000000000001</v>
      </c>
    </row>
    <row r="553" spans="1:24" s="14" customFormat="1" x14ac:dyDescent="0.25">
      <c r="A553" s="50">
        <v>45097</v>
      </c>
      <c r="B553" s="16">
        <v>171</v>
      </c>
      <c r="C553" s="36">
        <v>0.91090277777777784</v>
      </c>
      <c r="D553" s="16" t="s">
        <v>7408</v>
      </c>
      <c r="E553" s="14" t="s">
        <v>65</v>
      </c>
      <c r="F553" s="16" t="s">
        <v>1098</v>
      </c>
      <c r="G553" s="16" t="s">
        <v>1470</v>
      </c>
      <c r="H553" s="14">
        <v>-1.9E-2</v>
      </c>
      <c r="I553" s="14" t="s">
        <v>9019</v>
      </c>
      <c r="J553" s="14" t="s">
        <v>9020</v>
      </c>
      <c r="K553" s="14" t="s">
        <v>9021</v>
      </c>
      <c r="L553" s="14" t="s">
        <v>9014</v>
      </c>
      <c r="O553" s="14" t="s">
        <v>9015</v>
      </c>
      <c r="P553" s="14" t="s">
        <v>9016</v>
      </c>
      <c r="Q553" s="14">
        <v>418008.08</v>
      </c>
      <c r="R553" s="14">
        <v>6186630.8300000001</v>
      </c>
      <c r="S553" s="14" t="s">
        <v>9017</v>
      </c>
      <c r="T553" s="14" t="s">
        <v>9018</v>
      </c>
      <c r="U553" s="14">
        <v>417987.38</v>
      </c>
      <c r="V553" s="14">
        <v>6186633.3399999999</v>
      </c>
      <c r="W553" s="14">
        <v>179.94</v>
      </c>
      <c r="X553" s="14">
        <v>150.05000000000001</v>
      </c>
    </row>
    <row r="554" spans="1:24" s="14" customFormat="1" x14ac:dyDescent="0.25">
      <c r="A554" s="50">
        <v>45097</v>
      </c>
      <c r="B554" s="16">
        <v>171</v>
      </c>
      <c r="C554" s="36">
        <v>0.91527777777777775</v>
      </c>
      <c r="D554" s="16" t="s">
        <v>7408</v>
      </c>
      <c r="E554" s="14" t="s">
        <v>70</v>
      </c>
      <c r="F554" s="16" t="s">
        <v>1098</v>
      </c>
      <c r="G554" s="16" t="s">
        <v>1470</v>
      </c>
      <c r="H554" s="14">
        <v>0.17299999999999999</v>
      </c>
      <c r="I554" s="14" t="s">
        <v>9019</v>
      </c>
      <c r="J554" s="14" t="s">
        <v>9020</v>
      </c>
      <c r="K554" s="14" t="s">
        <v>9021</v>
      </c>
      <c r="L554" s="14" t="s">
        <v>9026</v>
      </c>
      <c r="O554" s="14" t="s">
        <v>9022</v>
      </c>
      <c r="P554" s="14" t="s">
        <v>9023</v>
      </c>
      <c r="Q554" s="14">
        <v>418006.88</v>
      </c>
      <c r="R554" s="14">
        <v>6186439.7599999998</v>
      </c>
      <c r="S554" s="14" t="s">
        <v>9024</v>
      </c>
      <c r="T554" s="14" t="s">
        <v>9025</v>
      </c>
      <c r="U554" s="14">
        <v>417987.29</v>
      </c>
      <c r="V554" s="14">
        <v>6186441.9400000004</v>
      </c>
      <c r="W554" s="14">
        <v>179.17</v>
      </c>
      <c r="X554" s="14">
        <v>150.05000000000001</v>
      </c>
    </row>
    <row r="555" spans="1:24" s="14" customFormat="1" x14ac:dyDescent="0.25">
      <c r="A555" s="50">
        <v>45097</v>
      </c>
      <c r="B555" s="16">
        <v>171</v>
      </c>
      <c r="C555" s="36">
        <v>0.91871527777777784</v>
      </c>
      <c r="D555" s="16" t="s">
        <v>175</v>
      </c>
      <c r="E555" s="14" t="s">
        <v>65</v>
      </c>
      <c r="F555" s="16" t="s">
        <v>1098</v>
      </c>
      <c r="G555" s="16" t="s">
        <v>1469</v>
      </c>
      <c r="H555" s="14">
        <v>0.16700000000000001</v>
      </c>
      <c r="I555" s="14" t="s">
        <v>9031</v>
      </c>
      <c r="J555" s="14" t="s">
        <v>9032</v>
      </c>
      <c r="K555" s="14" t="s">
        <v>9033</v>
      </c>
      <c r="L555" s="14" t="s">
        <v>9026</v>
      </c>
      <c r="O555" s="14" t="s">
        <v>9027</v>
      </c>
      <c r="P555" s="14" t="s">
        <v>9028</v>
      </c>
      <c r="Q555" s="14">
        <v>417999.52</v>
      </c>
      <c r="R555" s="14">
        <v>6186433.5099999998</v>
      </c>
      <c r="S555" s="14" t="s">
        <v>9029</v>
      </c>
      <c r="T555" s="14" t="s">
        <v>9030</v>
      </c>
      <c r="U555" s="14">
        <v>417978.26</v>
      </c>
      <c r="V555" s="14">
        <v>6186436.8300000001</v>
      </c>
      <c r="W555" s="14">
        <v>0.32</v>
      </c>
      <c r="X555" s="14">
        <v>150.05000000000001</v>
      </c>
    </row>
    <row r="556" spans="1:24" s="14" customFormat="1" x14ac:dyDescent="0.25">
      <c r="A556" s="50">
        <v>45097</v>
      </c>
      <c r="B556" s="16">
        <v>171</v>
      </c>
      <c r="C556" s="36">
        <v>0.92298611111111117</v>
      </c>
      <c r="D556" s="16" t="s">
        <v>175</v>
      </c>
      <c r="E556" s="14" t="s">
        <v>70</v>
      </c>
      <c r="F556" s="16" t="s">
        <v>1098</v>
      </c>
      <c r="G556" s="16" t="s">
        <v>1469</v>
      </c>
      <c r="H556" s="14">
        <v>-2.1000000000000001E-2</v>
      </c>
      <c r="I556" s="14" t="s">
        <v>9031</v>
      </c>
      <c r="J556" s="14" t="s">
        <v>9032</v>
      </c>
      <c r="K556" s="14" t="s">
        <v>9033</v>
      </c>
      <c r="L556" s="14" t="s">
        <v>9026</v>
      </c>
      <c r="O556" s="14" t="s">
        <v>9034</v>
      </c>
      <c r="P556" s="14" t="s">
        <v>9035</v>
      </c>
      <c r="Q556" s="14">
        <v>418000.53</v>
      </c>
      <c r="R556" s="14">
        <v>6186622.3600000003</v>
      </c>
      <c r="S556" s="14" t="s">
        <v>9036</v>
      </c>
      <c r="T556" s="14" t="s">
        <v>9037</v>
      </c>
      <c r="U556" s="14">
        <v>417978.29</v>
      </c>
      <c r="V556" s="14">
        <v>6186625.0199999996</v>
      </c>
      <c r="W556" s="14">
        <v>0.15</v>
      </c>
      <c r="X556" s="14">
        <v>150.05000000000001</v>
      </c>
    </row>
    <row r="557" spans="1:24" s="14" customFormat="1" x14ac:dyDescent="0.25">
      <c r="A557" s="50">
        <v>45097</v>
      </c>
      <c r="B557" s="16">
        <v>171</v>
      </c>
      <c r="C557" s="36">
        <v>0.92692129629629638</v>
      </c>
      <c r="D557" s="16" t="s">
        <v>175</v>
      </c>
      <c r="E557" s="14" t="s">
        <v>65</v>
      </c>
      <c r="F557" s="16" t="s">
        <v>1098</v>
      </c>
      <c r="G557" s="16" t="s">
        <v>1468</v>
      </c>
      <c r="H557" s="14">
        <v>-1.0999999999999999E-2</v>
      </c>
      <c r="I557" s="14" t="s">
        <v>9042</v>
      </c>
      <c r="J557" s="14" t="s">
        <v>9043</v>
      </c>
      <c r="K557" s="14" t="s">
        <v>9044</v>
      </c>
      <c r="L557" s="14" t="s">
        <v>9045</v>
      </c>
      <c r="O557" s="14" t="s">
        <v>9038</v>
      </c>
      <c r="P557" s="14" t="s">
        <v>9039</v>
      </c>
      <c r="Q557" s="14">
        <v>417987.75</v>
      </c>
      <c r="R557" s="14">
        <v>6186625.29</v>
      </c>
      <c r="S557" s="14" t="s">
        <v>9040</v>
      </c>
      <c r="T557" s="14" t="s">
        <v>9041</v>
      </c>
      <c r="U557" s="14">
        <v>417969.27</v>
      </c>
      <c r="V557" s="14">
        <v>6186625.5899999999</v>
      </c>
      <c r="W557" s="14">
        <v>179.23</v>
      </c>
      <c r="X557" s="14">
        <v>150.05000000000001</v>
      </c>
    </row>
    <row r="558" spans="1:24" s="14" customFormat="1" x14ac:dyDescent="0.25">
      <c r="A558" s="50">
        <v>45097</v>
      </c>
      <c r="B558" s="16">
        <v>171</v>
      </c>
      <c r="C558" s="36">
        <v>0.93112268518518515</v>
      </c>
      <c r="D558" s="16" t="s">
        <v>175</v>
      </c>
      <c r="E558" s="14" t="s">
        <v>70</v>
      </c>
      <c r="F558" s="16" t="s">
        <v>1098</v>
      </c>
      <c r="G558" s="16" t="s">
        <v>1468</v>
      </c>
      <c r="H558" s="14">
        <v>0.17199999999999999</v>
      </c>
      <c r="I558" s="14" t="s">
        <v>9042</v>
      </c>
      <c r="J558" s="14" t="s">
        <v>9043</v>
      </c>
      <c r="K558" s="14" t="s">
        <v>9044</v>
      </c>
      <c r="L558" s="14" t="s">
        <v>9045</v>
      </c>
      <c r="O558" s="14" t="s">
        <v>9046</v>
      </c>
      <c r="P558" s="14" t="s">
        <v>9047</v>
      </c>
      <c r="Q558" s="14">
        <v>417986.89</v>
      </c>
      <c r="R558" s="14">
        <v>6186439.9699999997</v>
      </c>
      <c r="S558" s="14" t="s">
        <v>9048</v>
      </c>
      <c r="T558" s="14" t="s">
        <v>9049</v>
      </c>
      <c r="U558" s="14">
        <v>417969.26</v>
      </c>
      <c r="V558" s="14">
        <v>6186443.0800000001</v>
      </c>
      <c r="W558" s="14">
        <v>178.76</v>
      </c>
      <c r="X558" s="14">
        <v>150.05000000000001</v>
      </c>
    </row>
    <row r="559" spans="1:24" s="14" customFormat="1" x14ac:dyDescent="0.25">
      <c r="A559" s="50">
        <v>45097</v>
      </c>
      <c r="B559" s="16">
        <v>171</v>
      </c>
      <c r="C559" s="36">
        <v>0.93466435185185182</v>
      </c>
      <c r="D559" s="16" t="s">
        <v>175</v>
      </c>
      <c r="E559" s="14" t="s">
        <v>65</v>
      </c>
      <c r="F559" s="16" t="s">
        <v>1098</v>
      </c>
      <c r="G559" s="16" t="s">
        <v>1467</v>
      </c>
      <c r="H559" s="14">
        <v>0.159</v>
      </c>
      <c r="I559" s="14" t="s">
        <v>9054</v>
      </c>
      <c r="J559" s="14" t="s">
        <v>9055</v>
      </c>
      <c r="K559" s="14" t="s">
        <v>9056</v>
      </c>
      <c r="L559" s="14" t="s">
        <v>9057</v>
      </c>
      <c r="O559" s="14" t="s">
        <v>9050</v>
      </c>
      <c r="P559" s="14" t="s">
        <v>9051</v>
      </c>
      <c r="Q559" s="14">
        <v>417978.14</v>
      </c>
      <c r="R559" s="14">
        <v>6186441.4699999997</v>
      </c>
      <c r="S559" s="14" t="s">
        <v>9052</v>
      </c>
      <c r="T559" s="14" t="s">
        <v>9053</v>
      </c>
      <c r="U559" s="14">
        <v>417960.31</v>
      </c>
      <c r="V559" s="14">
        <v>6186444.71</v>
      </c>
      <c r="W559" s="14">
        <v>1.61</v>
      </c>
      <c r="X559" s="14">
        <v>150.05000000000001</v>
      </c>
    </row>
    <row r="560" spans="1:24" s="14" customFormat="1" x14ac:dyDescent="0.25">
      <c r="A560" s="50">
        <v>45097</v>
      </c>
      <c r="B560" s="16">
        <v>171</v>
      </c>
      <c r="C560" s="36">
        <v>0.93873842592592593</v>
      </c>
      <c r="D560" s="16" t="s">
        <v>175</v>
      </c>
      <c r="E560" s="14" t="s">
        <v>70</v>
      </c>
      <c r="F560" s="16" t="s">
        <v>1098</v>
      </c>
      <c r="G560" s="16" t="s">
        <v>1467</v>
      </c>
      <c r="H560" s="14">
        <v>-0.02</v>
      </c>
      <c r="I560" s="14" t="s">
        <v>9054</v>
      </c>
      <c r="J560" s="14" t="s">
        <v>9055</v>
      </c>
      <c r="K560" s="14" t="s">
        <v>9056</v>
      </c>
      <c r="L560" s="14" t="s">
        <v>9057</v>
      </c>
      <c r="O560" s="14" t="s">
        <v>9058</v>
      </c>
      <c r="P560" s="14" t="s">
        <v>9059</v>
      </c>
      <c r="Q560" s="14">
        <v>417978.63</v>
      </c>
      <c r="R560" s="14">
        <v>6186621.5800000001</v>
      </c>
      <c r="S560" s="14" t="s">
        <v>9060</v>
      </c>
      <c r="T560" s="14" t="s">
        <v>9061</v>
      </c>
      <c r="U560" s="14">
        <v>417960.33</v>
      </c>
      <c r="V560" s="14">
        <v>6186623.8300000001</v>
      </c>
      <c r="W560" s="14">
        <v>359.95</v>
      </c>
      <c r="X560" s="14">
        <v>150.05000000000001</v>
      </c>
    </row>
    <row r="561" spans="1:24" s="14" customFormat="1" x14ac:dyDescent="0.25">
      <c r="A561" s="50">
        <v>45097</v>
      </c>
      <c r="B561" s="16">
        <v>171</v>
      </c>
      <c r="C561" s="36">
        <v>0.94210648148148157</v>
      </c>
      <c r="D561" s="16" t="s">
        <v>175</v>
      </c>
      <c r="E561" s="14" t="s">
        <v>65</v>
      </c>
      <c r="F561" s="16" t="s">
        <v>1098</v>
      </c>
      <c r="G561" s="16" t="s">
        <v>1466</v>
      </c>
      <c r="H561" s="14">
        <v>-1.2999999999999999E-2</v>
      </c>
      <c r="I561" s="14" t="s">
        <v>9066</v>
      </c>
      <c r="J561" s="14" t="s">
        <v>9067</v>
      </c>
      <c r="K561" s="14" t="s">
        <v>9068</v>
      </c>
      <c r="L561" s="14" t="s">
        <v>9057</v>
      </c>
      <c r="O561" s="14" t="s">
        <v>9062</v>
      </c>
      <c r="P561" s="14" t="s">
        <v>9063</v>
      </c>
      <c r="Q561" s="14">
        <v>417969.96</v>
      </c>
      <c r="R561" s="14">
        <v>6186627.9100000001</v>
      </c>
      <c r="S561" s="14" t="s">
        <v>9064</v>
      </c>
      <c r="T561" s="14" t="s">
        <v>9065</v>
      </c>
      <c r="U561" s="14">
        <v>417951.27</v>
      </c>
      <c r="V561" s="14">
        <v>6186627.9500000002</v>
      </c>
      <c r="W561" s="14">
        <v>178.56</v>
      </c>
      <c r="X561" s="14">
        <v>150.05000000000001</v>
      </c>
    </row>
    <row r="562" spans="1:24" s="14" customFormat="1" x14ac:dyDescent="0.25">
      <c r="A562" s="50">
        <v>45097</v>
      </c>
      <c r="B562" s="16">
        <v>171</v>
      </c>
      <c r="C562" s="36">
        <v>0.9462962962962963</v>
      </c>
      <c r="D562" s="16" t="s">
        <v>175</v>
      </c>
      <c r="E562" s="14" t="s">
        <v>70</v>
      </c>
      <c r="F562" s="16" t="s">
        <v>1098</v>
      </c>
      <c r="G562" s="16" t="s">
        <v>1466</v>
      </c>
      <c r="H562" s="14">
        <v>0.17</v>
      </c>
      <c r="I562" s="14" t="s">
        <v>9066</v>
      </c>
      <c r="J562" s="14" t="s">
        <v>9067</v>
      </c>
      <c r="K562" s="14" t="s">
        <v>9068</v>
      </c>
      <c r="L562" s="14" t="s">
        <v>9073</v>
      </c>
      <c r="O562" s="14" t="s">
        <v>9069</v>
      </c>
      <c r="P562" s="14" t="s">
        <v>9070</v>
      </c>
      <c r="Q562" s="14">
        <v>417968.97</v>
      </c>
      <c r="R562" s="14">
        <v>6186444.2699999996</v>
      </c>
      <c r="S562" s="14" t="s">
        <v>9071</v>
      </c>
      <c r="T562" s="14" t="s">
        <v>9072</v>
      </c>
      <c r="U562" s="14">
        <v>417951.24</v>
      </c>
      <c r="V562" s="14">
        <v>6186445.0199999996</v>
      </c>
      <c r="W562" s="14">
        <v>179.17</v>
      </c>
      <c r="X562" s="14">
        <v>150.05000000000001</v>
      </c>
    </row>
    <row r="563" spans="1:24" s="14" customFormat="1" x14ac:dyDescent="0.25">
      <c r="A563" s="50">
        <v>45097</v>
      </c>
      <c r="B563" s="16">
        <v>171</v>
      </c>
      <c r="C563" s="36">
        <v>0.9494097222222222</v>
      </c>
      <c r="D563" s="16" t="s">
        <v>175</v>
      </c>
      <c r="E563" s="14" t="s">
        <v>65</v>
      </c>
      <c r="F563" s="16" t="s">
        <v>1098</v>
      </c>
      <c r="G563" s="16" t="s">
        <v>1460</v>
      </c>
      <c r="H563" s="14">
        <v>0.161</v>
      </c>
      <c r="I563" s="14" t="s">
        <v>9078</v>
      </c>
      <c r="J563" s="14" t="s">
        <v>9079</v>
      </c>
      <c r="K563" s="14" t="s">
        <v>9080</v>
      </c>
      <c r="L563" s="14" t="s">
        <v>9073</v>
      </c>
      <c r="O563" s="14" t="s">
        <v>9074</v>
      </c>
      <c r="P563" s="14" t="s">
        <v>9075</v>
      </c>
      <c r="Q563" s="14">
        <v>417959.86</v>
      </c>
      <c r="R563" s="14">
        <v>6186440.6299999999</v>
      </c>
      <c r="S563" s="14" t="s">
        <v>9076</v>
      </c>
      <c r="T563" s="14" t="s">
        <v>9077</v>
      </c>
      <c r="U563" s="14">
        <v>417942.35</v>
      </c>
      <c r="V563" s="14">
        <v>6186442.2199999997</v>
      </c>
      <c r="W563" s="14">
        <v>0.63</v>
      </c>
      <c r="X563" s="14">
        <v>150.05000000000001</v>
      </c>
    </row>
    <row r="564" spans="1:24" s="14" customFormat="1" x14ac:dyDescent="0.25">
      <c r="A564" s="50">
        <v>45097</v>
      </c>
      <c r="B564" s="16">
        <v>171</v>
      </c>
      <c r="C564" s="36">
        <v>0.95354166666666673</v>
      </c>
      <c r="D564" s="16" t="s">
        <v>175</v>
      </c>
      <c r="E564" s="14" t="s">
        <v>70</v>
      </c>
      <c r="F564" s="16" t="s">
        <v>1098</v>
      </c>
      <c r="G564" s="16" t="s">
        <v>1460</v>
      </c>
      <c r="H564" s="14">
        <v>-0.02</v>
      </c>
      <c r="I564" s="14" t="s">
        <v>9078</v>
      </c>
      <c r="J564" s="14" t="s">
        <v>9079</v>
      </c>
      <c r="K564" s="14" t="s">
        <v>9080</v>
      </c>
      <c r="L564" s="14" t="s">
        <v>9073</v>
      </c>
      <c r="O564" s="14" t="s">
        <v>9081</v>
      </c>
      <c r="P564" s="14" t="s">
        <v>9082</v>
      </c>
      <c r="Q564" s="14">
        <v>417960.48</v>
      </c>
      <c r="R564" s="14">
        <v>6186623.0800000001</v>
      </c>
      <c r="S564" s="14" t="s">
        <v>9083</v>
      </c>
      <c r="T564" s="14" t="s">
        <v>9084</v>
      </c>
      <c r="U564" s="14">
        <v>417942.3</v>
      </c>
      <c r="V564" s="14">
        <v>6186623.46</v>
      </c>
      <c r="W564" s="14">
        <v>1.21</v>
      </c>
      <c r="X564" s="14">
        <v>150.05000000000001</v>
      </c>
    </row>
    <row r="565" spans="1:24" s="14" customFormat="1" x14ac:dyDescent="0.25">
      <c r="A565" s="50">
        <v>45097</v>
      </c>
      <c r="B565" s="16">
        <v>171</v>
      </c>
      <c r="C565" s="36">
        <v>0.95771990740740742</v>
      </c>
      <c r="D565" s="16" t="s">
        <v>175</v>
      </c>
      <c r="E565" s="14" t="s">
        <v>65</v>
      </c>
      <c r="F565" s="16" t="s">
        <v>1098</v>
      </c>
      <c r="G565" s="16" t="s">
        <v>1461</v>
      </c>
      <c r="H565" s="14">
        <v>-1.4999999999999999E-2</v>
      </c>
      <c r="I565" s="14" t="s">
        <v>9089</v>
      </c>
      <c r="J565" s="14" t="s">
        <v>9090</v>
      </c>
      <c r="K565" s="14" t="s">
        <v>9091</v>
      </c>
      <c r="L565" s="14" t="s">
        <v>9092</v>
      </c>
      <c r="O565" s="14" t="s">
        <v>9085</v>
      </c>
      <c r="P565" s="14" t="s">
        <v>9086</v>
      </c>
      <c r="Q565" s="14">
        <v>417951.64</v>
      </c>
      <c r="R565" s="14">
        <v>6186624.21</v>
      </c>
      <c r="S565" s="14" t="s">
        <v>9087</v>
      </c>
      <c r="T565" s="14" t="s">
        <v>9088</v>
      </c>
      <c r="U565" s="14">
        <v>417933.34</v>
      </c>
      <c r="V565" s="14">
        <v>6186630.1399999997</v>
      </c>
      <c r="W565" s="14">
        <v>179.39</v>
      </c>
      <c r="X565" s="14">
        <v>150.05000000000001</v>
      </c>
    </row>
    <row r="566" spans="1:24" s="14" customFormat="1" x14ac:dyDescent="0.25">
      <c r="A566" s="50">
        <v>45097</v>
      </c>
      <c r="B566" s="16">
        <v>171</v>
      </c>
      <c r="C566" s="36">
        <v>0.96193287037037034</v>
      </c>
      <c r="D566" s="16" t="s">
        <v>175</v>
      </c>
      <c r="E566" s="52" t="s">
        <v>70</v>
      </c>
      <c r="F566" s="16" t="s">
        <v>1098</v>
      </c>
      <c r="G566" s="16" t="s">
        <v>1461</v>
      </c>
      <c r="H566" s="14">
        <v>0.17</v>
      </c>
      <c r="I566" s="14" t="s">
        <v>9089</v>
      </c>
      <c r="J566" s="14" t="s">
        <v>9090</v>
      </c>
      <c r="K566" s="14" t="s">
        <v>9091</v>
      </c>
      <c r="L566" s="14" t="s">
        <v>9092</v>
      </c>
      <c r="O566" s="14" t="s">
        <v>9093</v>
      </c>
      <c r="P566" s="14" t="s">
        <v>9094</v>
      </c>
      <c r="Q566" s="14">
        <v>417951.52</v>
      </c>
      <c r="R566" s="14">
        <v>6186439.5800000001</v>
      </c>
      <c r="S566" s="14" t="s">
        <v>9095</v>
      </c>
      <c r="T566" s="14" t="s">
        <v>9096</v>
      </c>
      <c r="U566" s="14">
        <v>417933.35</v>
      </c>
      <c r="V566" s="14">
        <v>6186444.3700000001</v>
      </c>
      <c r="W566" s="14">
        <v>179.94</v>
      </c>
      <c r="X566" s="14">
        <v>150.05000000000001</v>
      </c>
    </row>
    <row r="567" spans="1:24" s="14" customFormat="1" x14ac:dyDescent="0.25">
      <c r="A567" s="50">
        <v>45097</v>
      </c>
      <c r="B567" s="16">
        <v>171</v>
      </c>
      <c r="C567" s="36">
        <v>0.96618055555555549</v>
      </c>
      <c r="D567" s="16" t="s">
        <v>175</v>
      </c>
      <c r="E567" s="14" t="s">
        <v>65</v>
      </c>
      <c r="F567" s="16" t="s">
        <v>1098</v>
      </c>
      <c r="G567" s="16" t="s">
        <v>1462</v>
      </c>
      <c r="H567" s="14">
        <v>0.159</v>
      </c>
      <c r="I567" s="14" t="s">
        <v>9101</v>
      </c>
      <c r="J567" s="14" t="s">
        <v>9102</v>
      </c>
      <c r="K567" s="14" t="s">
        <v>9103</v>
      </c>
      <c r="L567" s="14" t="s">
        <v>9104</v>
      </c>
      <c r="O567" s="14" t="s">
        <v>9097</v>
      </c>
      <c r="P567" s="14" t="s">
        <v>9098</v>
      </c>
      <c r="Q567" s="14">
        <v>417943.32</v>
      </c>
      <c r="R567" s="14">
        <v>6186440.2000000002</v>
      </c>
      <c r="S567" s="14" t="s">
        <v>9099</v>
      </c>
      <c r="T567" s="14" t="s">
        <v>9100</v>
      </c>
      <c r="U567" s="14">
        <v>417924.36</v>
      </c>
      <c r="V567" s="14">
        <v>6186444.8700000001</v>
      </c>
      <c r="W567" s="14">
        <v>0.33</v>
      </c>
      <c r="X567" s="14">
        <v>150.05000000000001</v>
      </c>
    </row>
    <row r="568" spans="1:24" s="14" customFormat="1" x14ac:dyDescent="0.25">
      <c r="A568" s="50">
        <v>45097</v>
      </c>
      <c r="B568" s="16">
        <v>171</v>
      </c>
      <c r="C568" s="36">
        <v>0.97025462962962961</v>
      </c>
      <c r="D568" s="16" t="s">
        <v>175</v>
      </c>
      <c r="E568" s="14" t="s">
        <v>70</v>
      </c>
      <c r="F568" s="16" t="s">
        <v>1098</v>
      </c>
      <c r="G568" s="16" t="s">
        <v>1462</v>
      </c>
      <c r="H568" s="14">
        <v>-2.1000000000000001E-2</v>
      </c>
      <c r="I568" s="14" t="s">
        <v>9101</v>
      </c>
      <c r="J568" s="14" t="s">
        <v>9102</v>
      </c>
      <c r="K568" s="14" t="s">
        <v>9103</v>
      </c>
      <c r="L568" s="14" t="s">
        <v>9104</v>
      </c>
      <c r="O568" s="14" t="s">
        <v>9105</v>
      </c>
      <c r="P568" s="14" t="s">
        <v>9106</v>
      </c>
      <c r="Q568" s="14">
        <v>417944.58</v>
      </c>
      <c r="R568" s="14">
        <v>6186620.2999999998</v>
      </c>
      <c r="S568" s="14" t="s">
        <v>9107</v>
      </c>
      <c r="T568" s="14" t="s">
        <v>9108</v>
      </c>
      <c r="U568" s="14">
        <v>417924.31</v>
      </c>
      <c r="V568" s="14">
        <v>6186624.5800000001</v>
      </c>
      <c r="W568" s="14">
        <v>0.31</v>
      </c>
      <c r="X568" s="14">
        <v>150.05000000000001</v>
      </c>
    </row>
    <row r="569" spans="1:24" s="14" customFormat="1" x14ac:dyDescent="0.25">
      <c r="A569" s="50">
        <v>45097</v>
      </c>
      <c r="B569" s="16">
        <v>171</v>
      </c>
      <c r="C569" s="36">
        <v>0.97508101851851858</v>
      </c>
      <c r="D569" s="16" t="s">
        <v>175</v>
      </c>
      <c r="E569" s="14" t="s">
        <v>65</v>
      </c>
      <c r="F569" s="16" t="s">
        <v>1098</v>
      </c>
      <c r="G569" s="16" t="s">
        <v>1463</v>
      </c>
      <c r="H569" s="14">
        <v>-1.4999999999999999E-2</v>
      </c>
      <c r="I569" s="14" t="s">
        <v>9113</v>
      </c>
      <c r="J569" s="14" t="s">
        <v>9114</v>
      </c>
      <c r="K569" s="14" t="s">
        <v>9115</v>
      </c>
      <c r="L569" s="14" t="s">
        <v>9104</v>
      </c>
      <c r="O569" s="14" t="s">
        <v>9109</v>
      </c>
      <c r="P569" s="14" t="s">
        <v>9110</v>
      </c>
      <c r="Q569" s="14">
        <v>417932.55</v>
      </c>
      <c r="R569" s="14">
        <v>6186629.4800000004</v>
      </c>
      <c r="S569" s="14" t="s">
        <v>9111</v>
      </c>
      <c r="T569" s="14" t="s">
        <v>9112</v>
      </c>
      <c r="U569" s="14">
        <v>417915.37</v>
      </c>
      <c r="V569" s="14">
        <v>6186629.3499999996</v>
      </c>
      <c r="W569" s="14">
        <v>180.53</v>
      </c>
      <c r="X569" s="14">
        <v>150.05000000000001</v>
      </c>
    </row>
    <row r="570" spans="1:24" s="14" customFormat="1" x14ac:dyDescent="0.25">
      <c r="A570" s="50">
        <v>45097</v>
      </c>
      <c r="B570" s="16">
        <v>171</v>
      </c>
      <c r="C570" s="36">
        <v>0.97920138888888886</v>
      </c>
      <c r="D570" s="16" t="s">
        <v>175</v>
      </c>
      <c r="E570" s="14" t="s">
        <v>70</v>
      </c>
      <c r="F570" s="16" t="s">
        <v>1098</v>
      </c>
      <c r="G570" s="16" t="s">
        <v>1463</v>
      </c>
      <c r="H570" s="14">
        <v>0.16600000000000001</v>
      </c>
      <c r="I570" s="14" t="s">
        <v>9113</v>
      </c>
      <c r="J570" s="14" t="s">
        <v>9114</v>
      </c>
      <c r="K570" s="14" t="s">
        <v>9115</v>
      </c>
      <c r="L570" s="14" t="s">
        <v>9120</v>
      </c>
      <c r="O570" s="14" t="s">
        <v>9116</v>
      </c>
      <c r="P570" s="14" t="s">
        <v>9117</v>
      </c>
      <c r="Q570" s="14">
        <v>417931.89</v>
      </c>
      <c r="R570" s="14">
        <v>6186448.04</v>
      </c>
      <c r="S570" s="14" t="s">
        <v>9118</v>
      </c>
      <c r="T570" s="14" t="s">
        <v>9119</v>
      </c>
      <c r="U570" s="14">
        <v>417915.22</v>
      </c>
      <c r="V570" s="14">
        <v>6186448.71</v>
      </c>
      <c r="W570" s="14">
        <v>178.6</v>
      </c>
      <c r="X570" s="14">
        <v>150.05000000000001</v>
      </c>
    </row>
    <row r="571" spans="1:24" s="14" customFormat="1" x14ac:dyDescent="0.25">
      <c r="A571" s="50">
        <v>45097</v>
      </c>
      <c r="B571" s="16">
        <v>171</v>
      </c>
      <c r="C571" s="36">
        <v>0.98238425925925921</v>
      </c>
      <c r="D571" s="16" t="s">
        <v>175</v>
      </c>
      <c r="E571" s="52" t="s">
        <v>65</v>
      </c>
      <c r="F571" s="16" t="s">
        <v>1098</v>
      </c>
      <c r="G571" s="16" t="s">
        <v>1464</v>
      </c>
      <c r="H571" s="14">
        <v>0.16300000000000001</v>
      </c>
      <c r="I571" s="14" t="s">
        <v>9125</v>
      </c>
      <c r="J571" s="14" t="s">
        <v>9126</v>
      </c>
      <c r="K571" s="14" t="s">
        <v>9127</v>
      </c>
      <c r="L571" s="14" t="s">
        <v>9120</v>
      </c>
      <c r="O571" s="14" t="s">
        <v>9121</v>
      </c>
      <c r="P571" s="14" t="s">
        <v>9122</v>
      </c>
      <c r="Q571" s="14">
        <v>417923.27</v>
      </c>
      <c r="R571" s="14">
        <v>6186435.3799999999</v>
      </c>
      <c r="S571" s="14" t="s">
        <v>9123</v>
      </c>
      <c r="T571" s="14" t="s">
        <v>9124</v>
      </c>
      <c r="U571" s="14">
        <v>417906.24</v>
      </c>
      <c r="V571" s="14">
        <v>6186441</v>
      </c>
      <c r="W571" s="14">
        <v>0.83</v>
      </c>
      <c r="X571" s="14">
        <v>150.05000000000001</v>
      </c>
    </row>
    <row r="572" spans="1:24" s="14" customFormat="1" x14ac:dyDescent="0.25">
      <c r="A572" s="50">
        <v>45097</v>
      </c>
      <c r="B572" s="16">
        <v>171</v>
      </c>
      <c r="C572" s="36">
        <v>0.9865624999999999</v>
      </c>
      <c r="D572" s="16" t="s">
        <v>175</v>
      </c>
      <c r="E572" s="52" t="s">
        <v>70</v>
      </c>
      <c r="F572" s="16" t="s">
        <v>1098</v>
      </c>
      <c r="G572" s="16" t="s">
        <v>1464</v>
      </c>
      <c r="H572" s="14">
        <v>-2.1000000000000001E-2</v>
      </c>
      <c r="I572" s="14" t="s">
        <v>9125</v>
      </c>
      <c r="J572" s="14" t="s">
        <v>9126</v>
      </c>
      <c r="K572" s="14" t="s">
        <v>9127</v>
      </c>
      <c r="L572" s="14" t="s">
        <v>9132</v>
      </c>
      <c r="O572" s="14" t="s">
        <v>9128</v>
      </c>
      <c r="P572" s="14" t="s">
        <v>9129</v>
      </c>
      <c r="Q572" s="14">
        <v>417924.44</v>
      </c>
      <c r="R572" s="14">
        <v>6186619.8600000003</v>
      </c>
      <c r="S572" s="14" t="s">
        <v>9130</v>
      </c>
      <c r="T572" s="14" t="s">
        <v>9131</v>
      </c>
      <c r="U572" s="14">
        <v>417906.3</v>
      </c>
      <c r="V572" s="14">
        <v>6186624.0999999996</v>
      </c>
      <c r="W572" s="14">
        <v>359.2</v>
      </c>
      <c r="X572" s="14">
        <v>150.05000000000001</v>
      </c>
    </row>
    <row r="573" spans="1:24" s="14" customFormat="1" x14ac:dyDescent="0.25">
      <c r="A573" s="50">
        <v>45097</v>
      </c>
      <c r="B573" s="16">
        <v>171</v>
      </c>
      <c r="C573" s="36">
        <v>0.98993055555555554</v>
      </c>
      <c r="D573" s="16" t="s">
        <v>175</v>
      </c>
      <c r="E573" s="52" t="s">
        <v>65</v>
      </c>
      <c r="F573" s="16" t="s">
        <v>1098</v>
      </c>
      <c r="G573" s="16" t="s">
        <v>1465</v>
      </c>
      <c r="H573" s="14">
        <v>-1.2999999999999999E-2</v>
      </c>
      <c r="I573" s="14" t="s">
        <v>9137</v>
      </c>
      <c r="J573" s="14" t="s">
        <v>9138</v>
      </c>
      <c r="K573" s="14" t="s">
        <v>9139</v>
      </c>
      <c r="L573" s="14" t="s">
        <v>9132</v>
      </c>
      <c r="O573" s="14" t="s">
        <v>9133</v>
      </c>
      <c r="P573" s="14" t="s">
        <v>9134</v>
      </c>
      <c r="Q573" s="14">
        <v>417915.15</v>
      </c>
      <c r="R573" s="14">
        <v>6186625.0599999996</v>
      </c>
      <c r="S573" s="14" t="s">
        <v>9135</v>
      </c>
      <c r="T573" s="14" t="s">
        <v>9136</v>
      </c>
      <c r="U573" s="14">
        <v>417897.26</v>
      </c>
      <c r="V573" s="14">
        <v>6186627.8099999996</v>
      </c>
      <c r="W573" s="14">
        <v>179.09</v>
      </c>
      <c r="X573" s="14">
        <v>150.05000000000001</v>
      </c>
    </row>
    <row r="574" spans="1:24" s="14" customFormat="1" x14ac:dyDescent="0.25">
      <c r="A574" s="50">
        <v>45097</v>
      </c>
      <c r="B574" s="16">
        <v>171</v>
      </c>
      <c r="C574" s="36">
        <v>0.99403935185185188</v>
      </c>
      <c r="D574" s="16" t="s">
        <v>175</v>
      </c>
      <c r="E574" s="52" t="s">
        <v>70</v>
      </c>
      <c r="F574" s="16" t="s">
        <v>1098</v>
      </c>
      <c r="G574" s="16" t="s">
        <v>1465</v>
      </c>
      <c r="H574" s="14">
        <v>0.16800000000000001</v>
      </c>
      <c r="I574" s="14" t="s">
        <v>9137</v>
      </c>
      <c r="J574" s="14" t="s">
        <v>9138</v>
      </c>
      <c r="K574" s="14" t="s">
        <v>9139</v>
      </c>
      <c r="L574" s="14" t="s">
        <v>9132</v>
      </c>
      <c r="O574" s="14" t="s">
        <v>9140</v>
      </c>
      <c r="P574" s="14" t="s">
        <v>9141</v>
      </c>
      <c r="Q574" s="14">
        <v>417914.02</v>
      </c>
      <c r="R574" s="14">
        <v>6186444.5099999998</v>
      </c>
      <c r="S574" s="14" t="s">
        <v>9142</v>
      </c>
      <c r="T574" s="14" t="s">
        <v>9143</v>
      </c>
      <c r="U574" s="14">
        <v>417897.29</v>
      </c>
      <c r="V574" s="14">
        <v>6186446.3099999996</v>
      </c>
      <c r="W574" s="14">
        <v>179.81</v>
      </c>
      <c r="X574" s="14">
        <v>150.05000000000001</v>
      </c>
    </row>
    <row r="575" spans="1:24" s="14" customFormat="1" x14ac:dyDescent="0.25">
      <c r="A575" s="50">
        <v>45097</v>
      </c>
      <c r="B575" s="16">
        <v>171</v>
      </c>
      <c r="C575" s="36">
        <v>0.9959027777777778</v>
      </c>
      <c r="D575" s="16" t="s">
        <v>175</v>
      </c>
      <c r="E575" s="52" t="s">
        <v>9148</v>
      </c>
      <c r="F575" s="16" t="s">
        <v>1098</v>
      </c>
      <c r="G575" s="16" t="s">
        <v>1465</v>
      </c>
      <c r="H575" s="14">
        <v>0.17199999999999999</v>
      </c>
      <c r="O575" s="14" t="s">
        <v>9144</v>
      </c>
      <c r="P575" s="14" t="s">
        <v>9145</v>
      </c>
      <c r="Q575" s="14">
        <v>417912.94</v>
      </c>
      <c r="R575" s="14">
        <v>6186430.7800000003</v>
      </c>
      <c r="S575" s="14" t="s">
        <v>9146</v>
      </c>
      <c r="T575" s="14" t="s">
        <v>9147</v>
      </c>
      <c r="U575" s="14">
        <v>417900.15</v>
      </c>
      <c r="V575" s="14">
        <v>6186433.5800000001</v>
      </c>
      <c r="W575" s="14">
        <v>302.99</v>
      </c>
      <c r="X575" s="14">
        <v>150.05000000000001</v>
      </c>
    </row>
    <row r="576" spans="1:24" s="14" customFormat="1" x14ac:dyDescent="0.25">
      <c r="A576" s="50">
        <v>45097</v>
      </c>
      <c r="B576" s="16">
        <v>171</v>
      </c>
      <c r="C576" s="36">
        <v>0.99832175925925926</v>
      </c>
      <c r="D576" s="16" t="s">
        <v>175</v>
      </c>
      <c r="E576" s="52" t="s">
        <v>9149</v>
      </c>
      <c r="F576" s="16" t="s">
        <v>1098</v>
      </c>
      <c r="G576" s="16" t="s">
        <v>1417</v>
      </c>
      <c r="H576" s="14">
        <v>2.3410000000000002</v>
      </c>
      <c r="O576" s="14" t="s">
        <v>9150</v>
      </c>
      <c r="P576" s="14" t="s">
        <v>9151</v>
      </c>
      <c r="Q576" s="14">
        <v>417913.37</v>
      </c>
      <c r="R576" s="14">
        <v>6186430.5800000001</v>
      </c>
      <c r="S576" s="14" t="s">
        <v>9152</v>
      </c>
      <c r="T576" s="14" t="s">
        <v>9153</v>
      </c>
      <c r="U576" s="14">
        <v>417901.62</v>
      </c>
      <c r="V576" s="14">
        <v>6186434</v>
      </c>
      <c r="W576" s="14">
        <v>287.17</v>
      </c>
      <c r="X576" s="14">
        <v>150.05000000000001</v>
      </c>
    </row>
    <row r="577" spans="1:24" s="72" customFormat="1" x14ac:dyDescent="0.25">
      <c r="A577" s="69">
        <v>45098</v>
      </c>
      <c r="B577" s="70">
        <v>172</v>
      </c>
      <c r="C577" s="71">
        <v>0</v>
      </c>
      <c r="D577" s="70" t="s">
        <v>175</v>
      </c>
      <c r="E577" s="72" t="s">
        <v>77</v>
      </c>
      <c r="F577" s="70" t="s">
        <v>1098</v>
      </c>
      <c r="G577" s="70" t="s">
        <v>1417</v>
      </c>
      <c r="H577" s="72">
        <v>2.1890000000000001</v>
      </c>
      <c r="O577" s="72" t="s">
        <v>9154</v>
      </c>
      <c r="P577" s="72" t="s">
        <v>9155</v>
      </c>
      <c r="Q577" s="72">
        <v>417918.92</v>
      </c>
      <c r="R577" s="72">
        <v>6186579.7800000003</v>
      </c>
      <c r="S577" s="72" t="s">
        <v>9156</v>
      </c>
      <c r="T577" s="72" t="s">
        <v>9157</v>
      </c>
      <c r="U577" s="72">
        <v>417909.33</v>
      </c>
      <c r="V577" s="72">
        <v>6186584.2400000002</v>
      </c>
      <c r="W577" s="72">
        <v>305.88</v>
      </c>
      <c r="X577" s="72">
        <v>150.05000000000001</v>
      </c>
    </row>
    <row r="578" spans="1:24" s="14" customFormat="1" x14ac:dyDescent="0.25">
      <c r="A578" s="50">
        <v>45098</v>
      </c>
      <c r="B578" s="16">
        <v>172</v>
      </c>
      <c r="C578" s="36">
        <v>1.5173611111111112E-2</v>
      </c>
      <c r="D578" s="16" t="s">
        <v>175</v>
      </c>
      <c r="E578" s="52" t="s">
        <v>6102</v>
      </c>
      <c r="F578" s="16" t="s">
        <v>1098</v>
      </c>
      <c r="G578" s="16" t="s">
        <v>1417</v>
      </c>
      <c r="H578" s="14">
        <v>0.185</v>
      </c>
      <c r="O578" s="14" t="s">
        <v>9158</v>
      </c>
      <c r="P578" s="14" t="s">
        <v>9159</v>
      </c>
      <c r="Q578" s="14">
        <v>418430.17</v>
      </c>
      <c r="R578" s="14">
        <v>6188593.8499999996</v>
      </c>
      <c r="S578" s="14" t="s">
        <v>9160</v>
      </c>
      <c r="T578" s="14" t="s">
        <v>9161</v>
      </c>
      <c r="U578" s="14">
        <v>418440.75</v>
      </c>
      <c r="V578" s="14">
        <v>6188592.1399999997</v>
      </c>
      <c r="W578" s="14">
        <v>107.52</v>
      </c>
      <c r="X578" s="14">
        <v>150.05000000000001</v>
      </c>
    </row>
    <row r="579" spans="1:24" s="14" customFormat="1" x14ac:dyDescent="0.25">
      <c r="A579" s="50">
        <v>45098</v>
      </c>
      <c r="B579" s="16">
        <v>172</v>
      </c>
      <c r="C579" s="36">
        <v>1.5590277777777778E-2</v>
      </c>
      <c r="D579" s="16" t="s">
        <v>175</v>
      </c>
      <c r="E579" s="52" t="s">
        <v>8026</v>
      </c>
      <c r="F579" s="16" t="s">
        <v>1098</v>
      </c>
      <c r="G579" s="16" t="s">
        <v>1417</v>
      </c>
      <c r="H579" s="14">
        <v>0.185</v>
      </c>
      <c r="O579" s="14" t="s">
        <v>9162</v>
      </c>
      <c r="P579" s="14" t="s">
        <v>9163</v>
      </c>
      <c r="Q579" s="14">
        <v>418430.51</v>
      </c>
      <c r="R579" s="14">
        <v>6188594.3899999997</v>
      </c>
      <c r="S579" s="14" t="s">
        <v>9164</v>
      </c>
      <c r="T579" s="14" t="s">
        <v>9165</v>
      </c>
      <c r="U579" s="14">
        <v>418440.81</v>
      </c>
      <c r="V579" s="14">
        <v>6188592.7400000002</v>
      </c>
      <c r="W579" s="14">
        <v>108.54</v>
      </c>
      <c r="X579" s="14">
        <v>150.05000000000001</v>
      </c>
    </row>
    <row r="580" spans="1:24" s="68" customFormat="1" x14ac:dyDescent="0.25">
      <c r="A580" s="65">
        <v>45098</v>
      </c>
      <c r="B580" s="66">
        <v>172</v>
      </c>
      <c r="C580" s="67">
        <v>1.7164351851851851E-2</v>
      </c>
      <c r="D580" s="66" t="s">
        <v>175</v>
      </c>
      <c r="E580" s="68" t="s">
        <v>9171</v>
      </c>
      <c r="F580" s="66" t="s">
        <v>1098</v>
      </c>
      <c r="G580" s="66" t="s">
        <v>1417</v>
      </c>
      <c r="H580" s="68">
        <v>0.189</v>
      </c>
      <c r="M580" s="68" t="s">
        <v>9166</v>
      </c>
      <c r="O580" s="68" t="s">
        <v>9167</v>
      </c>
      <c r="P580" s="68" t="s">
        <v>9168</v>
      </c>
      <c r="Q580" s="68">
        <v>418430.95</v>
      </c>
      <c r="R580" s="68">
        <v>6188594.4100000001</v>
      </c>
      <c r="S580" s="68" t="s">
        <v>9169</v>
      </c>
      <c r="T580" s="68" t="s">
        <v>9170</v>
      </c>
      <c r="U580" s="68">
        <v>418445.17</v>
      </c>
      <c r="V580" s="68">
        <v>6188586.54</v>
      </c>
      <c r="W580" s="68">
        <v>85.33</v>
      </c>
      <c r="X580" s="68">
        <v>150.05000000000001</v>
      </c>
    </row>
    <row r="581" spans="1:24" s="14" customFormat="1" x14ac:dyDescent="0.25">
      <c r="A581" s="50">
        <v>45098</v>
      </c>
      <c r="B581" s="16">
        <v>172</v>
      </c>
      <c r="C581" s="36">
        <v>1.9375E-2</v>
      </c>
      <c r="D581" s="16" t="s">
        <v>175</v>
      </c>
      <c r="E581" s="14" t="s">
        <v>65</v>
      </c>
      <c r="F581" s="16" t="s">
        <v>1098</v>
      </c>
      <c r="G581" s="16" t="s">
        <v>1417</v>
      </c>
      <c r="H581" s="14">
        <v>0.159</v>
      </c>
      <c r="I581" s="14" t="s">
        <v>9176</v>
      </c>
      <c r="J581" s="14" t="s">
        <v>9177</v>
      </c>
      <c r="K581" s="14" t="s">
        <v>9178</v>
      </c>
      <c r="L581" s="14" t="s">
        <v>9179</v>
      </c>
      <c r="O581" s="14" t="s">
        <v>9172</v>
      </c>
      <c r="P581" s="14" t="s">
        <v>9173</v>
      </c>
      <c r="Q581" s="14">
        <v>418432.21</v>
      </c>
      <c r="R581" s="14">
        <v>6188612.4000000004</v>
      </c>
      <c r="S581" s="14" t="s">
        <v>9174</v>
      </c>
      <c r="T581" s="14" t="s">
        <v>9175</v>
      </c>
      <c r="U581" s="14">
        <v>418450.9</v>
      </c>
      <c r="V581" s="14">
        <v>6188611.0999999996</v>
      </c>
      <c r="W581" s="14">
        <v>0.44</v>
      </c>
      <c r="X581" s="14">
        <v>150.05000000000001</v>
      </c>
    </row>
    <row r="582" spans="1:24" s="14" customFormat="1" x14ac:dyDescent="0.25">
      <c r="A582" s="50">
        <v>45098</v>
      </c>
      <c r="B582" s="16">
        <v>172</v>
      </c>
      <c r="C582" s="36">
        <v>2.3506944444444445E-2</v>
      </c>
      <c r="D582" s="16" t="s">
        <v>175</v>
      </c>
      <c r="E582" s="14" t="s">
        <v>70</v>
      </c>
      <c r="F582" s="16" t="s">
        <v>1098</v>
      </c>
      <c r="G582" s="16" t="s">
        <v>1417</v>
      </c>
      <c r="H582" s="14">
        <v>-2.1999999999999999E-2</v>
      </c>
      <c r="I582" s="14" t="s">
        <v>9176</v>
      </c>
      <c r="J582" s="14" t="s">
        <v>9177</v>
      </c>
      <c r="K582" s="14" t="s">
        <v>9178</v>
      </c>
      <c r="L582" s="14" t="s">
        <v>9179</v>
      </c>
      <c r="O582" s="14" t="s">
        <v>9180</v>
      </c>
      <c r="P582" s="14" t="s">
        <v>9181</v>
      </c>
      <c r="Q582" s="14">
        <v>418434.07</v>
      </c>
      <c r="R582" s="14">
        <v>6188793.7199999997</v>
      </c>
      <c r="S582" s="14" t="s">
        <v>9182</v>
      </c>
      <c r="T582" s="14" t="s">
        <v>9183</v>
      </c>
      <c r="U582" s="14">
        <v>418450.94</v>
      </c>
      <c r="V582" s="14">
        <v>6188791.8600000003</v>
      </c>
      <c r="W582" s="14">
        <v>359.77</v>
      </c>
      <c r="X582" s="14">
        <v>150.05000000000001</v>
      </c>
    </row>
    <row r="583" spans="1:24" s="90" customFormat="1" x14ac:dyDescent="0.25">
      <c r="A583" s="93">
        <v>45098</v>
      </c>
      <c r="B583" s="95">
        <v>172</v>
      </c>
      <c r="C583" s="83">
        <v>2.704861111111111E-2</v>
      </c>
      <c r="D583" s="95" t="s">
        <v>175</v>
      </c>
      <c r="E583" s="90" t="s">
        <v>159</v>
      </c>
      <c r="F583" s="95" t="s">
        <v>1098</v>
      </c>
      <c r="G583" s="95" t="s">
        <v>1416</v>
      </c>
      <c r="H583" s="90">
        <v>-0.02</v>
      </c>
      <c r="I583" s="90" t="s">
        <v>9188</v>
      </c>
      <c r="J583" s="90" t="s">
        <v>9189</v>
      </c>
      <c r="K583" s="90" t="s">
        <v>9190</v>
      </c>
      <c r="L583" s="90" t="s">
        <v>9179</v>
      </c>
      <c r="O583" s="90" t="s">
        <v>9184</v>
      </c>
      <c r="P583" s="90" t="s">
        <v>9185</v>
      </c>
      <c r="Q583" s="90">
        <v>418443.52000000002</v>
      </c>
      <c r="R583" s="90">
        <v>6188808.04</v>
      </c>
      <c r="S583" s="90" t="s">
        <v>9186</v>
      </c>
      <c r="T583" s="90" t="s">
        <v>9187</v>
      </c>
      <c r="U583" s="90">
        <v>418459.85</v>
      </c>
      <c r="V583" s="90">
        <v>6188800.8499999996</v>
      </c>
      <c r="W583" s="90">
        <v>180.5</v>
      </c>
      <c r="X583" s="90">
        <v>150.05000000000001</v>
      </c>
    </row>
    <row r="584" spans="1:24" s="90" customFormat="1" x14ac:dyDescent="0.25">
      <c r="A584" s="93">
        <v>45098</v>
      </c>
      <c r="B584" s="95">
        <v>172</v>
      </c>
      <c r="C584" s="83">
        <v>2.8310185185185185E-2</v>
      </c>
      <c r="D584" s="95" t="s">
        <v>175</v>
      </c>
      <c r="E584" s="90" t="s">
        <v>9200</v>
      </c>
      <c r="F584" s="95" t="s">
        <v>1098</v>
      </c>
      <c r="G584" s="95" t="s">
        <v>1416</v>
      </c>
      <c r="H584" s="90">
        <v>2.9000000000000001E-2</v>
      </c>
      <c r="I584" s="90" t="s">
        <v>9188</v>
      </c>
      <c r="J584" s="90" t="s">
        <v>9189</v>
      </c>
      <c r="K584" s="90" t="s">
        <v>9190</v>
      </c>
      <c r="L584" s="90" t="s">
        <v>9195</v>
      </c>
      <c r="O584" s="90" t="s">
        <v>9191</v>
      </c>
      <c r="P584" s="90" t="s">
        <v>9192</v>
      </c>
      <c r="Q584" s="90">
        <v>418442.62</v>
      </c>
      <c r="R584" s="90">
        <v>6188759.1699999999</v>
      </c>
      <c r="S584" s="90" t="s">
        <v>9193</v>
      </c>
      <c r="T584" s="90" t="s">
        <v>9194</v>
      </c>
      <c r="U584" s="90">
        <v>418459.84</v>
      </c>
      <c r="V584" s="90">
        <v>6188751.7000000002</v>
      </c>
      <c r="W584" s="90">
        <v>178.95</v>
      </c>
      <c r="X584" s="90">
        <v>150.05000000000001</v>
      </c>
    </row>
    <row r="585" spans="1:24" s="14" customFormat="1" x14ac:dyDescent="0.25">
      <c r="A585" s="50">
        <v>45098</v>
      </c>
      <c r="B585" s="16">
        <v>172</v>
      </c>
      <c r="C585" s="36">
        <v>2.8912037037037038E-2</v>
      </c>
      <c r="D585" s="16" t="s">
        <v>175</v>
      </c>
      <c r="E585" s="14" t="s">
        <v>9201</v>
      </c>
      <c r="F585" s="16" t="s">
        <v>1098</v>
      </c>
      <c r="G585" s="16" t="s">
        <v>1416</v>
      </c>
      <c r="H585" s="14">
        <v>3.2000000000000001E-2</v>
      </c>
      <c r="O585" s="14" t="s">
        <v>9196</v>
      </c>
      <c r="P585" s="14" t="s">
        <v>9197</v>
      </c>
      <c r="Q585" s="14">
        <v>418441.62</v>
      </c>
      <c r="R585" s="14">
        <v>6188757.0300000003</v>
      </c>
      <c r="S585" s="14" t="s">
        <v>9198</v>
      </c>
      <c r="T585" s="14" t="s">
        <v>9199</v>
      </c>
      <c r="U585" s="14">
        <v>418458.29</v>
      </c>
      <c r="V585" s="14">
        <v>6188748.4800000004</v>
      </c>
      <c r="W585" s="14">
        <v>153.80000000000001</v>
      </c>
      <c r="X585" s="14">
        <v>150.05000000000001</v>
      </c>
    </row>
    <row r="586" spans="1:24" s="14" customFormat="1" x14ac:dyDescent="0.25">
      <c r="A586" s="50">
        <v>45098</v>
      </c>
      <c r="B586" s="16">
        <v>172</v>
      </c>
      <c r="C586" s="36">
        <v>3.4178240740740738E-2</v>
      </c>
      <c r="D586" s="16" t="s">
        <v>175</v>
      </c>
      <c r="E586" s="52" t="s">
        <v>65</v>
      </c>
      <c r="F586" s="16" t="s">
        <v>1098</v>
      </c>
      <c r="G586" s="16" t="s">
        <v>1416</v>
      </c>
      <c r="H586" s="14">
        <v>-0.02</v>
      </c>
      <c r="I586" s="14" t="s">
        <v>9206</v>
      </c>
      <c r="J586" s="14" t="s">
        <v>9207</v>
      </c>
      <c r="K586" s="14" t="s">
        <v>9208</v>
      </c>
      <c r="L586" s="14" t="s">
        <v>9195</v>
      </c>
      <c r="O586" s="14" t="s">
        <v>9202</v>
      </c>
      <c r="P586" s="14" t="s">
        <v>9203</v>
      </c>
      <c r="Q586" s="14">
        <v>418442.8</v>
      </c>
      <c r="R586" s="14">
        <v>6188804.4900000002</v>
      </c>
      <c r="S586" s="14" t="s">
        <v>9204</v>
      </c>
      <c r="T586" s="14" t="s">
        <v>9205</v>
      </c>
      <c r="U586" s="14">
        <v>418459.98</v>
      </c>
      <c r="V586" s="14">
        <v>6188800.9100000001</v>
      </c>
      <c r="W586" s="14">
        <v>180.94</v>
      </c>
      <c r="X586" s="14">
        <v>150.05000000000001</v>
      </c>
    </row>
    <row r="587" spans="1:24" s="14" customFormat="1" x14ac:dyDescent="0.25">
      <c r="A587" s="50">
        <v>45098</v>
      </c>
      <c r="B587" s="16">
        <v>172</v>
      </c>
      <c r="C587" s="36">
        <v>3.847222222222222E-2</v>
      </c>
      <c r="D587" s="16" t="s">
        <v>175</v>
      </c>
      <c r="E587" s="52" t="s">
        <v>70</v>
      </c>
      <c r="F587" s="16" t="s">
        <v>1098</v>
      </c>
      <c r="G587" s="16" t="s">
        <v>1416</v>
      </c>
      <c r="H587" s="14">
        <v>0.16700000000000001</v>
      </c>
      <c r="I587" s="14" t="s">
        <v>9206</v>
      </c>
      <c r="J587" s="14" t="s">
        <v>9207</v>
      </c>
      <c r="K587" s="14" t="s">
        <v>9208</v>
      </c>
      <c r="L587" s="14" t="s">
        <v>9213</v>
      </c>
      <c r="O587" s="14" t="s">
        <v>9209</v>
      </c>
      <c r="P587" s="14" t="s">
        <v>9210</v>
      </c>
      <c r="Q587" s="14">
        <v>418440.99</v>
      </c>
      <c r="R587" s="14">
        <v>6188618.1600000001</v>
      </c>
      <c r="S587" s="14" t="s">
        <v>9211</v>
      </c>
      <c r="T587" s="14" t="s">
        <v>9212</v>
      </c>
      <c r="U587" s="14">
        <v>418459.87</v>
      </c>
      <c r="V587" s="14">
        <v>6188614.5899999999</v>
      </c>
      <c r="W587" s="14">
        <v>179.33</v>
      </c>
      <c r="X587" s="14">
        <v>150.05000000000001</v>
      </c>
    </row>
    <row r="588" spans="1:24" s="14" customFormat="1" x14ac:dyDescent="0.25">
      <c r="A588" s="50">
        <v>45098</v>
      </c>
      <c r="B588" s="16">
        <v>172</v>
      </c>
      <c r="C588" s="36">
        <v>4.6261574074074073E-2</v>
      </c>
      <c r="D588" s="16" t="s">
        <v>175</v>
      </c>
      <c r="E588" s="14" t="s">
        <v>65</v>
      </c>
      <c r="F588" s="16" t="s">
        <v>1098</v>
      </c>
      <c r="G588" s="16" t="s">
        <v>1415</v>
      </c>
      <c r="H588" s="14">
        <v>0.16200000000000001</v>
      </c>
      <c r="I588" s="14" t="s">
        <v>9218</v>
      </c>
      <c r="J588" s="14" t="s">
        <v>9219</v>
      </c>
      <c r="K588" s="14" t="s">
        <v>9220</v>
      </c>
      <c r="L588" s="14" t="s">
        <v>9213</v>
      </c>
      <c r="O588" s="14" t="s">
        <v>9214</v>
      </c>
      <c r="P588" s="14" t="s">
        <v>9215</v>
      </c>
      <c r="Q588" s="14">
        <v>418451.46</v>
      </c>
      <c r="R588" s="14">
        <v>6188610.4800000004</v>
      </c>
      <c r="S588" s="14" t="s">
        <v>9216</v>
      </c>
      <c r="T588" s="14" t="s">
        <v>9217</v>
      </c>
      <c r="U588" s="14">
        <v>418468.9</v>
      </c>
      <c r="V588" s="14">
        <v>6188607.96</v>
      </c>
      <c r="W588" s="14">
        <v>0.96</v>
      </c>
      <c r="X588" s="14">
        <v>150.05000000000001</v>
      </c>
    </row>
    <row r="589" spans="1:24" s="14" customFormat="1" x14ac:dyDescent="0.25">
      <c r="A589" s="50">
        <v>45098</v>
      </c>
      <c r="B589" s="16">
        <v>172</v>
      </c>
      <c r="C589" s="36">
        <v>5.0555555555555555E-2</v>
      </c>
      <c r="D589" s="16" t="s">
        <v>175</v>
      </c>
      <c r="E589" s="14" t="s">
        <v>70</v>
      </c>
      <c r="F589" s="16" t="s">
        <v>1098</v>
      </c>
      <c r="G589" s="16" t="s">
        <v>1415</v>
      </c>
      <c r="H589" s="14">
        <v>-2.5000000000000001E-2</v>
      </c>
      <c r="I589" s="14" t="s">
        <v>9218</v>
      </c>
      <c r="J589" s="14" t="s">
        <v>9219</v>
      </c>
      <c r="K589" s="14" t="s">
        <v>9220</v>
      </c>
      <c r="L589" s="14" t="s">
        <v>9225</v>
      </c>
      <c r="O589" s="14" t="s">
        <v>9221</v>
      </c>
      <c r="P589" s="14" t="s">
        <v>9222</v>
      </c>
      <c r="Q589" s="14">
        <v>418453.36</v>
      </c>
      <c r="R589" s="14">
        <v>6188797.75</v>
      </c>
      <c r="S589" s="14" t="s">
        <v>9223</v>
      </c>
      <c r="T589" s="14" t="s">
        <v>9224</v>
      </c>
      <c r="U589" s="14">
        <v>418468.92</v>
      </c>
      <c r="V589" s="14">
        <v>6188795.0099999998</v>
      </c>
      <c r="W589" s="14">
        <v>0.19</v>
      </c>
      <c r="X589" s="14">
        <v>150.05000000000001</v>
      </c>
    </row>
    <row r="590" spans="1:24" s="14" customFormat="1" x14ac:dyDescent="0.25">
      <c r="A590" s="50">
        <v>45098</v>
      </c>
      <c r="B590" s="16">
        <v>172</v>
      </c>
      <c r="C590" s="36">
        <v>5.5370370370370368E-2</v>
      </c>
      <c r="D590" s="16" t="s">
        <v>175</v>
      </c>
      <c r="E590" s="14" t="s">
        <v>65</v>
      </c>
      <c r="F590" s="16" t="s">
        <v>1098</v>
      </c>
      <c r="G590" s="16" t="s">
        <v>1414</v>
      </c>
      <c r="H590" s="14">
        <v>-1.9E-2</v>
      </c>
      <c r="I590" s="14" t="s">
        <v>9230</v>
      </c>
      <c r="J590" s="14" t="s">
        <v>9231</v>
      </c>
      <c r="K590" s="14" t="s">
        <v>9232</v>
      </c>
      <c r="L590" s="14" t="s">
        <v>9225</v>
      </c>
      <c r="O590" s="14" t="s">
        <v>9226</v>
      </c>
      <c r="P590" s="14" t="s">
        <v>9227</v>
      </c>
      <c r="Q590" s="14">
        <v>418459.76</v>
      </c>
      <c r="R590" s="14">
        <v>6188805.9400000004</v>
      </c>
      <c r="S590" s="14" t="s">
        <v>9228</v>
      </c>
      <c r="T590" s="14" t="s">
        <v>9229</v>
      </c>
      <c r="U590" s="14">
        <v>418477.94</v>
      </c>
      <c r="V590" s="14">
        <v>6188800.4000000004</v>
      </c>
      <c r="W590" s="14">
        <v>180.71</v>
      </c>
      <c r="X590" s="14">
        <v>150.05000000000001</v>
      </c>
    </row>
    <row r="591" spans="1:24" s="14" customFormat="1" x14ac:dyDescent="0.25">
      <c r="A591" s="50">
        <v>45098</v>
      </c>
      <c r="B591" s="16">
        <v>172</v>
      </c>
      <c r="C591" s="36">
        <v>5.9583333333333328E-2</v>
      </c>
      <c r="D591" s="16" t="s">
        <v>175</v>
      </c>
      <c r="E591" s="14" t="s">
        <v>70</v>
      </c>
      <c r="F591" s="16" t="s">
        <v>1098</v>
      </c>
      <c r="G591" s="16" t="s">
        <v>1414</v>
      </c>
      <c r="H591" s="14">
        <v>0.16800000000000001</v>
      </c>
      <c r="I591" s="14" t="s">
        <v>9230</v>
      </c>
      <c r="J591" s="14" t="s">
        <v>9231</v>
      </c>
      <c r="K591" s="14" t="s">
        <v>9232</v>
      </c>
      <c r="L591" s="14" t="s">
        <v>9237</v>
      </c>
      <c r="O591" s="14" t="s">
        <v>9233</v>
      </c>
      <c r="P591" s="14" t="s">
        <v>9234</v>
      </c>
      <c r="Q591" s="14">
        <v>418460.1</v>
      </c>
      <c r="R591" s="14">
        <v>6188621.6699999999</v>
      </c>
      <c r="S591" s="14" t="s">
        <v>9235</v>
      </c>
      <c r="T591" s="14" t="s">
        <v>9236</v>
      </c>
      <c r="U591" s="14">
        <v>418477.87</v>
      </c>
      <c r="V591" s="14">
        <v>6188613.0099999998</v>
      </c>
      <c r="W591" s="14">
        <v>179.9</v>
      </c>
      <c r="X591" s="14">
        <v>150.05000000000001</v>
      </c>
    </row>
    <row r="592" spans="1:24" s="14" customFormat="1" x14ac:dyDescent="0.25">
      <c r="A592" s="50">
        <v>45098</v>
      </c>
      <c r="B592" s="16">
        <v>172</v>
      </c>
      <c r="C592" s="36">
        <v>6.385416666666667E-2</v>
      </c>
      <c r="D592" s="16" t="s">
        <v>175</v>
      </c>
      <c r="E592" s="14" t="s">
        <v>65</v>
      </c>
      <c r="F592" s="16" t="s">
        <v>1098</v>
      </c>
      <c r="G592" s="16" t="s">
        <v>1413</v>
      </c>
      <c r="H592" s="14">
        <v>0.16200000000000001</v>
      </c>
      <c r="I592" s="14" t="s">
        <v>9242</v>
      </c>
      <c r="J592" s="14" t="s">
        <v>9243</v>
      </c>
      <c r="K592" s="14" t="s">
        <v>9244</v>
      </c>
      <c r="L592" s="14" t="s">
        <v>9237</v>
      </c>
      <c r="O592" s="14" t="s">
        <v>9238</v>
      </c>
      <c r="P592" s="14" t="s">
        <v>9239</v>
      </c>
      <c r="Q592" s="14">
        <v>418468.93</v>
      </c>
      <c r="R592" s="14">
        <v>6188609.8499999996</v>
      </c>
      <c r="S592" s="14" t="s">
        <v>9240</v>
      </c>
      <c r="T592" s="14" t="s">
        <v>9241</v>
      </c>
      <c r="U592" s="14">
        <v>418486.96</v>
      </c>
      <c r="V592" s="14">
        <v>6188607.8300000001</v>
      </c>
      <c r="W592" s="14">
        <v>359.69</v>
      </c>
      <c r="X592" s="14">
        <v>150.05000000000001</v>
      </c>
    </row>
    <row r="593" spans="1:24" s="14" customFormat="1" x14ac:dyDescent="0.25">
      <c r="A593" s="50">
        <v>45098</v>
      </c>
      <c r="B593" s="16">
        <v>172</v>
      </c>
      <c r="C593" s="36">
        <v>6.8113425925925938E-2</v>
      </c>
      <c r="D593" s="16" t="s">
        <v>175</v>
      </c>
      <c r="E593" s="14" t="s">
        <v>70</v>
      </c>
      <c r="F593" s="16" t="s">
        <v>1098</v>
      </c>
      <c r="G593" s="16" t="s">
        <v>1413</v>
      </c>
      <c r="H593" s="14">
        <v>-2.5999999999999999E-2</v>
      </c>
      <c r="I593" s="14" t="s">
        <v>9242</v>
      </c>
      <c r="J593" s="14" t="s">
        <v>9243</v>
      </c>
      <c r="K593" s="14" t="s">
        <v>9244</v>
      </c>
      <c r="L593" s="14" t="s">
        <v>9237</v>
      </c>
      <c r="O593" s="14" t="s">
        <v>9245</v>
      </c>
      <c r="P593" s="14" t="s">
        <v>9246</v>
      </c>
      <c r="Q593" s="14">
        <v>418469.58</v>
      </c>
      <c r="R593" s="14">
        <v>6188796.7300000004</v>
      </c>
      <c r="S593" s="14" t="s">
        <v>9247</v>
      </c>
      <c r="T593" s="14" t="s">
        <v>9248</v>
      </c>
      <c r="U593" s="14">
        <v>418486.88</v>
      </c>
      <c r="V593" s="14">
        <v>6188795.5199999996</v>
      </c>
      <c r="W593" s="14">
        <v>0.66</v>
      </c>
      <c r="X593" s="14">
        <v>150.05000000000001</v>
      </c>
    </row>
    <row r="594" spans="1:24" s="14" customFormat="1" x14ac:dyDescent="0.25">
      <c r="A594" s="50">
        <v>45098</v>
      </c>
      <c r="B594" s="16">
        <v>172</v>
      </c>
      <c r="C594" s="36">
        <v>7.1689814814814817E-2</v>
      </c>
      <c r="D594" s="16" t="s">
        <v>175</v>
      </c>
      <c r="E594" s="14" t="s">
        <v>65</v>
      </c>
      <c r="F594" s="16" t="s">
        <v>1098</v>
      </c>
      <c r="G594" s="16" t="s">
        <v>1412</v>
      </c>
      <c r="H594" s="14">
        <v>-1.7999999999999999E-2</v>
      </c>
      <c r="I594" s="14" t="s">
        <v>9253</v>
      </c>
      <c r="J594" s="14" t="s">
        <v>9254</v>
      </c>
      <c r="K594" s="14" t="s">
        <v>9255</v>
      </c>
      <c r="L594" s="14" t="s">
        <v>9256</v>
      </c>
      <c r="O594" s="14" t="s">
        <v>9249</v>
      </c>
      <c r="P594" s="14" t="s">
        <v>9250</v>
      </c>
      <c r="Q594" s="14">
        <v>418477.84</v>
      </c>
      <c r="R594" s="14">
        <v>6188804.5599999996</v>
      </c>
      <c r="S594" s="14" t="s">
        <v>9251</v>
      </c>
      <c r="T594" s="14" t="s">
        <v>9252</v>
      </c>
      <c r="U594" s="14">
        <v>418495.88</v>
      </c>
      <c r="V594" s="14">
        <v>6188799.2199999997</v>
      </c>
      <c r="W594" s="14">
        <v>180.4</v>
      </c>
      <c r="X594" s="14">
        <v>150.05000000000001</v>
      </c>
    </row>
    <row r="595" spans="1:24" s="14" customFormat="1" x14ac:dyDescent="0.25">
      <c r="A595" s="50">
        <v>45098</v>
      </c>
      <c r="B595" s="16">
        <v>172</v>
      </c>
      <c r="C595" s="36">
        <v>7.6030092592592594E-2</v>
      </c>
      <c r="D595" s="16" t="s">
        <v>175</v>
      </c>
      <c r="E595" s="14" t="s">
        <v>70</v>
      </c>
      <c r="F595" s="16" t="s">
        <v>1098</v>
      </c>
      <c r="G595" s="16" t="s">
        <v>1412</v>
      </c>
      <c r="H595" s="14">
        <v>0.16900000000000001</v>
      </c>
      <c r="I595" s="14" t="s">
        <v>9253</v>
      </c>
      <c r="J595" s="14" t="s">
        <v>9254</v>
      </c>
      <c r="K595" s="14" t="s">
        <v>9255</v>
      </c>
      <c r="L595" s="14" t="s">
        <v>9256</v>
      </c>
      <c r="O595" s="14" t="s">
        <v>9257</v>
      </c>
      <c r="P595" s="14" t="s">
        <v>9258</v>
      </c>
      <c r="Q595" s="14">
        <v>418477.99</v>
      </c>
      <c r="R595" s="14">
        <v>6188615.71</v>
      </c>
      <c r="S595" s="14" t="s">
        <v>9259</v>
      </c>
      <c r="T595" s="14" t="s">
        <v>9260</v>
      </c>
      <c r="U595" s="14">
        <v>418495.83</v>
      </c>
      <c r="V595" s="14">
        <v>6188612.4400000004</v>
      </c>
      <c r="W595" s="14">
        <v>180.02</v>
      </c>
      <c r="X595" s="14">
        <v>150.05000000000001</v>
      </c>
    </row>
    <row r="596" spans="1:24" s="14" customFormat="1" x14ac:dyDescent="0.25">
      <c r="A596" s="50">
        <v>45098</v>
      </c>
      <c r="B596" s="16">
        <v>172</v>
      </c>
      <c r="C596" s="36">
        <v>8.1273148148148136E-2</v>
      </c>
      <c r="D596" s="16" t="s">
        <v>175</v>
      </c>
      <c r="E596" s="14" t="s">
        <v>65</v>
      </c>
      <c r="F596" s="16" t="s">
        <v>1098</v>
      </c>
      <c r="G596" s="16" t="s">
        <v>1418</v>
      </c>
      <c r="H596" s="14">
        <v>0.16500000000000001</v>
      </c>
      <c r="I596" s="14" t="s">
        <v>9265</v>
      </c>
      <c r="J596" s="14" t="s">
        <v>9266</v>
      </c>
      <c r="K596" s="14" t="s">
        <v>9267</v>
      </c>
      <c r="L596" s="14" t="s">
        <v>9268</v>
      </c>
      <c r="O596" s="14" t="s">
        <v>9261</v>
      </c>
      <c r="P596" s="14" t="s">
        <v>9262</v>
      </c>
      <c r="Q596" s="14">
        <v>418485.91</v>
      </c>
      <c r="R596" s="14">
        <v>6188608.0800000001</v>
      </c>
      <c r="S596" s="14" t="s">
        <v>9263</v>
      </c>
      <c r="T596" s="14" t="s">
        <v>9264</v>
      </c>
      <c r="U596" s="14">
        <v>418504.87</v>
      </c>
      <c r="V596" s="14">
        <v>6188605.2599999998</v>
      </c>
      <c r="W596" s="14">
        <v>1.72</v>
      </c>
      <c r="X596" s="14">
        <v>150.05000000000001</v>
      </c>
    </row>
    <row r="597" spans="1:24" s="14" customFormat="1" x14ac:dyDescent="0.25">
      <c r="A597" s="50">
        <v>45098</v>
      </c>
      <c r="B597" s="16">
        <v>172</v>
      </c>
      <c r="C597" s="36">
        <v>8.5590277777777779E-2</v>
      </c>
      <c r="D597" s="16" t="s">
        <v>175</v>
      </c>
      <c r="E597" s="14" t="s">
        <v>70</v>
      </c>
      <c r="F597" s="16" t="s">
        <v>1098</v>
      </c>
      <c r="G597" s="16" t="s">
        <v>1418</v>
      </c>
      <c r="H597" s="14">
        <v>-2.5999999999999999E-2</v>
      </c>
      <c r="I597" s="14" t="s">
        <v>9265</v>
      </c>
      <c r="J597" s="14" t="s">
        <v>9266</v>
      </c>
      <c r="K597" s="14" t="s">
        <v>9267</v>
      </c>
      <c r="L597" s="14" t="s">
        <v>9268</v>
      </c>
      <c r="O597" s="14" t="s">
        <v>9269</v>
      </c>
      <c r="P597" s="14" t="s">
        <v>9270</v>
      </c>
      <c r="Q597" s="14">
        <v>418486.77</v>
      </c>
      <c r="R597" s="14">
        <v>6188797.7699999996</v>
      </c>
      <c r="S597" s="14" t="s">
        <v>9271</v>
      </c>
      <c r="T597" s="14" t="s">
        <v>9272</v>
      </c>
      <c r="U597" s="14">
        <v>418505</v>
      </c>
      <c r="V597" s="14">
        <v>6188795.6900000004</v>
      </c>
      <c r="W597" s="14">
        <v>359.65</v>
      </c>
      <c r="X597" s="14">
        <v>150.05000000000001</v>
      </c>
    </row>
    <row r="598" spans="1:24" s="14" customFormat="1" x14ac:dyDescent="0.25">
      <c r="A598" s="50">
        <v>45098</v>
      </c>
      <c r="B598" s="16">
        <v>172</v>
      </c>
      <c r="C598" s="36">
        <v>9.0266203703703696E-2</v>
      </c>
      <c r="D598" s="16" t="s">
        <v>175</v>
      </c>
      <c r="E598" s="14" t="s">
        <v>65</v>
      </c>
      <c r="F598" s="16" t="s">
        <v>1098</v>
      </c>
      <c r="G598" s="16" t="s">
        <v>1419</v>
      </c>
      <c r="H598" s="14">
        <v>-1.4999999999999999E-2</v>
      </c>
      <c r="I598" s="14" t="s">
        <v>9277</v>
      </c>
      <c r="J598" s="14" t="s">
        <v>9278</v>
      </c>
      <c r="K598" s="14" t="s">
        <v>9279</v>
      </c>
      <c r="L598" s="14" t="s">
        <v>9280</v>
      </c>
      <c r="O598" s="14" t="s">
        <v>9273</v>
      </c>
      <c r="P598" s="14" t="s">
        <v>9274</v>
      </c>
      <c r="Q598" s="14">
        <v>418495.94</v>
      </c>
      <c r="R598" s="14">
        <v>6188798.4000000004</v>
      </c>
      <c r="S598" s="14" t="s">
        <v>9275</v>
      </c>
      <c r="T598" s="14" t="s">
        <v>9276</v>
      </c>
      <c r="U598" s="14">
        <v>418513.91</v>
      </c>
      <c r="V598" s="14">
        <v>6188795.7400000002</v>
      </c>
      <c r="W598" s="14">
        <v>179.2</v>
      </c>
      <c r="X598" s="14">
        <v>150.05000000000001</v>
      </c>
    </row>
    <row r="599" spans="1:24" s="14" customFormat="1" x14ac:dyDescent="0.25">
      <c r="A599" s="50">
        <v>45098</v>
      </c>
      <c r="B599" s="16">
        <v>172</v>
      </c>
      <c r="C599" s="36">
        <v>9.4456018518518522E-2</v>
      </c>
      <c r="D599" s="16" t="s">
        <v>175</v>
      </c>
      <c r="E599" s="14" t="s">
        <v>70</v>
      </c>
      <c r="F599" s="16" t="s">
        <v>1098</v>
      </c>
      <c r="G599" s="16" t="s">
        <v>1419</v>
      </c>
      <c r="H599" s="14">
        <v>0.16900000000000001</v>
      </c>
      <c r="I599" s="14" t="s">
        <v>9277</v>
      </c>
      <c r="J599" s="14" t="s">
        <v>9278</v>
      </c>
      <c r="K599" s="14" t="s">
        <v>9279</v>
      </c>
      <c r="L599" s="14" t="s">
        <v>9280</v>
      </c>
      <c r="O599" s="14" t="s">
        <v>9281</v>
      </c>
      <c r="P599" s="14" t="s">
        <v>9282</v>
      </c>
      <c r="Q599" s="14">
        <v>418495.39</v>
      </c>
      <c r="R599" s="14">
        <v>6188613.9199999999</v>
      </c>
      <c r="S599" s="14" t="s">
        <v>9283</v>
      </c>
      <c r="T599" s="14" t="s">
        <v>9284</v>
      </c>
      <c r="U599" s="14">
        <v>418513.94</v>
      </c>
      <c r="V599" s="14">
        <v>6188612.5499999998</v>
      </c>
      <c r="W599" s="14">
        <v>180.01</v>
      </c>
      <c r="X599" s="14">
        <v>150.05000000000001</v>
      </c>
    </row>
    <row r="600" spans="1:24" s="14" customFormat="1" x14ac:dyDescent="0.25">
      <c r="A600" s="50">
        <v>45098</v>
      </c>
      <c r="B600" s="16">
        <v>172</v>
      </c>
      <c r="C600" s="36">
        <v>0.1002199074074074</v>
      </c>
      <c r="D600" s="16" t="s">
        <v>175</v>
      </c>
      <c r="E600" s="14" t="s">
        <v>65</v>
      </c>
      <c r="F600" s="16" t="s">
        <v>1098</v>
      </c>
      <c r="G600" s="16" t="s">
        <v>1420</v>
      </c>
      <c r="H600" s="14">
        <v>0.16800000000000001</v>
      </c>
      <c r="I600" s="14" t="s">
        <v>9289</v>
      </c>
      <c r="J600" s="14" t="s">
        <v>9290</v>
      </c>
      <c r="K600" s="14" t="s">
        <v>9291</v>
      </c>
      <c r="L600" s="14" t="s">
        <v>9280</v>
      </c>
      <c r="O600" s="14" t="s">
        <v>9285</v>
      </c>
      <c r="P600" s="14" t="s">
        <v>9286</v>
      </c>
      <c r="Q600" s="14">
        <v>418504.86</v>
      </c>
      <c r="R600" s="14">
        <v>6188604.6799999997</v>
      </c>
      <c r="S600" s="14" t="s">
        <v>9287</v>
      </c>
      <c r="T600" s="14" t="s">
        <v>9288</v>
      </c>
      <c r="U600" s="14">
        <v>418522.82</v>
      </c>
      <c r="V600" s="14">
        <v>6188602.3300000001</v>
      </c>
      <c r="W600" s="14">
        <v>0.83</v>
      </c>
      <c r="X600" s="14">
        <v>150.05000000000001</v>
      </c>
    </row>
    <row r="601" spans="1:24" s="14" customFormat="1" x14ac:dyDescent="0.25">
      <c r="A601" s="50">
        <v>45098</v>
      </c>
      <c r="B601" s="16">
        <v>172</v>
      </c>
      <c r="C601" s="36">
        <v>0.10461805555555555</v>
      </c>
      <c r="D601" s="16" t="s">
        <v>175</v>
      </c>
      <c r="E601" s="52" t="s">
        <v>70</v>
      </c>
      <c r="F601" s="16" t="s">
        <v>1098</v>
      </c>
      <c r="G601" s="16" t="s">
        <v>1420</v>
      </c>
      <c r="H601" s="14">
        <v>-2.5999999999999999E-2</v>
      </c>
      <c r="I601" s="14" t="s">
        <v>9289</v>
      </c>
      <c r="J601" s="14" t="s">
        <v>9290</v>
      </c>
      <c r="K601" s="14" t="s">
        <v>9291</v>
      </c>
      <c r="L601" s="14" t="s">
        <v>9296</v>
      </c>
      <c r="O601" s="14" t="s">
        <v>9292</v>
      </c>
      <c r="P601" s="14" t="s">
        <v>9293</v>
      </c>
      <c r="Q601" s="14">
        <v>418505.85</v>
      </c>
      <c r="R601" s="14">
        <v>6188797.5800000001</v>
      </c>
      <c r="S601" s="14" t="s">
        <v>9294</v>
      </c>
      <c r="T601" s="14" t="s">
        <v>9295</v>
      </c>
      <c r="U601" s="14">
        <v>418522.93</v>
      </c>
      <c r="V601" s="14">
        <v>6188796.5599999996</v>
      </c>
      <c r="W601" s="14">
        <v>358.88</v>
      </c>
      <c r="X601" s="14">
        <v>150.05000000000001</v>
      </c>
    </row>
    <row r="602" spans="1:24" s="14" customFormat="1" x14ac:dyDescent="0.25">
      <c r="A602" s="50">
        <v>45098</v>
      </c>
      <c r="B602" s="16">
        <v>172</v>
      </c>
      <c r="C602" s="36">
        <v>0.10870370370370371</v>
      </c>
      <c r="D602" s="16" t="s">
        <v>175</v>
      </c>
      <c r="E602" s="14" t="s">
        <v>65</v>
      </c>
      <c r="F602" s="16" t="s">
        <v>1098</v>
      </c>
      <c r="G602" s="16" t="s">
        <v>1421</v>
      </c>
      <c r="H602" s="14">
        <v>-2.1000000000000001E-2</v>
      </c>
      <c r="I602" s="14" t="s">
        <v>9301</v>
      </c>
      <c r="J602" s="14" t="s">
        <v>9302</v>
      </c>
      <c r="K602" s="14" t="s">
        <v>9303</v>
      </c>
      <c r="L602" s="14" t="s">
        <v>9296</v>
      </c>
      <c r="O602" s="14" t="s">
        <v>9297</v>
      </c>
      <c r="P602" s="14" t="s">
        <v>9298</v>
      </c>
      <c r="Q602" s="14">
        <v>418515.69</v>
      </c>
      <c r="R602" s="14">
        <v>6188806.3799999999</v>
      </c>
      <c r="S602" s="14" t="s">
        <v>9299</v>
      </c>
      <c r="T602" s="14" t="s">
        <v>9300</v>
      </c>
      <c r="U602" s="14">
        <v>418531.85</v>
      </c>
      <c r="V602" s="14">
        <v>6188802.1500000004</v>
      </c>
      <c r="W602" s="14">
        <v>180.06</v>
      </c>
      <c r="X602" s="14">
        <v>150.05000000000001</v>
      </c>
    </row>
    <row r="603" spans="1:24" s="14" customFormat="1" x14ac:dyDescent="0.25">
      <c r="A603" s="50">
        <v>45098</v>
      </c>
      <c r="B603" s="16">
        <v>172</v>
      </c>
      <c r="C603" s="36">
        <v>0.11312499999999999</v>
      </c>
      <c r="D603" s="16" t="s">
        <v>175</v>
      </c>
      <c r="E603" s="14" t="s">
        <v>70</v>
      </c>
      <c r="F603" s="16" t="s">
        <v>1098</v>
      </c>
      <c r="G603" s="16" t="s">
        <v>1421</v>
      </c>
      <c r="H603" s="14">
        <v>0.17299999999999999</v>
      </c>
      <c r="I603" s="14" t="s">
        <v>9301</v>
      </c>
      <c r="J603" s="14" t="s">
        <v>9302</v>
      </c>
      <c r="K603" s="14" t="s">
        <v>9303</v>
      </c>
      <c r="L603" s="14" t="s">
        <v>9308</v>
      </c>
      <c r="O603" s="14" t="s">
        <v>9304</v>
      </c>
      <c r="P603" s="14" t="s">
        <v>9305</v>
      </c>
      <c r="Q603" s="14">
        <v>418516.22</v>
      </c>
      <c r="R603" s="14">
        <v>6188611.3300000001</v>
      </c>
      <c r="S603" s="14" t="s">
        <v>9306</v>
      </c>
      <c r="T603" s="14" t="s">
        <v>9307</v>
      </c>
      <c r="U603" s="14">
        <v>418531.94</v>
      </c>
      <c r="V603" s="14">
        <v>6188608.2999999998</v>
      </c>
      <c r="W603" s="14">
        <v>179.75</v>
      </c>
      <c r="X603" s="14">
        <v>150.05000000000001</v>
      </c>
    </row>
    <row r="604" spans="1:24" s="14" customFormat="1" x14ac:dyDescent="0.25">
      <c r="A604" s="50">
        <v>45098</v>
      </c>
      <c r="B604" s="16">
        <v>172</v>
      </c>
      <c r="C604" s="36">
        <v>0.11729166666666667</v>
      </c>
      <c r="D604" s="16" t="s">
        <v>175</v>
      </c>
      <c r="E604" s="14" t="s">
        <v>65</v>
      </c>
      <c r="F604" s="16" t="s">
        <v>1098</v>
      </c>
      <c r="G604" s="16" t="s">
        <v>1422</v>
      </c>
      <c r="H604" s="14">
        <v>0.16200000000000001</v>
      </c>
      <c r="I604" s="14" t="s">
        <v>9313</v>
      </c>
      <c r="J604" s="14" t="s">
        <v>9314</v>
      </c>
      <c r="K604" s="14" t="s">
        <v>9315</v>
      </c>
      <c r="L604" s="14" t="s">
        <v>9308</v>
      </c>
      <c r="O604" s="14" t="s">
        <v>9309</v>
      </c>
      <c r="P604" s="14" t="s">
        <v>9310</v>
      </c>
      <c r="Q604" s="14">
        <v>418522.41</v>
      </c>
      <c r="R604" s="14">
        <v>6188606.9500000002</v>
      </c>
      <c r="S604" s="14" t="s">
        <v>9311</v>
      </c>
      <c r="T604" s="14" t="s">
        <v>9312</v>
      </c>
      <c r="U604" s="14">
        <v>418540.94</v>
      </c>
      <c r="V604" s="14">
        <v>6188608.1699999999</v>
      </c>
      <c r="W604" s="14">
        <v>359.52</v>
      </c>
      <c r="X604" s="14">
        <v>150.05000000000001</v>
      </c>
    </row>
    <row r="605" spans="1:24" s="14" customFormat="1" x14ac:dyDescent="0.25">
      <c r="A605" s="50">
        <v>45098</v>
      </c>
      <c r="B605" s="16">
        <v>172</v>
      </c>
      <c r="C605" s="36">
        <v>0.12152777777777778</v>
      </c>
      <c r="D605" s="16" t="s">
        <v>175</v>
      </c>
      <c r="E605" s="14" t="s">
        <v>70</v>
      </c>
      <c r="F605" s="16" t="s">
        <v>1098</v>
      </c>
      <c r="G605" s="16" t="s">
        <v>1422</v>
      </c>
      <c r="H605" s="14">
        <v>-2.5000000000000001E-2</v>
      </c>
      <c r="I605" s="14" t="s">
        <v>9313</v>
      </c>
      <c r="J605" s="14" t="s">
        <v>9320</v>
      </c>
      <c r="K605" s="14" t="s">
        <v>9315</v>
      </c>
      <c r="L605" s="14" t="s">
        <v>9321</v>
      </c>
      <c r="O605" s="14" t="s">
        <v>9316</v>
      </c>
      <c r="P605" s="14" t="s">
        <v>9317</v>
      </c>
      <c r="Q605" s="14">
        <v>418523.76</v>
      </c>
      <c r="R605" s="14">
        <v>6188794.6699999999</v>
      </c>
      <c r="S605" s="14" t="s">
        <v>9318</v>
      </c>
      <c r="T605" s="14" t="s">
        <v>9319</v>
      </c>
      <c r="U605" s="14">
        <v>418540.95</v>
      </c>
      <c r="V605" s="14">
        <v>6188794.71</v>
      </c>
      <c r="W605" s="14">
        <v>359.64</v>
      </c>
      <c r="X605" s="14">
        <v>150.05000000000001</v>
      </c>
    </row>
    <row r="606" spans="1:24" s="14" customFormat="1" x14ac:dyDescent="0.25">
      <c r="A606" s="50">
        <v>45098</v>
      </c>
      <c r="B606" s="16">
        <v>172</v>
      </c>
      <c r="C606" s="36">
        <v>0.12620370370370371</v>
      </c>
      <c r="D606" s="16" t="s">
        <v>175</v>
      </c>
      <c r="E606" s="14" t="s">
        <v>65</v>
      </c>
      <c r="F606" s="16" t="s">
        <v>1098</v>
      </c>
      <c r="G606" s="16" t="s">
        <v>1423</v>
      </c>
      <c r="H606" s="14">
        <v>-2.3E-2</v>
      </c>
      <c r="I606" s="14" t="s">
        <v>9326</v>
      </c>
      <c r="J606" s="14" t="s">
        <v>9327</v>
      </c>
      <c r="K606" s="14" t="s">
        <v>9328</v>
      </c>
      <c r="L606" s="14" t="s">
        <v>9321</v>
      </c>
      <c r="O606" s="14" t="s">
        <v>9322</v>
      </c>
      <c r="P606" s="14" t="s">
        <v>9323</v>
      </c>
      <c r="Q606" s="14">
        <v>418533.31</v>
      </c>
      <c r="R606" s="14">
        <v>6188806.2699999996</v>
      </c>
      <c r="S606" s="14" t="s">
        <v>9324</v>
      </c>
      <c r="T606" s="14" t="s">
        <v>9325</v>
      </c>
      <c r="U606" s="14">
        <v>418549.93</v>
      </c>
      <c r="V606" s="14">
        <v>6188804.2400000002</v>
      </c>
      <c r="W606" s="14">
        <v>180.82</v>
      </c>
      <c r="X606" s="14">
        <v>150.05000000000001</v>
      </c>
    </row>
    <row r="607" spans="1:24" s="14" customFormat="1" x14ac:dyDescent="0.25">
      <c r="A607" s="50">
        <v>45098</v>
      </c>
      <c r="B607" s="16">
        <v>172</v>
      </c>
      <c r="C607" s="36">
        <v>0.13069444444444445</v>
      </c>
      <c r="D607" s="16" t="s">
        <v>175</v>
      </c>
      <c r="E607" s="14" t="s">
        <v>70</v>
      </c>
      <c r="F607" s="16" t="s">
        <v>1098</v>
      </c>
      <c r="G607" s="16" t="s">
        <v>1423</v>
      </c>
      <c r="H607" s="14">
        <v>0.17499999999999999</v>
      </c>
      <c r="I607" s="14" t="s">
        <v>9326</v>
      </c>
      <c r="J607" s="14" t="s">
        <v>9327</v>
      </c>
      <c r="K607" s="14" t="s">
        <v>9328</v>
      </c>
      <c r="L607" s="14" t="s">
        <v>9321</v>
      </c>
      <c r="O607" s="14" t="s">
        <v>9329</v>
      </c>
      <c r="P607" s="14" t="s">
        <v>9330</v>
      </c>
      <c r="Q607" s="14">
        <v>418532.19</v>
      </c>
      <c r="R607" s="14">
        <v>6188608.1600000001</v>
      </c>
      <c r="S607" s="14" t="s">
        <v>9331</v>
      </c>
      <c r="T607" s="14" t="s">
        <v>9332</v>
      </c>
      <c r="U607" s="14">
        <v>418549.86</v>
      </c>
      <c r="V607" s="14">
        <v>6188606.0700000003</v>
      </c>
      <c r="W607" s="14">
        <v>179.8</v>
      </c>
      <c r="X607" s="14">
        <v>150.05000000000001</v>
      </c>
    </row>
    <row r="608" spans="1:24" s="14" customFormat="1" x14ac:dyDescent="0.25">
      <c r="A608" s="50">
        <v>45098</v>
      </c>
      <c r="B608" s="16">
        <v>172</v>
      </c>
      <c r="C608" s="36">
        <v>0.13212962962962962</v>
      </c>
      <c r="D608" s="16" t="s">
        <v>175</v>
      </c>
      <c r="E608" s="14" t="s">
        <v>9341</v>
      </c>
      <c r="F608" s="16" t="s">
        <v>1098</v>
      </c>
      <c r="G608" s="16" t="s">
        <v>1423</v>
      </c>
      <c r="H608" s="14">
        <v>0.20300000000000001</v>
      </c>
      <c r="O608" s="14" t="s">
        <v>9333</v>
      </c>
      <c r="P608" s="14" t="s">
        <v>9334</v>
      </c>
      <c r="Q608" s="14">
        <v>418531.73</v>
      </c>
      <c r="R608" s="14">
        <v>6188573</v>
      </c>
      <c r="S608" s="14" t="s">
        <v>9335</v>
      </c>
      <c r="T608" s="14" t="s">
        <v>9336</v>
      </c>
      <c r="U608" s="14">
        <v>418543.85</v>
      </c>
      <c r="V608" s="14">
        <v>6188572</v>
      </c>
      <c r="W608" s="14">
        <v>81.36</v>
      </c>
      <c r="X608" s="14">
        <v>150.05000000000001</v>
      </c>
    </row>
    <row r="609" spans="1:24" s="14" customFormat="1" x14ac:dyDescent="0.25">
      <c r="A609" s="50">
        <v>45098</v>
      </c>
      <c r="B609" s="16">
        <v>172</v>
      </c>
      <c r="C609" s="36">
        <v>0.13284722222222223</v>
      </c>
      <c r="D609" s="16" t="s">
        <v>175</v>
      </c>
      <c r="E609" s="14" t="s">
        <v>8171</v>
      </c>
      <c r="F609" s="16" t="s">
        <v>1098</v>
      </c>
      <c r="G609" s="16" t="s">
        <v>1423</v>
      </c>
      <c r="H609" s="14">
        <v>0.20300000000000001</v>
      </c>
      <c r="O609" s="14" t="s">
        <v>9337</v>
      </c>
      <c r="P609" s="14" t="s">
        <v>9338</v>
      </c>
      <c r="Q609" s="14">
        <v>418531.73</v>
      </c>
      <c r="R609" s="14">
        <v>6188572.9699999997</v>
      </c>
      <c r="S609" s="14" t="s">
        <v>9339</v>
      </c>
      <c r="T609" s="14" t="s">
        <v>9340</v>
      </c>
      <c r="U609" s="14">
        <v>418543.84</v>
      </c>
      <c r="V609" s="14">
        <v>6188572</v>
      </c>
      <c r="W609" s="14">
        <v>81.31</v>
      </c>
      <c r="X609" s="14">
        <v>150.05000000000001</v>
      </c>
    </row>
    <row r="610" spans="1:24" s="14" customFormat="1" x14ac:dyDescent="0.25">
      <c r="A610" s="50">
        <v>45098</v>
      </c>
      <c r="B610" s="16">
        <v>172</v>
      </c>
      <c r="C610" s="36">
        <v>0.13891203703703703</v>
      </c>
      <c r="D610" s="16" t="s">
        <v>175</v>
      </c>
      <c r="E610" s="52" t="s">
        <v>9148</v>
      </c>
      <c r="F610" s="16" t="s">
        <v>1098</v>
      </c>
      <c r="G610" s="16" t="s">
        <v>1423</v>
      </c>
      <c r="H610" s="14">
        <v>0.20300000000000001</v>
      </c>
      <c r="O610" s="14" t="s">
        <v>9342</v>
      </c>
      <c r="P610" s="14" t="s">
        <v>9343</v>
      </c>
      <c r="Q610" s="14">
        <v>418531.65</v>
      </c>
      <c r="R610" s="14">
        <v>6188572.9100000001</v>
      </c>
      <c r="S610" s="14" t="s">
        <v>9344</v>
      </c>
      <c r="T610" s="14" t="s">
        <v>9345</v>
      </c>
      <c r="U610" s="14">
        <v>418544.11</v>
      </c>
      <c r="V610" s="14">
        <v>6188571.8300000001</v>
      </c>
      <c r="W610" s="14">
        <v>81.790000000000006</v>
      </c>
      <c r="X610" s="14">
        <v>150.05000000000001</v>
      </c>
    </row>
    <row r="611" spans="1:24" s="14" customFormat="1" x14ac:dyDescent="0.25">
      <c r="A611" s="50">
        <v>45098</v>
      </c>
      <c r="B611" s="16">
        <v>172</v>
      </c>
      <c r="C611" s="36">
        <v>0.14148148148148149</v>
      </c>
      <c r="D611" s="16" t="s">
        <v>175</v>
      </c>
      <c r="E611" s="14" t="s">
        <v>9350</v>
      </c>
      <c r="F611" s="16" t="s">
        <v>1098</v>
      </c>
      <c r="G611" s="16" t="s">
        <v>1066</v>
      </c>
      <c r="H611" s="14">
        <v>0.78500000000000003</v>
      </c>
      <c r="O611" s="14" t="s">
        <v>9346</v>
      </c>
      <c r="P611" s="14" t="s">
        <v>9347</v>
      </c>
      <c r="Q611" s="14">
        <v>418531.96</v>
      </c>
      <c r="R611" s="14">
        <v>6188572.9100000001</v>
      </c>
      <c r="S611" s="14" t="s">
        <v>9348</v>
      </c>
      <c r="T611" s="14" t="s">
        <v>9349</v>
      </c>
      <c r="U611" s="14">
        <v>418541.26</v>
      </c>
      <c r="V611" s="14">
        <v>6188572.2699999996</v>
      </c>
      <c r="W611" s="14">
        <v>80.38</v>
      </c>
      <c r="X611" s="14">
        <v>150.05000000000001</v>
      </c>
    </row>
    <row r="612" spans="1:24" s="14" customFormat="1" x14ac:dyDescent="0.25">
      <c r="A612" s="50">
        <v>45098</v>
      </c>
      <c r="B612" s="16">
        <v>172</v>
      </c>
      <c r="C612" s="36">
        <v>0.16006944444444446</v>
      </c>
      <c r="D612" s="16" t="s">
        <v>175</v>
      </c>
      <c r="E612" s="52" t="s">
        <v>6102</v>
      </c>
      <c r="F612" s="16" t="s">
        <v>8011</v>
      </c>
      <c r="G612" s="16" t="s">
        <v>1066</v>
      </c>
      <c r="H612" s="14">
        <v>0.20100000000000001</v>
      </c>
      <c r="O612" s="14" t="s">
        <v>9351</v>
      </c>
      <c r="P612" s="14" t="s">
        <v>9352</v>
      </c>
      <c r="Q612" s="14">
        <v>421121.55</v>
      </c>
      <c r="R612" s="14">
        <v>6189157.3099999996</v>
      </c>
      <c r="S612" s="14" t="s">
        <v>9353</v>
      </c>
      <c r="T612" s="14" t="s">
        <v>9354</v>
      </c>
      <c r="U612" s="14">
        <v>421132.72</v>
      </c>
      <c r="V612" s="14">
        <v>6189156.7999999998</v>
      </c>
      <c r="W612" s="14">
        <v>82.31</v>
      </c>
      <c r="X612" s="14">
        <v>150.05000000000001</v>
      </c>
    </row>
    <row r="613" spans="1:24" s="14" customFormat="1" x14ac:dyDescent="0.25">
      <c r="A613" s="50">
        <v>45098</v>
      </c>
      <c r="B613" s="16">
        <v>172</v>
      </c>
      <c r="C613" s="36">
        <v>0.16013888888888889</v>
      </c>
      <c r="D613" s="16" t="s">
        <v>175</v>
      </c>
      <c r="E613" s="52" t="s">
        <v>8026</v>
      </c>
      <c r="F613" s="16" t="s">
        <v>8011</v>
      </c>
      <c r="G613" s="16" t="s">
        <v>1066</v>
      </c>
      <c r="H613" s="14">
        <v>0.20100000000000001</v>
      </c>
      <c r="O613" s="14" t="s">
        <v>9355</v>
      </c>
      <c r="P613" s="14" t="s">
        <v>9356</v>
      </c>
      <c r="Q613" s="14">
        <v>421121.63</v>
      </c>
      <c r="R613" s="14">
        <v>6189157.3099999996</v>
      </c>
      <c r="S613" s="14" t="s">
        <v>9353</v>
      </c>
      <c r="T613" s="14" t="s">
        <v>9357</v>
      </c>
      <c r="U613" s="14">
        <v>421132.94</v>
      </c>
      <c r="V613" s="14">
        <v>6189156.7999999998</v>
      </c>
      <c r="W613" s="14">
        <v>82.57</v>
      </c>
      <c r="X613" s="14">
        <v>150.05000000000001</v>
      </c>
    </row>
    <row r="614" spans="1:24" s="68" customFormat="1" x14ac:dyDescent="0.25">
      <c r="A614" s="65">
        <v>45098</v>
      </c>
      <c r="B614" s="66">
        <v>172</v>
      </c>
      <c r="C614" s="67">
        <v>0.16555555555555554</v>
      </c>
      <c r="D614" s="66" t="s">
        <v>175</v>
      </c>
      <c r="E614" s="68" t="s">
        <v>9363</v>
      </c>
      <c r="F614" s="66" t="s">
        <v>8011</v>
      </c>
      <c r="G614" s="66" t="s">
        <v>1066</v>
      </c>
      <c r="H614" s="68">
        <v>0.17699999999999999</v>
      </c>
      <c r="M614" s="68" t="s">
        <v>9358</v>
      </c>
      <c r="O614" s="68" t="s">
        <v>9359</v>
      </c>
      <c r="P614" s="68" t="s">
        <v>9360</v>
      </c>
      <c r="Q614" s="68">
        <v>421120.58</v>
      </c>
      <c r="R614" s="68">
        <v>6189165.5199999996</v>
      </c>
      <c r="S614" s="68" t="s">
        <v>9361</v>
      </c>
      <c r="T614" s="68" t="s">
        <v>9362</v>
      </c>
      <c r="U614" s="68">
        <v>421138.46</v>
      </c>
      <c r="V614" s="68">
        <v>6189175.4400000004</v>
      </c>
      <c r="W614" s="68">
        <v>359.27</v>
      </c>
      <c r="X614" s="68">
        <v>150.05000000000001</v>
      </c>
    </row>
    <row r="615" spans="1:24" s="14" customFormat="1" x14ac:dyDescent="0.25">
      <c r="A615" s="50">
        <v>45098</v>
      </c>
      <c r="B615" s="16">
        <v>172</v>
      </c>
      <c r="C615" s="36">
        <v>0.16608796296296297</v>
      </c>
      <c r="D615" s="16" t="s">
        <v>175</v>
      </c>
      <c r="E615" s="14" t="s">
        <v>65</v>
      </c>
      <c r="F615" s="16" t="s">
        <v>8011</v>
      </c>
      <c r="G615" s="16" t="s">
        <v>1066</v>
      </c>
      <c r="H615" s="14">
        <v>0.161</v>
      </c>
      <c r="I615" s="14" t="s">
        <v>9368</v>
      </c>
      <c r="J615" s="14" t="s">
        <v>9369</v>
      </c>
      <c r="K615" s="14" t="s">
        <v>9370</v>
      </c>
      <c r="L615" s="14" t="s">
        <v>9371</v>
      </c>
      <c r="O615" s="14" t="s">
        <v>9364</v>
      </c>
      <c r="P615" s="14" t="s">
        <v>9365</v>
      </c>
      <c r="Q615" s="14">
        <v>421121.04</v>
      </c>
      <c r="R615" s="14">
        <v>6189185.3499999996</v>
      </c>
      <c r="S615" s="14" t="s">
        <v>9366</v>
      </c>
      <c r="T615" s="14" t="s">
        <v>9367</v>
      </c>
      <c r="U615" s="14">
        <v>421138.44</v>
      </c>
      <c r="V615" s="14">
        <v>6189192.1500000004</v>
      </c>
      <c r="W615" s="14">
        <v>0.37</v>
      </c>
      <c r="X615" s="14">
        <v>150.05000000000001</v>
      </c>
    </row>
    <row r="616" spans="1:24" s="14" customFormat="1" x14ac:dyDescent="0.25">
      <c r="A616" s="50">
        <v>45098</v>
      </c>
      <c r="B616" s="16">
        <v>172</v>
      </c>
      <c r="C616" s="36">
        <v>0.17011574074074073</v>
      </c>
      <c r="D616" s="16" t="s">
        <v>177</v>
      </c>
      <c r="E616" s="14" t="s">
        <v>70</v>
      </c>
      <c r="F616" s="16" t="s">
        <v>8011</v>
      </c>
      <c r="G616" s="16" t="s">
        <v>1066</v>
      </c>
      <c r="H616" s="14">
        <v>-1.7000000000000001E-2</v>
      </c>
      <c r="I616" s="14" t="s">
        <v>9368</v>
      </c>
      <c r="J616" s="14" t="s">
        <v>9369</v>
      </c>
      <c r="K616" s="14" t="s">
        <v>9370</v>
      </c>
      <c r="L616" s="14" t="s">
        <v>9371</v>
      </c>
      <c r="O616" s="14" t="s">
        <v>9372</v>
      </c>
      <c r="P616" s="14" t="s">
        <v>9373</v>
      </c>
      <c r="Q616" s="14">
        <v>421121.15</v>
      </c>
      <c r="R616" s="14">
        <v>6189361.5899999999</v>
      </c>
      <c r="S616" s="14" t="s">
        <v>9374</v>
      </c>
      <c r="T616" s="14" t="s">
        <v>9375</v>
      </c>
      <c r="U616" s="14">
        <v>421138.49</v>
      </c>
      <c r="V616" s="14">
        <v>6189369.8099999996</v>
      </c>
      <c r="W616" s="14">
        <v>359.95</v>
      </c>
      <c r="X616" s="14">
        <v>150.05000000000001</v>
      </c>
    </row>
    <row r="617" spans="1:24" s="90" customFormat="1" x14ac:dyDescent="0.25">
      <c r="A617" s="93">
        <v>45098</v>
      </c>
      <c r="B617" s="95">
        <v>172</v>
      </c>
      <c r="C617" s="83">
        <v>0.17366898148148147</v>
      </c>
      <c r="D617" s="95" t="s">
        <v>177</v>
      </c>
      <c r="E617" s="90" t="s">
        <v>65</v>
      </c>
      <c r="F617" s="95" t="s">
        <v>8011</v>
      </c>
      <c r="G617" s="95" t="s">
        <v>1065</v>
      </c>
      <c r="H617" s="90">
        <v>-6.0000000000000001E-3</v>
      </c>
      <c r="I617" s="90" t="s">
        <v>9380</v>
      </c>
      <c r="J617" s="90" t="s">
        <v>9369</v>
      </c>
      <c r="K617" s="90" t="s">
        <v>9381</v>
      </c>
      <c r="L617" s="90" t="s">
        <v>9382</v>
      </c>
      <c r="O617" s="90" t="s">
        <v>9376</v>
      </c>
      <c r="P617" s="90" t="s">
        <v>9377</v>
      </c>
      <c r="Q617" s="90">
        <v>421126.21</v>
      </c>
      <c r="R617" s="90">
        <v>6189374.9299999997</v>
      </c>
      <c r="S617" s="90" t="s">
        <v>9378</v>
      </c>
      <c r="T617" s="90" t="s">
        <v>9379</v>
      </c>
      <c r="U617" s="90">
        <v>421147.68</v>
      </c>
      <c r="V617" s="90">
        <v>6189370.0800000001</v>
      </c>
      <c r="W617" s="90">
        <v>181.61</v>
      </c>
      <c r="X617" s="90">
        <v>150.05000000000001</v>
      </c>
    </row>
    <row r="618" spans="1:24" s="167" customFormat="1" x14ac:dyDescent="0.25">
      <c r="A618" s="93">
        <v>45098</v>
      </c>
      <c r="B618" s="177">
        <v>172</v>
      </c>
      <c r="C618" s="83">
        <v>0.17366898148148147</v>
      </c>
      <c r="D618" s="177" t="s">
        <v>177</v>
      </c>
      <c r="E618" s="167" t="s">
        <v>21168</v>
      </c>
      <c r="F618" s="177"/>
      <c r="G618" s="177"/>
    </row>
    <row r="619" spans="1:24" s="90" customFormat="1" x14ac:dyDescent="0.25">
      <c r="A619" s="93">
        <v>45098</v>
      </c>
      <c r="B619" s="95">
        <v>172</v>
      </c>
      <c r="C619" s="83">
        <v>0.17696759259259257</v>
      </c>
      <c r="D619" s="95" t="s">
        <v>177</v>
      </c>
      <c r="E619" s="90" t="s">
        <v>70</v>
      </c>
      <c r="F619" s="95" t="s">
        <v>8011</v>
      </c>
      <c r="G619" s="95" t="s">
        <v>1065</v>
      </c>
      <c r="H619" s="90">
        <v>0.16500000000000001</v>
      </c>
      <c r="I619" s="90" t="s">
        <v>9380</v>
      </c>
      <c r="J619" s="90" t="s">
        <v>9369</v>
      </c>
      <c r="K619" s="90" t="s">
        <v>9381</v>
      </c>
      <c r="L619" s="90" t="s">
        <v>9382</v>
      </c>
      <c r="O619" s="90" t="s">
        <v>9383</v>
      </c>
      <c r="P619" s="90" t="s">
        <v>9384</v>
      </c>
      <c r="Q619" s="90">
        <v>421127.55</v>
      </c>
      <c r="R619" s="90">
        <v>6189203.0300000003</v>
      </c>
      <c r="S619" s="90" t="s">
        <v>9385</v>
      </c>
      <c r="T619" s="90" t="s">
        <v>9386</v>
      </c>
      <c r="U619" s="90">
        <v>421147.6</v>
      </c>
      <c r="V619" s="90">
        <v>6189198.3200000003</v>
      </c>
      <c r="W619" s="90">
        <v>180.23</v>
      </c>
      <c r="X619" s="90">
        <v>150.05000000000001</v>
      </c>
    </row>
    <row r="620" spans="1:24" s="14" customFormat="1" x14ac:dyDescent="0.25">
      <c r="A620" s="50">
        <v>45098</v>
      </c>
      <c r="B620" s="16">
        <v>172</v>
      </c>
      <c r="C620" s="36">
        <v>0.18002314814814815</v>
      </c>
      <c r="D620" s="16" t="s">
        <v>177</v>
      </c>
      <c r="E620" s="14" t="s">
        <v>65</v>
      </c>
      <c r="F620" s="16" t="s">
        <v>8011</v>
      </c>
      <c r="G620" s="16" t="s">
        <v>1064</v>
      </c>
      <c r="H620" s="14">
        <v>0.16200000000000001</v>
      </c>
      <c r="I620" s="14" t="s">
        <v>9391</v>
      </c>
      <c r="J620" s="14" t="s">
        <v>9392</v>
      </c>
      <c r="K620" s="14" t="s">
        <v>9393</v>
      </c>
      <c r="L620" s="14" t="s">
        <v>9382</v>
      </c>
      <c r="O620" s="14" t="s">
        <v>9387</v>
      </c>
      <c r="P620" s="14" t="s">
        <v>9388</v>
      </c>
      <c r="Q620" s="14">
        <v>421134.97</v>
      </c>
      <c r="R620" s="14">
        <v>6189189.8899999997</v>
      </c>
      <c r="S620" s="14" t="s">
        <v>9389</v>
      </c>
      <c r="T620" s="14" t="s">
        <v>9390</v>
      </c>
      <c r="U620" s="14">
        <v>421156.49</v>
      </c>
      <c r="V620" s="14">
        <v>6189190.9000000004</v>
      </c>
      <c r="W620" s="14">
        <v>0.47</v>
      </c>
      <c r="X620" s="14">
        <v>150.05000000000001</v>
      </c>
    </row>
    <row r="621" spans="1:24" s="14" customFormat="1" x14ac:dyDescent="0.25">
      <c r="A621" s="50">
        <v>45098</v>
      </c>
      <c r="B621" s="16">
        <v>172</v>
      </c>
      <c r="C621" s="36">
        <v>0.18401620370370372</v>
      </c>
      <c r="D621" s="16" t="s">
        <v>177</v>
      </c>
      <c r="E621" s="14" t="s">
        <v>70</v>
      </c>
      <c r="F621" s="16" t="s">
        <v>8011</v>
      </c>
      <c r="G621" s="16" t="s">
        <v>1064</v>
      </c>
      <c r="H621" s="14">
        <v>-1.7999999999999999E-2</v>
      </c>
      <c r="I621" s="14" t="s">
        <v>9391</v>
      </c>
      <c r="J621" s="14" t="s">
        <v>9392</v>
      </c>
      <c r="K621" s="14" t="s">
        <v>9393</v>
      </c>
      <c r="L621" s="14" t="s">
        <v>9398</v>
      </c>
      <c r="O621" s="14" t="s">
        <v>9394</v>
      </c>
      <c r="P621" s="14" t="s">
        <v>9395</v>
      </c>
      <c r="Q621" s="14">
        <v>421135.92</v>
      </c>
      <c r="R621" s="14">
        <v>6189364.5700000003</v>
      </c>
      <c r="S621" s="14" t="s">
        <v>9396</v>
      </c>
      <c r="T621" s="14" t="s">
        <v>9397</v>
      </c>
      <c r="U621" s="14">
        <v>421156.56</v>
      </c>
      <c r="V621" s="14">
        <v>6189370.4000000004</v>
      </c>
      <c r="W621" s="14">
        <v>358.85</v>
      </c>
      <c r="X621" s="14">
        <v>150.05000000000001</v>
      </c>
    </row>
    <row r="622" spans="1:24" s="14" customFormat="1" x14ac:dyDescent="0.25">
      <c r="A622" s="50">
        <v>45098</v>
      </c>
      <c r="B622" s="16">
        <v>172</v>
      </c>
      <c r="C622" s="36">
        <v>0.18666666666666668</v>
      </c>
      <c r="D622" s="16" t="s">
        <v>177</v>
      </c>
      <c r="E622" s="14" t="s">
        <v>9409</v>
      </c>
      <c r="F622" s="16" t="s">
        <v>8011</v>
      </c>
      <c r="G622" s="16" t="s">
        <v>1065</v>
      </c>
      <c r="H622" s="14">
        <v>-0.01</v>
      </c>
      <c r="I622" s="14" t="s">
        <v>9403</v>
      </c>
      <c r="J622" s="14" t="s">
        <v>9404</v>
      </c>
      <c r="K622" s="14" t="s">
        <v>9393</v>
      </c>
      <c r="L622" s="14" t="s">
        <v>9398</v>
      </c>
      <c r="O622" s="14" t="s">
        <v>9399</v>
      </c>
      <c r="P622" s="14" t="s">
        <v>9400</v>
      </c>
      <c r="Q622" s="14">
        <v>421127.64</v>
      </c>
      <c r="R622" s="14">
        <v>6189374.3300000001</v>
      </c>
      <c r="S622" s="14" t="s">
        <v>9401</v>
      </c>
      <c r="T622" s="14" t="s">
        <v>9402</v>
      </c>
      <c r="U622" s="14">
        <v>421147.36</v>
      </c>
      <c r="V622" s="14">
        <v>6189374.1299999999</v>
      </c>
      <c r="W622" s="14">
        <v>181.28</v>
      </c>
      <c r="X622" s="14">
        <v>150.05000000000001</v>
      </c>
    </row>
    <row r="623" spans="1:24" s="14" customFormat="1" x14ac:dyDescent="0.25">
      <c r="A623" s="50">
        <v>45098</v>
      </c>
      <c r="B623" s="16">
        <v>172</v>
      </c>
      <c r="C623" s="36">
        <v>0.19010416666666666</v>
      </c>
      <c r="D623" s="16" t="s">
        <v>177</v>
      </c>
      <c r="E623" s="14" t="s">
        <v>70</v>
      </c>
      <c r="F623" s="16" t="s">
        <v>8011</v>
      </c>
      <c r="G623" s="16" t="s">
        <v>1065</v>
      </c>
      <c r="H623" s="14">
        <v>0.17100000000000001</v>
      </c>
      <c r="I623" s="14" t="s">
        <v>9403</v>
      </c>
      <c r="J623" s="14" t="s">
        <v>9404</v>
      </c>
      <c r="K623" s="14" t="s">
        <v>9393</v>
      </c>
      <c r="L623" s="14" t="s">
        <v>9398</v>
      </c>
      <c r="O623" s="14" t="s">
        <v>9405</v>
      </c>
      <c r="P623" s="14" t="s">
        <v>9406</v>
      </c>
      <c r="Q623" s="14">
        <v>421127.27</v>
      </c>
      <c r="R623" s="14">
        <v>6189196.8799999999</v>
      </c>
      <c r="S623" s="14" t="s">
        <v>9407</v>
      </c>
      <c r="T623" s="14" t="s">
        <v>9408</v>
      </c>
      <c r="U623" s="14">
        <v>421147.26</v>
      </c>
      <c r="V623" s="14">
        <v>6189193.04</v>
      </c>
      <c r="W623" s="14">
        <v>180.05</v>
      </c>
      <c r="X623" s="14">
        <v>150.05000000000001</v>
      </c>
    </row>
    <row r="624" spans="1:24" s="14" customFormat="1" x14ac:dyDescent="0.25">
      <c r="A624" s="50">
        <v>45098</v>
      </c>
      <c r="B624" s="16">
        <v>172</v>
      </c>
      <c r="C624" s="36">
        <v>0.19462962962962962</v>
      </c>
      <c r="D624" s="16" t="s">
        <v>177</v>
      </c>
      <c r="E624" s="14" t="s">
        <v>65</v>
      </c>
      <c r="F624" s="16" t="s">
        <v>8011</v>
      </c>
      <c r="G624" s="16" t="s">
        <v>1063</v>
      </c>
      <c r="H624" s="14">
        <v>0.16400000000000001</v>
      </c>
      <c r="I624" s="14" t="s">
        <v>9414</v>
      </c>
      <c r="J624" s="14" t="s">
        <v>9415</v>
      </c>
      <c r="K624" s="14" t="s">
        <v>9416</v>
      </c>
      <c r="L624" s="14" t="s">
        <v>9417</v>
      </c>
      <c r="O624" s="14" t="s">
        <v>9410</v>
      </c>
      <c r="P624" s="14" t="s">
        <v>9411</v>
      </c>
      <c r="Q624" s="14">
        <v>421143.27</v>
      </c>
      <c r="R624" s="14">
        <v>6189188.0199999996</v>
      </c>
      <c r="S624" s="14" t="s">
        <v>9412</v>
      </c>
      <c r="T624" s="14" t="s">
        <v>9413</v>
      </c>
      <c r="U624" s="14">
        <v>421165.56</v>
      </c>
      <c r="V624" s="14">
        <v>6189188.4100000001</v>
      </c>
      <c r="W624" s="14">
        <v>359.35</v>
      </c>
      <c r="X624" s="14">
        <v>150.05000000000001</v>
      </c>
    </row>
    <row r="625" spans="1:24" s="14" customFormat="1" x14ac:dyDescent="0.25">
      <c r="A625" s="50">
        <v>45098</v>
      </c>
      <c r="B625" s="16">
        <v>172</v>
      </c>
      <c r="C625" s="36">
        <v>0.19806712962962961</v>
      </c>
      <c r="D625" s="16" t="s">
        <v>177</v>
      </c>
      <c r="E625" s="14" t="s">
        <v>70</v>
      </c>
      <c r="F625" s="16" t="s">
        <v>8011</v>
      </c>
      <c r="G625" s="16" t="s">
        <v>1063</v>
      </c>
      <c r="H625" s="14">
        <v>-1.6E-2</v>
      </c>
      <c r="I625" s="14" t="s">
        <v>9414</v>
      </c>
      <c r="J625" s="14" t="s">
        <v>9415</v>
      </c>
      <c r="K625" s="14" t="s">
        <v>9416</v>
      </c>
      <c r="L625" s="14" t="s">
        <v>9417</v>
      </c>
      <c r="O625" s="14" t="s">
        <v>9418</v>
      </c>
      <c r="P625" s="14" t="s">
        <v>9419</v>
      </c>
      <c r="Q625" s="14">
        <v>421143.64</v>
      </c>
      <c r="R625" s="14">
        <v>6189364.1100000003</v>
      </c>
      <c r="S625" s="14" t="s">
        <v>9420</v>
      </c>
      <c r="T625" s="14" t="s">
        <v>9421</v>
      </c>
      <c r="U625" s="14">
        <v>421165.56</v>
      </c>
      <c r="V625" s="14">
        <v>6189368.79</v>
      </c>
      <c r="W625" s="14">
        <v>359.53</v>
      </c>
      <c r="X625" s="14">
        <v>150.05000000000001</v>
      </c>
    </row>
    <row r="626" spans="1:24" s="14" customFormat="1" x14ac:dyDescent="0.25">
      <c r="A626" s="50">
        <v>45098</v>
      </c>
      <c r="B626" s="16">
        <v>172</v>
      </c>
      <c r="C626" s="36">
        <v>0.2013425925925926</v>
      </c>
      <c r="D626" s="16" t="s">
        <v>177</v>
      </c>
      <c r="E626" s="52" t="s">
        <v>65</v>
      </c>
      <c r="F626" s="16" t="s">
        <v>8011</v>
      </c>
      <c r="G626" s="16" t="s">
        <v>1062</v>
      </c>
      <c r="H626" s="14">
        <v>-8.9999999999999993E-3</v>
      </c>
      <c r="I626" s="14" t="s">
        <v>9426</v>
      </c>
      <c r="J626" s="14" t="s">
        <v>9427</v>
      </c>
      <c r="K626" s="14" t="s">
        <v>9428</v>
      </c>
      <c r="L626" s="14" t="s">
        <v>9417</v>
      </c>
      <c r="O626" s="14" t="s">
        <v>9422</v>
      </c>
      <c r="P626" s="14" t="s">
        <v>9423</v>
      </c>
      <c r="Q626" s="14">
        <v>421153.36</v>
      </c>
      <c r="R626" s="14">
        <v>6189379.5899999999</v>
      </c>
      <c r="S626" s="14" t="s">
        <v>9424</v>
      </c>
      <c r="T626" s="14" t="s">
        <v>9425</v>
      </c>
      <c r="U626" s="14">
        <v>421174.63</v>
      </c>
      <c r="V626" s="14">
        <v>6189372.3399999999</v>
      </c>
      <c r="W626" s="14">
        <v>180.89</v>
      </c>
      <c r="X626" s="14">
        <v>150.05000000000001</v>
      </c>
    </row>
    <row r="627" spans="1:24" s="14" customFormat="1" x14ac:dyDescent="0.25">
      <c r="A627" s="50">
        <v>45098</v>
      </c>
      <c r="B627" s="16">
        <v>172</v>
      </c>
      <c r="C627" s="36">
        <v>0.20496527777777776</v>
      </c>
      <c r="D627" s="16" t="s">
        <v>177</v>
      </c>
      <c r="E627" s="14" t="s">
        <v>70</v>
      </c>
      <c r="F627" s="16" t="s">
        <v>8011</v>
      </c>
      <c r="G627" s="16" t="s">
        <v>1062</v>
      </c>
      <c r="H627" s="14">
        <v>0.17599999999999999</v>
      </c>
      <c r="I627" s="14" t="s">
        <v>9426</v>
      </c>
      <c r="J627" s="14" t="s">
        <v>9433</v>
      </c>
      <c r="K627" s="14" t="s">
        <v>9428</v>
      </c>
      <c r="L627" s="14" t="s">
        <v>9434</v>
      </c>
      <c r="O627" s="14" t="s">
        <v>9429</v>
      </c>
      <c r="P627" s="14" t="s">
        <v>9430</v>
      </c>
      <c r="Q627" s="14">
        <v>421153.53</v>
      </c>
      <c r="R627" s="14">
        <v>6189190.8799999999</v>
      </c>
      <c r="S627" s="14" t="s">
        <v>9431</v>
      </c>
      <c r="T627" s="14" t="s">
        <v>9432</v>
      </c>
      <c r="U627" s="14">
        <v>421174.53</v>
      </c>
      <c r="V627" s="14">
        <v>6189188.2000000002</v>
      </c>
      <c r="W627" s="14">
        <v>179.4</v>
      </c>
      <c r="X627" s="14">
        <v>150.05000000000001</v>
      </c>
    </row>
    <row r="628" spans="1:24" s="14" customFormat="1" x14ac:dyDescent="0.25">
      <c r="A628" s="50">
        <v>45098</v>
      </c>
      <c r="B628" s="16">
        <v>172</v>
      </c>
      <c r="C628" s="36">
        <v>0.20835648148148148</v>
      </c>
      <c r="D628" s="16" t="s">
        <v>177</v>
      </c>
      <c r="E628" s="14" t="s">
        <v>65</v>
      </c>
      <c r="F628" s="16" t="s">
        <v>8011</v>
      </c>
      <c r="G628" s="16" t="s">
        <v>1061</v>
      </c>
      <c r="H628" s="14">
        <v>0.16400000000000001</v>
      </c>
      <c r="I628" s="14" t="s">
        <v>9439</v>
      </c>
      <c r="J628" s="14" t="s">
        <v>9440</v>
      </c>
      <c r="K628" s="14" t="s">
        <v>9441</v>
      </c>
      <c r="L628" s="14" t="s">
        <v>9434</v>
      </c>
      <c r="O628" s="14" t="s">
        <v>9435</v>
      </c>
      <c r="P628" s="14" t="s">
        <v>9436</v>
      </c>
      <c r="Q628" s="14">
        <v>421161.31</v>
      </c>
      <c r="R628" s="14">
        <v>6189185.29</v>
      </c>
      <c r="S628" s="14" t="s">
        <v>9437</v>
      </c>
      <c r="T628" s="14" t="s">
        <v>9438</v>
      </c>
      <c r="U628" s="14">
        <v>421183.52</v>
      </c>
      <c r="V628" s="14">
        <v>6189188.8600000003</v>
      </c>
      <c r="W628" s="14">
        <v>359.57</v>
      </c>
      <c r="X628" s="14">
        <v>150.05000000000001</v>
      </c>
    </row>
    <row r="629" spans="1:24" s="14" customFormat="1" x14ac:dyDescent="0.25">
      <c r="A629" s="50">
        <v>45098</v>
      </c>
      <c r="B629" s="16">
        <v>172</v>
      </c>
      <c r="C629" s="36">
        <v>0.21182870370370369</v>
      </c>
      <c r="D629" s="16" t="s">
        <v>177</v>
      </c>
      <c r="E629" s="14" t="s">
        <v>70</v>
      </c>
      <c r="F629" s="16" t="s">
        <v>8011</v>
      </c>
      <c r="G629" s="16" t="s">
        <v>1061</v>
      </c>
      <c r="H629" s="14">
        <v>-1.7000000000000001E-2</v>
      </c>
      <c r="I629" s="14" t="s">
        <v>9439</v>
      </c>
      <c r="J629" s="14" t="s">
        <v>9440</v>
      </c>
      <c r="K629" s="14" t="s">
        <v>9441</v>
      </c>
      <c r="L629" s="14" t="s">
        <v>9434</v>
      </c>
      <c r="O629" s="14" t="s">
        <v>9442</v>
      </c>
      <c r="P629" s="14" t="s">
        <v>9443</v>
      </c>
      <c r="Q629" s="14">
        <v>421161.8</v>
      </c>
      <c r="R629" s="14">
        <v>6189367.8300000001</v>
      </c>
      <c r="S629" s="14" t="s">
        <v>9444</v>
      </c>
      <c r="T629" s="14" t="s">
        <v>9445</v>
      </c>
      <c r="U629" s="14">
        <v>421183.49</v>
      </c>
      <c r="V629" s="14">
        <v>6189369.5599999996</v>
      </c>
      <c r="W629" s="14">
        <v>7.0000000000000007E-2</v>
      </c>
      <c r="X629" s="14">
        <v>150.05000000000001</v>
      </c>
    </row>
    <row r="630" spans="1:24" s="14" customFormat="1" x14ac:dyDescent="0.25">
      <c r="A630" s="50">
        <v>45098</v>
      </c>
      <c r="B630" s="16">
        <v>172</v>
      </c>
      <c r="C630" s="36">
        <v>0.21476851851851853</v>
      </c>
      <c r="D630" s="16" t="s">
        <v>177</v>
      </c>
      <c r="E630" s="14" t="s">
        <v>65</v>
      </c>
      <c r="F630" s="16" t="s">
        <v>8011</v>
      </c>
      <c r="G630" s="16" t="s">
        <v>1067</v>
      </c>
      <c r="H630" s="14">
        <v>-1.2999999999999999E-2</v>
      </c>
      <c r="I630" s="14" t="s">
        <v>9450</v>
      </c>
      <c r="J630" s="14" t="s">
        <v>9451</v>
      </c>
      <c r="K630" s="14" t="s">
        <v>9452</v>
      </c>
      <c r="L630" s="14" t="s">
        <v>9434</v>
      </c>
      <c r="O630" s="14" t="s">
        <v>9446</v>
      </c>
      <c r="P630" s="14" t="s">
        <v>9447</v>
      </c>
      <c r="Q630" s="14">
        <v>421170.94</v>
      </c>
      <c r="R630" s="14">
        <v>6189381.54</v>
      </c>
      <c r="S630" s="14" t="s">
        <v>9448</v>
      </c>
      <c r="T630" s="14" t="s">
        <v>9449</v>
      </c>
      <c r="U630" s="14">
        <v>421192.58</v>
      </c>
      <c r="V630" s="14">
        <v>6189377.04</v>
      </c>
      <c r="W630" s="14">
        <v>180.85</v>
      </c>
      <c r="X630" s="14">
        <v>150.05000000000001</v>
      </c>
    </row>
    <row r="631" spans="1:24" s="14" customFormat="1" x14ac:dyDescent="0.25">
      <c r="A631" s="50">
        <v>45098</v>
      </c>
      <c r="B631" s="16">
        <v>172</v>
      </c>
      <c r="C631" s="36">
        <v>0.21820601851851851</v>
      </c>
      <c r="D631" s="16" t="s">
        <v>177</v>
      </c>
      <c r="E631" s="14" t="s">
        <v>70</v>
      </c>
      <c r="F631" s="16" t="s">
        <v>8011</v>
      </c>
      <c r="G631" s="16" t="s">
        <v>1067</v>
      </c>
      <c r="H631" s="14">
        <v>0.16700000000000001</v>
      </c>
      <c r="I631" s="14" t="s">
        <v>9450</v>
      </c>
      <c r="J631" s="14" t="s">
        <v>9451</v>
      </c>
      <c r="K631" s="14" t="s">
        <v>9452</v>
      </c>
      <c r="L631" s="14" t="s">
        <v>9457</v>
      </c>
      <c r="O631" s="14" t="s">
        <v>9453</v>
      </c>
      <c r="P631" s="14" t="s">
        <v>9454</v>
      </c>
      <c r="Q631" s="14">
        <v>421171.65</v>
      </c>
      <c r="R631" s="14">
        <v>6189203.6699999999</v>
      </c>
      <c r="S631" s="14" t="s">
        <v>9455</v>
      </c>
      <c r="T631" s="14" t="s">
        <v>9456</v>
      </c>
      <c r="U631" s="14">
        <v>421192.55</v>
      </c>
      <c r="V631" s="14">
        <v>6189196.3600000003</v>
      </c>
      <c r="W631" s="14">
        <v>179.88</v>
      </c>
      <c r="X631" s="14">
        <v>150.05000000000001</v>
      </c>
    </row>
    <row r="632" spans="1:24" s="14" customFormat="1" x14ac:dyDescent="0.25">
      <c r="A632" s="50">
        <v>45098</v>
      </c>
      <c r="B632" s="16">
        <v>172</v>
      </c>
      <c r="C632" s="36">
        <v>0.22135416666666666</v>
      </c>
      <c r="D632" s="16" t="s">
        <v>177</v>
      </c>
      <c r="E632" s="14" t="s">
        <v>65</v>
      </c>
      <c r="F632" s="16" t="s">
        <v>8011</v>
      </c>
      <c r="G632" s="16" t="s">
        <v>1068</v>
      </c>
      <c r="H632" s="14">
        <v>0.16400000000000001</v>
      </c>
      <c r="I632" s="14" t="s">
        <v>9462</v>
      </c>
      <c r="J632" s="14" t="s">
        <v>9463</v>
      </c>
      <c r="K632" s="14" t="s">
        <v>9464</v>
      </c>
      <c r="L632" s="14" t="s">
        <v>9457</v>
      </c>
      <c r="O632" s="14" t="s">
        <v>9458</v>
      </c>
      <c r="P632" s="14" t="s">
        <v>9459</v>
      </c>
      <c r="Q632" s="14">
        <v>421179.65</v>
      </c>
      <c r="R632" s="14">
        <v>6189196.8499999996</v>
      </c>
      <c r="S632" s="14" t="s">
        <v>9460</v>
      </c>
      <c r="T632" s="14" t="s">
        <v>9461</v>
      </c>
      <c r="U632" s="14">
        <v>421201.35</v>
      </c>
      <c r="V632" s="14">
        <v>6189188.9500000002</v>
      </c>
      <c r="W632" s="14">
        <v>0.33</v>
      </c>
      <c r="X632" s="14">
        <v>150.05000000000001</v>
      </c>
    </row>
    <row r="633" spans="1:24" s="14" customFormat="1" x14ac:dyDescent="0.25">
      <c r="A633" s="50">
        <v>45098</v>
      </c>
      <c r="B633" s="16">
        <v>172</v>
      </c>
      <c r="C633" s="36">
        <v>0.22474537037037037</v>
      </c>
      <c r="D633" s="16" t="s">
        <v>177</v>
      </c>
      <c r="E633" s="14" t="s">
        <v>70</v>
      </c>
      <c r="F633" s="16" t="s">
        <v>8011</v>
      </c>
      <c r="G633" s="16" t="s">
        <v>1068</v>
      </c>
      <c r="H633" s="14">
        <v>-1.7000000000000001E-2</v>
      </c>
      <c r="I633" s="14" t="s">
        <v>9462</v>
      </c>
      <c r="J633" s="14" t="s">
        <v>9463</v>
      </c>
      <c r="K633" s="14" t="s">
        <v>9464</v>
      </c>
      <c r="L633" s="14" t="s">
        <v>9457</v>
      </c>
      <c r="O633" s="14" t="s">
        <v>9465</v>
      </c>
      <c r="P633" s="14" t="s">
        <v>9466</v>
      </c>
      <c r="Q633" s="14">
        <v>421179.72</v>
      </c>
      <c r="R633" s="14">
        <v>6189374.5599999996</v>
      </c>
      <c r="S633" s="14" t="s">
        <v>9467</v>
      </c>
      <c r="T633" s="14" t="s">
        <v>9468</v>
      </c>
      <c r="U633" s="14">
        <v>421201.38</v>
      </c>
      <c r="V633" s="14">
        <v>6189369.4400000004</v>
      </c>
      <c r="W633" s="14">
        <v>0.2</v>
      </c>
      <c r="X633" s="14">
        <v>150.05000000000001</v>
      </c>
    </row>
    <row r="634" spans="1:24" s="14" customFormat="1" x14ac:dyDescent="0.25">
      <c r="A634" s="50">
        <v>45098</v>
      </c>
      <c r="B634" s="16">
        <v>172</v>
      </c>
      <c r="C634" s="36">
        <v>0.22870370370370371</v>
      </c>
      <c r="D634" s="16" t="s">
        <v>177</v>
      </c>
      <c r="E634" s="14" t="s">
        <v>65</v>
      </c>
      <c r="F634" s="16" t="s">
        <v>8011</v>
      </c>
      <c r="G634" s="16" t="s">
        <v>1069</v>
      </c>
      <c r="H634" s="14">
        <v>-0.01</v>
      </c>
      <c r="I634" s="14" t="s">
        <v>9473</v>
      </c>
      <c r="J634" s="14" t="s">
        <v>9474</v>
      </c>
      <c r="K634" s="14" t="s">
        <v>9475</v>
      </c>
      <c r="L634" s="14" t="s">
        <v>9476</v>
      </c>
      <c r="O634" s="14" t="s">
        <v>9469</v>
      </c>
      <c r="P634" s="14" t="s">
        <v>9470</v>
      </c>
      <c r="Q634" s="14">
        <v>421189.17</v>
      </c>
      <c r="R634" s="14">
        <v>6189377.6200000001</v>
      </c>
      <c r="S634" s="14" t="s">
        <v>9471</v>
      </c>
      <c r="T634" s="14" t="s">
        <v>9472</v>
      </c>
      <c r="U634" s="14">
        <v>421210.43</v>
      </c>
      <c r="V634" s="14">
        <v>6189374.1600000001</v>
      </c>
      <c r="W634" s="14">
        <v>179.62</v>
      </c>
      <c r="X634" s="14">
        <v>150.05000000000001</v>
      </c>
    </row>
    <row r="635" spans="1:24" s="14" customFormat="1" x14ac:dyDescent="0.25">
      <c r="A635" s="50">
        <v>45098</v>
      </c>
      <c r="B635" s="16">
        <v>172</v>
      </c>
      <c r="C635" s="36">
        <v>0.23219907407407406</v>
      </c>
      <c r="D635" s="16" t="s">
        <v>177</v>
      </c>
      <c r="E635" s="14" t="s">
        <v>70</v>
      </c>
      <c r="F635" s="16" t="s">
        <v>8011</v>
      </c>
      <c r="G635" s="16" t="s">
        <v>1069</v>
      </c>
      <c r="H635" s="14">
        <v>0.16900000000000001</v>
      </c>
      <c r="I635" s="14" t="s">
        <v>9473</v>
      </c>
      <c r="J635" s="14" t="s">
        <v>9474</v>
      </c>
      <c r="K635" s="14" t="s">
        <v>9475</v>
      </c>
      <c r="L635" s="14" t="s">
        <v>9476</v>
      </c>
      <c r="O635" s="14" t="s">
        <v>9477</v>
      </c>
      <c r="P635" s="14" t="s">
        <v>9478</v>
      </c>
      <c r="Q635" s="14">
        <v>421189.9</v>
      </c>
      <c r="R635" s="14">
        <v>6189191.2400000002</v>
      </c>
      <c r="S635" s="14" t="s">
        <v>9479</v>
      </c>
      <c r="T635" s="14" t="s">
        <v>9480</v>
      </c>
      <c r="U635" s="14">
        <v>421210.42</v>
      </c>
      <c r="V635" s="14">
        <v>6189195.1600000001</v>
      </c>
      <c r="W635" s="14">
        <v>179.38</v>
      </c>
      <c r="X635" s="14">
        <v>150.05000000000001</v>
      </c>
    </row>
    <row r="636" spans="1:24" s="14" customFormat="1" x14ac:dyDescent="0.25">
      <c r="A636" s="50">
        <v>45098</v>
      </c>
      <c r="B636" s="16">
        <v>172</v>
      </c>
      <c r="C636" s="36">
        <v>0.23556712962962964</v>
      </c>
      <c r="D636" s="16" t="s">
        <v>177</v>
      </c>
      <c r="E636" s="14" t="s">
        <v>65</v>
      </c>
      <c r="F636" s="16" t="s">
        <v>8011</v>
      </c>
      <c r="G636" s="16" t="s">
        <v>1070</v>
      </c>
      <c r="H636" s="14">
        <v>0.16500000000000001</v>
      </c>
      <c r="I636" s="14" t="s">
        <v>9485</v>
      </c>
      <c r="J636" s="14" t="s">
        <v>9486</v>
      </c>
      <c r="K636" s="14" t="s">
        <v>9487</v>
      </c>
      <c r="L636" s="14" t="s">
        <v>9476</v>
      </c>
      <c r="O636" s="14" t="s">
        <v>9481</v>
      </c>
      <c r="P636" s="14" t="s">
        <v>9482</v>
      </c>
      <c r="Q636" s="14">
        <v>421198.46</v>
      </c>
      <c r="R636" s="14">
        <v>6189190.6200000001</v>
      </c>
      <c r="S636" s="14" t="s">
        <v>9483</v>
      </c>
      <c r="T636" s="14" t="s">
        <v>9484</v>
      </c>
      <c r="U636" s="14">
        <v>421219.5</v>
      </c>
      <c r="V636" s="14">
        <v>6189188.0800000001</v>
      </c>
      <c r="W636" s="14">
        <v>0.7</v>
      </c>
      <c r="X636" s="14">
        <v>150.05000000000001</v>
      </c>
    </row>
    <row r="637" spans="1:24" s="14" customFormat="1" x14ac:dyDescent="0.25">
      <c r="A637" s="50">
        <v>45098</v>
      </c>
      <c r="B637" s="16">
        <v>172</v>
      </c>
      <c r="C637" s="36">
        <v>0.23909722222222221</v>
      </c>
      <c r="D637" s="16" t="s">
        <v>177</v>
      </c>
      <c r="E637" s="14" t="s">
        <v>70</v>
      </c>
      <c r="F637" s="16" t="s">
        <v>8011</v>
      </c>
      <c r="G637" s="16" t="s">
        <v>1070</v>
      </c>
      <c r="H637" s="14">
        <v>-1.7000000000000001E-2</v>
      </c>
      <c r="I637" s="14" t="s">
        <v>9485</v>
      </c>
      <c r="J637" s="14" t="s">
        <v>9486</v>
      </c>
      <c r="K637" s="14" t="s">
        <v>9487</v>
      </c>
      <c r="L637" s="14" t="s">
        <v>9492</v>
      </c>
      <c r="O637" s="14" t="s">
        <v>9488</v>
      </c>
      <c r="P637" s="14" t="s">
        <v>9489</v>
      </c>
      <c r="Q637" s="14">
        <v>421199.47</v>
      </c>
      <c r="R637" s="14">
        <v>6189375.8200000003</v>
      </c>
      <c r="S637" s="14" t="s">
        <v>9490</v>
      </c>
      <c r="T637" s="14" t="s">
        <v>9491</v>
      </c>
      <c r="U637" s="14">
        <v>421219.5</v>
      </c>
      <c r="V637" s="14">
        <v>6189369.46</v>
      </c>
      <c r="W637" s="14">
        <v>359.54</v>
      </c>
      <c r="X637" s="14">
        <v>150.05000000000001</v>
      </c>
    </row>
    <row r="638" spans="1:24" s="14" customFormat="1" x14ac:dyDescent="0.25">
      <c r="A638" s="50">
        <v>45098</v>
      </c>
      <c r="B638" s="16">
        <v>172</v>
      </c>
      <c r="C638" s="36">
        <v>0.24266203703703704</v>
      </c>
      <c r="D638" s="16" t="s">
        <v>177</v>
      </c>
      <c r="E638" s="52" t="s">
        <v>65</v>
      </c>
      <c r="F638" s="16" t="s">
        <v>8011</v>
      </c>
      <c r="G638" s="16" t="s">
        <v>1071</v>
      </c>
      <c r="H638" s="14">
        <v>-1.2999999999999999E-2</v>
      </c>
      <c r="I638" s="14" t="s">
        <v>9497</v>
      </c>
      <c r="J638" s="14" t="s">
        <v>9498</v>
      </c>
      <c r="K638" s="14" t="s">
        <v>9499</v>
      </c>
      <c r="L638" s="14" t="s">
        <v>9492</v>
      </c>
      <c r="O638" s="14" t="s">
        <v>9493</v>
      </c>
      <c r="P638" s="14" t="s">
        <v>9494</v>
      </c>
      <c r="Q638" s="14">
        <v>421207.8</v>
      </c>
      <c r="R638" s="14">
        <v>6189381.6399999997</v>
      </c>
      <c r="S638" s="14" t="s">
        <v>9495</v>
      </c>
      <c r="T638" s="14" t="s">
        <v>9496</v>
      </c>
      <c r="U638" s="14">
        <v>421228.41</v>
      </c>
      <c r="V638" s="14">
        <v>6189377.04</v>
      </c>
      <c r="W638" s="14">
        <v>179.35</v>
      </c>
      <c r="X638" s="14">
        <v>150.05000000000001</v>
      </c>
    </row>
    <row r="639" spans="1:24" s="14" customFormat="1" x14ac:dyDescent="0.25">
      <c r="A639" s="50">
        <v>45098</v>
      </c>
      <c r="B639" s="16">
        <v>172</v>
      </c>
      <c r="C639" s="36">
        <v>0.24626157407407409</v>
      </c>
      <c r="D639" s="16" t="s">
        <v>177</v>
      </c>
      <c r="E639" s="14" t="s">
        <v>70</v>
      </c>
      <c r="F639" s="16" t="s">
        <v>8011</v>
      </c>
      <c r="G639" s="16" t="s">
        <v>1071</v>
      </c>
      <c r="H639" s="14">
        <v>0.16900000000000001</v>
      </c>
      <c r="I639" s="14" t="s">
        <v>9497</v>
      </c>
      <c r="J639" s="14" t="s">
        <v>9498</v>
      </c>
      <c r="K639" s="14" t="s">
        <v>9499</v>
      </c>
      <c r="L639" s="14" t="s">
        <v>9492</v>
      </c>
      <c r="O639" s="14" t="s">
        <v>9500</v>
      </c>
      <c r="P639" s="14" t="s">
        <v>9501</v>
      </c>
      <c r="Q639" s="14">
        <v>421208.09</v>
      </c>
      <c r="R639" s="14">
        <v>6189192.0599999996</v>
      </c>
      <c r="S639" s="14" t="s">
        <v>9502</v>
      </c>
      <c r="T639" s="14" t="s">
        <v>9503</v>
      </c>
      <c r="U639" s="14">
        <v>421228.43</v>
      </c>
      <c r="V639" s="14">
        <v>6189194.7999999998</v>
      </c>
      <c r="W639" s="14">
        <v>179.63</v>
      </c>
      <c r="X639" s="14">
        <v>150.05000000000001</v>
      </c>
    </row>
    <row r="640" spans="1:24" s="14" customFormat="1" x14ac:dyDescent="0.25">
      <c r="A640" s="50">
        <v>45098</v>
      </c>
      <c r="B640" s="16">
        <v>172</v>
      </c>
      <c r="C640" s="36">
        <v>0.24961805555555558</v>
      </c>
      <c r="D640" s="16" t="s">
        <v>177</v>
      </c>
      <c r="E640" s="14" t="s">
        <v>65</v>
      </c>
      <c r="F640" s="16" t="s">
        <v>8011</v>
      </c>
      <c r="G640" s="16" t="s">
        <v>1072</v>
      </c>
      <c r="H640" s="14">
        <v>0.16400000000000001</v>
      </c>
      <c r="I640" s="14" t="s">
        <v>9508</v>
      </c>
      <c r="J640" s="14" t="s">
        <v>9509</v>
      </c>
      <c r="K640" s="14" t="s">
        <v>9510</v>
      </c>
      <c r="L640" s="14" t="s">
        <v>9511</v>
      </c>
      <c r="O640" s="14" t="s">
        <v>9504</v>
      </c>
      <c r="P640" s="14" t="s">
        <v>9505</v>
      </c>
      <c r="Q640" s="14">
        <v>421215.25</v>
      </c>
      <c r="R640" s="14">
        <v>6189197.8200000003</v>
      </c>
      <c r="S640" s="14" t="s">
        <v>9506</v>
      </c>
      <c r="T640" s="14" t="s">
        <v>9507</v>
      </c>
      <c r="U640" s="14">
        <v>421237.39</v>
      </c>
      <c r="V640" s="14">
        <v>6189188.1799999997</v>
      </c>
      <c r="W640" s="14">
        <v>1.61</v>
      </c>
      <c r="X640" s="14">
        <v>150.05000000000001</v>
      </c>
    </row>
    <row r="641" spans="1:24" s="14" customFormat="1" x14ac:dyDescent="0.25">
      <c r="A641" s="50">
        <v>45098</v>
      </c>
      <c r="B641" s="16">
        <v>172</v>
      </c>
      <c r="C641" s="36">
        <v>0.25306712962962963</v>
      </c>
      <c r="D641" s="16" t="s">
        <v>177</v>
      </c>
      <c r="E641" s="14" t="s">
        <v>70</v>
      </c>
      <c r="F641" s="16" t="s">
        <v>8011</v>
      </c>
      <c r="G641" s="16" t="s">
        <v>1072</v>
      </c>
      <c r="H641" s="14">
        <v>-1.6E-2</v>
      </c>
      <c r="I641" s="14" t="s">
        <v>9508</v>
      </c>
      <c r="J641" s="14" t="s">
        <v>9509</v>
      </c>
      <c r="K641" s="14" t="s">
        <v>9510</v>
      </c>
      <c r="L641" s="14" t="s">
        <v>9511</v>
      </c>
      <c r="O641" s="14" t="s">
        <v>9512</v>
      </c>
      <c r="P641" s="14" t="s">
        <v>9513</v>
      </c>
      <c r="Q641" s="14">
        <v>421217.43</v>
      </c>
      <c r="R641" s="14">
        <v>6189379.1200000001</v>
      </c>
      <c r="S641" s="14" t="s">
        <v>9514</v>
      </c>
      <c r="T641" s="14" t="s">
        <v>9515</v>
      </c>
      <c r="U641" s="14">
        <v>421237.5</v>
      </c>
      <c r="V641" s="14">
        <v>6189368.71</v>
      </c>
      <c r="W641" s="14">
        <v>0.15</v>
      </c>
      <c r="X641" s="14">
        <v>150.05000000000001</v>
      </c>
    </row>
    <row r="642" spans="1:24" s="14" customFormat="1" x14ac:dyDescent="0.25">
      <c r="A642" s="50">
        <v>45098</v>
      </c>
      <c r="B642" s="16">
        <v>172</v>
      </c>
      <c r="C642" s="36">
        <v>0.25405092592592593</v>
      </c>
      <c r="D642" s="16" t="s">
        <v>177</v>
      </c>
      <c r="E642" s="14" t="s">
        <v>9524</v>
      </c>
      <c r="F642" s="16" t="s">
        <v>8011</v>
      </c>
      <c r="G642" s="16" t="s">
        <v>957</v>
      </c>
      <c r="H642" s="14">
        <v>-2.9000000000000001E-2</v>
      </c>
      <c r="O642" s="14" t="s">
        <v>9516</v>
      </c>
      <c r="P642" s="14" t="s">
        <v>9517</v>
      </c>
      <c r="Q642" s="14">
        <v>421582.73</v>
      </c>
      <c r="R642" s="14">
        <v>6189527.2400000002</v>
      </c>
      <c r="S642" s="14" t="s">
        <v>9518</v>
      </c>
      <c r="T642" s="14" t="s">
        <v>9519</v>
      </c>
      <c r="U642" s="14">
        <v>421604.51</v>
      </c>
      <c r="V642" s="14">
        <v>6189523.5599999996</v>
      </c>
      <c r="W642" s="14">
        <v>179.34</v>
      </c>
      <c r="X642" s="14">
        <v>200.06</v>
      </c>
    </row>
    <row r="643" spans="1:24" s="14" customFormat="1" x14ac:dyDescent="0.25">
      <c r="A643" s="50">
        <v>45098</v>
      </c>
      <c r="B643" s="16">
        <v>172</v>
      </c>
      <c r="C643" s="36">
        <v>0.26798611111111109</v>
      </c>
      <c r="D643" s="16" t="s">
        <v>177</v>
      </c>
      <c r="E643" s="14" t="s">
        <v>6362</v>
      </c>
      <c r="F643" s="16" t="s">
        <v>8011</v>
      </c>
      <c r="G643" s="16" t="s">
        <v>957</v>
      </c>
      <c r="H643" s="14">
        <v>-2.9000000000000001E-2</v>
      </c>
      <c r="O643" s="14" t="s">
        <v>9520</v>
      </c>
      <c r="P643" s="14" t="s">
        <v>9521</v>
      </c>
      <c r="Q643" s="14">
        <v>421582.73</v>
      </c>
      <c r="R643" s="14">
        <v>6189527.2400000002</v>
      </c>
      <c r="S643" s="14" t="s">
        <v>9522</v>
      </c>
      <c r="T643" s="14" t="s">
        <v>9523</v>
      </c>
      <c r="U643" s="14">
        <v>421604.52</v>
      </c>
      <c r="V643" s="14">
        <v>6189523.54</v>
      </c>
      <c r="W643" s="14">
        <v>179.36</v>
      </c>
      <c r="X643" s="14">
        <v>200.06</v>
      </c>
    </row>
    <row r="644" spans="1:24" s="14" customFormat="1" x14ac:dyDescent="0.25">
      <c r="A644" s="50">
        <v>45098</v>
      </c>
      <c r="B644" s="16">
        <v>172</v>
      </c>
      <c r="C644" s="36">
        <v>0.27008101851851851</v>
      </c>
      <c r="D644" s="16" t="s">
        <v>177</v>
      </c>
      <c r="E644" s="14" t="s">
        <v>65</v>
      </c>
      <c r="F644" s="16" t="s">
        <v>8011</v>
      </c>
      <c r="G644" s="16" t="s">
        <v>957</v>
      </c>
      <c r="H644" s="14">
        <v>-1.4999999999999999E-2</v>
      </c>
      <c r="I644" s="14" t="s">
        <v>9529</v>
      </c>
      <c r="J644" s="14" t="s">
        <v>9530</v>
      </c>
      <c r="K644" s="14" t="s">
        <v>9531</v>
      </c>
      <c r="L644" s="14" t="s">
        <v>9532</v>
      </c>
      <c r="O644" s="14" t="s">
        <v>9525</v>
      </c>
      <c r="P644" s="14" t="s">
        <v>9526</v>
      </c>
      <c r="Q644" s="14">
        <v>421582.34</v>
      </c>
      <c r="R644" s="14">
        <v>6189508.8399999999</v>
      </c>
      <c r="S644" s="14" t="s">
        <v>9527</v>
      </c>
      <c r="T644" s="14" t="s">
        <v>9528</v>
      </c>
      <c r="U644" s="14">
        <v>421604.54</v>
      </c>
      <c r="V644" s="14">
        <v>6189509.1799999997</v>
      </c>
      <c r="W644" s="14">
        <v>179.7</v>
      </c>
      <c r="X644" s="14">
        <v>200.06</v>
      </c>
    </row>
    <row r="645" spans="1:24" s="14" customFormat="1" x14ac:dyDescent="0.25">
      <c r="A645" s="50">
        <v>45098</v>
      </c>
      <c r="B645" s="16">
        <v>172</v>
      </c>
      <c r="C645" s="36">
        <v>0.27531250000000002</v>
      </c>
      <c r="D645" s="16" t="s">
        <v>177</v>
      </c>
      <c r="E645" s="14" t="s">
        <v>70</v>
      </c>
      <c r="F645" s="16" t="s">
        <v>8011</v>
      </c>
      <c r="G645" s="16" t="s">
        <v>957</v>
      </c>
      <c r="H645" s="14">
        <v>0.217</v>
      </c>
      <c r="I645" s="14" t="s">
        <v>9529</v>
      </c>
      <c r="J645" s="14" t="s">
        <v>9530</v>
      </c>
      <c r="K645" s="14" t="s">
        <v>9531</v>
      </c>
      <c r="L645" s="14" t="s">
        <v>9532</v>
      </c>
      <c r="O645" s="14" t="s">
        <v>9533</v>
      </c>
      <c r="P645" s="14" t="s">
        <v>9534</v>
      </c>
      <c r="Q645" s="14">
        <v>421581.8</v>
      </c>
      <c r="R645" s="14">
        <v>6189278.3099999996</v>
      </c>
      <c r="S645" s="14" t="s">
        <v>9535</v>
      </c>
      <c r="T645" s="14" t="s">
        <v>9536</v>
      </c>
      <c r="U645" s="14">
        <v>421604.64</v>
      </c>
      <c r="V645" s="14">
        <v>6189277.4000000004</v>
      </c>
      <c r="W645" s="14">
        <v>179.79</v>
      </c>
      <c r="X645" s="14">
        <v>200.06</v>
      </c>
    </row>
    <row r="646" spans="1:24" s="14" customFormat="1" x14ac:dyDescent="0.25">
      <c r="A646" s="50">
        <v>45098</v>
      </c>
      <c r="B646" s="16">
        <v>172</v>
      </c>
      <c r="C646" s="36">
        <v>0.27883101851851849</v>
      </c>
      <c r="D646" s="16" t="s">
        <v>177</v>
      </c>
      <c r="E646" s="14" t="s">
        <v>65</v>
      </c>
      <c r="F646" s="16" t="s">
        <v>8011</v>
      </c>
      <c r="G646" s="16" t="s">
        <v>956</v>
      </c>
      <c r="H646" s="14">
        <v>0.21199999999999999</v>
      </c>
      <c r="I646" s="14" t="s">
        <v>9541</v>
      </c>
      <c r="J646" s="14" t="s">
        <v>9542</v>
      </c>
      <c r="K646" s="14" t="s">
        <v>9543</v>
      </c>
      <c r="L646" s="14" t="s">
        <v>9544</v>
      </c>
      <c r="O646" s="14" t="s">
        <v>9537</v>
      </c>
      <c r="P646" s="14" t="s">
        <v>9538</v>
      </c>
      <c r="Q646" s="14">
        <v>421590.12</v>
      </c>
      <c r="R646" s="14">
        <v>6189277.4000000004</v>
      </c>
      <c r="S646" s="14" t="s">
        <v>9539</v>
      </c>
      <c r="T646" s="14" t="s">
        <v>9540</v>
      </c>
      <c r="U646" s="14">
        <v>421613.59</v>
      </c>
      <c r="V646" s="14">
        <v>6189271.8399999999</v>
      </c>
      <c r="W646" s="14">
        <v>359.92</v>
      </c>
      <c r="X646" s="14">
        <v>200.06</v>
      </c>
    </row>
    <row r="647" spans="1:24" s="14" customFormat="1" x14ac:dyDescent="0.25">
      <c r="A647" s="50">
        <v>45098</v>
      </c>
      <c r="B647" s="16">
        <v>172</v>
      </c>
      <c r="C647" s="36">
        <v>0.28318287037037038</v>
      </c>
      <c r="D647" s="16" t="s">
        <v>177</v>
      </c>
      <c r="E647" s="14" t="s">
        <v>70</v>
      </c>
      <c r="F647" s="16" t="s">
        <v>8011</v>
      </c>
      <c r="G647" s="16" t="s">
        <v>956</v>
      </c>
      <c r="H647" s="14">
        <v>-1.7999999999999999E-2</v>
      </c>
      <c r="I647" s="14" t="s">
        <v>9541</v>
      </c>
      <c r="J647" s="14" t="s">
        <v>9542</v>
      </c>
      <c r="K647" s="14" t="s">
        <v>9543</v>
      </c>
      <c r="L647" s="14" t="s">
        <v>9544</v>
      </c>
      <c r="O647" s="14" t="s">
        <v>9545</v>
      </c>
      <c r="P647" s="14" t="s">
        <v>9546</v>
      </c>
      <c r="Q647" s="14">
        <v>421591.09</v>
      </c>
      <c r="R647" s="14">
        <v>6189506.71</v>
      </c>
      <c r="S647" s="14" t="s">
        <v>9547</v>
      </c>
      <c r="T647" s="14" t="s">
        <v>9548</v>
      </c>
      <c r="U647" s="14">
        <v>421613.66</v>
      </c>
      <c r="V647" s="14">
        <v>6189501.8899999997</v>
      </c>
      <c r="W647" s="14">
        <v>359.41</v>
      </c>
      <c r="X647" s="14">
        <v>200.06</v>
      </c>
    </row>
    <row r="648" spans="1:24" s="14" customFormat="1" x14ac:dyDescent="0.25">
      <c r="A648" s="50">
        <v>45098</v>
      </c>
      <c r="B648" s="16">
        <v>172</v>
      </c>
      <c r="C648" s="36">
        <v>0.28692129629629631</v>
      </c>
      <c r="D648" s="16" t="s">
        <v>177</v>
      </c>
      <c r="E648" s="14" t="s">
        <v>65</v>
      </c>
      <c r="F648" s="16" t="s">
        <v>8011</v>
      </c>
      <c r="G648" s="16" t="s">
        <v>955</v>
      </c>
      <c r="H648" s="14">
        <v>-1.0999999999999999E-2</v>
      </c>
      <c r="I648" s="14" t="s">
        <v>9553</v>
      </c>
      <c r="J648" s="14" t="s">
        <v>9554</v>
      </c>
      <c r="K648" s="14" t="s">
        <v>9555</v>
      </c>
      <c r="L648" s="14" t="s">
        <v>9544</v>
      </c>
      <c r="O648" s="14" t="s">
        <v>9549</v>
      </c>
      <c r="P648" s="14" t="s">
        <v>9550</v>
      </c>
      <c r="Q648" s="14">
        <v>421602.81</v>
      </c>
      <c r="R648" s="14">
        <v>6189505.29</v>
      </c>
      <c r="S648" s="14" t="s">
        <v>9551</v>
      </c>
      <c r="T648" s="14" t="s">
        <v>9552</v>
      </c>
      <c r="U648" s="14">
        <v>421622.54</v>
      </c>
      <c r="V648" s="14">
        <v>6189505.8300000001</v>
      </c>
      <c r="W648" s="14">
        <v>180.55</v>
      </c>
      <c r="X648" s="14">
        <v>200.06</v>
      </c>
    </row>
    <row r="649" spans="1:24" s="14" customFormat="1" x14ac:dyDescent="0.25">
      <c r="A649" s="50">
        <v>45098</v>
      </c>
      <c r="B649" s="16">
        <v>172</v>
      </c>
      <c r="C649" s="36">
        <v>0.2912615740740741</v>
      </c>
      <c r="D649" s="16" t="s">
        <v>177</v>
      </c>
      <c r="E649" s="14" t="s">
        <v>70</v>
      </c>
      <c r="F649" s="16" t="s">
        <v>8011</v>
      </c>
      <c r="G649" s="16" t="s">
        <v>955</v>
      </c>
      <c r="H649" s="14">
        <v>0.218</v>
      </c>
      <c r="I649" s="14" t="s">
        <v>9553</v>
      </c>
      <c r="J649" s="14" t="s">
        <v>9554</v>
      </c>
      <c r="K649" s="14" t="s">
        <v>9555</v>
      </c>
      <c r="L649" s="14" t="s">
        <v>9560</v>
      </c>
      <c r="O649" s="14" t="s">
        <v>9556</v>
      </c>
      <c r="P649" s="14" t="s">
        <v>9557</v>
      </c>
      <c r="Q649" s="14">
        <v>421602.51</v>
      </c>
      <c r="R649" s="14">
        <v>6189275.1900000004</v>
      </c>
      <c r="S649" s="14" t="s">
        <v>9558</v>
      </c>
      <c r="T649" s="14" t="s">
        <v>9559</v>
      </c>
      <c r="U649" s="14">
        <v>421622.61</v>
      </c>
      <c r="V649" s="14">
        <v>6189276.2999999998</v>
      </c>
      <c r="W649" s="14">
        <v>179.92</v>
      </c>
      <c r="X649" s="14">
        <v>200.06</v>
      </c>
    </row>
    <row r="650" spans="1:24" s="14" customFormat="1" x14ac:dyDescent="0.25">
      <c r="A650" s="50">
        <v>45098</v>
      </c>
      <c r="B650" s="16">
        <v>172</v>
      </c>
      <c r="C650" s="36">
        <v>0.29456018518518517</v>
      </c>
      <c r="D650" s="16" t="s">
        <v>177</v>
      </c>
      <c r="E650" s="52" t="s">
        <v>65</v>
      </c>
      <c r="F650" s="16" t="s">
        <v>8011</v>
      </c>
      <c r="G650" s="16" t="s">
        <v>954</v>
      </c>
      <c r="H650" s="14">
        <v>0.21299999999999999</v>
      </c>
      <c r="I650" s="14" t="s">
        <v>9565</v>
      </c>
      <c r="J650" s="14" t="s">
        <v>9566</v>
      </c>
      <c r="K650" s="14" t="s">
        <v>9567</v>
      </c>
      <c r="L650" s="14" t="s">
        <v>9560</v>
      </c>
      <c r="O650" s="14" t="s">
        <v>9561</v>
      </c>
      <c r="P650" s="14" t="s">
        <v>9562</v>
      </c>
      <c r="Q650" s="14">
        <v>421610.06</v>
      </c>
      <c r="R650" s="14">
        <v>6189275.4500000002</v>
      </c>
      <c r="S650" s="14" t="s">
        <v>9563</v>
      </c>
      <c r="T650" s="14" t="s">
        <v>9564</v>
      </c>
      <c r="U650" s="14">
        <v>421631.55</v>
      </c>
      <c r="V650" s="14">
        <v>6189270.2300000004</v>
      </c>
      <c r="W650" s="14">
        <v>2.16</v>
      </c>
      <c r="X650" s="14">
        <v>200.06</v>
      </c>
    </row>
    <row r="651" spans="1:24" s="14" customFormat="1" x14ac:dyDescent="0.25">
      <c r="A651" s="50">
        <v>45098</v>
      </c>
      <c r="B651" s="16">
        <v>172</v>
      </c>
      <c r="C651" s="36">
        <v>0.29903935185185188</v>
      </c>
      <c r="D651" s="16" t="s">
        <v>177</v>
      </c>
      <c r="E651" s="14" t="s">
        <v>70</v>
      </c>
      <c r="F651" s="16" t="s">
        <v>8011</v>
      </c>
      <c r="G651" s="16" t="s">
        <v>954</v>
      </c>
      <c r="H651" s="14">
        <v>-2.4E-2</v>
      </c>
      <c r="I651" s="14" t="s">
        <v>9565</v>
      </c>
      <c r="J651" s="14" t="s">
        <v>9566</v>
      </c>
      <c r="K651" s="14" t="s">
        <v>9567</v>
      </c>
      <c r="L651" s="14" t="s">
        <v>9572</v>
      </c>
      <c r="O651" s="14" t="s">
        <v>9568</v>
      </c>
      <c r="P651" s="14" t="s">
        <v>9569</v>
      </c>
      <c r="Q651" s="14">
        <v>421610.64</v>
      </c>
      <c r="R651" s="14">
        <v>6189510.9100000001</v>
      </c>
      <c r="S651" s="14" t="s">
        <v>9570</v>
      </c>
      <c r="T651" s="14" t="s">
        <v>9571</v>
      </c>
      <c r="U651" s="14">
        <v>421631.61</v>
      </c>
      <c r="V651" s="14">
        <v>6189507.04</v>
      </c>
      <c r="W651" s="14">
        <v>0.04</v>
      </c>
      <c r="X651" s="14">
        <v>200.06</v>
      </c>
    </row>
    <row r="652" spans="1:24" s="14" customFormat="1" x14ac:dyDescent="0.25">
      <c r="A652" s="50">
        <v>45098</v>
      </c>
      <c r="B652" s="16">
        <v>172</v>
      </c>
      <c r="C652" s="36">
        <v>0.30230324074074072</v>
      </c>
      <c r="D652" s="16" t="s">
        <v>177</v>
      </c>
      <c r="E652" s="14" t="s">
        <v>65</v>
      </c>
      <c r="F652" s="16" t="s">
        <v>8011</v>
      </c>
      <c r="G652" s="16" t="s">
        <v>953</v>
      </c>
      <c r="H652" s="14">
        <v>-1.2999999999999999E-2</v>
      </c>
      <c r="I652" s="14" t="s">
        <v>9577</v>
      </c>
      <c r="J652" s="14" t="s">
        <v>9578</v>
      </c>
      <c r="K652" s="14" t="s">
        <v>9579</v>
      </c>
      <c r="L652" s="14" t="s">
        <v>9572</v>
      </c>
      <c r="O652" s="14" t="s">
        <v>9573</v>
      </c>
      <c r="P652" s="14" t="s">
        <v>9574</v>
      </c>
      <c r="Q652" s="14">
        <v>421620.3</v>
      </c>
      <c r="R652" s="14">
        <v>6189508.5999999996</v>
      </c>
      <c r="S652" s="14" t="s">
        <v>9575</v>
      </c>
      <c r="T652" s="14" t="s">
        <v>9576</v>
      </c>
      <c r="U652" s="14">
        <v>421640.64</v>
      </c>
      <c r="V652" s="14">
        <v>6189507.2699999996</v>
      </c>
      <c r="W652" s="14">
        <v>180.47</v>
      </c>
      <c r="X652" s="14">
        <v>200.06</v>
      </c>
    </row>
    <row r="653" spans="1:24" s="14" customFormat="1" x14ac:dyDescent="0.25">
      <c r="A653" s="50">
        <v>45098</v>
      </c>
      <c r="B653" s="16">
        <v>172</v>
      </c>
      <c r="C653" s="36">
        <v>0.3066550925925926</v>
      </c>
      <c r="D653" s="16" t="s">
        <v>177</v>
      </c>
      <c r="E653" s="14" t="s">
        <v>70</v>
      </c>
      <c r="F653" s="16" t="s">
        <v>8011</v>
      </c>
      <c r="G653" s="16" t="s">
        <v>953</v>
      </c>
      <c r="H653" s="14">
        <v>0.217</v>
      </c>
      <c r="I653" s="14" t="s">
        <v>9577</v>
      </c>
      <c r="J653" s="14" t="s">
        <v>9578</v>
      </c>
      <c r="K653" s="14" t="s">
        <v>9579</v>
      </c>
      <c r="L653" s="14" t="s">
        <v>9572</v>
      </c>
      <c r="O653" s="14" t="s">
        <v>9580</v>
      </c>
      <c r="P653" s="14" t="s">
        <v>9581</v>
      </c>
      <c r="Q653" s="14">
        <v>421619.09</v>
      </c>
      <c r="R653" s="14">
        <v>6189277.5300000003</v>
      </c>
      <c r="S653" s="14" t="s">
        <v>9582</v>
      </c>
      <c r="T653" s="14" t="s">
        <v>9583</v>
      </c>
      <c r="U653" s="14">
        <v>421640.72</v>
      </c>
      <c r="V653" s="14">
        <v>6189277.21</v>
      </c>
      <c r="W653" s="14">
        <v>180.53</v>
      </c>
      <c r="X653" s="14">
        <v>200.06</v>
      </c>
    </row>
    <row r="654" spans="1:24" s="14" customFormat="1" x14ac:dyDescent="0.25">
      <c r="A654" s="50">
        <v>45098</v>
      </c>
      <c r="B654" s="16">
        <v>172</v>
      </c>
      <c r="C654" s="36">
        <v>0.30967592592592591</v>
      </c>
      <c r="D654" s="16" t="s">
        <v>177</v>
      </c>
      <c r="E654" s="14" t="s">
        <v>65</v>
      </c>
      <c r="F654" s="16" t="s">
        <v>8011</v>
      </c>
      <c r="G654" s="16" t="s">
        <v>952</v>
      </c>
      <c r="H654" s="14">
        <v>0.21299999999999999</v>
      </c>
      <c r="I654" s="14" t="s">
        <v>9588</v>
      </c>
      <c r="J654" s="14" t="s">
        <v>9589</v>
      </c>
      <c r="K654" s="14" t="s">
        <v>9590</v>
      </c>
      <c r="L654" s="14" t="s">
        <v>9591</v>
      </c>
      <c r="O654" s="14" t="s">
        <v>9584</v>
      </c>
      <c r="P654" s="14" t="s">
        <v>9585</v>
      </c>
      <c r="Q654" s="14">
        <v>421627.87</v>
      </c>
      <c r="R654" s="14">
        <v>6189271.2400000002</v>
      </c>
      <c r="S654" s="14" t="s">
        <v>9586</v>
      </c>
      <c r="T654" s="14" t="s">
        <v>9587</v>
      </c>
      <c r="U654" s="14">
        <v>421649.59</v>
      </c>
      <c r="V654" s="14">
        <v>6189270.1299999999</v>
      </c>
      <c r="W654" s="14">
        <v>0.72</v>
      </c>
      <c r="X654" s="14">
        <v>200.06</v>
      </c>
    </row>
    <row r="655" spans="1:24" s="14" customFormat="1" x14ac:dyDescent="0.25">
      <c r="A655" s="50">
        <v>45098</v>
      </c>
      <c r="B655" s="16">
        <v>172</v>
      </c>
      <c r="C655" s="36">
        <v>0.31400462962962966</v>
      </c>
      <c r="D655" s="16" t="s">
        <v>177</v>
      </c>
      <c r="E655" s="14" t="s">
        <v>70</v>
      </c>
      <c r="F655" s="16" t="s">
        <v>8011</v>
      </c>
      <c r="G655" s="16" t="s">
        <v>952</v>
      </c>
      <c r="H655" s="14">
        <v>-1.4999999999999999E-2</v>
      </c>
      <c r="I655" s="14" t="s">
        <v>9588</v>
      </c>
      <c r="J655" s="14" t="s">
        <v>9589</v>
      </c>
      <c r="K655" s="14" t="s">
        <v>9590</v>
      </c>
      <c r="L655" s="14" t="s">
        <v>9591</v>
      </c>
      <c r="O655" s="14" t="s">
        <v>9592</v>
      </c>
      <c r="P655" s="14" t="s">
        <v>9593</v>
      </c>
      <c r="Q655" s="14">
        <v>421628.71</v>
      </c>
      <c r="R655" s="14">
        <v>6189498.4500000002</v>
      </c>
      <c r="S655" s="14" t="s">
        <v>9594</v>
      </c>
      <c r="T655" s="14" t="s">
        <v>9595</v>
      </c>
      <c r="U655" s="14">
        <v>421649.73</v>
      </c>
      <c r="V655" s="14">
        <v>6189498.3499999996</v>
      </c>
      <c r="W655" s="14">
        <v>359.85</v>
      </c>
      <c r="X655" s="14">
        <v>200.06</v>
      </c>
    </row>
    <row r="656" spans="1:24" s="14" customFormat="1" x14ac:dyDescent="0.25">
      <c r="A656" s="50">
        <v>45098</v>
      </c>
      <c r="B656" s="16">
        <v>172</v>
      </c>
      <c r="C656" s="36">
        <v>0.31600694444444444</v>
      </c>
      <c r="D656" s="16" t="s">
        <v>177</v>
      </c>
      <c r="E656" s="14" t="s">
        <v>9601</v>
      </c>
      <c r="F656" s="16" t="s">
        <v>8011</v>
      </c>
      <c r="G656" s="16" t="s">
        <v>951</v>
      </c>
      <c r="H656" s="14">
        <v>-2.7E-2</v>
      </c>
      <c r="O656" s="14" t="s">
        <v>9596</v>
      </c>
      <c r="P656" s="14" t="s">
        <v>9597</v>
      </c>
      <c r="Q656" s="14">
        <v>421637.33</v>
      </c>
      <c r="R656" s="14">
        <v>6189528.8200000003</v>
      </c>
      <c r="S656" s="14" t="s">
        <v>9598</v>
      </c>
      <c r="T656" s="14" t="s">
        <v>9599</v>
      </c>
      <c r="U656" s="14">
        <v>421658.41</v>
      </c>
      <c r="V656" s="14">
        <v>6189521.5199999996</v>
      </c>
      <c r="W656" s="14">
        <v>178.34</v>
      </c>
      <c r="X656" s="14">
        <v>200.06</v>
      </c>
    </row>
    <row r="657" spans="1:24" s="14" customFormat="1" x14ac:dyDescent="0.25">
      <c r="A657" s="50">
        <v>45098</v>
      </c>
      <c r="B657" s="16">
        <v>172</v>
      </c>
      <c r="C657" s="36">
        <v>0.31707175925925929</v>
      </c>
      <c r="D657" s="16" t="s">
        <v>177</v>
      </c>
      <c r="E657" s="14" t="s">
        <v>65</v>
      </c>
      <c r="F657" s="16" t="s">
        <v>8011</v>
      </c>
      <c r="G657" s="16" t="s">
        <v>951</v>
      </c>
      <c r="H657" s="14">
        <v>-1.2E-2</v>
      </c>
      <c r="I657" s="14" t="s">
        <v>9606</v>
      </c>
      <c r="J657" s="14" t="s">
        <v>9607</v>
      </c>
      <c r="K657" s="14" t="s">
        <v>9608</v>
      </c>
      <c r="L657" s="14" t="s">
        <v>9591</v>
      </c>
      <c r="O657" s="14" t="s">
        <v>9602</v>
      </c>
      <c r="P657" s="14" t="s">
        <v>9603</v>
      </c>
      <c r="Q657" s="14">
        <v>421638.58</v>
      </c>
      <c r="R657" s="14">
        <v>6189508.6699999999</v>
      </c>
      <c r="S657" s="14" t="s">
        <v>9604</v>
      </c>
      <c r="T657" s="14" t="s">
        <v>9605</v>
      </c>
      <c r="U657" s="14">
        <v>421658.72</v>
      </c>
      <c r="V657" s="14">
        <v>6189506.7199999997</v>
      </c>
      <c r="W657" s="14">
        <v>181.4</v>
      </c>
      <c r="X657" s="14">
        <v>200.06</v>
      </c>
    </row>
    <row r="658" spans="1:24" s="14" customFormat="1" x14ac:dyDescent="0.25">
      <c r="A658" s="50">
        <v>45098</v>
      </c>
      <c r="B658" s="16">
        <v>172</v>
      </c>
      <c r="C658" s="36">
        <v>0.32170138888888888</v>
      </c>
      <c r="D658" s="16" t="s">
        <v>177</v>
      </c>
      <c r="E658" s="14" t="s">
        <v>70</v>
      </c>
      <c r="F658" s="16" t="s">
        <v>8011</v>
      </c>
      <c r="G658" s="16" t="s">
        <v>951</v>
      </c>
      <c r="H658" s="14">
        <v>0.23100000000000001</v>
      </c>
      <c r="I658" s="14" t="s">
        <v>9606</v>
      </c>
      <c r="J658" s="14" t="s">
        <v>9607</v>
      </c>
      <c r="K658" s="14" t="s">
        <v>9608</v>
      </c>
      <c r="L658" s="14" t="s">
        <v>9613</v>
      </c>
      <c r="O658" s="14" t="s">
        <v>9609</v>
      </c>
      <c r="P658" s="14" t="s">
        <v>9610</v>
      </c>
      <c r="Q658" s="14">
        <v>421637.89</v>
      </c>
      <c r="R658" s="14">
        <v>6189263.6200000001</v>
      </c>
      <c r="S658" s="14" t="s">
        <v>9611</v>
      </c>
      <c r="T658" s="14" t="s">
        <v>9612</v>
      </c>
      <c r="U658" s="14">
        <v>421658.69</v>
      </c>
      <c r="V658" s="14">
        <v>6189263.2800000003</v>
      </c>
      <c r="W658" s="14">
        <v>178.96</v>
      </c>
      <c r="X658" s="14">
        <v>200.06</v>
      </c>
    </row>
    <row r="659" spans="1:24" s="14" customFormat="1" x14ac:dyDescent="0.25">
      <c r="A659" s="50">
        <v>45098</v>
      </c>
      <c r="B659" s="16">
        <v>172</v>
      </c>
      <c r="C659" s="36">
        <v>0.32466435185185188</v>
      </c>
      <c r="D659" s="16" t="s">
        <v>177</v>
      </c>
      <c r="E659" s="14" t="s">
        <v>65</v>
      </c>
      <c r="F659" s="16" t="s">
        <v>8011</v>
      </c>
      <c r="G659" s="16" t="s">
        <v>950</v>
      </c>
      <c r="H659" s="14">
        <v>0.214</v>
      </c>
      <c r="I659" s="14" t="s">
        <v>9618</v>
      </c>
      <c r="J659" s="14" t="s">
        <v>9619</v>
      </c>
      <c r="K659" s="14" t="s">
        <v>9620</v>
      </c>
      <c r="L659" s="14" t="s">
        <v>9613</v>
      </c>
      <c r="O659" s="14" t="s">
        <v>9614</v>
      </c>
      <c r="P659" s="14" t="s">
        <v>9615</v>
      </c>
      <c r="Q659" s="14">
        <v>421646.15</v>
      </c>
      <c r="R659" s="14">
        <v>6189267.4299999997</v>
      </c>
      <c r="S659" s="14" t="s">
        <v>9616</v>
      </c>
      <c r="T659" s="14" t="s">
        <v>9617</v>
      </c>
      <c r="U659" s="14">
        <v>421667.62</v>
      </c>
      <c r="V659" s="14">
        <v>6189269.1200000001</v>
      </c>
      <c r="W659" s="14">
        <v>1.53</v>
      </c>
      <c r="X659" s="14">
        <v>200.06</v>
      </c>
    </row>
    <row r="660" spans="1:24" s="14" customFormat="1" x14ac:dyDescent="0.25">
      <c r="A660" s="50">
        <v>45098</v>
      </c>
      <c r="B660" s="16">
        <v>172</v>
      </c>
      <c r="C660" s="36">
        <v>0.32923611111111112</v>
      </c>
      <c r="D660" s="16" t="s">
        <v>177</v>
      </c>
      <c r="E660" s="14" t="s">
        <v>70</v>
      </c>
      <c r="F660" s="16" t="s">
        <v>8011</v>
      </c>
      <c r="G660" s="16" t="s">
        <v>950</v>
      </c>
      <c r="H660" s="14">
        <v>-2.7E-2</v>
      </c>
      <c r="I660" s="14" t="s">
        <v>9618</v>
      </c>
      <c r="J660" s="14" t="s">
        <v>9619</v>
      </c>
      <c r="K660" s="14" t="s">
        <v>9620</v>
      </c>
      <c r="L660" s="14" t="s">
        <v>9613</v>
      </c>
      <c r="O660" s="14" t="s">
        <v>9621</v>
      </c>
      <c r="P660" s="14" t="s">
        <v>9622</v>
      </c>
      <c r="Q660" s="14">
        <v>421647.08</v>
      </c>
      <c r="R660" s="14">
        <v>6189507.4500000002</v>
      </c>
      <c r="S660" s="14" t="s">
        <v>9623</v>
      </c>
      <c r="T660" s="14" t="s">
        <v>9624</v>
      </c>
      <c r="U660" s="14">
        <v>421667.77</v>
      </c>
      <c r="V660" s="14">
        <v>6189510.1699999999</v>
      </c>
      <c r="W660" s="14">
        <v>359.38</v>
      </c>
      <c r="X660" s="14">
        <v>200.06</v>
      </c>
    </row>
    <row r="661" spans="1:24" s="14" customFormat="1" x14ac:dyDescent="0.25">
      <c r="A661" s="50">
        <v>45098</v>
      </c>
      <c r="B661" s="16">
        <v>172</v>
      </c>
      <c r="C661" s="36">
        <v>0.33229166666666665</v>
      </c>
      <c r="D661" s="16" t="s">
        <v>177</v>
      </c>
      <c r="E661" s="14" t="s">
        <v>65</v>
      </c>
      <c r="F661" s="16" t="s">
        <v>8011</v>
      </c>
      <c r="G661" s="16" t="s">
        <v>949</v>
      </c>
      <c r="H661" s="14">
        <v>-1.4E-2</v>
      </c>
      <c r="I661" s="14" t="s">
        <v>9629</v>
      </c>
      <c r="J661" s="14" t="s">
        <v>9630</v>
      </c>
      <c r="K661" s="14" t="s">
        <v>9631</v>
      </c>
      <c r="L661" s="14" t="s">
        <v>9632</v>
      </c>
      <c r="O661" s="14" t="s">
        <v>9625</v>
      </c>
      <c r="P661" s="14" t="s">
        <v>9626</v>
      </c>
      <c r="Q661" s="14">
        <v>421658.05</v>
      </c>
      <c r="R661" s="14">
        <v>6189511.7599999998</v>
      </c>
      <c r="S661" s="14" t="s">
        <v>9627</v>
      </c>
      <c r="T661" s="14" t="s">
        <v>9628</v>
      </c>
      <c r="U661" s="14">
        <v>421676.61</v>
      </c>
      <c r="V661" s="14">
        <v>6189508.5999999996</v>
      </c>
      <c r="W661" s="14">
        <v>179.73</v>
      </c>
      <c r="X661" s="14">
        <v>200.06</v>
      </c>
    </row>
    <row r="662" spans="1:24" s="14" customFormat="1" x14ac:dyDescent="0.25">
      <c r="A662" s="50">
        <v>45098</v>
      </c>
      <c r="B662" s="16">
        <v>172</v>
      </c>
      <c r="C662" s="36">
        <v>0.33672453703703703</v>
      </c>
      <c r="D662" s="16" t="s">
        <v>177</v>
      </c>
      <c r="E662" s="52" t="s">
        <v>70</v>
      </c>
      <c r="F662" s="16" t="s">
        <v>8011</v>
      </c>
      <c r="G662" s="16" t="s">
        <v>949</v>
      </c>
      <c r="H662" s="14">
        <v>0.22</v>
      </c>
      <c r="I662" s="14" t="s">
        <v>9629</v>
      </c>
      <c r="J662" s="14" t="s">
        <v>9630</v>
      </c>
      <c r="K662" s="14" t="s">
        <v>9631</v>
      </c>
      <c r="L662" s="14" t="s">
        <v>9632</v>
      </c>
      <c r="O662" s="14" t="s">
        <v>9633</v>
      </c>
      <c r="P662" s="14" t="s">
        <v>9634</v>
      </c>
      <c r="Q662" s="14">
        <v>421657.34</v>
      </c>
      <c r="R662" s="14">
        <v>6189277.1799999997</v>
      </c>
      <c r="S662" s="14" t="s">
        <v>9635</v>
      </c>
      <c r="T662" s="14" t="s">
        <v>9636</v>
      </c>
      <c r="U662" s="14">
        <v>421676.67</v>
      </c>
      <c r="V662" s="14">
        <v>6189274.8200000003</v>
      </c>
      <c r="W662" s="14">
        <v>178.8</v>
      </c>
      <c r="X662" s="14">
        <v>200.06</v>
      </c>
    </row>
    <row r="663" spans="1:24" s="14" customFormat="1" x14ac:dyDescent="0.25">
      <c r="A663" s="50">
        <v>45098</v>
      </c>
      <c r="B663" s="16">
        <v>172</v>
      </c>
      <c r="C663" s="36">
        <v>0.33968749999999998</v>
      </c>
      <c r="D663" s="16" t="s">
        <v>177</v>
      </c>
      <c r="E663" s="14" t="s">
        <v>65</v>
      </c>
      <c r="F663" s="16" t="s">
        <v>8011</v>
      </c>
      <c r="G663" s="16" t="s">
        <v>958</v>
      </c>
      <c r="H663" s="14">
        <v>0.215</v>
      </c>
      <c r="I663" s="14" t="s">
        <v>9641</v>
      </c>
      <c r="J663" s="14" t="s">
        <v>9642</v>
      </c>
      <c r="K663" s="14" t="s">
        <v>9643</v>
      </c>
      <c r="L663" s="14" t="s">
        <v>9632</v>
      </c>
      <c r="O663" s="14" t="s">
        <v>9637</v>
      </c>
      <c r="P663" s="14" t="s">
        <v>9638</v>
      </c>
      <c r="Q663" s="14">
        <v>421665.25</v>
      </c>
      <c r="R663" s="14">
        <v>6189271.0199999996</v>
      </c>
      <c r="S663" s="14" t="s">
        <v>9639</v>
      </c>
      <c r="T663" s="14" t="s">
        <v>9640</v>
      </c>
      <c r="U663" s="14">
        <v>421685.65</v>
      </c>
      <c r="V663" s="14">
        <v>6189268.9000000004</v>
      </c>
      <c r="W663" s="14">
        <v>359.49</v>
      </c>
      <c r="X663" s="14">
        <v>200.06</v>
      </c>
    </row>
    <row r="664" spans="1:24" s="14" customFormat="1" x14ac:dyDescent="0.25">
      <c r="A664" s="50">
        <v>45098</v>
      </c>
      <c r="B664" s="16">
        <v>172</v>
      </c>
      <c r="C664" s="36">
        <v>0.34406249999999999</v>
      </c>
      <c r="D664" s="16" t="s">
        <v>177</v>
      </c>
      <c r="E664" s="14" t="s">
        <v>70</v>
      </c>
      <c r="F664" s="16" t="s">
        <v>8011</v>
      </c>
      <c r="G664" s="16" t="s">
        <v>958</v>
      </c>
      <c r="H664" s="14">
        <v>-1.7000000000000001E-2</v>
      </c>
      <c r="I664" s="14" t="s">
        <v>9641</v>
      </c>
      <c r="J664" s="14" t="s">
        <v>9642</v>
      </c>
      <c r="K664" s="14" t="s">
        <v>9643</v>
      </c>
      <c r="L664" s="14" t="s">
        <v>9648</v>
      </c>
      <c r="O664" s="14" t="s">
        <v>9644</v>
      </c>
      <c r="P664" s="14" t="s">
        <v>9645</v>
      </c>
      <c r="Q664" s="14">
        <v>421665.71</v>
      </c>
      <c r="R664" s="14">
        <v>6189500.4900000002</v>
      </c>
      <c r="S664" s="14" t="s">
        <v>9646</v>
      </c>
      <c r="T664" s="14" t="s">
        <v>9647</v>
      </c>
      <c r="U664" s="14">
        <v>421685.77</v>
      </c>
      <c r="V664" s="14">
        <v>6189500.1200000001</v>
      </c>
      <c r="W664" s="14">
        <v>358.68</v>
      </c>
      <c r="X664" s="14">
        <v>200.06</v>
      </c>
    </row>
    <row r="665" spans="1:24" s="14" customFormat="1" x14ac:dyDescent="0.25">
      <c r="A665" s="50">
        <v>45098</v>
      </c>
      <c r="B665" s="16">
        <v>172</v>
      </c>
      <c r="C665" s="36">
        <v>0.34733796296296293</v>
      </c>
      <c r="D665" s="16" t="s">
        <v>177</v>
      </c>
      <c r="E665" s="14" t="s">
        <v>65</v>
      </c>
      <c r="F665" s="16" t="s">
        <v>8011</v>
      </c>
      <c r="G665" s="16" t="s">
        <v>959</v>
      </c>
      <c r="H665" s="14">
        <v>-1.0999999999999999E-2</v>
      </c>
      <c r="I665" s="14" t="s">
        <v>9653</v>
      </c>
      <c r="J665" s="14" t="s">
        <v>9654</v>
      </c>
      <c r="K665" s="14" t="s">
        <v>9655</v>
      </c>
      <c r="L665" s="14" t="s">
        <v>9648</v>
      </c>
      <c r="O665" s="14" t="s">
        <v>9649</v>
      </c>
      <c r="P665" s="14" t="s">
        <v>9650</v>
      </c>
      <c r="Q665" s="14">
        <v>421675.6</v>
      </c>
      <c r="R665" s="14">
        <v>6189508.3499999996</v>
      </c>
      <c r="S665" s="14" t="s">
        <v>9651</v>
      </c>
      <c r="T665" s="14" t="s">
        <v>9652</v>
      </c>
      <c r="U665" s="14">
        <v>421694.64</v>
      </c>
      <c r="V665" s="14">
        <v>6189505.9400000004</v>
      </c>
      <c r="W665" s="14">
        <v>181.24</v>
      </c>
      <c r="X665" s="14">
        <v>200.06</v>
      </c>
    </row>
    <row r="666" spans="1:24" s="14" customFormat="1" x14ac:dyDescent="0.25">
      <c r="A666" s="50">
        <v>45098</v>
      </c>
      <c r="B666" s="16">
        <v>172</v>
      </c>
      <c r="C666" s="36">
        <v>0.35170138888888891</v>
      </c>
      <c r="D666" s="16" t="s">
        <v>177</v>
      </c>
      <c r="E666" s="14" t="s">
        <v>70</v>
      </c>
      <c r="F666" s="16" t="s">
        <v>8011</v>
      </c>
      <c r="G666" s="16" t="s">
        <v>959</v>
      </c>
      <c r="H666" s="14">
        <v>0.219</v>
      </c>
      <c r="I666" s="14" t="s">
        <v>9653</v>
      </c>
      <c r="J666" s="14" t="s">
        <v>9654</v>
      </c>
      <c r="K666" s="14" t="s">
        <v>9655</v>
      </c>
      <c r="L666" s="14" t="s">
        <v>9660</v>
      </c>
      <c r="O666" s="14" t="s">
        <v>9656</v>
      </c>
      <c r="P666" s="14" t="s">
        <v>9657</v>
      </c>
      <c r="Q666" s="14">
        <v>421675.3</v>
      </c>
      <c r="R666" s="14">
        <v>6189277.8799999999</v>
      </c>
      <c r="S666" s="14" t="s">
        <v>9658</v>
      </c>
      <c r="T666" s="14" t="s">
        <v>9659</v>
      </c>
      <c r="U666" s="14">
        <v>421694.61</v>
      </c>
      <c r="V666" s="14">
        <v>6189275.4699999997</v>
      </c>
      <c r="W666" s="14">
        <v>180.04</v>
      </c>
      <c r="X666" s="14">
        <v>200.06</v>
      </c>
    </row>
    <row r="667" spans="1:24" s="14" customFormat="1" x14ac:dyDescent="0.25">
      <c r="A667" s="50">
        <v>45098</v>
      </c>
      <c r="B667" s="16">
        <v>172</v>
      </c>
      <c r="C667" s="36">
        <v>0.35468749999999999</v>
      </c>
      <c r="D667" s="16" t="s">
        <v>177</v>
      </c>
      <c r="E667" s="14" t="s">
        <v>65</v>
      </c>
      <c r="F667" s="16" t="s">
        <v>8011</v>
      </c>
      <c r="G667" s="16" t="s">
        <v>960</v>
      </c>
      <c r="H667" s="14">
        <v>0.214</v>
      </c>
      <c r="I667" s="14" t="s">
        <v>9665</v>
      </c>
      <c r="J667" s="14" t="s">
        <v>9666</v>
      </c>
      <c r="K667" s="14" t="s">
        <v>9667</v>
      </c>
      <c r="L667" s="14" t="s">
        <v>9660</v>
      </c>
      <c r="O667" s="14" t="s">
        <v>9661</v>
      </c>
      <c r="P667" s="14" t="s">
        <v>9662</v>
      </c>
      <c r="Q667" s="14">
        <v>421683.05</v>
      </c>
      <c r="R667" s="14">
        <v>6189269.9699999997</v>
      </c>
      <c r="S667" s="14" t="s">
        <v>9663</v>
      </c>
      <c r="T667" s="14" t="s">
        <v>9664</v>
      </c>
      <c r="U667" s="14">
        <v>421703.72</v>
      </c>
      <c r="V667" s="14">
        <v>6189269.79</v>
      </c>
      <c r="W667" s="14">
        <v>359.32</v>
      </c>
      <c r="X667" s="14">
        <v>200.06</v>
      </c>
    </row>
    <row r="668" spans="1:24" s="14" customFormat="1" x14ac:dyDescent="0.25">
      <c r="A668" s="50">
        <v>45098</v>
      </c>
      <c r="B668" s="16">
        <v>172</v>
      </c>
      <c r="C668" s="36">
        <v>0.35905092592592597</v>
      </c>
      <c r="D668" s="16" t="s">
        <v>177</v>
      </c>
      <c r="E668" s="14" t="s">
        <v>70</v>
      </c>
      <c r="F668" s="16" t="s">
        <v>8011</v>
      </c>
      <c r="G668" s="16" t="s">
        <v>960</v>
      </c>
      <c r="H668" s="14">
        <v>-1.6E-2</v>
      </c>
      <c r="I668" s="14" t="s">
        <v>9665</v>
      </c>
      <c r="J668" s="14" t="s">
        <v>9666</v>
      </c>
      <c r="K668" s="14" t="s">
        <v>9667</v>
      </c>
      <c r="L668" s="14" t="s">
        <v>9660</v>
      </c>
      <c r="O668" s="14" t="s">
        <v>9668</v>
      </c>
      <c r="P668" s="14" t="s">
        <v>9669</v>
      </c>
      <c r="Q668" s="14">
        <v>421683.91</v>
      </c>
      <c r="R668" s="14">
        <v>6189498.3099999996</v>
      </c>
      <c r="S668" s="14" t="s">
        <v>9670</v>
      </c>
      <c r="T668" s="14" t="s">
        <v>9671</v>
      </c>
      <c r="U668" s="14">
        <v>421703.71</v>
      </c>
      <c r="V668" s="14">
        <v>6189499.8700000001</v>
      </c>
      <c r="W668" s="14">
        <v>358.62</v>
      </c>
      <c r="X668" s="14">
        <v>200.06</v>
      </c>
    </row>
    <row r="669" spans="1:24" s="14" customFormat="1" x14ac:dyDescent="0.25">
      <c r="A669" s="50">
        <v>45098</v>
      </c>
      <c r="B669" s="16">
        <v>172</v>
      </c>
      <c r="C669" s="36">
        <v>0.36171296296296296</v>
      </c>
      <c r="D669" s="16" t="s">
        <v>177</v>
      </c>
      <c r="E669" s="14" t="s">
        <v>65</v>
      </c>
      <c r="F669" s="16" t="s">
        <v>8011</v>
      </c>
      <c r="G669" s="16" t="s">
        <v>961</v>
      </c>
      <c r="H669" s="14">
        <v>-1.0999999999999999E-2</v>
      </c>
      <c r="I669" s="14" t="s">
        <v>9676</v>
      </c>
      <c r="J669" s="14" t="s">
        <v>9677</v>
      </c>
      <c r="K669" s="14" t="s">
        <v>9678</v>
      </c>
      <c r="L669" s="14" t="s">
        <v>9679</v>
      </c>
      <c r="O669" s="14" t="s">
        <v>9672</v>
      </c>
      <c r="P669" s="14" t="s">
        <v>9673</v>
      </c>
      <c r="Q669" s="14">
        <v>421692.57</v>
      </c>
      <c r="R669" s="14">
        <v>6189511.7699999996</v>
      </c>
      <c r="S669" s="14" t="s">
        <v>9674</v>
      </c>
      <c r="T669" s="14" t="s">
        <v>9675</v>
      </c>
      <c r="U669" s="14">
        <v>421712.67</v>
      </c>
      <c r="V669" s="14">
        <v>6189505.4400000004</v>
      </c>
      <c r="W669" s="14">
        <v>180.07</v>
      </c>
      <c r="X669" s="14">
        <v>200.06</v>
      </c>
    </row>
    <row r="670" spans="1:24" s="14" customFormat="1" x14ac:dyDescent="0.25">
      <c r="A670" s="50">
        <v>45098</v>
      </c>
      <c r="B670" s="16">
        <v>172</v>
      </c>
      <c r="C670" s="36">
        <v>0.3661342592592593</v>
      </c>
      <c r="D670" s="16" t="s">
        <v>177</v>
      </c>
      <c r="E670" s="14" t="s">
        <v>70</v>
      </c>
      <c r="F670" s="16" t="s">
        <v>8011</v>
      </c>
      <c r="G670" s="16" t="s">
        <v>961</v>
      </c>
      <c r="H670" s="14">
        <v>0.219</v>
      </c>
      <c r="I670" s="14" t="s">
        <v>9676</v>
      </c>
      <c r="J670" s="14" t="s">
        <v>9677</v>
      </c>
      <c r="K670" s="14" t="s">
        <v>9678</v>
      </c>
      <c r="L670" s="14" t="s">
        <v>9679</v>
      </c>
      <c r="O670" s="14" t="s">
        <v>9680</v>
      </c>
      <c r="P670" s="14" t="s">
        <v>9681</v>
      </c>
      <c r="Q670" s="14">
        <v>421692.75</v>
      </c>
      <c r="R670" s="14">
        <v>6189281.4100000001</v>
      </c>
      <c r="S670" s="14" t="s">
        <v>9682</v>
      </c>
      <c r="T670" s="14" t="s">
        <v>9683</v>
      </c>
      <c r="U670" s="14">
        <v>421712.67</v>
      </c>
      <c r="V670" s="14">
        <v>6189275.5899999999</v>
      </c>
      <c r="W670" s="14">
        <v>178.99</v>
      </c>
      <c r="X670" s="14">
        <v>200.06</v>
      </c>
    </row>
    <row r="671" spans="1:24" s="14" customFormat="1" x14ac:dyDescent="0.25">
      <c r="A671" s="50">
        <v>45098</v>
      </c>
      <c r="B671" s="16">
        <v>172</v>
      </c>
      <c r="C671" s="36">
        <v>0.36899305555555556</v>
      </c>
      <c r="D671" s="16" t="s">
        <v>177</v>
      </c>
      <c r="E671" s="14" t="s">
        <v>65</v>
      </c>
      <c r="F671" s="16" t="s">
        <v>8011</v>
      </c>
      <c r="G671" s="16" t="s">
        <v>962</v>
      </c>
      <c r="H671" s="14">
        <v>0.214</v>
      </c>
      <c r="I671" s="14" t="s">
        <v>9688</v>
      </c>
      <c r="J671" s="14" t="s">
        <v>9689</v>
      </c>
      <c r="K671" s="14" t="s">
        <v>9690</v>
      </c>
      <c r="L671" s="14" t="s">
        <v>9679</v>
      </c>
      <c r="O671" s="14" t="s">
        <v>9684</v>
      </c>
      <c r="P671" s="14" t="s">
        <v>9685</v>
      </c>
      <c r="Q671" s="14">
        <v>421700.98</v>
      </c>
      <c r="R671" s="14">
        <v>6189270.7300000004</v>
      </c>
      <c r="S671" s="14" t="s">
        <v>9686</v>
      </c>
      <c r="T671" s="14" t="s">
        <v>9687</v>
      </c>
      <c r="U671" s="14">
        <v>421721.61</v>
      </c>
      <c r="V671" s="14">
        <v>6189269.96</v>
      </c>
      <c r="W671" s="14">
        <v>358.99</v>
      </c>
      <c r="X671" s="14">
        <v>200.06</v>
      </c>
    </row>
    <row r="672" spans="1:24" s="14" customFormat="1" x14ac:dyDescent="0.25">
      <c r="A672" s="50">
        <v>45098</v>
      </c>
      <c r="B672" s="16">
        <v>172</v>
      </c>
      <c r="C672" s="36">
        <v>0.37337962962962962</v>
      </c>
      <c r="D672" s="16" t="s">
        <v>177</v>
      </c>
      <c r="E672" s="14" t="s">
        <v>70</v>
      </c>
      <c r="F672" s="16" t="s">
        <v>8011</v>
      </c>
      <c r="G672" s="16" t="s">
        <v>962</v>
      </c>
      <c r="H672" s="14">
        <v>-1.6E-2</v>
      </c>
      <c r="I672" s="14" t="s">
        <v>9688</v>
      </c>
      <c r="J672" s="14" t="s">
        <v>9689</v>
      </c>
      <c r="K672" s="14" t="s">
        <v>9690</v>
      </c>
      <c r="L672" s="14" t="s">
        <v>9695</v>
      </c>
      <c r="O672" s="14" t="s">
        <v>9691</v>
      </c>
      <c r="P672" s="14" t="s">
        <v>9692</v>
      </c>
      <c r="Q672" s="14">
        <v>421701.77</v>
      </c>
      <c r="R672" s="14">
        <v>6189499.1900000004</v>
      </c>
      <c r="S672" s="14" t="s">
        <v>9693</v>
      </c>
      <c r="T672" s="14" t="s">
        <v>9694</v>
      </c>
      <c r="U672" s="14">
        <v>421721.66</v>
      </c>
      <c r="V672" s="14">
        <v>6189499.3399999999</v>
      </c>
      <c r="W672" s="14">
        <v>358.85</v>
      </c>
      <c r="X672" s="14">
        <v>200.06</v>
      </c>
    </row>
    <row r="673" spans="1:24" s="14" customFormat="1" x14ac:dyDescent="0.25">
      <c r="A673" s="50">
        <v>45098</v>
      </c>
      <c r="B673" s="16">
        <v>172</v>
      </c>
      <c r="C673" s="36">
        <v>0.37663194444444442</v>
      </c>
      <c r="D673" s="16" t="s">
        <v>177</v>
      </c>
      <c r="E673" s="14" t="s">
        <v>65</v>
      </c>
      <c r="F673" s="16" t="s">
        <v>8011</v>
      </c>
      <c r="G673" s="16" t="s">
        <v>963</v>
      </c>
      <c r="H673" s="14">
        <v>-1.2E-2</v>
      </c>
      <c r="I673" s="14" t="s">
        <v>9700</v>
      </c>
      <c r="J673" s="14" t="s">
        <v>9701</v>
      </c>
      <c r="K673" s="14" t="s">
        <v>9702</v>
      </c>
      <c r="L673" s="14" t="s">
        <v>9695</v>
      </c>
      <c r="O673" s="14" t="s">
        <v>9696</v>
      </c>
      <c r="P673" s="14" t="s">
        <v>9697</v>
      </c>
      <c r="Q673" s="14">
        <v>421710.94</v>
      </c>
      <c r="R673" s="14">
        <v>6189511.5800000001</v>
      </c>
      <c r="S673" s="14" t="s">
        <v>9698</v>
      </c>
      <c r="T673" s="14" t="s">
        <v>9699</v>
      </c>
      <c r="U673" s="14">
        <v>421730.71</v>
      </c>
      <c r="V673" s="14">
        <v>6189506.8399999999</v>
      </c>
      <c r="W673" s="14">
        <v>179.96</v>
      </c>
      <c r="X673" s="14">
        <v>200.06</v>
      </c>
    </row>
    <row r="674" spans="1:24" s="14" customFormat="1" x14ac:dyDescent="0.25">
      <c r="A674" s="50">
        <v>45098</v>
      </c>
      <c r="B674" s="16">
        <v>172</v>
      </c>
      <c r="C674" s="36">
        <v>0.38112268518518522</v>
      </c>
      <c r="D674" s="16" t="s">
        <v>177</v>
      </c>
      <c r="E674" s="52" t="s">
        <v>70</v>
      </c>
      <c r="F674" s="16" t="s">
        <v>8011</v>
      </c>
      <c r="G674" s="16" t="s">
        <v>963</v>
      </c>
      <c r="H674" s="14">
        <v>0.22500000000000001</v>
      </c>
      <c r="I674" s="14" t="s">
        <v>9700</v>
      </c>
      <c r="J674" s="14" t="s">
        <v>9701</v>
      </c>
      <c r="K674" s="14" t="s">
        <v>9702</v>
      </c>
      <c r="L674" s="14" t="s">
        <v>9695</v>
      </c>
      <c r="O674" s="14" t="s">
        <v>9703</v>
      </c>
      <c r="P674" s="14" t="s">
        <v>9704</v>
      </c>
      <c r="Q674" s="14">
        <v>421710.64</v>
      </c>
      <c r="R674" s="14">
        <v>6189275.54</v>
      </c>
      <c r="S674" s="14" t="s">
        <v>9705</v>
      </c>
      <c r="T674" s="14" t="s">
        <v>9706</v>
      </c>
      <c r="U674" s="14">
        <v>421730.61</v>
      </c>
      <c r="V674" s="14">
        <v>6189270.0999999996</v>
      </c>
      <c r="W674" s="14">
        <v>178.34</v>
      </c>
      <c r="X674" s="14">
        <v>200.06</v>
      </c>
    </row>
    <row r="675" spans="1:24" s="14" customFormat="1" x14ac:dyDescent="0.25">
      <c r="A675" s="50">
        <v>45098</v>
      </c>
      <c r="B675" s="16">
        <v>172</v>
      </c>
      <c r="C675" s="36">
        <v>0.38457175925925924</v>
      </c>
      <c r="D675" s="16" t="s">
        <v>177</v>
      </c>
      <c r="E675" s="14" t="s">
        <v>65</v>
      </c>
      <c r="F675" s="16" t="s">
        <v>8011</v>
      </c>
      <c r="G675" s="16" t="s">
        <v>964</v>
      </c>
      <c r="H675" s="14">
        <v>0.20699999999999999</v>
      </c>
      <c r="I675" s="14" t="s">
        <v>9711</v>
      </c>
      <c r="J675" s="14" t="s">
        <v>9712</v>
      </c>
      <c r="K675" s="14" t="s">
        <v>9713</v>
      </c>
      <c r="L675" s="14" t="s">
        <v>9714</v>
      </c>
      <c r="O675" s="14" t="s">
        <v>9707</v>
      </c>
      <c r="P675" s="14" t="s">
        <v>9708</v>
      </c>
      <c r="Q675" s="14">
        <v>421719.69</v>
      </c>
      <c r="R675" s="14">
        <v>6189277.3399999999</v>
      </c>
      <c r="S675" s="14" t="s">
        <v>9709</v>
      </c>
      <c r="T675" s="14" t="s">
        <v>9710</v>
      </c>
      <c r="U675" s="14">
        <v>421739.63</v>
      </c>
      <c r="V675" s="14">
        <v>6189276.6200000001</v>
      </c>
      <c r="W675" s="14">
        <v>359.01</v>
      </c>
      <c r="X675" s="14">
        <v>200.06</v>
      </c>
    </row>
    <row r="676" spans="1:24" s="14" customFormat="1" x14ac:dyDescent="0.25">
      <c r="A676" s="50">
        <v>45098</v>
      </c>
      <c r="B676" s="16">
        <v>172</v>
      </c>
      <c r="C676" s="36">
        <v>0.38916666666666666</v>
      </c>
      <c r="D676" s="16" t="s">
        <v>177</v>
      </c>
      <c r="E676" s="14" t="s">
        <v>70</v>
      </c>
      <c r="F676" s="16" t="s">
        <v>8011</v>
      </c>
      <c r="G676" s="16" t="s">
        <v>964</v>
      </c>
      <c r="H676" s="14">
        <v>-3.2000000000000001E-2</v>
      </c>
      <c r="I676" s="14" t="s">
        <v>9711</v>
      </c>
      <c r="J676" s="14" t="s">
        <v>9712</v>
      </c>
      <c r="K676" s="14" t="s">
        <v>9713</v>
      </c>
      <c r="L676" s="14" t="s">
        <v>9714</v>
      </c>
      <c r="O676" s="14" t="s">
        <v>9715</v>
      </c>
      <c r="P676" s="14" t="s">
        <v>9716</v>
      </c>
      <c r="Q676" s="14">
        <v>421719.63</v>
      </c>
      <c r="R676" s="14">
        <v>6189520.2000000002</v>
      </c>
      <c r="S676" s="14" t="s">
        <v>9717</v>
      </c>
      <c r="T676" s="14" t="s">
        <v>9718</v>
      </c>
      <c r="U676" s="14">
        <v>421739.57</v>
      </c>
      <c r="V676" s="14">
        <v>6189515.3899999997</v>
      </c>
      <c r="W676" s="14">
        <v>0.19</v>
      </c>
      <c r="X676" s="14">
        <v>200.06</v>
      </c>
    </row>
    <row r="677" spans="1:24" s="14" customFormat="1" x14ac:dyDescent="0.25">
      <c r="A677" s="50">
        <v>45098</v>
      </c>
      <c r="B677" s="16">
        <v>172</v>
      </c>
      <c r="C677" s="36">
        <v>0.39254629629629628</v>
      </c>
      <c r="D677" s="16" t="s">
        <v>177</v>
      </c>
      <c r="E677" s="14" t="s">
        <v>65</v>
      </c>
      <c r="F677" s="16" t="s">
        <v>8011</v>
      </c>
      <c r="G677" s="16" t="s">
        <v>965</v>
      </c>
      <c r="H677" s="14">
        <v>-8.9999999999999993E-3</v>
      </c>
      <c r="I677" s="14" t="s">
        <v>9723</v>
      </c>
      <c r="J677" s="14" t="s">
        <v>9724</v>
      </c>
      <c r="K677" s="14" t="s">
        <v>9725</v>
      </c>
      <c r="L677" s="14" t="s">
        <v>9726</v>
      </c>
      <c r="O677" s="14" t="s">
        <v>9719</v>
      </c>
      <c r="P677" s="14" t="s">
        <v>9720</v>
      </c>
      <c r="Q677" s="14">
        <v>421729.51</v>
      </c>
      <c r="R677" s="14">
        <v>6189507.3899999997</v>
      </c>
      <c r="S677" s="14" t="s">
        <v>9721</v>
      </c>
      <c r="T677" s="14" t="s">
        <v>9722</v>
      </c>
      <c r="U677" s="14">
        <v>421748.6</v>
      </c>
      <c r="V677" s="14">
        <v>6189503.3899999997</v>
      </c>
      <c r="W677" s="14">
        <v>178.78</v>
      </c>
      <c r="X677" s="14">
        <v>200.07</v>
      </c>
    </row>
    <row r="678" spans="1:24" s="14" customFormat="1" x14ac:dyDescent="0.25">
      <c r="A678" s="50">
        <v>45098</v>
      </c>
      <c r="B678" s="16">
        <v>172</v>
      </c>
      <c r="C678" s="36">
        <v>0.39685185185185184</v>
      </c>
      <c r="D678" s="16" t="s">
        <v>177</v>
      </c>
      <c r="E678" s="14" t="s">
        <v>70</v>
      </c>
      <c r="F678" s="16" t="s">
        <v>8011</v>
      </c>
      <c r="G678" s="16" t="s">
        <v>965</v>
      </c>
      <c r="H678" s="14">
        <v>0.219</v>
      </c>
      <c r="I678" s="14" t="s">
        <v>9723</v>
      </c>
      <c r="J678" s="14" t="s">
        <v>9724</v>
      </c>
      <c r="K678" s="14" t="s">
        <v>9725</v>
      </c>
      <c r="L678" s="14" t="s">
        <v>9726</v>
      </c>
      <c r="O678" s="14" t="s">
        <v>9727</v>
      </c>
      <c r="P678" s="14" t="s">
        <v>9728</v>
      </c>
      <c r="Q678" s="14">
        <v>421728.61</v>
      </c>
      <c r="R678" s="14">
        <v>6189280.8600000003</v>
      </c>
      <c r="S678" s="14" t="s">
        <v>9729</v>
      </c>
      <c r="T678" s="14" t="s">
        <v>9730</v>
      </c>
      <c r="U678" s="14">
        <v>421748.61</v>
      </c>
      <c r="V678" s="14">
        <v>6189276.1699999999</v>
      </c>
      <c r="W678" s="14">
        <v>178.94</v>
      </c>
      <c r="X678" s="14">
        <v>200.07</v>
      </c>
    </row>
    <row r="679" spans="1:24" s="14" customFormat="1" x14ac:dyDescent="0.25">
      <c r="A679" s="50">
        <v>45098</v>
      </c>
      <c r="B679" s="16">
        <v>172</v>
      </c>
      <c r="C679" s="36">
        <v>0.39961805555555557</v>
      </c>
      <c r="D679" s="16" t="s">
        <v>177</v>
      </c>
      <c r="E679" s="14" t="s">
        <v>8364</v>
      </c>
      <c r="F679" s="16" t="s">
        <v>8011</v>
      </c>
      <c r="G679" s="16" t="s">
        <v>965</v>
      </c>
      <c r="H679" s="14">
        <v>3.4630000000000001</v>
      </c>
      <c r="O679" s="14" t="s">
        <v>9731</v>
      </c>
      <c r="P679" s="14" t="s">
        <v>9732</v>
      </c>
      <c r="Q679" s="14">
        <v>421728.26</v>
      </c>
      <c r="R679" s="14">
        <v>6189256.2199999997</v>
      </c>
      <c r="S679" s="14" t="s">
        <v>9733</v>
      </c>
      <c r="T679" s="14" t="s">
        <v>9734</v>
      </c>
      <c r="U679" s="14">
        <v>421739.81</v>
      </c>
      <c r="V679" s="14">
        <v>6189253.1299999999</v>
      </c>
      <c r="W679" s="14">
        <v>99.27</v>
      </c>
      <c r="X679" s="14">
        <v>150.05000000000001</v>
      </c>
    </row>
    <row r="680" spans="1:24" s="81" customFormat="1" x14ac:dyDescent="0.25">
      <c r="A680" s="78">
        <v>45098</v>
      </c>
      <c r="B680" s="79">
        <v>172</v>
      </c>
      <c r="C680" s="80">
        <v>0.40321759259259254</v>
      </c>
      <c r="D680" s="79" t="s">
        <v>177</v>
      </c>
      <c r="E680" s="81" t="s">
        <v>9739</v>
      </c>
      <c r="F680" s="79" t="s">
        <v>8011</v>
      </c>
      <c r="G680" s="79" t="s">
        <v>814</v>
      </c>
      <c r="H680" s="81">
        <v>3.4620000000000002</v>
      </c>
      <c r="O680" s="81" t="s">
        <v>9735</v>
      </c>
      <c r="P680" s="81" t="s">
        <v>9736</v>
      </c>
      <c r="Q680" s="81">
        <v>421728.23</v>
      </c>
      <c r="R680" s="81">
        <v>6189256.1699999999</v>
      </c>
      <c r="S680" s="81" t="s">
        <v>9737</v>
      </c>
      <c r="T680" s="81" t="s">
        <v>9738</v>
      </c>
      <c r="U680" s="81">
        <v>421739.88</v>
      </c>
      <c r="V680" s="81">
        <v>6189252.6799999997</v>
      </c>
      <c r="W680" s="81">
        <v>88.1</v>
      </c>
      <c r="X680" s="81">
        <v>150.05000000000001</v>
      </c>
    </row>
    <row r="681" spans="1:24" s="14" customFormat="1" x14ac:dyDescent="0.25">
      <c r="A681" s="50">
        <v>45098</v>
      </c>
      <c r="B681" s="16">
        <v>172</v>
      </c>
      <c r="C681" s="36">
        <v>0.40432870370370372</v>
      </c>
      <c r="D681" s="16" t="s">
        <v>177</v>
      </c>
      <c r="E681" s="14" t="s">
        <v>9744</v>
      </c>
      <c r="F681" s="16" t="s">
        <v>8011</v>
      </c>
      <c r="G681" s="16" t="s">
        <v>814</v>
      </c>
      <c r="H681" s="14">
        <v>3.0470000000000002</v>
      </c>
      <c r="O681" s="14" t="s">
        <v>9740</v>
      </c>
      <c r="P681" s="14" t="s">
        <v>9741</v>
      </c>
      <c r="Q681" s="14">
        <v>421877.09</v>
      </c>
      <c r="R681" s="14">
        <v>6189672.4400000004</v>
      </c>
      <c r="S681" s="14" t="s">
        <v>9742</v>
      </c>
      <c r="T681" s="14" t="s">
        <v>9743</v>
      </c>
      <c r="U681" s="14">
        <v>421887.13</v>
      </c>
      <c r="V681" s="14">
        <v>6189668.4900000002</v>
      </c>
      <c r="W681" s="14">
        <v>98.02</v>
      </c>
      <c r="X681" s="14">
        <v>150.05000000000001</v>
      </c>
    </row>
    <row r="682" spans="1:24" s="14" customFormat="1" x14ac:dyDescent="0.25">
      <c r="A682" s="50">
        <v>45098</v>
      </c>
      <c r="B682" s="16">
        <v>172</v>
      </c>
      <c r="C682" s="36">
        <v>0.40449074074074076</v>
      </c>
      <c r="D682" s="16" t="s">
        <v>177</v>
      </c>
      <c r="E682" s="14" t="s">
        <v>9749</v>
      </c>
      <c r="F682" s="16" t="s">
        <v>8011</v>
      </c>
      <c r="G682" s="16" t="s">
        <v>814</v>
      </c>
      <c r="H682" s="14">
        <v>3.0169999999999999</v>
      </c>
      <c r="O682" s="14" t="s">
        <v>9745</v>
      </c>
      <c r="P682" s="14" t="s">
        <v>9746</v>
      </c>
      <c r="Q682" s="14">
        <v>421888.88</v>
      </c>
      <c r="R682" s="14">
        <v>6189703.1699999999</v>
      </c>
      <c r="S682" s="14" t="s">
        <v>9747</v>
      </c>
      <c r="T682" s="14" t="s">
        <v>9748</v>
      </c>
      <c r="U682" s="14">
        <v>421898.87</v>
      </c>
      <c r="V682" s="14">
        <v>6189699.0599999996</v>
      </c>
      <c r="W682" s="14">
        <v>98.66</v>
      </c>
      <c r="X682" s="14">
        <v>150.05000000000001</v>
      </c>
    </row>
    <row r="683" spans="1:24" s="14" customFormat="1" x14ac:dyDescent="0.25">
      <c r="A683" s="50">
        <v>45098</v>
      </c>
      <c r="B683" s="16">
        <v>172</v>
      </c>
      <c r="C683" s="36">
        <v>0.42329861111111117</v>
      </c>
      <c r="D683" s="16" t="s">
        <v>97</v>
      </c>
      <c r="E683" s="14" t="s">
        <v>6362</v>
      </c>
      <c r="F683" s="16" t="s">
        <v>8011</v>
      </c>
      <c r="G683" s="16" t="s">
        <v>814</v>
      </c>
      <c r="H683" s="14">
        <v>0.189</v>
      </c>
      <c r="O683" s="14" t="s">
        <v>9752</v>
      </c>
      <c r="P683" s="14" t="s">
        <v>9753</v>
      </c>
      <c r="Q683" s="14">
        <v>422533.97</v>
      </c>
      <c r="R683" s="14">
        <v>6192526.21</v>
      </c>
      <c r="S683" s="14" t="s">
        <v>9754</v>
      </c>
      <c r="T683" s="14" t="s">
        <v>9755</v>
      </c>
      <c r="U683" s="14">
        <v>422545.06</v>
      </c>
      <c r="V683" s="14">
        <v>6192524.5599999996</v>
      </c>
      <c r="W683" s="14">
        <v>86.96</v>
      </c>
      <c r="X683" s="14">
        <v>150.05000000000001</v>
      </c>
    </row>
    <row r="684" spans="1:24" s="77" customFormat="1" x14ac:dyDescent="0.25">
      <c r="A684" s="74">
        <v>45098</v>
      </c>
      <c r="B684" s="75">
        <v>172</v>
      </c>
      <c r="C684" s="76">
        <v>0.42562499999999998</v>
      </c>
      <c r="D684" s="75" t="s">
        <v>97</v>
      </c>
      <c r="E684" s="77" t="s">
        <v>9770</v>
      </c>
      <c r="F684" s="75" t="s">
        <v>460</v>
      </c>
      <c r="G684" s="75" t="s">
        <v>814</v>
      </c>
      <c r="H684" s="77">
        <v>0.189</v>
      </c>
      <c r="O684" s="77" t="s">
        <v>9756</v>
      </c>
      <c r="P684" s="77" t="s">
        <v>9757</v>
      </c>
      <c r="Q684" s="77">
        <v>422533</v>
      </c>
      <c r="R684" s="77">
        <v>6192527.8200000003</v>
      </c>
      <c r="S684" s="77" t="s">
        <v>9758</v>
      </c>
      <c r="T684" s="77" t="s">
        <v>9759</v>
      </c>
      <c r="U684" s="77">
        <v>422543.68</v>
      </c>
      <c r="V684" s="77">
        <v>6192524.8499999996</v>
      </c>
      <c r="W684" s="77">
        <v>92.79</v>
      </c>
      <c r="X684" s="77">
        <v>150.05000000000001</v>
      </c>
    </row>
    <row r="685" spans="1:24" s="14" customFormat="1" x14ac:dyDescent="0.25">
      <c r="A685" s="50">
        <v>45098</v>
      </c>
      <c r="B685" s="16">
        <v>172</v>
      </c>
      <c r="C685" s="36">
        <v>0.4287731481481481</v>
      </c>
      <c r="D685" s="16" t="s">
        <v>97</v>
      </c>
      <c r="E685" s="52" t="s">
        <v>8182</v>
      </c>
      <c r="F685" s="16" t="s">
        <v>460</v>
      </c>
      <c r="G685" s="16" t="s">
        <v>814</v>
      </c>
      <c r="H685" s="14">
        <v>0.193</v>
      </c>
      <c r="O685" s="14" t="s">
        <v>9760</v>
      </c>
      <c r="P685" s="14" t="s">
        <v>9761</v>
      </c>
      <c r="Q685" s="14">
        <v>422533.8</v>
      </c>
      <c r="R685" s="14">
        <v>6192527.6399999997</v>
      </c>
      <c r="S685" s="14" t="s">
        <v>9762</v>
      </c>
      <c r="T685" s="14" t="s">
        <v>9763</v>
      </c>
      <c r="U685" s="14">
        <v>422546.7</v>
      </c>
      <c r="V685" s="14">
        <v>6192523.6500000004</v>
      </c>
      <c r="W685" s="14">
        <v>117.89</v>
      </c>
      <c r="X685" s="14">
        <v>150.05000000000001</v>
      </c>
    </row>
    <row r="686" spans="1:24" s="68" customFormat="1" x14ac:dyDescent="0.25">
      <c r="A686" s="65">
        <v>45098</v>
      </c>
      <c r="B686" s="66">
        <v>172</v>
      </c>
      <c r="C686" s="67">
        <v>0.42949074074074073</v>
      </c>
      <c r="D686" s="66" t="s">
        <v>97</v>
      </c>
      <c r="E686" s="68" t="s">
        <v>9769</v>
      </c>
      <c r="F686" s="66" t="s">
        <v>460</v>
      </c>
      <c r="G686" s="66" t="s">
        <v>814</v>
      </c>
      <c r="H686" s="68">
        <v>0.19900000000000001</v>
      </c>
      <c r="M686" s="68" t="s">
        <v>9764</v>
      </c>
      <c r="O686" s="68" t="s">
        <v>9765</v>
      </c>
      <c r="P686" s="68" t="s">
        <v>9766</v>
      </c>
      <c r="Q686" s="68">
        <v>422533.37</v>
      </c>
      <c r="R686" s="68">
        <v>6192527.7000000002</v>
      </c>
      <c r="S686" s="68" t="s">
        <v>9767</v>
      </c>
      <c r="T686" s="68" t="s">
        <v>9768</v>
      </c>
      <c r="U686" s="68">
        <v>422546.14</v>
      </c>
      <c r="V686" s="68">
        <v>6192516.4699999997</v>
      </c>
      <c r="W686" s="68">
        <v>107.85</v>
      </c>
      <c r="X686" s="68">
        <v>150.05000000000001</v>
      </c>
    </row>
    <row r="687" spans="1:24" s="90" customFormat="1" x14ac:dyDescent="0.25">
      <c r="A687" s="93">
        <v>45098</v>
      </c>
      <c r="B687" s="95">
        <v>172</v>
      </c>
      <c r="C687" s="83">
        <v>0.43337962962962967</v>
      </c>
      <c r="D687" s="95" t="s">
        <v>97</v>
      </c>
      <c r="E687" s="90" t="s">
        <v>7456</v>
      </c>
      <c r="F687" s="95" t="s">
        <v>460</v>
      </c>
      <c r="G687" s="95" t="s">
        <v>814</v>
      </c>
      <c r="H687" s="90">
        <v>0.16300000000000001</v>
      </c>
      <c r="I687" s="90" t="s">
        <v>9775</v>
      </c>
      <c r="J687" s="90" t="s">
        <v>9776</v>
      </c>
      <c r="K687" s="90" t="s">
        <v>9777</v>
      </c>
      <c r="L687" s="90" t="s">
        <v>9778</v>
      </c>
      <c r="O687" s="90" t="s">
        <v>9771</v>
      </c>
      <c r="P687" s="90" t="s">
        <v>9772</v>
      </c>
      <c r="Q687" s="90">
        <v>422533.28</v>
      </c>
      <c r="R687" s="90">
        <v>6192548.4199999999</v>
      </c>
      <c r="S687" s="90" t="s">
        <v>9773</v>
      </c>
      <c r="T687" s="90" t="s">
        <v>9774</v>
      </c>
      <c r="U687" s="90">
        <v>422556.47</v>
      </c>
      <c r="V687" s="90">
        <v>6192545.3099999996</v>
      </c>
      <c r="W687" s="90">
        <v>359.64</v>
      </c>
      <c r="X687" s="90">
        <v>150.05000000000001</v>
      </c>
    </row>
    <row r="688" spans="1:24" s="90" customFormat="1" x14ac:dyDescent="0.25">
      <c r="A688" s="93">
        <v>45098</v>
      </c>
      <c r="B688" s="95">
        <v>172</v>
      </c>
      <c r="C688" s="83">
        <v>0.43549768518518522</v>
      </c>
      <c r="D688" s="95" t="s">
        <v>97</v>
      </c>
      <c r="E688" s="90" t="s">
        <v>9793</v>
      </c>
      <c r="F688" s="95" t="s">
        <v>460</v>
      </c>
      <c r="G688" s="95" t="s">
        <v>814</v>
      </c>
      <c r="H688" s="90">
        <v>5.1999999999999998E-2</v>
      </c>
      <c r="O688" s="90" t="s">
        <v>9779</v>
      </c>
      <c r="P688" s="90" t="s">
        <v>9780</v>
      </c>
      <c r="Q688" s="90">
        <v>422533.33</v>
      </c>
      <c r="R688" s="90">
        <v>6192659.79</v>
      </c>
      <c r="S688" s="90" t="s">
        <v>9781</v>
      </c>
      <c r="T688" s="90" t="s">
        <v>9782</v>
      </c>
      <c r="U688" s="90">
        <v>422556.5</v>
      </c>
      <c r="V688" s="90">
        <v>6192656.21</v>
      </c>
      <c r="W688" s="90">
        <v>359.57</v>
      </c>
      <c r="X688" s="90">
        <v>150.05000000000001</v>
      </c>
    </row>
    <row r="689" spans="1:24" s="90" customFormat="1" x14ac:dyDescent="0.25">
      <c r="A689" s="93">
        <v>45098</v>
      </c>
      <c r="B689" s="92">
        <v>172</v>
      </c>
      <c r="C689" s="83">
        <v>0.4368055555555555</v>
      </c>
      <c r="D689" s="95" t="s">
        <v>97</v>
      </c>
      <c r="E689" s="91" t="s">
        <v>7457</v>
      </c>
      <c r="F689" s="95" t="s">
        <v>460</v>
      </c>
      <c r="G689" s="95" t="s">
        <v>814</v>
      </c>
      <c r="H689" s="90">
        <v>-1.6E-2</v>
      </c>
      <c r="I689" s="90" t="s">
        <v>9775</v>
      </c>
      <c r="J689" s="90" t="s">
        <v>9776</v>
      </c>
      <c r="K689" s="90" t="s">
        <v>9777</v>
      </c>
      <c r="L689" s="90" t="s">
        <v>9787</v>
      </c>
      <c r="O689" s="90" t="s">
        <v>9783</v>
      </c>
      <c r="P689" s="90" t="s">
        <v>9784</v>
      </c>
      <c r="Q689" s="90">
        <v>422533.2</v>
      </c>
      <c r="R689" s="90">
        <v>6192728.8799999999</v>
      </c>
      <c r="S689" s="90" t="s">
        <v>9785</v>
      </c>
      <c r="T689" s="90" t="s">
        <v>9786</v>
      </c>
      <c r="U689" s="90">
        <v>422556.53</v>
      </c>
      <c r="V689" s="90">
        <v>6192724.4100000001</v>
      </c>
      <c r="W689" s="90">
        <v>0.97</v>
      </c>
      <c r="X689" s="90">
        <v>150.05000000000001</v>
      </c>
    </row>
    <row r="690" spans="1:24" s="14" customFormat="1" x14ac:dyDescent="0.25">
      <c r="A690" s="50">
        <v>45098</v>
      </c>
      <c r="B690" s="57">
        <v>172</v>
      </c>
      <c r="C690" s="36">
        <v>0.43760416666666663</v>
      </c>
      <c r="D690" s="16" t="s">
        <v>97</v>
      </c>
      <c r="E690" s="52" t="s">
        <v>9792</v>
      </c>
      <c r="F690" s="16" t="s">
        <v>460</v>
      </c>
      <c r="G690" s="16" t="s">
        <v>814</v>
      </c>
      <c r="H690" s="14">
        <v>-3.4000000000000002E-2</v>
      </c>
      <c r="O690" s="14" t="s">
        <v>9788</v>
      </c>
      <c r="P690" s="14" t="s">
        <v>9789</v>
      </c>
      <c r="Q690" s="14">
        <v>422533.8</v>
      </c>
      <c r="R690" s="14">
        <v>6192755.8499999996</v>
      </c>
      <c r="S690" s="14" t="s">
        <v>9790</v>
      </c>
      <c r="T690" s="14" t="s">
        <v>9791</v>
      </c>
      <c r="U690" s="14">
        <v>422554.34</v>
      </c>
      <c r="V690" s="14">
        <v>6192746.21</v>
      </c>
      <c r="W690" s="14">
        <v>74.61</v>
      </c>
      <c r="X690" s="14">
        <v>150.05000000000001</v>
      </c>
    </row>
    <row r="691" spans="1:24" s="14" customFormat="1" x14ac:dyDescent="0.25">
      <c r="A691" s="50">
        <v>45098</v>
      </c>
      <c r="B691" s="16">
        <v>172</v>
      </c>
      <c r="C691" s="36">
        <v>0.43962962962962965</v>
      </c>
      <c r="D691" s="16" t="s">
        <v>97</v>
      </c>
      <c r="E691" s="14" t="s">
        <v>65</v>
      </c>
      <c r="F691" s="16" t="s">
        <v>460</v>
      </c>
      <c r="G691" s="16" t="s">
        <v>814</v>
      </c>
      <c r="H691" s="14">
        <v>-1.9E-2</v>
      </c>
      <c r="I691" s="14" t="s">
        <v>9798</v>
      </c>
      <c r="J691" s="14" t="s">
        <v>9776</v>
      </c>
      <c r="K691" s="14" t="s">
        <v>9799</v>
      </c>
      <c r="L691" s="14" t="s">
        <v>9787</v>
      </c>
      <c r="O691" s="14" t="s">
        <v>9794</v>
      </c>
      <c r="P691" s="14" t="s">
        <v>9795</v>
      </c>
      <c r="Q691" s="14">
        <v>422534.43</v>
      </c>
      <c r="R691" s="14">
        <v>6192740.4900000002</v>
      </c>
      <c r="S691" s="14" t="s">
        <v>9796</v>
      </c>
      <c r="T691" s="14" t="s">
        <v>9797</v>
      </c>
      <c r="U691" s="14">
        <v>422556.57</v>
      </c>
      <c r="V691" s="14">
        <v>6192738.21</v>
      </c>
      <c r="W691" s="14">
        <v>178.99</v>
      </c>
      <c r="X691" s="14">
        <v>150.05000000000001</v>
      </c>
    </row>
    <row r="692" spans="1:24" s="14" customFormat="1" x14ac:dyDescent="0.25">
      <c r="A692" s="50">
        <v>45098</v>
      </c>
      <c r="B692" s="16">
        <v>172</v>
      </c>
      <c r="C692" s="36">
        <v>0.44324074074074077</v>
      </c>
      <c r="D692" s="16" t="s">
        <v>97</v>
      </c>
      <c r="E692" s="14" t="s">
        <v>70</v>
      </c>
      <c r="F692" s="16" t="s">
        <v>460</v>
      </c>
      <c r="G692" s="16" t="s">
        <v>814</v>
      </c>
      <c r="H692" s="14">
        <v>0.17</v>
      </c>
      <c r="I692" s="14" t="s">
        <v>9798</v>
      </c>
      <c r="J692" s="14" t="s">
        <v>9776</v>
      </c>
      <c r="K692" s="14" t="s">
        <v>9799</v>
      </c>
      <c r="L692" s="14" t="s">
        <v>9787</v>
      </c>
      <c r="O692" s="14" t="s">
        <v>9800</v>
      </c>
      <c r="P692" s="14" t="s">
        <v>9801</v>
      </c>
      <c r="Q692" s="14">
        <v>422534.13</v>
      </c>
      <c r="R692" s="14">
        <v>6192552.7300000004</v>
      </c>
      <c r="S692" s="14" t="s">
        <v>9802</v>
      </c>
      <c r="T692" s="14" t="s">
        <v>9803</v>
      </c>
      <c r="U692" s="14">
        <v>422556.6</v>
      </c>
      <c r="V692" s="14">
        <v>6192549.4100000001</v>
      </c>
      <c r="W692" s="14">
        <v>180.47</v>
      </c>
      <c r="X692" s="14">
        <v>150.05000000000001</v>
      </c>
    </row>
    <row r="693" spans="1:24" s="14" customFormat="1" x14ac:dyDescent="0.25">
      <c r="A693" s="50">
        <v>45098</v>
      </c>
      <c r="B693" s="16">
        <v>172</v>
      </c>
      <c r="C693" s="36">
        <v>0.44700231481481478</v>
      </c>
      <c r="D693" s="16" t="s">
        <v>97</v>
      </c>
      <c r="E693" s="14" t="s">
        <v>65</v>
      </c>
      <c r="F693" s="16" t="s">
        <v>460</v>
      </c>
      <c r="G693" s="16" t="s">
        <v>815</v>
      </c>
      <c r="H693" s="14">
        <v>0.156</v>
      </c>
      <c r="I693" s="14" t="s">
        <v>9808</v>
      </c>
      <c r="J693" s="14" t="s">
        <v>9809</v>
      </c>
      <c r="K693" s="14" t="s">
        <v>9810</v>
      </c>
      <c r="L693" s="14" t="s">
        <v>9811</v>
      </c>
      <c r="O693" s="14" t="s">
        <v>9804</v>
      </c>
      <c r="P693" s="14" t="s">
        <v>9805</v>
      </c>
      <c r="Q693" s="14">
        <v>422524.52</v>
      </c>
      <c r="R693" s="14">
        <v>6192555.7800000003</v>
      </c>
      <c r="S693" s="14" t="s">
        <v>9806</v>
      </c>
      <c r="T693" s="14" t="s">
        <v>9807</v>
      </c>
      <c r="U693" s="14">
        <v>422547.46</v>
      </c>
      <c r="V693" s="14">
        <v>6192551.96</v>
      </c>
      <c r="W693" s="14">
        <v>0.56999999999999995</v>
      </c>
      <c r="X693" s="14">
        <v>150.05000000000001</v>
      </c>
    </row>
    <row r="694" spans="1:24" s="14" customFormat="1" x14ac:dyDescent="0.25">
      <c r="A694" s="50">
        <v>45098</v>
      </c>
      <c r="B694" s="16">
        <v>172</v>
      </c>
      <c r="C694" s="36">
        <v>0.45041666666666669</v>
      </c>
      <c r="D694" s="16" t="s">
        <v>97</v>
      </c>
      <c r="E694" s="14" t="s">
        <v>70</v>
      </c>
      <c r="F694" s="16" t="s">
        <v>460</v>
      </c>
      <c r="G694" s="16" t="s">
        <v>815</v>
      </c>
      <c r="H694" s="14">
        <v>-2.4E-2</v>
      </c>
      <c r="I694" s="14" t="s">
        <v>9808</v>
      </c>
      <c r="J694" s="14" t="s">
        <v>9809</v>
      </c>
      <c r="K694" s="14" t="s">
        <v>9810</v>
      </c>
      <c r="L694" s="14" t="s">
        <v>9811</v>
      </c>
      <c r="O694" s="14" t="s">
        <v>9812</v>
      </c>
      <c r="P694" s="14" t="s">
        <v>9813</v>
      </c>
      <c r="Q694" s="14">
        <v>422524.72</v>
      </c>
      <c r="R694" s="14">
        <v>6192735.8600000003</v>
      </c>
      <c r="S694" s="14" t="s">
        <v>9814</v>
      </c>
      <c r="T694" s="14" t="s">
        <v>9815</v>
      </c>
      <c r="U694" s="14">
        <v>422547.59</v>
      </c>
      <c r="V694" s="14">
        <v>6192732.5</v>
      </c>
      <c r="W694" s="14">
        <v>0.35</v>
      </c>
      <c r="X694" s="14">
        <v>150.05000000000001</v>
      </c>
    </row>
    <row r="695" spans="1:24" s="14" customFormat="1" x14ac:dyDescent="0.25">
      <c r="A695" s="50">
        <v>45098</v>
      </c>
      <c r="B695" s="16">
        <v>172</v>
      </c>
      <c r="C695" s="36">
        <v>0.4533564814814815</v>
      </c>
      <c r="D695" s="16" t="s">
        <v>97</v>
      </c>
      <c r="E695" s="14" t="s">
        <v>65</v>
      </c>
      <c r="F695" s="16" t="s">
        <v>460</v>
      </c>
      <c r="G695" s="16" t="s">
        <v>816</v>
      </c>
      <c r="H695" s="14">
        <v>-1.7000000000000001E-2</v>
      </c>
      <c r="I695" s="14" t="s">
        <v>9820</v>
      </c>
      <c r="J695" s="14" t="s">
        <v>9821</v>
      </c>
      <c r="K695" s="14" t="s">
        <v>9822</v>
      </c>
      <c r="L695" s="14" t="s">
        <v>9811</v>
      </c>
      <c r="O695" s="14" t="s">
        <v>9816</v>
      </c>
      <c r="P695" s="14" t="s">
        <v>9817</v>
      </c>
      <c r="Q695" s="14">
        <v>422518.05</v>
      </c>
      <c r="R695" s="14">
        <v>6192738.6200000001</v>
      </c>
      <c r="S695" s="14" t="s">
        <v>9818</v>
      </c>
      <c r="T695" s="14" t="s">
        <v>9819</v>
      </c>
      <c r="U695" s="14">
        <v>422538.53</v>
      </c>
      <c r="V695" s="14">
        <v>6192736.04</v>
      </c>
      <c r="W695" s="14">
        <v>181.47</v>
      </c>
      <c r="X695" s="14">
        <v>150.05000000000001</v>
      </c>
    </row>
    <row r="696" spans="1:24" s="14" customFormat="1" x14ac:dyDescent="0.25">
      <c r="A696" s="50">
        <v>45098</v>
      </c>
      <c r="B696" s="16">
        <v>172</v>
      </c>
      <c r="C696" s="36">
        <v>0.45690972222222226</v>
      </c>
      <c r="D696" s="16" t="s">
        <v>97</v>
      </c>
      <c r="E696" s="14" t="s">
        <v>70</v>
      </c>
      <c r="F696" s="16" t="s">
        <v>460</v>
      </c>
      <c r="G696" s="16" t="s">
        <v>816</v>
      </c>
      <c r="H696" s="14">
        <v>0.16900000000000001</v>
      </c>
      <c r="I696" s="14" t="s">
        <v>9820</v>
      </c>
      <c r="J696" s="14" t="s">
        <v>9821</v>
      </c>
      <c r="K696" s="14" t="s">
        <v>9822</v>
      </c>
      <c r="L696" s="14" t="s">
        <v>9827</v>
      </c>
      <c r="O696" s="14" t="s">
        <v>9823</v>
      </c>
      <c r="P696" s="14" t="s">
        <v>9824</v>
      </c>
      <c r="Q696" s="14">
        <v>422517.83</v>
      </c>
      <c r="R696" s="14">
        <v>6192554.9299999997</v>
      </c>
      <c r="S696" s="14" t="s">
        <v>9825</v>
      </c>
      <c r="T696" s="14" t="s">
        <v>9826</v>
      </c>
      <c r="U696" s="14">
        <v>422538.49</v>
      </c>
      <c r="V696" s="14">
        <v>6192550.1600000001</v>
      </c>
      <c r="W696" s="14">
        <v>179.41</v>
      </c>
      <c r="X696" s="14">
        <v>150.05000000000001</v>
      </c>
    </row>
    <row r="697" spans="1:24" s="14" customFormat="1" x14ac:dyDescent="0.25">
      <c r="A697" s="50">
        <v>45098</v>
      </c>
      <c r="B697" s="16">
        <v>172</v>
      </c>
      <c r="C697" s="36">
        <v>0.46039351851851856</v>
      </c>
      <c r="D697" s="16" t="s">
        <v>97</v>
      </c>
      <c r="E697" s="14" t="s">
        <v>65</v>
      </c>
      <c r="F697" s="16" t="s">
        <v>460</v>
      </c>
      <c r="G697" s="16" t="s">
        <v>817</v>
      </c>
      <c r="H697" s="14">
        <v>0.16400000000000001</v>
      </c>
      <c r="I697" s="14" t="s">
        <v>9832</v>
      </c>
      <c r="J697" s="14" t="s">
        <v>9833</v>
      </c>
      <c r="K697" s="14" t="s">
        <v>9834</v>
      </c>
      <c r="L697" s="14" t="s">
        <v>9827</v>
      </c>
      <c r="O697" s="14" t="s">
        <v>9828</v>
      </c>
      <c r="P697" s="14" t="s">
        <v>9829</v>
      </c>
      <c r="Q697" s="14">
        <v>422508.51</v>
      </c>
      <c r="R697" s="14">
        <v>6192549.8799999999</v>
      </c>
      <c r="S697" s="14" t="s">
        <v>9830</v>
      </c>
      <c r="T697" s="14" t="s">
        <v>9831</v>
      </c>
      <c r="U697" s="14">
        <v>422529.56</v>
      </c>
      <c r="V697" s="14">
        <v>6192544.1100000003</v>
      </c>
      <c r="W697" s="14">
        <v>359.68</v>
      </c>
      <c r="X697" s="14">
        <v>150.05000000000001</v>
      </c>
    </row>
    <row r="698" spans="1:24" s="14" customFormat="1" x14ac:dyDescent="0.25">
      <c r="A698" s="50">
        <v>45098</v>
      </c>
      <c r="B698" s="16">
        <v>172</v>
      </c>
      <c r="C698" s="36">
        <v>0.46391203703703704</v>
      </c>
      <c r="D698" s="16" t="s">
        <v>97</v>
      </c>
      <c r="E698" s="14" t="s">
        <v>70</v>
      </c>
      <c r="F698" s="16" t="s">
        <v>460</v>
      </c>
      <c r="G698" s="16" t="s">
        <v>817</v>
      </c>
      <c r="H698" s="14">
        <v>-2.1999999999999999E-2</v>
      </c>
      <c r="I698" s="14" t="s">
        <v>9832</v>
      </c>
      <c r="J698" s="14" t="s">
        <v>9833</v>
      </c>
      <c r="K698" s="14" t="s">
        <v>9834</v>
      </c>
      <c r="L698" s="14" t="s">
        <v>9827</v>
      </c>
      <c r="O698" s="14" t="s">
        <v>9835</v>
      </c>
      <c r="P698" s="14" t="s">
        <v>9836</v>
      </c>
      <c r="Q698" s="14">
        <v>422508.57</v>
      </c>
      <c r="R698" s="14">
        <v>6192736.3399999999</v>
      </c>
      <c r="S698" s="14" t="s">
        <v>9837</v>
      </c>
      <c r="T698" s="14" t="s">
        <v>9838</v>
      </c>
      <c r="U698" s="14">
        <v>422529.6</v>
      </c>
      <c r="V698" s="14">
        <v>6192730.0199999996</v>
      </c>
      <c r="W698" s="14">
        <v>359.82</v>
      </c>
      <c r="X698" s="14">
        <v>150.05000000000001</v>
      </c>
    </row>
    <row r="699" spans="1:24" s="14" customFormat="1" x14ac:dyDescent="0.25">
      <c r="A699" s="50">
        <v>45098</v>
      </c>
      <c r="B699" s="16">
        <v>172</v>
      </c>
      <c r="C699" s="36">
        <v>0.46666666666666662</v>
      </c>
      <c r="D699" s="16" t="s">
        <v>97</v>
      </c>
      <c r="E699" s="163" t="s">
        <v>65</v>
      </c>
      <c r="F699" s="16" t="s">
        <v>460</v>
      </c>
      <c r="G699" s="16" t="s">
        <v>818</v>
      </c>
      <c r="H699" s="14">
        <v>-1.4999999999999999E-2</v>
      </c>
      <c r="I699" s="14" t="s">
        <v>9843</v>
      </c>
      <c r="J699" s="14" t="s">
        <v>9844</v>
      </c>
      <c r="K699" s="14" t="s">
        <v>9845</v>
      </c>
      <c r="L699" s="14" t="s">
        <v>9846</v>
      </c>
      <c r="O699" s="14" t="s">
        <v>9839</v>
      </c>
      <c r="P699" s="14" t="s">
        <v>9840</v>
      </c>
      <c r="Q699" s="14">
        <v>422500.72</v>
      </c>
      <c r="R699" s="14">
        <v>6192737.4100000001</v>
      </c>
      <c r="S699" s="14" t="s">
        <v>9841</v>
      </c>
      <c r="T699" s="14" t="s">
        <v>9842</v>
      </c>
      <c r="U699" s="14">
        <v>422520.59</v>
      </c>
      <c r="V699" s="14">
        <v>6192734.6100000003</v>
      </c>
      <c r="W699" s="14">
        <v>182.61</v>
      </c>
      <c r="X699" s="14">
        <v>150.05000000000001</v>
      </c>
    </row>
    <row r="700" spans="1:24" s="14" customFormat="1" x14ac:dyDescent="0.25">
      <c r="A700" s="50">
        <v>45098</v>
      </c>
      <c r="B700" s="16">
        <v>172</v>
      </c>
      <c r="C700" s="36">
        <v>0.47016203703703702</v>
      </c>
      <c r="D700" s="16" t="s">
        <v>97</v>
      </c>
      <c r="E700" s="52" t="s">
        <v>70</v>
      </c>
      <c r="F700" s="16" t="s">
        <v>460</v>
      </c>
      <c r="G700" s="16" t="s">
        <v>818</v>
      </c>
      <c r="H700" s="14">
        <v>0.16900000000000001</v>
      </c>
      <c r="I700" s="14" t="s">
        <v>9843</v>
      </c>
      <c r="J700" s="14" t="s">
        <v>9844</v>
      </c>
      <c r="K700" s="14" t="s">
        <v>9845</v>
      </c>
      <c r="L700" s="14" t="s">
        <v>9846</v>
      </c>
      <c r="O700" s="14" t="s">
        <v>9847</v>
      </c>
      <c r="P700" s="14" t="s">
        <v>9848</v>
      </c>
      <c r="Q700" s="14">
        <v>422500.27</v>
      </c>
      <c r="R700" s="14">
        <v>6192556.1200000001</v>
      </c>
      <c r="S700" s="14" t="s">
        <v>9849</v>
      </c>
      <c r="T700" s="14" t="s">
        <v>9850</v>
      </c>
      <c r="U700" s="14">
        <v>422520.58</v>
      </c>
      <c r="V700" s="14">
        <v>6192550.46</v>
      </c>
      <c r="W700" s="14">
        <v>179.68</v>
      </c>
      <c r="X700" s="14">
        <v>150.05000000000001</v>
      </c>
    </row>
    <row r="701" spans="1:24" s="14" customFormat="1" x14ac:dyDescent="0.25">
      <c r="A701" s="50">
        <v>45098</v>
      </c>
      <c r="B701" s="16">
        <v>172</v>
      </c>
      <c r="C701" s="36">
        <v>0.47343750000000001</v>
      </c>
      <c r="D701" s="16" t="s">
        <v>97</v>
      </c>
      <c r="E701" s="14" t="s">
        <v>65</v>
      </c>
      <c r="F701" s="16" t="s">
        <v>460</v>
      </c>
      <c r="G701" s="16" t="s">
        <v>819</v>
      </c>
      <c r="H701" s="14">
        <v>0.16400000000000001</v>
      </c>
      <c r="I701" s="14" t="s">
        <v>9855</v>
      </c>
      <c r="J701" s="14" t="s">
        <v>9856</v>
      </c>
      <c r="K701" s="14" t="s">
        <v>9857</v>
      </c>
      <c r="L701" s="14" t="s">
        <v>9846</v>
      </c>
      <c r="O701" s="14" t="s">
        <v>9851</v>
      </c>
      <c r="P701" s="14" t="s">
        <v>9852</v>
      </c>
      <c r="Q701" s="14">
        <v>422490.2</v>
      </c>
      <c r="R701" s="14">
        <v>6192551.3499999996</v>
      </c>
      <c r="S701" s="14" t="s">
        <v>9853</v>
      </c>
      <c r="T701" s="14" t="s">
        <v>9854</v>
      </c>
      <c r="U701" s="14">
        <v>422511.6</v>
      </c>
      <c r="V701" s="14">
        <v>6192544.3700000001</v>
      </c>
      <c r="W701" s="14">
        <v>0.16</v>
      </c>
      <c r="X701" s="14">
        <v>150.05000000000001</v>
      </c>
    </row>
    <row r="702" spans="1:24" s="14" customFormat="1" x14ac:dyDescent="0.25">
      <c r="A702" s="50">
        <v>45098</v>
      </c>
      <c r="B702" s="16">
        <v>172</v>
      </c>
      <c r="C702" s="36">
        <v>0.47694444444444445</v>
      </c>
      <c r="D702" s="16" t="s">
        <v>97</v>
      </c>
      <c r="E702" s="14" t="s">
        <v>70</v>
      </c>
      <c r="F702" s="16" t="s">
        <v>460</v>
      </c>
      <c r="G702" s="16" t="s">
        <v>819</v>
      </c>
      <c r="H702" s="14">
        <v>-2.1999999999999999E-2</v>
      </c>
      <c r="I702" s="14" t="s">
        <v>9855</v>
      </c>
      <c r="J702" s="14" t="s">
        <v>9856</v>
      </c>
      <c r="K702" s="14" t="s">
        <v>9857</v>
      </c>
      <c r="L702" s="14" t="s">
        <v>9862</v>
      </c>
      <c r="O702" s="14" t="s">
        <v>9858</v>
      </c>
      <c r="P702" s="14" t="s">
        <v>9859</v>
      </c>
      <c r="Q702" s="14">
        <v>422491.13</v>
      </c>
      <c r="R702" s="14">
        <v>6192736.1900000004</v>
      </c>
      <c r="S702" s="14" t="s">
        <v>9860</v>
      </c>
      <c r="T702" s="14" t="s">
        <v>9861</v>
      </c>
      <c r="U702" s="14">
        <v>422511.65</v>
      </c>
      <c r="V702" s="14">
        <v>6192729.8600000003</v>
      </c>
      <c r="W702" s="14">
        <v>359.32</v>
      </c>
      <c r="X702" s="14">
        <v>150.05000000000001</v>
      </c>
    </row>
    <row r="703" spans="1:24" s="14" customFormat="1" x14ac:dyDescent="0.25">
      <c r="A703" s="50">
        <v>45098</v>
      </c>
      <c r="B703" s="16">
        <v>172</v>
      </c>
      <c r="C703" s="36">
        <v>0.48038194444444443</v>
      </c>
      <c r="D703" s="16" t="s">
        <v>97</v>
      </c>
      <c r="E703" s="14" t="s">
        <v>65</v>
      </c>
      <c r="F703" s="16" t="s">
        <v>460</v>
      </c>
      <c r="G703" s="16" t="s">
        <v>825</v>
      </c>
      <c r="H703" s="14">
        <v>-1.7999999999999999E-2</v>
      </c>
      <c r="I703" s="14" t="s">
        <v>9867</v>
      </c>
      <c r="J703" s="14" t="s">
        <v>9868</v>
      </c>
      <c r="K703" s="14" t="s">
        <v>9869</v>
      </c>
      <c r="L703" s="14" t="s">
        <v>9862</v>
      </c>
      <c r="O703" s="14" t="s">
        <v>9863</v>
      </c>
      <c r="P703" s="14" t="s">
        <v>9864</v>
      </c>
      <c r="Q703" s="14">
        <v>422482.64</v>
      </c>
      <c r="R703" s="14">
        <v>6192742.8799999999</v>
      </c>
      <c r="S703" s="14" t="s">
        <v>9865</v>
      </c>
      <c r="T703" s="14" t="s">
        <v>9866</v>
      </c>
      <c r="U703" s="14">
        <v>422502.7</v>
      </c>
      <c r="V703" s="14">
        <v>6192736.8499999996</v>
      </c>
      <c r="W703" s="14">
        <v>181.42</v>
      </c>
      <c r="X703" s="14">
        <v>150.05000000000001</v>
      </c>
    </row>
    <row r="704" spans="1:24" s="14" customFormat="1" x14ac:dyDescent="0.25">
      <c r="A704" s="50">
        <v>45098</v>
      </c>
      <c r="B704" s="16">
        <v>172</v>
      </c>
      <c r="C704" s="36">
        <v>0.48393518518518519</v>
      </c>
      <c r="D704" s="16" t="s">
        <v>97</v>
      </c>
      <c r="E704" s="14" t="s">
        <v>70</v>
      </c>
      <c r="F704" s="16" t="s">
        <v>460</v>
      </c>
      <c r="G704" s="16" t="s">
        <v>825</v>
      </c>
      <c r="H704" s="14">
        <v>0.16800000000000001</v>
      </c>
      <c r="I704" s="14" t="s">
        <v>9867</v>
      </c>
      <c r="J704" s="14" t="s">
        <v>9868</v>
      </c>
      <c r="K704" s="14" t="s">
        <v>9869</v>
      </c>
      <c r="L704" s="14" t="s">
        <v>9862</v>
      </c>
      <c r="O704" s="14" t="s">
        <v>9870</v>
      </c>
      <c r="P704" s="14" t="s">
        <v>9871</v>
      </c>
      <c r="Q704" s="14">
        <v>422482.82</v>
      </c>
      <c r="R704" s="14">
        <v>6192559.1100000003</v>
      </c>
      <c r="S704" s="14" t="s">
        <v>9872</v>
      </c>
      <c r="T704" s="14" t="s">
        <v>9873</v>
      </c>
      <c r="U704" s="14">
        <v>422502.63</v>
      </c>
      <c r="V704" s="14">
        <v>6192551.3799999999</v>
      </c>
      <c r="W704" s="14">
        <v>179.79</v>
      </c>
      <c r="X704" s="14">
        <v>150.05000000000001</v>
      </c>
    </row>
    <row r="705" spans="1:24" s="14" customFormat="1" x14ac:dyDescent="0.25">
      <c r="A705" s="50">
        <v>45098</v>
      </c>
      <c r="B705" s="16">
        <v>172</v>
      </c>
      <c r="C705" s="36">
        <v>0.4886921296296296</v>
      </c>
      <c r="D705" s="16" t="s">
        <v>97</v>
      </c>
      <c r="E705" s="14" t="s">
        <v>65</v>
      </c>
      <c r="F705" s="16" t="s">
        <v>460</v>
      </c>
      <c r="G705" s="16" t="s">
        <v>824</v>
      </c>
      <c r="H705" s="14">
        <v>0.16700000000000001</v>
      </c>
      <c r="I705" s="14" t="s">
        <v>9878</v>
      </c>
      <c r="J705" s="14" t="s">
        <v>9879</v>
      </c>
      <c r="K705" s="14" t="s">
        <v>9880</v>
      </c>
      <c r="L705" s="14" t="s">
        <v>9881</v>
      </c>
      <c r="O705" s="14" t="s">
        <v>9874</v>
      </c>
      <c r="P705" s="14" t="s">
        <v>9875</v>
      </c>
      <c r="Q705" s="14">
        <v>422473.46</v>
      </c>
      <c r="R705" s="14">
        <v>6192545.8700000001</v>
      </c>
      <c r="S705" s="14" t="s">
        <v>9876</v>
      </c>
      <c r="T705" s="14" t="s">
        <v>9877</v>
      </c>
      <c r="U705" s="14">
        <v>422493.39</v>
      </c>
      <c r="V705" s="14">
        <v>6192541.6200000001</v>
      </c>
      <c r="W705" s="14">
        <v>2.1</v>
      </c>
      <c r="X705" s="14">
        <v>150.05000000000001</v>
      </c>
    </row>
    <row r="706" spans="1:24" s="14" customFormat="1" x14ac:dyDescent="0.25">
      <c r="A706" s="50">
        <v>45098</v>
      </c>
      <c r="B706" s="16">
        <v>172</v>
      </c>
      <c r="C706" s="36">
        <v>0.49228009259259259</v>
      </c>
      <c r="D706" s="16" t="s">
        <v>97</v>
      </c>
      <c r="E706" s="14" t="s">
        <v>70</v>
      </c>
      <c r="F706" s="16" t="s">
        <v>460</v>
      </c>
      <c r="G706" s="16" t="s">
        <v>824</v>
      </c>
      <c r="H706" s="14">
        <v>-2.1999999999999999E-2</v>
      </c>
      <c r="I706" s="14" t="s">
        <v>9878</v>
      </c>
      <c r="J706" s="14" t="s">
        <v>9879</v>
      </c>
      <c r="K706" s="14" t="s">
        <v>9880</v>
      </c>
      <c r="L706" s="14" t="s">
        <v>9881</v>
      </c>
      <c r="O706" s="14" t="s">
        <v>9882</v>
      </c>
      <c r="P706" s="14" t="s">
        <v>9883</v>
      </c>
      <c r="Q706" s="14">
        <v>422472.68</v>
      </c>
      <c r="R706" s="14">
        <v>6192732.7599999998</v>
      </c>
      <c r="S706" s="14" t="s">
        <v>9884</v>
      </c>
      <c r="T706" s="14" t="s">
        <v>9885</v>
      </c>
      <c r="U706" s="14">
        <v>422493.61</v>
      </c>
      <c r="V706" s="14">
        <v>6192729.9500000002</v>
      </c>
      <c r="W706" s="14">
        <v>358.81</v>
      </c>
      <c r="X706" s="14">
        <v>150.05000000000001</v>
      </c>
    </row>
    <row r="707" spans="1:24" s="14" customFormat="1" x14ac:dyDescent="0.25">
      <c r="A707" s="50">
        <v>45098</v>
      </c>
      <c r="B707" s="16">
        <v>172</v>
      </c>
      <c r="C707" s="36">
        <v>0.49540509259259258</v>
      </c>
      <c r="D707" s="16" t="s">
        <v>97</v>
      </c>
      <c r="E707" s="14" t="s">
        <v>65</v>
      </c>
      <c r="F707" s="16" t="s">
        <v>460</v>
      </c>
      <c r="G707" s="16" t="s">
        <v>823</v>
      </c>
      <c r="H707" s="14">
        <v>-1.6E-2</v>
      </c>
      <c r="I707" s="14" t="s">
        <v>9890</v>
      </c>
      <c r="J707" s="14" t="s">
        <v>9891</v>
      </c>
      <c r="K707" s="14" t="s">
        <v>9892</v>
      </c>
      <c r="L707" s="14" t="s">
        <v>9881</v>
      </c>
      <c r="O707" s="14" t="s">
        <v>9886</v>
      </c>
      <c r="P707" s="14" t="s">
        <v>9887</v>
      </c>
      <c r="Q707" s="14">
        <v>422465.96</v>
      </c>
      <c r="R707" s="14">
        <v>6192746.29</v>
      </c>
      <c r="S707" s="14" t="s">
        <v>9888</v>
      </c>
      <c r="T707" s="14" t="s">
        <v>9889</v>
      </c>
      <c r="U707" s="14">
        <v>422484.63</v>
      </c>
      <c r="V707" s="14">
        <v>6192735.1799999997</v>
      </c>
      <c r="W707" s="14">
        <v>180.59</v>
      </c>
      <c r="X707" s="14">
        <v>150.05000000000001</v>
      </c>
    </row>
    <row r="708" spans="1:24" s="14" customFormat="1" x14ac:dyDescent="0.25">
      <c r="A708" s="50">
        <v>45098</v>
      </c>
      <c r="B708" s="16">
        <v>172</v>
      </c>
      <c r="C708" s="36">
        <v>0.49914351851851851</v>
      </c>
      <c r="D708" s="16" t="s">
        <v>97</v>
      </c>
      <c r="E708" s="14" t="s">
        <v>70</v>
      </c>
      <c r="F708" s="16" t="s">
        <v>460</v>
      </c>
      <c r="G708" s="16" t="s">
        <v>823</v>
      </c>
      <c r="H708" s="14">
        <v>0.17</v>
      </c>
      <c r="I708" s="14" t="s">
        <v>9890</v>
      </c>
      <c r="J708" s="14" t="s">
        <v>9891</v>
      </c>
      <c r="K708" s="14" t="s">
        <v>9892</v>
      </c>
      <c r="L708" s="14" t="s">
        <v>9897</v>
      </c>
      <c r="O708" s="14" t="s">
        <v>9893</v>
      </c>
      <c r="P708" s="14" t="s">
        <v>9894</v>
      </c>
      <c r="Q708" s="14">
        <v>422464.59</v>
      </c>
      <c r="R708" s="14">
        <v>6192553.0499999998</v>
      </c>
      <c r="S708" s="14" t="s">
        <v>9895</v>
      </c>
      <c r="T708" s="14" t="s">
        <v>9896</v>
      </c>
      <c r="U708" s="14">
        <v>422484.64</v>
      </c>
      <c r="V708" s="14">
        <v>6192549.4900000002</v>
      </c>
      <c r="W708" s="14">
        <v>179.19</v>
      </c>
      <c r="X708" s="14">
        <v>150.05000000000001</v>
      </c>
    </row>
    <row r="709" spans="1:24" s="14" customFormat="1" x14ac:dyDescent="0.25">
      <c r="A709" s="50">
        <v>45098</v>
      </c>
      <c r="B709" s="16">
        <v>172</v>
      </c>
      <c r="C709" s="36">
        <v>0.50384259259259256</v>
      </c>
      <c r="D709" s="16" t="s">
        <v>97</v>
      </c>
      <c r="E709" s="52" t="s">
        <v>65</v>
      </c>
      <c r="F709" s="16" t="s">
        <v>460</v>
      </c>
      <c r="G709" s="16" t="s">
        <v>822</v>
      </c>
      <c r="H709" s="14">
        <v>0.16400000000000001</v>
      </c>
      <c r="I709" s="14" t="s">
        <v>9902</v>
      </c>
      <c r="J709" s="14" t="s">
        <v>9903</v>
      </c>
      <c r="K709" s="14" t="s">
        <v>9904</v>
      </c>
      <c r="L709" s="14" t="s">
        <v>9897</v>
      </c>
      <c r="O709" s="14" t="s">
        <v>9898</v>
      </c>
      <c r="P709" s="14" t="s">
        <v>9899</v>
      </c>
      <c r="Q709" s="14">
        <v>422456.05</v>
      </c>
      <c r="R709" s="14">
        <v>6192544.0899999999</v>
      </c>
      <c r="S709" s="14" t="s">
        <v>9900</v>
      </c>
      <c r="T709" s="14" t="s">
        <v>9901</v>
      </c>
      <c r="U709" s="14">
        <v>422475.42</v>
      </c>
      <c r="V709" s="14">
        <v>6192544.5999999996</v>
      </c>
      <c r="W709" s="14">
        <v>0.38</v>
      </c>
      <c r="X709" s="14">
        <v>150.05000000000001</v>
      </c>
    </row>
    <row r="710" spans="1:24" s="14" customFormat="1" x14ac:dyDescent="0.25">
      <c r="A710" s="50">
        <v>45098</v>
      </c>
      <c r="B710" s="16">
        <v>172</v>
      </c>
      <c r="C710" s="36">
        <v>0.50749999999999995</v>
      </c>
      <c r="D710" s="16" t="s">
        <v>97</v>
      </c>
      <c r="E710" s="14" t="s">
        <v>70</v>
      </c>
      <c r="F710" s="16" t="s">
        <v>460</v>
      </c>
      <c r="G710" s="16" t="s">
        <v>822</v>
      </c>
      <c r="H710" s="14">
        <v>-2.5999999999999999E-2</v>
      </c>
      <c r="I710" s="14" t="s">
        <v>9902</v>
      </c>
      <c r="J710" s="14" t="s">
        <v>9909</v>
      </c>
      <c r="K710" s="14" t="s">
        <v>9904</v>
      </c>
      <c r="L710" s="14" t="s">
        <v>9910</v>
      </c>
      <c r="O710" s="14" t="s">
        <v>9905</v>
      </c>
      <c r="P710" s="14" t="s">
        <v>9906</v>
      </c>
      <c r="Q710" s="14">
        <v>422454.12</v>
      </c>
      <c r="R710" s="14">
        <v>6192736.6299999999</v>
      </c>
      <c r="S710" s="14" t="s">
        <v>9907</v>
      </c>
      <c r="T710" s="14" t="s">
        <v>9908</v>
      </c>
      <c r="U710" s="14">
        <v>422475.5</v>
      </c>
      <c r="V710" s="14">
        <v>6192733.9500000002</v>
      </c>
      <c r="W710" s="14">
        <v>359.26</v>
      </c>
      <c r="X710" s="14">
        <v>150.05000000000001</v>
      </c>
    </row>
    <row r="711" spans="1:24" s="14" customFormat="1" x14ac:dyDescent="0.25">
      <c r="A711" s="50">
        <v>45098</v>
      </c>
      <c r="B711" s="16">
        <v>172</v>
      </c>
      <c r="C711" s="36">
        <v>0.51149305555555558</v>
      </c>
      <c r="D711" s="16" t="s">
        <v>97</v>
      </c>
      <c r="E711" s="14" t="s">
        <v>65</v>
      </c>
      <c r="F711" s="16" t="s">
        <v>460</v>
      </c>
      <c r="G711" s="16" t="s">
        <v>821</v>
      </c>
      <c r="H711" s="14">
        <v>-7.0000000000000001E-3</v>
      </c>
      <c r="I711" s="14" t="s">
        <v>9915</v>
      </c>
      <c r="J711" s="14" t="s">
        <v>9916</v>
      </c>
      <c r="K711" s="14" t="s">
        <v>9917</v>
      </c>
      <c r="L711" s="14" t="s">
        <v>9910</v>
      </c>
      <c r="O711" s="14" t="s">
        <v>9911</v>
      </c>
      <c r="P711" s="14" t="s">
        <v>9912</v>
      </c>
      <c r="Q711" s="14">
        <v>422447.86</v>
      </c>
      <c r="R711" s="14">
        <v>6192731.5899999999</v>
      </c>
      <c r="S711" s="14" t="s">
        <v>9913</v>
      </c>
      <c r="T711" s="14" t="s">
        <v>9914</v>
      </c>
      <c r="U711" s="14">
        <v>422466.51</v>
      </c>
      <c r="V711" s="14">
        <v>6192725.8899999997</v>
      </c>
      <c r="W711" s="14">
        <v>178.89</v>
      </c>
      <c r="X711" s="14">
        <v>150.05000000000001</v>
      </c>
    </row>
    <row r="712" spans="1:24" s="14" customFormat="1" x14ac:dyDescent="0.25">
      <c r="A712" s="50">
        <v>45098</v>
      </c>
      <c r="B712" s="16">
        <v>172</v>
      </c>
      <c r="C712" s="36">
        <v>0.51479166666666665</v>
      </c>
      <c r="D712" s="16" t="s">
        <v>97</v>
      </c>
      <c r="E712" s="14" t="s">
        <v>70</v>
      </c>
      <c r="F712" s="16" t="s">
        <v>460</v>
      </c>
      <c r="G712" s="16" t="s">
        <v>821</v>
      </c>
      <c r="H712" s="14">
        <v>0.16800000000000001</v>
      </c>
      <c r="I712" s="14" t="s">
        <v>9915</v>
      </c>
      <c r="J712" s="14" t="s">
        <v>9916</v>
      </c>
      <c r="K712" s="14" t="s">
        <v>9917</v>
      </c>
      <c r="L712" s="14" t="s">
        <v>9910</v>
      </c>
      <c r="O712" s="14" t="s">
        <v>9918</v>
      </c>
      <c r="P712" s="14" t="s">
        <v>9919</v>
      </c>
      <c r="Q712" s="14">
        <v>422447.39</v>
      </c>
      <c r="R712" s="14">
        <v>6192558.04</v>
      </c>
      <c r="S712" s="14" t="s">
        <v>9920</v>
      </c>
      <c r="T712" s="14" t="s">
        <v>9921</v>
      </c>
      <c r="U712" s="14">
        <v>422466.57</v>
      </c>
      <c r="V712" s="14">
        <v>6192551.5999999996</v>
      </c>
      <c r="W712" s="14">
        <v>179.25</v>
      </c>
      <c r="X712" s="14">
        <v>150.05000000000001</v>
      </c>
    </row>
    <row r="713" spans="1:24" s="14" customFormat="1" x14ac:dyDescent="0.25">
      <c r="A713" s="50">
        <v>45098</v>
      </c>
      <c r="B713" s="16">
        <v>172</v>
      </c>
      <c r="C713" s="36">
        <v>0.51824074074074067</v>
      </c>
      <c r="D713" s="16" t="s">
        <v>97</v>
      </c>
      <c r="E713" s="14" t="s">
        <v>65</v>
      </c>
      <c r="F713" s="16" t="s">
        <v>460</v>
      </c>
      <c r="G713" s="16" t="s">
        <v>820</v>
      </c>
      <c r="H713" s="14">
        <v>0.16400000000000001</v>
      </c>
      <c r="I713" s="14" t="s">
        <v>9926</v>
      </c>
      <c r="J713" s="14" t="s">
        <v>9927</v>
      </c>
      <c r="K713" s="14" t="s">
        <v>9928</v>
      </c>
      <c r="L713" s="14" t="s">
        <v>9929</v>
      </c>
      <c r="O713" s="14" t="s">
        <v>9922</v>
      </c>
      <c r="P713" s="14" t="s">
        <v>9923</v>
      </c>
      <c r="Q713" s="14">
        <v>422436.04</v>
      </c>
      <c r="R713" s="14">
        <v>6192543.6399999997</v>
      </c>
      <c r="S713" s="14" t="s">
        <v>9924</v>
      </c>
      <c r="T713" s="14" t="s">
        <v>9925</v>
      </c>
      <c r="U713" s="14">
        <v>422457.44</v>
      </c>
      <c r="V713" s="14">
        <v>6192544.1699999999</v>
      </c>
      <c r="W713" s="14">
        <v>0.06</v>
      </c>
      <c r="X713" s="14">
        <v>150.05000000000001</v>
      </c>
    </row>
    <row r="714" spans="1:24" s="14" customFormat="1" x14ac:dyDescent="0.25">
      <c r="A714" s="50">
        <v>45098</v>
      </c>
      <c r="B714" s="16">
        <v>172</v>
      </c>
      <c r="C714" s="36">
        <v>0.52188657407407402</v>
      </c>
      <c r="D714" s="16" t="s">
        <v>97</v>
      </c>
      <c r="E714" s="14" t="s">
        <v>70</v>
      </c>
      <c r="F714" s="16" t="s">
        <v>460</v>
      </c>
      <c r="G714" s="16" t="s">
        <v>820</v>
      </c>
      <c r="H714" s="14">
        <v>-2.4E-2</v>
      </c>
      <c r="I714" s="14" t="s">
        <v>9926</v>
      </c>
      <c r="J714" s="14" t="s">
        <v>9927</v>
      </c>
      <c r="K714" s="14" t="s">
        <v>9928</v>
      </c>
      <c r="L714" s="14" t="s">
        <v>9929</v>
      </c>
      <c r="O714" s="14" t="s">
        <v>9930</v>
      </c>
      <c r="P714" s="14" t="s">
        <v>9931</v>
      </c>
      <c r="Q714" s="14">
        <v>422436.26</v>
      </c>
      <c r="R714" s="14">
        <v>6192735.2199999997</v>
      </c>
      <c r="S714" s="14" t="s">
        <v>9932</v>
      </c>
      <c r="T714" s="14" t="s">
        <v>9933</v>
      </c>
      <c r="U714" s="14">
        <v>422457.56</v>
      </c>
      <c r="V714" s="14">
        <v>6192731.7199999997</v>
      </c>
      <c r="W714" s="14">
        <v>358.91</v>
      </c>
      <c r="X714" s="14">
        <v>150.05000000000001</v>
      </c>
    </row>
    <row r="715" spans="1:24" s="14" customFormat="1" x14ac:dyDescent="0.25">
      <c r="A715" s="50">
        <v>45098</v>
      </c>
      <c r="B715" s="16">
        <v>172</v>
      </c>
      <c r="C715" s="36">
        <v>0.52628472222222222</v>
      </c>
      <c r="D715" s="16" t="s">
        <v>97</v>
      </c>
      <c r="E715" s="14" t="s">
        <v>9944</v>
      </c>
      <c r="F715" s="16" t="s">
        <v>460</v>
      </c>
      <c r="G715" s="16" t="s">
        <v>706</v>
      </c>
      <c r="H715" s="14">
        <v>2.0209999999999999</v>
      </c>
      <c r="O715" s="14" t="s">
        <v>9935</v>
      </c>
      <c r="P715" s="14" t="s">
        <v>9936</v>
      </c>
      <c r="Q715" s="14">
        <v>422438.36</v>
      </c>
      <c r="R715" s="14">
        <v>6192758.75</v>
      </c>
      <c r="S715" s="14" t="s">
        <v>9937</v>
      </c>
      <c r="T715" s="14" t="s">
        <v>9938</v>
      </c>
      <c r="U715" s="14">
        <v>422449.3</v>
      </c>
      <c r="V715" s="14">
        <v>6192755.1900000004</v>
      </c>
      <c r="W715" s="14">
        <v>98.18</v>
      </c>
      <c r="X715" s="14">
        <v>150.05000000000001</v>
      </c>
    </row>
    <row r="716" spans="1:24" s="14" customFormat="1" x14ac:dyDescent="0.25">
      <c r="A716" s="50">
        <v>45098</v>
      </c>
      <c r="B716" s="16">
        <v>172</v>
      </c>
      <c r="C716" s="36">
        <v>0.52638888888888891</v>
      </c>
      <c r="D716" s="16" t="s">
        <v>97</v>
      </c>
      <c r="E716" s="14" t="s">
        <v>9934</v>
      </c>
      <c r="F716" s="16" t="s">
        <v>460</v>
      </c>
      <c r="G716" s="16" t="s">
        <v>706</v>
      </c>
      <c r="H716" s="14">
        <v>2.0190000000000001</v>
      </c>
      <c r="O716" s="14" t="s">
        <v>9940</v>
      </c>
      <c r="P716" s="14" t="s">
        <v>9941</v>
      </c>
      <c r="Q716" s="14">
        <v>422440.13</v>
      </c>
      <c r="R716" s="14">
        <v>6192760.5099999998</v>
      </c>
      <c r="S716" s="14" t="s">
        <v>9942</v>
      </c>
      <c r="T716" s="14" t="s">
        <v>9943</v>
      </c>
      <c r="U716" s="14">
        <v>422451</v>
      </c>
      <c r="V716" s="14">
        <v>6192756.7400000002</v>
      </c>
      <c r="W716" s="14">
        <v>97.68</v>
      </c>
      <c r="X716" s="14">
        <v>150.05000000000001</v>
      </c>
    </row>
    <row r="717" spans="1:24" s="14" customFormat="1" x14ac:dyDescent="0.25">
      <c r="A717" s="50">
        <v>45098</v>
      </c>
      <c r="B717" s="16">
        <v>172</v>
      </c>
      <c r="C717" s="36">
        <v>0.53969907407407403</v>
      </c>
      <c r="D717" s="16" t="s">
        <v>97</v>
      </c>
      <c r="E717" s="14" t="s">
        <v>9957</v>
      </c>
      <c r="F717" s="16" t="s">
        <v>460</v>
      </c>
      <c r="G717" s="16" t="s">
        <v>706</v>
      </c>
      <c r="H717" s="14">
        <v>0.193</v>
      </c>
      <c r="O717" s="14" t="s">
        <v>9945</v>
      </c>
      <c r="P717" s="14" t="s">
        <v>9946</v>
      </c>
      <c r="Q717" s="14">
        <v>422599.26</v>
      </c>
      <c r="R717" s="14">
        <v>6194584.7000000002</v>
      </c>
      <c r="S717" s="14" t="s">
        <v>9947</v>
      </c>
      <c r="T717" s="14" t="s">
        <v>9948</v>
      </c>
      <c r="U717" s="14">
        <v>422610.26</v>
      </c>
      <c r="V717" s="14">
        <v>6194581.9199999999</v>
      </c>
      <c r="W717" s="14">
        <v>92.8</v>
      </c>
      <c r="X717" s="14">
        <v>150.05000000000001</v>
      </c>
    </row>
    <row r="718" spans="1:24" s="68" customFormat="1" x14ac:dyDescent="0.25">
      <c r="A718" s="65">
        <v>45098</v>
      </c>
      <c r="B718" s="66">
        <v>172</v>
      </c>
      <c r="C718" s="67">
        <v>0.54254629629629625</v>
      </c>
      <c r="D718" s="66" t="s">
        <v>97</v>
      </c>
      <c r="E718" s="68" t="s">
        <v>9963</v>
      </c>
      <c r="F718" s="66" t="s">
        <v>460</v>
      </c>
      <c r="G718" s="66" t="s">
        <v>706</v>
      </c>
      <c r="H718" s="68">
        <v>3.1E-2</v>
      </c>
      <c r="M718" s="68" t="s">
        <v>9958</v>
      </c>
      <c r="O718" s="68" t="s">
        <v>9959</v>
      </c>
      <c r="P718" s="68" t="s">
        <v>9960</v>
      </c>
      <c r="Q718" s="68">
        <v>422598.55</v>
      </c>
      <c r="R718" s="68">
        <v>6194741.2400000002</v>
      </c>
      <c r="S718" s="68" t="s">
        <v>9961</v>
      </c>
      <c r="T718" s="68" t="s">
        <v>9962</v>
      </c>
      <c r="U718" s="68">
        <v>422621.53</v>
      </c>
      <c r="V718" s="68">
        <v>6194737.6399999997</v>
      </c>
      <c r="W718" s="68">
        <v>359.25</v>
      </c>
      <c r="X718" s="68">
        <v>150.05000000000001</v>
      </c>
    </row>
    <row r="719" spans="1:24" s="14" customFormat="1" x14ac:dyDescent="0.25">
      <c r="A719" s="50">
        <v>45098</v>
      </c>
      <c r="B719" s="16">
        <v>172</v>
      </c>
      <c r="C719" s="36">
        <v>0.54527777777777775</v>
      </c>
      <c r="D719" s="16" t="s">
        <v>97</v>
      </c>
      <c r="E719" s="52" t="s">
        <v>65</v>
      </c>
      <c r="F719" s="16" t="s">
        <v>460</v>
      </c>
      <c r="G719" s="16" t="s">
        <v>706</v>
      </c>
      <c r="H719" s="14">
        <v>0.16800000000000001</v>
      </c>
      <c r="I719" s="14" t="s">
        <v>9953</v>
      </c>
      <c r="J719" s="14" t="s">
        <v>9954</v>
      </c>
      <c r="K719" s="14" t="s">
        <v>9955</v>
      </c>
      <c r="L719" s="14" t="s">
        <v>9956</v>
      </c>
      <c r="O719" s="14" t="s">
        <v>9949</v>
      </c>
      <c r="P719" s="14" t="s">
        <v>9950</v>
      </c>
      <c r="Q719" s="14">
        <v>422596.45</v>
      </c>
      <c r="R719" s="14">
        <v>6194598.7599999998</v>
      </c>
      <c r="S719" s="14" t="s">
        <v>9951</v>
      </c>
      <c r="T719" s="14" t="s">
        <v>9952</v>
      </c>
      <c r="U719" s="14">
        <v>422621.52</v>
      </c>
      <c r="V719" s="14">
        <v>6194600.7199999997</v>
      </c>
      <c r="W719" s="14">
        <v>359.23</v>
      </c>
      <c r="X719" s="14">
        <v>150.05000000000001</v>
      </c>
    </row>
    <row r="720" spans="1:24" s="14" customFormat="1" x14ac:dyDescent="0.25">
      <c r="A720" s="50">
        <v>45098</v>
      </c>
      <c r="B720" s="16">
        <v>172</v>
      </c>
      <c r="C720" s="36">
        <v>0.54910879629629628</v>
      </c>
      <c r="D720" s="16" t="s">
        <v>97</v>
      </c>
      <c r="E720" s="14" t="s">
        <v>70</v>
      </c>
      <c r="F720" s="16" t="s">
        <v>460</v>
      </c>
      <c r="G720" s="16" t="s">
        <v>706</v>
      </c>
      <c r="H720" s="14">
        <v>-2.1000000000000001E-2</v>
      </c>
      <c r="I720" s="14" t="s">
        <v>9953</v>
      </c>
      <c r="J720" s="14" t="s">
        <v>9954</v>
      </c>
      <c r="K720" s="14" t="s">
        <v>9955</v>
      </c>
      <c r="L720" s="14" t="s">
        <v>9968</v>
      </c>
      <c r="O720" s="14" t="s">
        <v>9964</v>
      </c>
      <c r="P720" s="14" t="s">
        <v>9965</v>
      </c>
      <c r="Q720" s="14">
        <v>422599.67</v>
      </c>
      <c r="R720" s="14">
        <v>6194793.7599999998</v>
      </c>
      <c r="S720" s="14" t="s">
        <v>9966</v>
      </c>
      <c r="T720" s="14" t="s">
        <v>9967</v>
      </c>
      <c r="U720" s="14">
        <v>422621.49</v>
      </c>
      <c r="V720" s="14">
        <v>6194789.3799999999</v>
      </c>
      <c r="W720" s="14">
        <v>359.52</v>
      </c>
      <c r="X720" s="14">
        <v>150.05000000000001</v>
      </c>
    </row>
    <row r="721" spans="1:24" s="14" customFormat="1" x14ac:dyDescent="0.25">
      <c r="A721" s="50">
        <v>45098</v>
      </c>
      <c r="B721" s="16">
        <v>172</v>
      </c>
      <c r="C721" s="36">
        <v>0.55236111111111108</v>
      </c>
      <c r="D721" s="16" t="s">
        <v>97</v>
      </c>
      <c r="E721" s="14" t="s">
        <v>65</v>
      </c>
      <c r="F721" s="16" t="s">
        <v>460</v>
      </c>
      <c r="G721" s="16" t="s">
        <v>707</v>
      </c>
      <c r="H721" s="14">
        <v>-1.7000000000000001E-2</v>
      </c>
      <c r="I721" s="14" t="s">
        <v>9973</v>
      </c>
      <c r="J721" s="14" t="s">
        <v>9974</v>
      </c>
      <c r="K721" s="14" t="s">
        <v>9975</v>
      </c>
      <c r="L721" s="14" t="s">
        <v>9968</v>
      </c>
      <c r="O721" s="14" t="s">
        <v>9969</v>
      </c>
      <c r="P721" s="14" t="s">
        <v>9970</v>
      </c>
      <c r="Q721" s="14">
        <v>422595.26</v>
      </c>
      <c r="R721" s="14">
        <v>6194802.75</v>
      </c>
      <c r="S721" s="14" t="s">
        <v>9971</v>
      </c>
      <c r="T721" s="14" t="s">
        <v>9972</v>
      </c>
      <c r="U721" s="14">
        <v>422612.51</v>
      </c>
      <c r="V721" s="14">
        <v>6194796.6600000001</v>
      </c>
      <c r="W721" s="14">
        <v>179.82</v>
      </c>
      <c r="X721" s="14">
        <v>150.05000000000001</v>
      </c>
    </row>
    <row r="722" spans="1:24" s="14" customFormat="1" x14ac:dyDescent="0.25">
      <c r="A722" s="50">
        <v>45098</v>
      </c>
      <c r="B722" s="16">
        <v>172</v>
      </c>
      <c r="C722" s="36">
        <v>0.55663194444444442</v>
      </c>
      <c r="D722" s="16" t="s">
        <v>97</v>
      </c>
      <c r="E722" s="14" t="s">
        <v>70</v>
      </c>
      <c r="F722" s="16" t="s">
        <v>460</v>
      </c>
      <c r="G722" s="16" t="s">
        <v>707</v>
      </c>
      <c r="H722" s="14">
        <v>0.17299999999999999</v>
      </c>
      <c r="I722" s="14" t="s">
        <v>9973</v>
      </c>
      <c r="J722" s="14" t="s">
        <v>9974</v>
      </c>
      <c r="K722" s="14" t="s">
        <v>9975</v>
      </c>
      <c r="L722" s="14" t="s">
        <v>9968</v>
      </c>
      <c r="O722" s="14" t="s">
        <v>9976</v>
      </c>
      <c r="P722" s="14" t="s">
        <v>9977</v>
      </c>
      <c r="Q722" s="14">
        <v>422593.46</v>
      </c>
      <c r="R722" s="14">
        <v>6194617.2599999998</v>
      </c>
      <c r="S722" s="14" t="s">
        <v>9978</v>
      </c>
      <c r="T722" s="14" t="s">
        <v>9979</v>
      </c>
      <c r="U722" s="14">
        <v>422612.55</v>
      </c>
      <c r="V722" s="14">
        <v>6194607.3399999999</v>
      </c>
      <c r="W722" s="14">
        <v>179.3</v>
      </c>
      <c r="X722" s="14">
        <v>150.05000000000001</v>
      </c>
    </row>
    <row r="723" spans="1:24" s="14" customFormat="1" x14ac:dyDescent="0.25">
      <c r="A723" s="50">
        <v>45098</v>
      </c>
      <c r="B723" s="16">
        <v>172</v>
      </c>
      <c r="C723" s="36">
        <v>0.55892361111111111</v>
      </c>
      <c r="D723" s="16" t="s">
        <v>97</v>
      </c>
      <c r="E723" s="14" t="s">
        <v>65</v>
      </c>
      <c r="F723" s="16" t="s">
        <v>460</v>
      </c>
      <c r="G723" s="16" t="s">
        <v>708</v>
      </c>
      <c r="H723" s="14">
        <v>0.16200000000000001</v>
      </c>
      <c r="I723" s="14" t="s">
        <v>9984</v>
      </c>
      <c r="J723" s="14" t="s">
        <v>9985</v>
      </c>
      <c r="K723" s="14" t="s">
        <v>9986</v>
      </c>
      <c r="L723" s="14" t="s">
        <v>9987</v>
      </c>
      <c r="O723" s="14" t="s">
        <v>9980</v>
      </c>
      <c r="P723" s="14" t="s">
        <v>9981</v>
      </c>
      <c r="Q723" s="14">
        <v>422584.35</v>
      </c>
      <c r="R723" s="14">
        <v>6194604.8499999996</v>
      </c>
      <c r="S723" s="14" t="s">
        <v>9982</v>
      </c>
      <c r="T723" s="14" t="s">
        <v>9983</v>
      </c>
      <c r="U723" s="14">
        <v>422603.58</v>
      </c>
      <c r="V723" s="14">
        <v>6194606.9900000002</v>
      </c>
      <c r="W723" s="14">
        <v>359.2</v>
      </c>
      <c r="X723" s="14">
        <v>150.05000000000001</v>
      </c>
    </row>
    <row r="724" spans="1:24" s="14" customFormat="1" x14ac:dyDescent="0.25">
      <c r="A724" s="50">
        <v>45098</v>
      </c>
      <c r="B724" s="16">
        <v>172</v>
      </c>
      <c r="C724" s="36">
        <v>0.56287037037037035</v>
      </c>
      <c r="D724" s="16" t="s">
        <v>97</v>
      </c>
      <c r="E724" s="14" t="s">
        <v>70</v>
      </c>
      <c r="F724" s="16" t="s">
        <v>460</v>
      </c>
      <c r="G724" s="16" t="s">
        <v>708</v>
      </c>
      <c r="H724" s="14">
        <v>-2.1000000000000001E-2</v>
      </c>
      <c r="I724" s="14" t="s">
        <v>9984</v>
      </c>
      <c r="J724" s="14" t="s">
        <v>9985</v>
      </c>
      <c r="K724" s="14" t="s">
        <v>9986</v>
      </c>
      <c r="L724" s="14" t="s">
        <v>9987</v>
      </c>
      <c r="O724" s="14" t="s">
        <v>9988</v>
      </c>
      <c r="P724" s="14" t="s">
        <v>9989</v>
      </c>
      <c r="Q724" s="14">
        <v>422584.96</v>
      </c>
      <c r="R724" s="14">
        <v>6194792.5700000003</v>
      </c>
      <c r="S724" s="14" t="s">
        <v>9990</v>
      </c>
      <c r="T724" s="14" t="s">
        <v>9991</v>
      </c>
      <c r="U724" s="14">
        <v>422603.51</v>
      </c>
      <c r="V724" s="14">
        <v>6194790.2199999997</v>
      </c>
      <c r="W724" s="14">
        <v>359.14</v>
      </c>
      <c r="X724" s="14">
        <v>150.05000000000001</v>
      </c>
    </row>
    <row r="725" spans="1:24" s="14" customFormat="1" x14ac:dyDescent="0.25">
      <c r="A725" s="50">
        <v>45098</v>
      </c>
      <c r="B725" s="16">
        <v>172</v>
      </c>
      <c r="C725" s="36">
        <v>0.5655324074074074</v>
      </c>
      <c r="D725" s="16" t="s">
        <v>97</v>
      </c>
      <c r="E725" s="14" t="s">
        <v>65</v>
      </c>
      <c r="F725" s="16" t="s">
        <v>460</v>
      </c>
      <c r="G725" s="16" t="s">
        <v>709</v>
      </c>
      <c r="H725" s="14">
        <v>-1.7999999999999999E-2</v>
      </c>
      <c r="I725" s="14" t="s">
        <v>9984</v>
      </c>
      <c r="J725" s="14" t="s">
        <v>9996</v>
      </c>
      <c r="K725" s="14" t="s">
        <v>9997</v>
      </c>
      <c r="L725" s="14" t="s">
        <v>9987</v>
      </c>
      <c r="O725" s="14" t="s">
        <v>9992</v>
      </c>
      <c r="P725" s="14" t="s">
        <v>9993</v>
      </c>
      <c r="Q725" s="14">
        <v>422573.65</v>
      </c>
      <c r="R725" s="14">
        <v>6194802.7800000003</v>
      </c>
      <c r="S725" s="14" t="s">
        <v>9994</v>
      </c>
      <c r="T725" s="14" t="s">
        <v>9995</v>
      </c>
      <c r="U725" s="14">
        <v>422594.54</v>
      </c>
      <c r="V725" s="14">
        <v>6194797.9500000002</v>
      </c>
      <c r="W725" s="14">
        <v>180.4</v>
      </c>
      <c r="X725" s="14">
        <v>150.05000000000001</v>
      </c>
    </row>
    <row r="726" spans="1:24" s="14" customFormat="1" x14ac:dyDescent="0.25">
      <c r="A726" s="50">
        <v>45098</v>
      </c>
      <c r="B726" s="16">
        <v>172</v>
      </c>
      <c r="C726" s="36">
        <v>0.5692476851851852</v>
      </c>
      <c r="D726" s="16" t="s">
        <v>97</v>
      </c>
      <c r="E726" s="14" t="s">
        <v>70</v>
      </c>
      <c r="F726" s="16" t="s">
        <v>460</v>
      </c>
      <c r="G726" s="16" t="s">
        <v>709</v>
      </c>
      <c r="H726" s="14">
        <v>0.17100000000000001</v>
      </c>
      <c r="I726" s="14" t="s">
        <v>10002</v>
      </c>
      <c r="J726" s="14" t="s">
        <v>9996</v>
      </c>
      <c r="K726" s="14" t="s">
        <v>9997</v>
      </c>
      <c r="L726" s="14" t="s">
        <v>10003</v>
      </c>
      <c r="O726" s="14" t="s">
        <v>9998</v>
      </c>
      <c r="P726" s="14" t="s">
        <v>9999</v>
      </c>
      <c r="Q726" s="14">
        <v>422572.06</v>
      </c>
      <c r="R726" s="14">
        <v>6194615.3300000001</v>
      </c>
      <c r="S726" s="14" t="s">
        <v>10000</v>
      </c>
      <c r="T726" s="14" t="s">
        <v>10001</v>
      </c>
      <c r="U726" s="14">
        <v>422594.55</v>
      </c>
      <c r="V726" s="14">
        <v>6194608.6900000004</v>
      </c>
      <c r="W726" s="14">
        <v>178.78</v>
      </c>
      <c r="X726" s="14">
        <v>150.05000000000001</v>
      </c>
    </row>
    <row r="727" spans="1:24" s="14" customFormat="1" x14ac:dyDescent="0.25">
      <c r="A727" s="50">
        <v>45098</v>
      </c>
      <c r="B727" s="16">
        <v>172</v>
      </c>
      <c r="C727" s="36">
        <v>0.57199074074074074</v>
      </c>
      <c r="D727" s="16" t="s">
        <v>97</v>
      </c>
      <c r="E727" s="14" t="s">
        <v>65</v>
      </c>
      <c r="F727" s="16" t="s">
        <v>460</v>
      </c>
      <c r="G727" s="16" t="s">
        <v>710</v>
      </c>
      <c r="H727" s="14">
        <v>0.16500000000000001</v>
      </c>
      <c r="I727" s="14" t="s">
        <v>10002</v>
      </c>
      <c r="J727" s="14" t="s">
        <v>10008</v>
      </c>
      <c r="K727" s="14" t="s">
        <v>10009</v>
      </c>
      <c r="L727" s="14" t="s">
        <v>10003</v>
      </c>
      <c r="O727" s="14" t="s">
        <v>10004</v>
      </c>
      <c r="P727" s="14" t="s">
        <v>10005</v>
      </c>
      <c r="Q727" s="14">
        <v>422564.47</v>
      </c>
      <c r="R727" s="14">
        <v>6194604.2400000002</v>
      </c>
      <c r="S727" s="14" t="s">
        <v>10006</v>
      </c>
      <c r="T727" s="14" t="s">
        <v>10007</v>
      </c>
      <c r="U727" s="14">
        <v>422585.5</v>
      </c>
      <c r="V727" s="14">
        <v>6194604.1299999999</v>
      </c>
      <c r="W727" s="14">
        <v>359.36</v>
      </c>
      <c r="X727" s="14">
        <v>150.05000000000001</v>
      </c>
    </row>
    <row r="728" spans="1:24" s="14" customFormat="1" x14ac:dyDescent="0.25">
      <c r="A728" s="50">
        <v>45098</v>
      </c>
      <c r="B728" s="16">
        <v>172</v>
      </c>
      <c r="C728" s="36">
        <v>0.57555555555555549</v>
      </c>
      <c r="D728" s="16" t="s">
        <v>97</v>
      </c>
      <c r="E728" s="14" t="s">
        <v>70</v>
      </c>
      <c r="F728" s="16" t="s">
        <v>460</v>
      </c>
      <c r="G728" s="16" t="s">
        <v>710</v>
      </c>
      <c r="H728" s="14">
        <v>-0.02</v>
      </c>
      <c r="I728" s="14" t="s">
        <v>10014</v>
      </c>
      <c r="J728" s="14" t="s">
        <v>10008</v>
      </c>
      <c r="K728" s="14" t="s">
        <v>10009</v>
      </c>
      <c r="L728" s="14" t="s">
        <v>10003</v>
      </c>
      <c r="O728" s="14" t="s">
        <v>10010</v>
      </c>
      <c r="P728" s="14" t="s">
        <v>10011</v>
      </c>
      <c r="Q728" s="14">
        <v>422563.94</v>
      </c>
      <c r="R728" s="14">
        <v>6194789.3700000001</v>
      </c>
      <c r="S728" s="14" t="s">
        <v>10012</v>
      </c>
      <c r="T728" s="14" t="s">
        <v>10013</v>
      </c>
      <c r="U728" s="14">
        <v>422585.53</v>
      </c>
      <c r="V728" s="14">
        <v>6194788.8700000001</v>
      </c>
      <c r="W728" s="14">
        <v>358.78</v>
      </c>
      <c r="X728" s="14">
        <v>150.05000000000001</v>
      </c>
    </row>
    <row r="729" spans="1:24" s="14" customFormat="1" x14ac:dyDescent="0.25">
      <c r="A729" s="50">
        <v>45098</v>
      </c>
      <c r="B729" s="16">
        <v>172</v>
      </c>
      <c r="C729" s="36">
        <v>0.57841435185185186</v>
      </c>
      <c r="D729" s="16" t="s">
        <v>97</v>
      </c>
      <c r="E729" s="14" t="s">
        <v>65</v>
      </c>
      <c r="F729" s="16" t="s">
        <v>460</v>
      </c>
      <c r="G729" s="16" t="s">
        <v>711</v>
      </c>
      <c r="H729" s="14">
        <v>-1.6E-2</v>
      </c>
      <c r="I729" s="14" t="s">
        <v>10019</v>
      </c>
      <c r="J729" s="14" t="s">
        <v>10020</v>
      </c>
      <c r="K729" s="14" t="s">
        <v>10021</v>
      </c>
      <c r="L729" s="14" t="s">
        <v>10003</v>
      </c>
      <c r="O729" s="14" t="s">
        <v>10015</v>
      </c>
      <c r="P729" s="14" t="s">
        <v>10016</v>
      </c>
      <c r="Q729" s="14">
        <v>422556.64</v>
      </c>
      <c r="R729" s="14">
        <v>6194801.5099999998</v>
      </c>
      <c r="S729" s="14" t="s">
        <v>10017</v>
      </c>
      <c r="T729" s="14" t="s">
        <v>10018</v>
      </c>
      <c r="U729" s="14">
        <v>422576.55</v>
      </c>
      <c r="V729" s="14">
        <v>6194795.4500000002</v>
      </c>
      <c r="W729" s="14">
        <v>180.58</v>
      </c>
      <c r="X729" s="14">
        <v>150.05000000000001</v>
      </c>
    </row>
    <row r="730" spans="1:24" s="14" customFormat="1" x14ac:dyDescent="0.25">
      <c r="A730" s="50">
        <v>45098</v>
      </c>
      <c r="B730" s="16">
        <v>172</v>
      </c>
      <c r="C730" s="36">
        <v>0.58270833333333327</v>
      </c>
      <c r="D730" s="16" t="s">
        <v>97</v>
      </c>
      <c r="E730" s="14" t="s">
        <v>70</v>
      </c>
      <c r="F730" s="16" t="s">
        <v>460</v>
      </c>
      <c r="G730" s="16" t="s">
        <v>711</v>
      </c>
      <c r="H730" s="14">
        <v>0.17100000000000001</v>
      </c>
      <c r="I730" s="14" t="s">
        <v>10019</v>
      </c>
      <c r="J730" s="14" t="s">
        <v>10020</v>
      </c>
      <c r="K730" s="14" t="s">
        <v>10021</v>
      </c>
      <c r="L730" s="14" t="s">
        <v>10026</v>
      </c>
      <c r="O730" s="14" t="s">
        <v>10022</v>
      </c>
      <c r="P730" s="14" t="s">
        <v>10023</v>
      </c>
      <c r="Q730" s="14">
        <v>422554.1</v>
      </c>
      <c r="R730" s="14">
        <v>6194614.1100000003</v>
      </c>
      <c r="S730" s="14" t="s">
        <v>10024</v>
      </c>
      <c r="T730" s="14" t="s">
        <v>10025</v>
      </c>
      <c r="U730" s="14">
        <v>422576.49</v>
      </c>
      <c r="V730" s="14">
        <v>6194608.8799999999</v>
      </c>
      <c r="W730" s="14">
        <v>178.75</v>
      </c>
      <c r="X730" s="14">
        <v>150.05000000000001</v>
      </c>
    </row>
    <row r="731" spans="1:24" s="14" customFormat="1" x14ac:dyDescent="0.25">
      <c r="A731" s="50">
        <v>45098</v>
      </c>
      <c r="B731" s="16">
        <v>172</v>
      </c>
      <c r="C731" s="36">
        <v>0.58604166666666668</v>
      </c>
      <c r="D731" s="16" t="s">
        <v>97</v>
      </c>
      <c r="E731" s="14" t="s">
        <v>65</v>
      </c>
      <c r="F731" s="16" t="s">
        <v>460</v>
      </c>
      <c r="G731" s="16" t="s">
        <v>717</v>
      </c>
      <c r="H731" s="14">
        <v>0.16800000000000001</v>
      </c>
      <c r="I731" s="14" t="s">
        <v>10031</v>
      </c>
      <c r="J731" s="14" t="s">
        <v>10032</v>
      </c>
      <c r="K731" s="14" t="s">
        <v>10033</v>
      </c>
      <c r="L731" s="14" t="s">
        <v>10026</v>
      </c>
      <c r="O731" s="14" t="s">
        <v>10027</v>
      </c>
      <c r="P731" s="14" t="s">
        <v>10028</v>
      </c>
      <c r="Q731" s="14">
        <v>422544.94</v>
      </c>
      <c r="R731" s="14">
        <v>6194601.29</v>
      </c>
      <c r="S731" s="14" t="s">
        <v>10029</v>
      </c>
      <c r="T731" s="14" t="s">
        <v>10030</v>
      </c>
      <c r="U731" s="14">
        <v>422567.54</v>
      </c>
      <c r="V731" s="14">
        <v>6194600.9199999999</v>
      </c>
      <c r="W731" s="14">
        <v>357.87</v>
      </c>
      <c r="X731" s="14">
        <v>150.05000000000001</v>
      </c>
    </row>
    <row r="732" spans="1:24" s="14" customFormat="1" x14ac:dyDescent="0.25">
      <c r="A732" s="50">
        <v>45098</v>
      </c>
      <c r="B732" s="16">
        <v>172</v>
      </c>
      <c r="C732" s="36">
        <v>0.5899537037037037</v>
      </c>
      <c r="D732" s="16" t="s">
        <v>97</v>
      </c>
      <c r="E732" s="14" t="s">
        <v>70</v>
      </c>
      <c r="F732" s="16" t="s">
        <v>460</v>
      </c>
      <c r="G732" s="16" t="s">
        <v>717</v>
      </c>
      <c r="H732" s="14">
        <v>-1.9E-2</v>
      </c>
      <c r="I732" s="14" t="s">
        <v>10031</v>
      </c>
      <c r="J732" s="14" t="s">
        <v>10032</v>
      </c>
      <c r="K732" s="14" t="s">
        <v>10033</v>
      </c>
      <c r="L732" s="14" t="s">
        <v>10026</v>
      </c>
      <c r="O732" s="14" t="s">
        <v>10034</v>
      </c>
      <c r="P732" s="14" t="s">
        <v>10035</v>
      </c>
      <c r="Q732" s="14">
        <v>422544.45</v>
      </c>
      <c r="R732" s="14">
        <v>6194795.5</v>
      </c>
      <c r="S732" s="14" t="s">
        <v>10036</v>
      </c>
      <c r="T732" s="14" t="s">
        <v>10037</v>
      </c>
      <c r="U732" s="14">
        <v>422567.52</v>
      </c>
      <c r="V732" s="14">
        <v>6194787.8799999999</v>
      </c>
      <c r="W732" s="14">
        <v>358.97</v>
      </c>
      <c r="X732" s="14">
        <v>150.05000000000001</v>
      </c>
    </row>
    <row r="733" spans="1:24" s="14" customFormat="1" x14ac:dyDescent="0.25">
      <c r="A733" s="50">
        <v>45098</v>
      </c>
      <c r="B733" s="16">
        <v>172</v>
      </c>
      <c r="C733" s="36">
        <v>0.59312500000000001</v>
      </c>
      <c r="D733" s="16" t="s">
        <v>97</v>
      </c>
      <c r="E733" s="14" t="s">
        <v>65</v>
      </c>
      <c r="F733" s="16" t="s">
        <v>460</v>
      </c>
      <c r="G733" s="16" t="s">
        <v>716</v>
      </c>
      <c r="H733" s="14">
        <v>-1.4999999999999999E-2</v>
      </c>
      <c r="I733" s="14" t="s">
        <v>10042</v>
      </c>
      <c r="J733" s="14" t="s">
        <v>10043</v>
      </c>
      <c r="K733" s="14" t="s">
        <v>10044</v>
      </c>
      <c r="L733" s="14" t="s">
        <v>10045</v>
      </c>
      <c r="O733" s="14" t="s">
        <v>10038</v>
      </c>
      <c r="P733" s="14" t="s">
        <v>10039</v>
      </c>
      <c r="Q733" s="14">
        <v>422535.43</v>
      </c>
      <c r="R733" s="14">
        <v>6194799.96</v>
      </c>
      <c r="S733" s="14" t="s">
        <v>10040</v>
      </c>
      <c r="T733" s="14" t="s">
        <v>10041</v>
      </c>
      <c r="U733" s="14">
        <v>422558.55</v>
      </c>
      <c r="V733" s="14">
        <v>6194794.9299999997</v>
      </c>
      <c r="W733" s="14">
        <v>181.19</v>
      </c>
      <c r="X733" s="14">
        <v>150.05000000000001</v>
      </c>
    </row>
    <row r="734" spans="1:24" s="14" customFormat="1" x14ac:dyDescent="0.25">
      <c r="A734" s="50">
        <v>45098</v>
      </c>
      <c r="B734" s="16">
        <v>172</v>
      </c>
      <c r="C734" s="36">
        <v>0.59731481481481474</v>
      </c>
      <c r="D734" s="16" t="s">
        <v>97</v>
      </c>
      <c r="E734" s="14" t="s">
        <v>70</v>
      </c>
      <c r="F734" s="16" t="s">
        <v>460</v>
      </c>
      <c r="G734" s="16" t="s">
        <v>716</v>
      </c>
      <c r="H734" s="14">
        <v>0.17</v>
      </c>
      <c r="I734" s="14" t="s">
        <v>10042</v>
      </c>
      <c r="J734" s="14" t="s">
        <v>10043</v>
      </c>
      <c r="K734" s="14" t="s">
        <v>10044</v>
      </c>
      <c r="L734" s="14" t="s">
        <v>10045</v>
      </c>
      <c r="O734" s="14" t="s">
        <v>10046</v>
      </c>
      <c r="P734" s="14" t="s">
        <v>10047</v>
      </c>
      <c r="Q734" s="14">
        <v>422533.91</v>
      </c>
      <c r="R734" s="14">
        <v>6194615.9100000001</v>
      </c>
      <c r="S734" s="14" t="s">
        <v>10048</v>
      </c>
      <c r="T734" s="14" t="s">
        <v>10049</v>
      </c>
      <c r="U734" s="14">
        <v>422558.5</v>
      </c>
      <c r="V734" s="14">
        <v>6194609.6699999999</v>
      </c>
      <c r="W734" s="14">
        <v>178.85</v>
      </c>
      <c r="X734" s="14">
        <v>150.05000000000001</v>
      </c>
    </row>
    <row r="735" spans="1:24" s="14" customFormat="1" x14ac:dyDescent="0.25">
      <c r="A735" s="50">
        <v>45098</v>
      </c>
      <c r="B735" s="16">
        <v>172</v>
      </c>
      <c r="C735" s="36">
        <v>0.59961805555555558</v>
      </c>
      <c r="D735" s="16" t="s">
        <v>97</v>
      </c>
      <c r="E735" s="14" t="s">
        <v>65</v>
      </c>
      <c r="F735" s="16" t="s">
        <v>460</v>
      </c>
      <c r="G735" s="16" t="s">
        <v>715</v>
      </c>
      <c r="H735" s="14">
        <v>0.16700000000000001</v>
      </c>
      <c r="I735" s="14" t="s">
        <v>10042</v>
      </c>
      <c r="J735" s="14" t="s">
        <v>10054</v>
      </c>
      <c r="K735" s="14" t="s">
        <v>10055</v>
      </c>
      <c r="L735" s="14" t="s">
        <v>10045</v>
      </c>
      <c r="O735" s="14" t="s">
        <v>10050</v>
      </c>
      <c r="P735" s="14" t="s">
        <v>10051</v>
      </c>
      <c r="Q735" s="14">
        <v>422526.82</v>
      </c>
      <c r="R735" s="14">
        <v>6194600.5</v>
      </c>
      <c r="S735" s="14" t="s">
        <v>10052</v>
      </c>
      <c r="T735" s="14" t="s">
        <v>10053</v>
      </c>
      <c r="U735" s="14">
        <v>422549.52</v>
      </c>
      <c r="V735" s="14">
        <v>6194601.6500000004</v>
      </c>
      <c r="W735" s="14">
        <v>359.04</v>
      </c>
      <c r="X735" s="14">
        <v>150.05000000000001</v>
      </c>
    </row>
    <row r="736" spans="1:24" s="14" customFormat="1" x14ac:dyDescent="0.25">
      <c r="A736" s="50">
        <v>45098</v>
      </c>
      <c r="B736" s="16">
        <v>172</v>
      </c>
      <c r="C736" s="36">
        <v>0.60349537037037038</v>
      </c>
      <c r="D736" s="16" t="s">
        <v>97</v>
      </c>
      <c r="E736" s="14" t="s">
        <v>70</v>
      </c>
      <c r="F736" s="16" t="s">
        <v>460</v>
      </c>
      <c r="G736" s="16" t="s">
        <v>715</v>
      </c>
      <c r="H736" s="14">
        <v>-2.1999999999999999E-2</v>
      </c>
      <c r="I736" s="14" t="s">
        <v>10060</v>
      </c>
      <c r="J736" s="14" t="s">
        <v>10054</v>
      </c>
      <c r="K736" s="14" t="s">
        <v>10055</v>
      </c>
      <c r="L736" s="14" t="s">
        <v>10061</v>
      </c>
      <c r="O736" s="14" t="s">
        <v>10056</v>
      </c>
      <c r="P736" s="14" t="s">
        <v>10057</v>
      </c>
      <c r="Q736" s="14">
        <v>422524.88</v>
      </c>
      <c r="R736" s="14">
        <v>6194796.8300000001</v>
      </c>
      <c r="S736" s="14" t="s">
        <v>10058</v>
      </c>
      <c r="T736" s="14" t="s">
        <v>10059</v>
      </c>
      <c r="U736" s="14">
        <v>422549.48</v>
      </c>
      <c r="V736" s="14">
        <v>6194790.3300000001</v>
      </c>
      <c r="W736" s="14">
        <v>358.91</v>
      </c>
      <c r="X736" s="14">
        <v>150.05000000000001</v>
      </c>
    </row>
    <row r="737" spans="1:24" s="14" customFormat="1" x14ac:dyDescent="0.25">
      <c r="A737" s="50">
        <v>45098</v>
      </c>
      <c r="B737" s="16">
        <v>172</v>
      </c>
      <c r="C737" s="36">
        <v>0.60521990740740739</v>
      </c>
      <c r="D737" s="16" t="s">
        <v>97</v>
      </c>
      <c r="E737" s="14" t="s">
        <v>10066</v>
      </c>
      <c r="F737" s="16" t="s">
        <v>460</v>
      </c>
      <c r="G737" s="16" t="s">
        <v>714</v>
      </c>
      <c r="H737" s="14">
        <v>-4.1000000000000002E-2</v>
      </c>
      <c r="O737" s="14" t="s">
        <v>10062</v>
      </c>
      <c r="P737" s="14" t="s">
        <v>10063</v>
      </c>
      <c r="Q737" s="14">
        <v>422531.25</v>
      </c>
      <c r="R737" s="14">
        <v>6194828.3300000001</v>
      </c>
      <c r="S737" s="14" t="s">
        <v>10064</v>
      </c>
      <c r="T737" s="14" t="s">
        <v>10065</v>
      </c>
      <c r="U737" s="14">
        <v>422541.14</v>
      </c>
      <c r="V737" s="14">
        <v>6194820.2599999998</v>
      </c>
      <c r="W737" s="14">
        <v>180.32</v>
      </c>
      <c r="X737" s="14">
        <v>150.05000000000001</v>
      </c>
    </row>
    <row r="738" spans="1:24" s="14" customFormat="1" x14ac:dyDescent="0.25">
      <c r="A738" s="50">
        <v>45098</v>
      </c>
      <c r="B738" s="16">
        <v>172</v>
      </c>
      <c r="C738" s="36">
        <v>0.60837962962962966</v>
      </c>
      <c r="D738" s="16" t="s">
        <v>97</v>
      </c>
      <c r="E738" s="14" t="s">
        <v>65</v>
      </c>
      <c r="F738" s="16" t="s">
        <v>460</v>
      </c>
      <c r="G738" s="16" t="s">
        <v>714</v>
      </c>
      <c r="H738" s="14">
        <v>-1.7000000000000001E-2</v>
      </c>
      <c r="I738" s="14" t="s">
        <v>10071</v>
      </c>
      <c r="J738" s="14" t="s">
        <v>10072</v>
      </c>
      <c r="K738" s="14" t="s">
        <v>10073</v>
      </c>
      <c r="L738" s="14" t="s">
        <v>10061</v>
      </c>
      <c r="O738" s="14" t="s">
        <v>10067</v>
      </c>
      <c r="P738" s="14" t="s">
        <v>10068</v>
      </c>
      <c r="Q738" s="14">
        <v>422518.86</v>
      </c>
      <c r="R738" s="14">
        <v>6194801.0499999998</v>
      </c>
      <c r="S738" s="14" t="s">
        <v>10069</v>
      </c>
      <c r="T738" s="14" t="s">
        <v>10070</v>
      </c>
      <c r="U738" s="14">
        <v>422540.48</v>
      </c>
      <c r="V738" s="14">
        <v>6194797.1900000004</v>
      </c>
      <c r="W738" s="14">
        <v>178.79</v>
      </c>
      <c r="X738" s="14">
        <v>150.05000000000001</v>
      </c>
    </row>
    <row r="739" spans="1:24" s="14" customFormat="1" x14ac:dyDescent="0.25">
      <c r="A739" s="50">
        <v>45098</v>
      </c>
      <c r="B739" s="16">
        <v>172</v>
      </c>
      <c r="C739" s="36">
        <v>0.61263888888888884</v>
      </c>
      <c r="D739" s="16" t="s">
        <v>97</v>
      </c>
      <c r="E739" s="14" t="s">
        <v>70</v>
      </c>
      <c r="F739" s="16" t="s">
        <v>460</v>
      </c>
      <c r="G739" s="16" t="s">
        <v>714</v>
      </c>
      <c r="H739" s="14">
        <v>0.17</v>
      </c>
      <c r="I739" s="14" t="s">
        <v>10071</v>
      </c>
      <c r="J739" s="14" t="s">
        <v>10072</v>
      </c>
      <c r="K739" s="14" t="s">
        <v>10073</v>
      </c>
      <c r="L739" s="14" t="s">
        <v>10078</v>
      </c>
      <c r="O739" s="14" t="s">
        <v>10074</v>
      </c>
      <c r="P739" s="14" t="s">
        <v>10075</v>
      </c>
      <c r="Q739" s="14">
        <v>422516.56</v>
      </c>
      <c r="R739" s="14">
        <v>6194613.5899999999</v>
      </c>
      <c r="S739" s="14" t="s">
        <v>10076</v>
      </c>
      <c r="T739" s="14" t="s">
        <v>10077</v>
      </c>
      <c r="U739" s="14">
        <v>422540.53</v>
      </c>
      <c r="V739" s="14">
        <v>6194609.9800000004</v>
      </c>
      <c r="W739" s="14">
        <v>179.77</v>
      </c>
      <c r="X739" s="14">
        <v>150.05000000000001</v>
      </c>
    </row>
    <row r="740" spans="1:24" s="14" customFormat="1" x14ac:dyDescent="0.25">
      <c r="A740" s="50">
        <v>45098</v>
      </c>
      <c r="B740" s="16">
        <v>172</v>
      </c>
      <c r="C740" s="36">
        <v>0.61678240740740742</v>
      </c>
      <c r="D740" s="16" t="s">
        <v>97</v>
      </c>
      <c r="E740" s="14" t="s">
        <v>65</v>
      </c>
      <c r="F740" s="16" t="s">
        <v>460</v>
      </c>
      <c r="G740" s="16" t="s">
        <v>713</v>
      </c>
      <c r="H740" s="14">
        <v>0.16700000000000001</v>
      </c>
      <c r="I740" s="14" t="s">
        <v>10071</v>
      </c>
      <c r="J740" s="14" t="s">
        <v>10083</v>
      </c>
      <c r="K740" s="14" t="s">
        <v>10084</v>
      </c>
      <c r="L740" s="14" t="s">
        <v>10078</v>
      </c>
      <c r="O740" s="14" t="s">
        <v>10079</v>
      </c>
      <c r="P740" s="14" t="s">
        <v>10080</v>
      </c>
      <c r="Q740" s="14">
        <v>422507.89</v>
      </c>
      <c r="R740" s="14">
        <v>6194610.8899999997</v>
      </c>
      <c r="S740" s="14" t="s">
        <v>10081</v>
      </c>
      <c r="T740" s="14" t="s">
        <v>10082</v>
      </c>
      <c r="U740" s="14">
        <v>422531.51</v>
      </c>
      <c r="V740" s="14">
        <v>6194602.1500000004</v>
      </c>
      <c r="W740" s="14">
        <v>0.2</v>
      </c>
      <c r="X740" s="14">
        <v>150.05000000000001</v>
      </c>
    </row>
    <row r="741" spans="1:24" s="14" customFormat="1" x14ac:dyDescent="0.25">
      <c r="A741" s="50">
        <v>45098</v>
      </c>
      <c r="B741" s="16">
        <v>172</v>
      </c>
      <c r="C741" s="36">
        <v>0.62033564814814812</v>
      </c>
      <c r="D741" s="16" t="s">
        <v>97</v>
      </c>
      <c r="E741" s="14" t="s">
        <v>70</v>
      </c>
      <c r="F741" s="16" t="s">
        <v>460</v>
      </c>
      <c r="G741" s="16" t="s">
        <v>713</v>
      </c>
      <c r="H741" s="14">
        <v>-2.1000000000000001E-2</v>
      </c>
      <c r="I741" s="14" t="s">
        <v>10089</v>
      </c>
      <c r="J741" s="14" t="s">
        <v>10083</v>
      </c>
      <c r="K741" s="14" t="s">
        <v>10084</v>
      </c>
      <c r="L741" s="14" t="s">
        <v>10078</v>
      </c>
      <c r="O741" s="14" t="s">
        <v>10085</v>
      </c>
      <c r="P741" s="14" t="s">
        <v>10086</v>
      </c>
      <c r="Q741" s="14">
        <v>422506.86</v>
      </c>
      <c r="R741" s="14">
        <v>6194797.5800000001</v>
      </c>
      <c r="S741" s="14" t="s">
        <v>10087</v>
      </c>
      <c r="T741" s="14" t="s">
        <v>10088</v>
      </c>
      <c r="U741" s="14">
        <v>422531.5</v>
      </c>
      <c r="V741" s="14">
        <v>6194790.2300000004</v>
      </c>
      <c r="W741" s="14">
        <v>359.35</v>
      </c>
      <c r="X741" s="14">
        <v>150.05000000000001</v>
      </c>
    </row>
    <row r="742" spans="1:24" s="14" customFormat="1" x14ac:dyDescent="0.25">
      <c r="A742" s="50">
        <v>45098</v>
      </c>
      <c r="B742" s="16">
        <v>172</v>
      </c>
      <c r="C742" s="36">
        <v>0.62390046296296298</v>
      </c>
      <c r="D742" s="16" t="s">
        <v>97</v>
      </c>
      <c r="E742" s="14" t="s">
        <v>65</v>
      </c>
      <c r="F742" s="16" t="s">
        <v>460</v>
      </c>
      <c r="G742" s="16" t="s">
        <v>712</v>
      </c>
      <c r="H742" s="14">
        <v>-1.7999999999999999E-2</v>
      </c>
      <c r="I742" s="14" t="s">
        <v>10094</v>
      </c>
      <c r="J742" s="14" t="s">
        <v>10095</v>
      </c>
      <c r="K742" s="14" t="s">
        <v>10096</v>
      </c>
      <c r="L742" s="14" t="s">
        <v>10097</v>
      </c>
      <c r="O742" s="14" t="s">
        <v>10090</v>
      </c>
      <c r="P742" s="14" t="s">
        <v>10091</v>
      </c>
      <c r="Q742" s="14">
        <v>422501.66</v>
      </c>
      <c r="R742" s="14">
        <v>6194804.3600000003</v>
      </c>
      <c r="S742" s="14" t="s">
        <v>10092</v>
      </c>
      <c r="T742" s="14" t="s">
        <v>10093</v>
      </c>
      <c r="U742" s="14">
        <v>422522.43</v>
      </c>
      <c r="V742" s="14">
        <v>6194798.25</v>
      </c>
      <c r="W742" s="14">
        <v>179.74</v>
      </c>
      <c r="X742" s="14">
        <v>150.05000000000001</v>
      </c>
    </row>
    <row r="743" spans="1:24" s="14" customFormat="1" x14ac:dyDescent="0.25">
      <c r="A743" s="50">
        <v>45098</v>
      </c>
      <c r="B743" s="16">
        <v>172</v>
      </c>
      <c r="C743" s="36">
        <v>0.62822916666666673</v>
      </c>
      <c r="D743" s="16" t="s">
        <v>97</v>
      </c>
      <c r="E743" s="14" t="s">
        <v>70</v>
      </c>
      <c r="F743" s="16" t="s">
        <v>460</v>
      </c>
      <c r="G743" s="16" t="s">
        <v>712</v>
      </c>
      <c r="H743" s="14">
        <v>0.17299999999999999</v>
      </c>
      <c r="I743" s="14" t="s">
        <v>10094</v>
      </c>
      <c r="J743" s="14" t="s">
        <v>10095</v>
      </c>
      <c r="K743" s="14" t="s">
        <v>10096</v>
      </c>
      <c r="L743" s="14" t="s">
        <v>10097</v>
      </c>
      <c r="O743" s="14" t="s">
        <v>10098</v>
      </c>
      <c r="P743" s="14" t="s">
        <v>10099</v>
      </c>
      <c r="Q743" s="14">
        <v>422499.43</v>
      </c>
      <c r="R743" s="14">
        <v>6194612.9199999999</v>
      </c>
      <c r="S743" s="14" t="s">
        <v>10100</v>
      </c>
      <c r="T743" s="14" t="s">
        <v>10101</v>
      </c>
      <c r="U743" s="14">
        <v>422522.5</v>
      </c>
      <c r="V743" s="14">
        <v>6194607.3200000003</v>
      </c>
      <c r="W743" s="14">
        <v>178.93</v>
      </c>
      <c r="X743" s="14">
        <v>150.05000000000001</v>
      </c>
    </row>
    <row r="744" spans="1:24" s="14" customFormat="1" x14ac:dyDescent="0.25">
      <c r="A744" s="50">
        <v>45098</v>
      </c>
      <c r="B744" s="16">
        <v>172</v>
      </c>
      <c r="C744" s="36">
        <v>0.63309027777777771</v>
      </c>
      <c r="D744" s="16" t="s">
        <v>97</v>
      </c>
      <c r="E744" s="14" t="s">
        <v>9944</v>
      </c>
      <c r="F744" s="16" t="s">
        <v>8011</v>
      </c>
      <c r="G744" s="16" t="s">
        <v>864</v>
      </c>
      <c r="H744" s="14">
        <v>-5.1999999999999998E-2</v>
      </c>
      <c r="O744" s="14" t="s">
        <v>10102</v>
      </c>
      <c r="P744" s="14" t="s">
        <v>10103</v>
      </c>
      <c r="Q744" s="14">
        <v>422501.83</v>
      </c>
      <c r="R744" s="14">
        <v>6194590.5099999998</v>
      </c>
      <c r="S744" s="14" t="s">
        <v>10104</v>
      </c>
      <c r="T744" s="14" t="s">
        <v>10105</v>
      </c>
      <c r="U744" s="14">
        <v>422512.62</v>
      </c>
      <c r="V744" s="14">
        <v>6194586.8600000003</v>
      </c>
      <c r="W744" s="14">
        <v>96.04</v>
      </c>
      <c r="X744" s="14">
        <v>200.06</v>
      </c>
    </row>
    <row r="745" spans="1:24" s="14" customFormat="1" x14ac:dyDescent="0.25">
      <c r="A745" s="50">
        <v>45098</v>
      </c>
      <c r="B745" s="16">
        <v>172</v>
      </c>
      <c r="C745" s="36">
        <v>0.63515046296296296</v>
      </c>
      <c r="D745" s="16" t="s">
        <v>97</v>
      </c>
      <c r="E745" s="14" t="s">
        <v>10106</v>
      </c>
      <c r="F745" s="16" t="s">
        <v>8011</v>
      </c>
      <c r="G745" s="16" t="s">
        <v>864</v>
      </c>
      <c r="H745" s="14">
        <v>-4.1000000000000002E-2</v>
      </c>
      <c r="O745" s="14" t="s">
        <v>10107</v>
      </c>
      <c r="P745" s="14" t="s">
        <v>10108</v>
      </c>
      <c r="Q745" s="14">
        <v>422489.19</v>
      </c>
      <c r="R745" s="14">
        <v>6194593.4800000004</v>
      </c>
      <c r="S745" s="14" t="s">
        <v>10109</v>
      </c>
      <c r="T745" s="14" t="s">
        <v>10110</v>
      </c>
      <c r="U745" s="14">
        <v>422487.82</v>
      </c>
      <c r="V745" s="14">
        <v>6194581.4100000001</v>
      </c>
      <c r="W745" s="14">
        <v>173.45</v>
      </c>
      <c r="X745" s="14">
        <v>200.06</v>
      </c>
    </row>
    <row r="746" spans="1:24" s="14" customFormat="1" x14ac:dyDescent="0.25">
      <c r="A746" s="50">
        <v>45098</v>
      </c>
      <c r="B746" s="16">
        <v>172</v>
      </c>
      <c r="C746" s="36">
        <v>0.64299768518518519</v>
      </c>
      <c r="D746" s="16" t="s">
        <v>97</v>
      </c>
      <c r="E746" s="14" t="s">
        <v>6362</v>
      </c>
      <c r="F746" s="16" t="s">
        <v>8011</v>
      </c>
      <c r="G746" s="16" t="s">
        <v>864</v>
      </c>
      <c r="H746" s="14">
        <v>-2.9000000000000001E-2</v>
      </c>
      <c r="O746" s="14" t="s">
        <v>10111</v>
      </c>
      <c r="P746" s="14" t="s">
        <v>10112</v>
      </c>
      <c r="Q746" s="14">
        <v>421404.8</v>
      </c>
      <c r="R746" s="14">
        <v>6194568.1699999999</v>
      </c>
      <c r="S746" s="14" t="s">
        <v>10113</v>
      </c>
      <c r="T746" s="14" t="s">
        <v>10114</v>
      </c>
      <c r="U746" s="14">
        <v>421415.19</v>
      </c>
      <c r="V746" s="14">
        <v>6194563.9500000002</v>
      </c>
      <c r="W746" s="14">
        <v>98.48</v>
      </c>
      <c r="X746" s="14">
        <v>200.06</v>
      </c>
    </row>
    <row r="747" spans="1:24" s="14" customFormat="1" x14ac:dyDescent="0.25">
      <c r="A747" s="50">
        <v>45098</v>
      </c>
      <c r="B747" s="16">
        <v>172</v>
      </c>
      <c r="C747" s="36">
        <v>0.64543981481481483</v>
      </c>
      <c r="D747" s="16" t="s">
        <v>97</v>
      </c>
      <c r="E747" s="14" t="s">
        <v>8182</v>
      </c>
      <c r="F747" s="16" t="s">
        <v>8011</v>
      </c>
      <c r="G747" s="16" t="s">
        <v>864</v>
      </c>
      <c r="H747" s="14">
        <v>-3.3000000000000002E-2</v>
      </c>
      <c r="O747" s="14" t="s">
        <v>10115</v>
      </c>
      <c r="P747" s="14" t="s">
        <v>10116</v>
      </c>
      <c r="Q747" s="14">
        <v>421401.67</v>
      </c>
      <c r="R747" s="14">
        <v>6194573.0300000003</v>
      </c>
      <c r="S747" s="14" t="s">
        <v>10117</v>
      </c>
      <c r="T747" s="14" t="s">
        <v>10118</v>
      </c>
      <c r="U747" s="14">
        <v>421411.94</v>
      </c>
      <c r="V747" s="14">
        <v>6194567.8799999999</v>
      </c>
      <c r="W747" s="14">
        <v>91.24</v>
      </c>
      <c r="X747" s="14">
        <v>200.06</v>
      </c>
    </row>
    <row r="748" spans="1:24" s="14" customFormat="1" x14ac:dyDescent="0.25">
      <c r="A748" s="50">
        <v>45098</v>
      </c>
      <c r="B748" s="16">
        <v>172</v>
      </c>
      <c r="C748" s="36">
        <v>0.64833333333333332</v>
      </c>
      <c r="D748" s="16" t="s">
        <v>97</v>
      </c>
      <c r="E748" s="14" t="s">
        <v>65</v>
      </c>
      <c r="F748" s="16" t="s">
        <v>8011</v>
      </c>
      <c r="G748" s="16" t="s">
        <v>864</v>
      </c>
      <c r="H748" s="14">
        <v>-1.4999999999999999E-2</v>
      </c>
      <c r="I748" s="14" t="s">
        <v>10123</v>
      </c>
      <c r="J748" s="14" t="s">
        <v>10124</v>
      </c>
      <c r="K748" s="14" t="s">
        <v>10125</v>
      </c>
      <c r="L748" s="14" t="s">
        <v>10126</v>
      </c>
      <c r="O748" s="14" t="s">
        <v>10119</v>
      </c>
      <c r="P748" s="14" t="s">
        <v>10120</v>
      </c>
      <c r="Q748" s="14">
        <v>421401.65</v>
      </c>
      <c r="R748" s="14">
        <v>6194556.6900000004</v>
      </c>
      <c r="S748" s="14" t="s">
        <v>10121</v>
      </c>
      <c r="T748" s="14" t="s">
        <v>10122</v>
      </c>
      <c r="U748" s="14">
        <v>421422.46</v>
      </c>
      <c r="V748" s="14">
        <v>6194554.5700000003</v>
      </c>
      <c r="W748" s="14">
        <v>179.71</v>
      </c>
      <c r="X748" s="14">
        <v>200.06</v>
      </c>
    </row>
    <row r="749" spans="1:24" s="14" customFormat="1" x14ac:dyDescent="0.25">
      <c r="A749" s="50">
        <v>45098</v>
      </c>
      <c r="B749" s="16">
        <v>172</v>
      </c>
      <c r="C749" s="36">
        <v>0.6537384259259259</v>
      </c>
      <c r="D749" s="16" t="s">
        <v>97</v>
      </c>
      <c r="E749" s="14" t="s">
        <v>70</v>
      </c>
      <c r="F749" s="16" t="s">
        <v>8011</v>
      </c>
      <c r="G749" s="16" t="s">
        <v>864</v>
      </c>
      <c r="H749" s="14">
        <v>0.22500000000000001</v>
      </c>
      <c r="I749" s="14" t="s">
        <v>10131</v>
      </c>
      <c r="J749" s="14" t="s">
        <v>10124</v>
      </c>
      <c r="K749" s="14" t="s">
        <v>10125</v>
      </c>
      <c r="L749" s="14" t="s">
        <v>10132</v>
      </c>
      <c r="O749" s="14" t="s">
        <v>10127</v>
      </c>
      <c r="P749" s="14" t="s">
        <v>10128</v>
      </c>
      <c r="Q749" s="14">
        <v>421399.22</v>
      </c>
      <c r="R749" s="14">
        <v>6194317.0499999998</v>
      </c>
      <c r="S749" s="14" t="s">
        <v>10129</v>
      </c>
      <c r="T749" s="14" t="s">
        <v>10130</v>
      </c>
      <c r="U749" s="14">
        <v>421422.4</v>
      </c>
      <c r="V749" s="14">
        <v>6194315.5899999999</v>
      </c>
      <c r="W749" s="14">
        <v>179.37</v>
      </c>
      <c r="X749" s="14">
        <v>200.06</v>
      </c>
    </row>
    <row r="750" spans="1:24" s="14" customFormat="1" x14ac:dyDescent="0.25">
      <c r="A750" s="50">
        <v>45098</v>
      </c>
      <c r="B750" s="16">
        <v>172</v>
      </c>
      <c r="C750" s="36">
        <v>0.65752314814814816</v>
      </c>
      <c r="D750" s="16" t="s">
        <v>97</v>
      </c>
      <c r="E750" s="14" t="s">
        <v>65</v>
      </c>
      <c r="F750" s="16" t="s">
        <v>8011</v>
      </c>
      <c r="G750" s="16" t="s">
        <v>865</v>
      </c>
      <c r="H750" s="14">
        <v>0.222</v>
      </c>
      <c r="I750" s="14" t="s">
        <v>10137</v>
      </c>
      <c r="J750" s="14" t="s">
        <v>10138</v>
      </c>
      <c r="K750" s="14" t="s">
        <v>10139</v>
      </c>
      <c r="L750" s="14" t="s">
        <v>10132</v>
      </c>
      <c r="O750" s="14" t="s">
        <v>10133</v>
      </c>
      <c r="P750" s="14" t="s">
        <v>10134</v>
      </c>
      <c r="Q750" s="14">
        <v>421391.02</v>
      </c>
      <c r="R750" s="14">
        <v>6194313.9699999997</v>
      </c>
      <c r="S750" s="14" t="s">
        <v>10135</v>
      </c>
      <c r="T750" s="14" t="s">
        <v>10136</v>
      </c>
      <c r="U750" s="14">
        <v>421413.55</v>
      </c>
      <c r="V750" s="14">
        <v>6194307.54</v>
      </c>
      <c r="W750" s="14">
        <v>358.35</v>
      </c>
      <c r="X750" s="14">
        <v>200.06</v>
      </c>
    </row>
    <row r="751" spans="1:24" s="14" customFormat="1" x14ac:dyDescent="0.25">
      <c r="A751" s="50">
        <v>45098</v>
      </c>
      <c r="B751" s="16">
        <v>172</v>
      </c>
      <c r="C751" s="36">
        <v>0.66290509259259256</v>
      </c>
      <c r="D751" s="16" t="s">
        <v>97</v>
      </c>
      <c r="E751" s="14" t="s">
        <v>70</v>
      </c>
      <c r="F751" s="16" t="s">
        <v>8011</v>
      </c>
      <c r="G751" s="16" t="s">
        <v>865</v>
      </c>
      <c r="H751" s="14">
        <v>-1.7999999999999999E-2</v>
      </c>
      <c r="I751" s="14" t="s">
        <v>10137</v>
      </c>
      <c r="J751" s="14" t="s">
        <v>10138</v>
      </c>
      <c r="K751" s="14" t="s">
        <v>10139</v>
      </c>
      <c r="L751" s="14" t="s">
        <v>10132</v>
      </c>
      <c r="O751" s="14" t="s">
        <v>10140</v>
      </c>
      <c r="P751" s="14" t="s">
        <v>10141</v>
      </c>
      <c r="Q751" s="14">
        <v>421391.55</v>
      </c>
      <c r="R751" s="14">
        <v>6194551.4100000001</v>
      </c>
      <c r="S751" s="14" t="s">
        <v>10142</v>
      </c>
      <c r="T751" s="14" t="s">
        <v>10143</v>
      </c>
      <c r="U751" s="14">
        <v>421413.39</v>
      </c>
      <c r="V751" s="14">
        <v>6194547.0499999998</v>
      </c>
      <c r="W751" s="14">
        <v>0.53</v>
      </c>
      <c r="X751" s="14">
        <v>200.06</v>
      </c>
    </row>
    <row r="752" spans="1:24" s="14" customFormat="1" x14ac:dyDescent="0.25">
      <c r="A752" s="50">
        <v>45098</v>
      </c>
      <c r="B752" s="16">
        <v>172</v>
      </c>
      <c r="C752" s="36">
        <v>0.66780092592592588</v>
      </c>
      <c r="D752" s="16" t="s">
        <v>7408</v>
      </c>
      <c r="E752" s="14" t="s">
        <v>65</v>
      </c>
      <c r="F752" s="16" t="s">
        <v>8011</v>
      </c>
      <c r="G752" s="16" t="s">
        <v>866</v>
      </c>
      <c r="H752" s="14">
        <v>-1.4999999999999999E-2</v>
      </c>
      <c r="I752" s="14" t="s">
        <v>10137</v>
      </c>
      <c r="J752" s="14" t="s">
        <v>10148</v>
      </c>
      <c r="K752" s="14" t="s">
        <v>10149</v>
      </c>
      <c r="L752" s="14" t="s">
        <v>10150</v>
      </c>
      <c r="O752" s="14" t="s">
        <v>10144</v>
      </c>
      <c r="P752" s="14" t="s">
        <v>10145</v>
      </c>
      <c r="Q752" s="14">
        <v>421378.93</v>
      </c>
      <c r="R752" s="14">
        <v>6194561.5800000001</v>
      </c>
      <c r="S752" s="14" t="s">
        <v>10146</v>
      </c>
      <c r="T752" s="14" t="s">
        <v>10147</v>
      </c>
      <c r="U752" s="14">
        <v>421404.51</v>
      </c>
      <c r="V752" s="14">
        <v>6194555.1500000004</v>
      </c>
      <c r="W752" s="14">
        <v>180.67</v>
      </c>
      <c r="X752" s="14">
        <v>200.06</v>
      </c>
    </row>
    <row r="753" spans="1:24" s="14" customFormat="1" x14ac:dyDescent="0.25">
      <c r="A753" s="50">
        <v>45098</v>
      </c>
      <c r="B753" s="16">
        <v>172</v>
      </c>
      <c r="C753" s="36">
        <v>0.6732407407407407</v>
      </c>
      <c r="D753" s="16" t="s">
        <v>7408</v>
      </c>
      <c r="E753" s="14" t="s">
        <v>70</v>
      </c>
      <c r="F753" s="16" t="s">
        <v>8011</v>
      </c>
      <c r="G753" s="16" t="s">
        <v>866</v>
      </c>
      <c r="H753" s="14">
        <v>0.22500000000000001</v>
      </c>
      <c r="I753" s="14" t="s">
        <v>10155</v>
      </c>
      <c r="J753" s="14" t="s">
        <v>10148</v>
      </c>
      <c r="K753" s="14" t="s">
        <v>10149</v>
      </c>
      <c r="L753" s="14" t="s">
        <v>10150</v>
      </c>
      <c r="O753" s="14" t="s">
        <v>10151</v>
      </c>
      <c r="P753" s="14" t="s">
        <v>10152</v>
      </c>
      <c r="Q753" s="14">
        <v>421376.06</v>
      </c>
      <c r="R753" s="14">
        <v>6194320.3200000003</v>
      </c>
      <c r="S753" s="14" t="s">
        <v>10153</v>
      </c>
      <c r="T753" s="14" t="s">
        <v>10154</v>
      </c>
      <c r="U753" s="14">
        <v>421404.48</v>
      </c>
      <c r="V753" s="14">
        <v>6194314.6799999997</v>
      </c>
      <c r="W753" s="14">
        <v>180.25</v>
      </c>
      <c r="X753" s="14">
        <v>200.06</v>
      </c>
    </row>
    <row r="754" spans="1:24" s="14" customFormat="1" x14ac:dyDescent="0.25">
      <c r="A754" s="50">
        <v>45098</v>
      </c>
      <c r="B754" s="16">
        <v>172</v>
      </c>
      <c r="C754" s="36">
        <v>0.67706018518518529</v>
      </c>
      <c r="D754" s="16" t="s">
        <v>7408</v>
      </c>
      <c r="E754" s="14" t="s">
        <v>7456</v>
      </c>
      <c r="F754" s="16" t="s">
        <v>8011</v>
      </c>
      <c r="G754" s="16" t="s">
        <v>867</v>
      </c>
      <c r="H754" s="14">
        <v>0.22</v>
      </c>
      <c r="I754" s="14" t="s">
        <v>10160</v>
      </c>
      <c r="J754" s="14" t="s">
        <v>10161</v>
      </c>
      <c r="K754" s="14" t="s">
        <v>10162</v>
      </c>
      <c r="L754" s="14" t="s">
        <v>10163</v>
      </c>
      <c r="O754" s="14" t="s">
        <v>10156</v>
      </c>
      <c r="P754" s="14" t="s">
        <v>10157</v>
      </c>
      <c r="Q754" s="14">
        <v>421367.97</v>
      </c>
      <c r="R754" s="14">
        <v>6194318.1900000004</v>
      </c>
      <c r="S754" s="14" t="s">
        <v>10158</v>
      </c>
      <c r="T754" s="14" t="s">
        <v>10159</v>
      </c>
      <c r="U754" s="14">
        <v>421396.08</v>
      </c>
      <c r="V754" s="14">
        <v>6194309.1500000004</v>
      </c>
      <c r="W754" s="14">
        <v>0.7</v>
      </c>
      <c r="X754" s="14">
        <v>200.06</v>
      </c>
    </row>
    <row r="755" spans="1:24" s="14" customFormat="1" x14ac:dyDescent="0.25">
      <c r="A755" s="50">
        <v>45098</v>
      </c>
      <c r="B755" s="16">
        <v>172</v>
      </c>
      <c r="C755" s="36">
        <v>0.67766203703703709</v>
      </c>
      <c r="D755" s="16" t="s">
        <v>7408</v>
      </c>
      <c r="E755" s="52" t="s">
        <v>9200</v>
      </c>
      <c r="F755" s="16" t="s">
        <v>8011</v>
      </c>
      <c r="G755" s="16" t="s">
        <v>867</v>
      </c>
      <c r="H755" s="14">
        <v>0.192</v>
      </c>
      <c r="I755" s="14" t="s">
        <v>10160</v>
      </c>
      <c r="J755" s="14" t="s">
        <v>10161</v>
      </c>
      <c r="K755" s="14" t="s">
        <v>10162</v>
      </c>
      <c r="L755" s="14" t="s">
        <v>10163</v>
      </c>
      <c r="O755" s="14" t="s">
        <v>10164</v>
      </c>
      <c r="P755" s="14" t="s">
        <v>10165</v>
      </c>
      <c r="Q755" s="14">
        <v>421368.34</v>
      </c>
      <c r="R755" s="14">
        <v>6194342.0899999999</v>
      </c>
      <c r="S755" s="14" t="s">
        <v>10166</v>
      </c>
      <c r="T755" s="14" t="s">
        <v>10167</v>
      </c>
      <c r="U755" s="14">
        <v>421395.87</v>
      </c>
      <c r="V755" s="14">
        <v>6194337.5300000003</v>
      </c>
      <c r="W755" s="14">
        <v>2.2799999999999998</v>
      </c>
      <c r="X755" s="14">
        <v>200.06</v>
      </c>
    </row>
    <row r="756" spans="1:24" s="14" customFormat="1" x14ac:dyDescent="0.25">
      <c r="A756" s="50">
        <v>45098</v>
      </c>
      <c r="B756" s="16">
        <v>172</v>
      </c>
      <c r="C756" s="36">
        <v>0.67814814814814817</v>
      </c>
      <c r="D756" s="16" t="s">
        <v>7408</v>
      </c>
      <c r="E756" s="14" t="s">
        <v>10172</v>
      </c>
      <c r="F756" s="16" t="s">
        <v>8011</v>
      </c>
      <c r="G756" s="16" t="s">
        <v>867</v>
      </c>
      <c r="H756" s="14">
        <v>0.191</v>
      </c>
      <c r="O756" s="14" t="s">
        <v>10168</v>
      </c>
      <c r="P756" s="14" t="s">
        <v>10169</v>
      </c>
      <c r="Q756" s="14">
        <v>421369.24</v>
      </c>
      <c r="R756" s="14">
        <v>6194345.5599999996</v>
      </c>
      <c r="S756" s="14" t="s">
        <v>10170</v>
      </c>
      <c r="T756" s="14" t="s">
        <v>10171</v>
      </c>
      <c r="U756" s="14">
        <v>421393.25</v>
      </c>
      <c r="V756" s="14">
        <v>6194341.2800000003</v>
      </c>
      <c r="W756" s="14">
        <v>67.540000000000006</v>
      </c>
      <c r="X756" s="14">
        <v>200.06</v>
      </c>
    </row>
    <row r="757" spans="1:24" s="14" customFormat="1" x14ac:dyDescent="0.25">
      <c r="A757" s="50">
        <v>45098</v>
      </c>
      <c r="B757" s="16">
        <v>172</v>
      </c>
      <c r="C757" s="36">
        <v>0.68431712962962965</v>
      </c>
      <c r="D757" s="16" t="s">
        <v>7408</v>
      </c>
      <c r="E757" s="14" t="s">
        <v>65</v>
      </c>
      <c r="F757" s="16" t="s">
        <v>8011</v>
      </c>
      <c r="G757" s="16" t="s">
        <v>867</v>
      </c>
      <c r="H757" s="14">
        <v>0.219</v>
      </c>
      <c r="I757" s="14" t="s">
        <v>10160</v>
      </c>
      <c r="J757" s="14" t="s">
        <v>10177</v>
      </c>
      <c r="K757" s="14" t="s">
        <v>10178</v>
      </c>
      <c r="L757" s="14" t="s">
        <v>10179</v>
      </c>
      <c r="O757" s="14" t="s">
        <v>10173</v>
      </c>
      <c r="P757" s="14" t="s">
        <v>10174</v>
      </c>
      <c r="Q757" s="14">
        <v>421370.65</v>
      </c>
      <c r="R757" s="14">
        <v>6194312.4000000004</v>
      </c>
      <c r="S757" s="14" t="s">
        <v>10175</v>
      </c>
      <c r="T757" s="14" t="s">
        <v>10176</v>
      </c>
      <c r="U757" s="14">
        <v>421395.53</v>
      </c>
      <c r="V757" s="14">
        <v>6194309.8300000001</v>
      </c>
      <c r="W757" s="14">
        <v>357.78</v>
      </c>
      <c r="X757" s="14">
        <v>200.06</v>
      </c>
    </row>
    <row r="758" spans="1:24" s="14" customFormat="1" x14ac:dyDescent="0.25">
      <c r="A758" s="50">
        <v>45098</v>
      </c>
      <c r="B758" s="16">
        <v>172</v>
      </c>
      <c r="C758" s="36">
        <v>0.68972222222222224</v>
      </c>
      <c r="D758" s="16" t="s">
        <v>7408</v>
      </c>
      <c r="E758" s="14" t="s">
        <v>70</v>
      </c>
      <c r="F758" s="16" t="s">
        <v>8011</v>
      </c>
      <c r="G758" s="16" t="s">
        <v>867</v>
      </c>
      <c r="H758" s="14">
        <v>-0.02</v>
      </c>
      <c r="I758" s="14" t="s">
        <v>10184</v>
      </c>
      <c r="J758" s="14" t="s">
        <v>10177</v>
      </c>
      <c r="K758" s="14" t="s">
        <v>10178</v>
      </c>
      <c r="L758" s="14" t="s">
        <v>10179</v>
      </c>
      <c r="O758" s="14" t="s">
        <v>10180</v>
      </c>
      <c r="P758" s="14" t="s">
        <v>10181</v>
      </c>
      <c r="Q758" s="14">
        <v>421371.58</v>
      </c>
      <c r="R758" s="14">
        <v>6194550.9699999997</v>
      </c>
      <c r="S758" s="14" t="s">
        <v>10182</v>
      </c>
      <c r="T758" s="14" t="s">
        <v>10183</v>
      </c>
      <c r="U758" s="14">
        <v>421395.38</v>
      </c>
      <c r="V758" s="14">
        <v>6194548.8099999996</v>
      </c>
      <c r="W758" s="14">
        <v>0.2</v>
      </c>
      <c r="X758" s="14">
        <v>200.06</v>
      </c>
    </row>
    <row r="759" spans="1:24" s="14" customFormat="1" x14ac:dyDescent="0.25">
      <c r="A759" s="50">
        <v>45098</v>
      </c>
      <c r="B759" s="16">
        <v>172</v>
      </c>
      <c r="C759" s="36">
        <v>0.69354166666666661</v>
      </c>
      <c r="D759" s="16" t="s">
        <v>7408</v>
      </c>
      <c r="E759" s="14" t="s">
        <v>65</v>
      </c>
      <c r="F759" s="16" t="s">
        <v>8011</v>
      </c>
      <c r="G759" s="16" t="s">
        <v>868</v>
      </c>
      <c r="H759" s="14">
        <v>-1.6E-2</v>
      </c>
      <c r="I759" s="14" t="s">
        <v>10189</v>
      </c>
      <c r="J759" s="14" t="s">
        <v>10190</v>
      </c>
      <c r="K759" s="14" t="s">
        <v>10191</v>
      </c>
      <c r="L759" s="14" t="s">
        <v>10179</v>
      </c>
      <c r="O759" s="14" t="s">
        <v>10185</v>
      </c>
      <c r="P759" s="14" t="s">
        <v>10186</v>
      </c>
      <c r="Q759" s="14">
        <v>421363.06</v>
      </c>
      <c r="R759" s="14">
        <v>6194564.4100000001</v>
      </c>
      <c r="S759" s="14" t="s">
        <v>10187</v>
      </c>
      <c r="T759" s="14" t="s">
        <v>10188</v>
      </c>
      <c r="U759" s="14">
        <v>421386.42</v>
      </c>
      <c r="V759" s="14">
        <v>6194556.0199999996</v>
      </c>
      <c r="W759" s="14">
        <v>181.16</v>
      </c>
      <c r="X759" s="14">
        <v>200.06</v>
      </c>
    </row>
    <row r="760" spans="1:24" s="59" customFormat="1" x14ac:dyDescent="0.25">
      <c r="A760" s="50">
        <v>45098</v>
      </c>
      <c r="B760" s="16">
        <v>172</v>
      </c>
      <c r="C760" s="36">
        <v>0.6990277777777778</v>
      </c>
      <c r="D760" s="16" t="s">
        <v>7408</v>
      </c>
      <c r="E760" s="14" t="s">
        <v>70</v>
      </c>
      <c r="F760" s="16" t="s">
        <v>8011</v>
      </c>
      <c r="G760" s="16" t="s">
        <v>868</v>
      </c>
      <c r="H760" s="14">
        <v>0.22800000000000001</v>
      </c>
      <c r="I760" s="14" t="s">
        <v>10189</v>
      </c>
      <c r="J760" s="14" t="s">
        <v>10190</v>
      </c>
      <c r="K760" s="14" t="s">
        <v>10191</v>
      </c>
      <c r="L760" s="14" t="s">
        <v>10196</v>
      </c>
      <c r="M760" s="14"/>
      <c r="N760" s="14"/>
      <c r="O760" s="14" t="s">
        <v>10192</v>
      </c>
      <c r="P760" s="14" t="s">
        <v>10193</v>
      </c>
      <c r="Q760" s="14">
        <v>421360.9</v>
      </c>
      <c r="R760" s="14">
        <v>6194321.4100000001</v>
      </c>
      <c r="S760" s="14" t="s">
        <v>10194</v>
      </c>
      <c r="T760" s="14" t="s">
        <v>10195</v>
      </c>
      <c r="U760" s="14">
        <v>421386.39</v>
      </c>
      <c r="V760" s="14">
        <v>6194311.7599999998</v>
      </c>
      <c r="W760" s="14">
        <v>180</v>
      </c>
      <c r="X760" s="59">
        <v>200.06</v>
      </c>
    </row>
    <row r="761" spans="1:24" s="59" customFormat="1" x14ac:dyDescent="0.25">
      <c r="A761" s="50">
        <v>45098</v>
      </c>
      <c r="B761" s="16">
        <v>172</v>
      </c>
      <c r="C761" s="36">
        <v>0.70246527777777779</v>
      </c>
      <c r="D761" s="16" t="s">
        <v>7408</v>
      </c>
      <c r="E761" s="14" t="s">
        <v>65</v>
      </c>
      <c r="F761" s="16" t="s">
        <v>8011</v>
      </c>
      <c r="G761" s="16" t="s">
        <v>869</v>
      </c>
      <c r="H761" s="14">
        <v>0.223</v>
      </c>
      <c r="I761" s="14" t="s">
        <v>10201</v>
      </c>
      <c r="J761" s="14" t="s">
        <v>10202</v>
      </c>
      <c r="K761" s="14" t="s">
        <v>10203</v>
      </c>
      <c r="L761" s="14" t="s">
        <v>10196</v>
      </c>
      <c r="M761" s="14"/>
      <c r="N761" s="14"/>
      <c r="O761" s="14" t="s">
        <v>10197</v>
      </c>
      <c r="P761" s="14" t="s">
        <v>10198</v>
      </c>
      <c r="Q761" s="14">
        <v>421353.22</v>
      </c>
      <c r="R761" s="14">
        <v>6194308.7199999997</v>
      </c>
      <c r="S761" s="14" t="s">
        <v>10199</v>
      </c>
      <c r="T761" s="14" t="s">
        <v>10200</v>
      </c>
      <c r="U761" s="14">
        <v>421377.54</v>
      </c>
      <c r="V761" s="14">
        <v>6194306.1500000004</v>
      </c>
      <c r="W761" s="14">
        <v>359.68</v>
      </c>
      <c r="X761" s="59">
        <v>200.06</v>
      </c>
    </row>
    <row r="762" spans="1:24" s="14" customFormat="1" x14ac:dyDescent="0.25">
      <c r="A762" s="50">
        <v>45098</v>
      </c>
      <c r="B762" s="16">
        <v>172</v>
      </c>
      <c r="C762" s="36">
        <v>0.70805555555555555</v>
      </c>
      <c r="D762" s="16" t="s">
        <v>7408</v>
      </c>
      <c r="E762" s="14" t="s">
        <v>70</v>
      </c>
      <c r="F762" s="16" t="s">
        <v>8011</v>
      </c>
      <c r="G762" s="16" t="s">
        <v>869</v>
      </c>
      <c r="H762" s="14">
        <v>-2.1000000000000001E-2</v>
      </c>
      <c r="I762" s="14" t="s">
        <v>10201</v>
      </c>
      <c r="J762" s="14" t="s">
        <v>10202</v>
      </c>
      <c r="K762" s="14" t="s">
        <v>10203</v>
      </c>
      <c r="L762" s="14" t="s">
        <v>10208</v>
      </c>
      <c r="O762" s="14" t="s">
        <v>10204</v>
      </c>
      <c r="P762" s="14" t="s">
        <v>10205</v>
      </c>
      <c r="Q762" s="14">
        <v>421353.16</v>
      </c>
      <c r="R762" s="14">
        <v>6194553.7300000004</v>
      </c>
      <c r="S762" s="14" t="s">
        <v>10206</v>
      </c>
      <c r="T762" s="14" t="s">
        <v>10207</v>
      </c>
      <c r="U762" s="14">
        <v>421377.44</v>
      </c>
      <c r="V762" s="14">
        <v>6194550.1200000001</v>
      </c>
      <c r="W762" s="14">
        <v>359.92</v>
      </c>
      <c r="X762" s="14">
        <v>200.06</v>
      </c>
    </row>
    <row r="763" spans="1:24" s="14" customFormat="1" x14ac:dyDescent="0.25">
      <c r="A763" s="50">
        <v>45098</v>
      </c>
      <c r="B763" s="16">
        <v>172</v>
      </c>
      <c r="C763" s="36">
        <v>0.71134259259259258</v>
      </c>
      <c r="D763" s="16" t="s">
        <v>7408</v>
      </c>
      <c r="E763" s="14" t="s">
        <v>65</v>
      </c>
      <c r="F763" s="16" t="s">
        <v>8011</v>
      </c>
      <c r="G763" s="16" t="s">
        <v>870</v>
      </c>
      <c r="H763" s="14">
        <v>-1.7000000000000001E-2</v>
      </c>
      <c r="I763" s="14" t="s">
        <v>10213</v>
      </c>
      <c r="J763" s="14" t="s">
        <v>10214</v>
      </c>
      <c r="K763" s="14" t="s">
        <v>10215</v>
      </c>
      <c r="L763" s="14" t="s">
        <v>10208</v>
      </c>
      <c r="O763" s="14" t="s">
        <v>10209</v>
      </c>
      <c r="P763" s="14" t="s">
        <v>10210</v>
      </c>
      <c r="Q763" s="14">
        <v>421345.68</v>
      </c>
      <c r="R763" s="14">
        <v>6194567.2999999998</v>
      </c>
      <c r="S763" s="14" t="s">
        <v>10211</v>
      </c>
      <c r="T763" s="14" t="s">
        <v>10212</v>
      </c>
      <c r="U763" s="14">
        <v>421368.51</v>
      </c>
      <c r="V763" s="14">
        <v>6194556.7699999996</v>
      </c>
      <c r="W763" s="14">
        <v>180.26</v>
      </c>
      <c r="X763" s="14">
        <v>200.06</v>
      </c>
    </row>
    <row r="764" spans="1:24" s="14" customFormat="1" x14ac:dyDescent="0.25">
      <c r="A764" s="50">
        <v>45098</v>
      </c>
      <c r="B764" s="16">
        <v>172</v>
      </c>
      <c r="C764" s="36">
        <v>0.71689814814814812</v>
      </c>
      <c r="D764" s="16" t="s">
        <v>7408</v>
      </c>
      <c r="E764" s="14" t="s">
        <v>70</v>
      </c>
      <c r="F764" s="16" t="s">
        <v>8011</v>
      </c>
      <c r="G764" s="16" t="s">
        <v>870</v>
      </c>
      <c r="H764" s="14">
        <v>0.22800000000000001</v>
      </c>
      <c r="I764" s="14" t="s">
        <v>10213</v>
      </c>
      <c r="J764" s="14" t="s">
        <v>10214</v>
      </c>
      <c r="K764" s="14" t="s">
        <v>10215</v>
      </c>
      <c r="L764" s="14" t="s">
        <v>10220</v>
      </c>
      <c r="O764" s="14" t="s">
        <v>10216</v>
      </c>
      <c r="P764" s="14" t="s">
        <v>10217</v>
      </c>
      <c r="Q764" s="14">
        <v>421343.41</v>
      </c>
      <c r="R764" s="14">
        <v>6194321.1699999999</v>
      </c>
      <c r="S764" s="14" t="s">
        <v>10218</v>
      </c>
      <c r="T764" s="14" t="s">
        <v>10219</v>
      </c>
      <c r="U764" s="14">
        <v>421368.41</v>
      </c>
      <c r="V764" s="14">
        <v>6194312.54</v>
      </c>
      <c r="W764" s="14">
        <v>180.28</v>
      </c>
      <c r="X764" s="14">
        <v>200.06</v>
      </c>
    </row>
    <row r="765" spans="1:24" s="14" customFormat="1" x14ac:dyDescent="0.25">
      <c r="A765" s="50">
        <v>45098</v>
      </c>
      <c r="B765" s="16">
        <v>172</v>
      </c>
      <c r="C765" s="36">
        <v>0.72004629629629635</v>
      </c>
      <c r="D765" s="16" t="s">
        <v>7408</v>
      </c>
      <c r="E765" s="52" t="s">
        <v>65</v>
      </c>
      <c r="F765" s="16" t="s">
        <v>8011</v>
      </c>
      <c r="G765" s="16" t="s">
        <v>871</v>
      </c>
      <c r="H765" s="14">
        <v>0.223</v>
      </c>
      <c r="I765" s="14" t="s">
        <v>10225</v>
      </c>
      <c r="J765" s="14" t="s">
        <v>10226</v>
      </c>
      <c r="K765" s="14" t="s">
        <v>10227</v>
      </c>
      <c r="L765" s="14" t="s">
        <v>10220</v>
      </c>
      <c r="O765" s="14" t="s">
        <v>10221</v>
      </c>
      <c r="P765" s="14" t="s">
        <v>10222</v>
      </c>
      <c r="Q765" s="14">
        <v>421337.08</v>
      </c>
      <c r="R765" s="14">
        <v>6194310.2199999997</v>
      </c>
      <c r="S765" s="14" t="s">
        <v>10223</v>
      </c>
      <c r="T765" s="14" t="s">
        <v>10224</v>
      </c>
      <c r="U765" s="14">
        <v>421359.55</v>
      </c>
      <c r="V765" s="14">
        <v>6194306.4500000002</v>
      </c>
      <c r="W765" s="14">
        <v>358.63</v>
      </c>
      <c r="X765" s="14">
        <v>200.06</v>
      </c>
    </row>
    <row r="766" spans="1:24" s="14" customFormat="1" x14ac:dyDescent="0.25">
      <c r="A766" s="50">
        <v>45098</v>
      </c>
      <c r="B766" s="16">
        <v>172</v>
      </c>
      <c r="C766" s="36">
        <v>0.72555555555555562</v>
      </c>
      <c r="D766" s="16" t="s">
        <v>7408</v>
      </c>
      <c r="E766" s="14" t="s">
        <v>70</v>
      </c>
      <c r="F766" s="16" t="s">
        <v>8011</v>
      </c>
      <c r="G766" s="16" t="s">
        <v>871</v>
      </c>
      <c r="H766" s="14">
        <v>-2.1999999999999999E-2</v>
      </c>
      <c r="I766" s="14" t="s">
        <v>10225</v>
      </c>
      <c r="J766" s="14" t="s">
        <v>10226</v>
      </c>
      <c r="K766" s="14" t="s">
        <v>10227</v>
      </c>
      <c r="L766" s="14" t="s">
        <v>10232</v>
      </c>
      <c r="O766" s="14" t="s">
        <v>10228</v>
      </c>
      <c r="P766" s="14" t="s">
        <v>10229</v>
      </c>
      <c r="Q766" s="14">
        <v>421335.53</v>
      </c>
      <c r="R766" s="14">
        <v>6194551.7000000002</v>
      </c>
      <c r="S766" s="14" t="s">
        <v>10230</v>
      </c>
      <c r="T766" s="14" t="s">
        <v>10231</v>
      </c>
      <c r="U766" s="14">
        <v>421359.46</v>
      </c>
      <c r="V766" s="14">
        <v>6194550.6100000003</v>
      </c>
      <c r="W766" s="14">
        <v>0.37</v>
      </c>
      <c r="X766" s="14">
        <v>200.06</v>
      </c>
    </row>
    <row r="767" spans="1:24" s="14" customFormat="1" x14ac:dyDescent="0.25">
      <c r="A767" s="50">
        <v>45098</v>
      </c>
      <c r="B767" s="16">
        <v>172</v>
      </c>
      <c r="C767" s="36">
        <v>0.72910879629629621</v>
      </c>
      <c r="D767" s="16" t="s">
        <v>7408</v>
      </c>
      <c r="E767" s="14" t="s">
        <v>65</v>
      </c>
      <c r="F767" s="16" t="s">
        <v>8011</v>
      </c>
      <c r="G767" s="16" t="s">
        <v>880</v>
      </c>
      <c r="H767" s="14">
        <v>-1.7000000000000001E-2</v>
      </c>
      <c r="I767" s="14" t="s">
        <v>10237</v>
      </c>
      <c r="J767" s="14" t="s">
        <v>10238</v>
      </c>
      <c r="K767" s="14" t="s">
        <v>10239</v>
      </c>
      <c r="L767" s="14" t="s">
        <v>10232</v>
      </c>
      <c r="O767" s="14" t="s">
        <v>10233</v>
      </c>
      <c r="P767" s="14" t="s">
        <v>10234</v>
      </c>
      <c r="Q767" s="14">
        <v>421329.39</v>
      </c>
      <c r="R767" s="14">
        <v>6194563.5199999996</v>
      </c>
      <c r="S767" s="14" t="s">
        <v>10235</v>
      </c>
      <c r="T767" s="14" t="s">
        <v>10236</v>
      </c>
      <c r="U767" s="14">
        <v>421350.40000000002</v>
      </c>
      <c r="V767" s="14">
        <v>6194557.3300000001</v>
      </c>
      <c r="W767" s="14">
        <v>181.07</v>
      </c>
      <c r="X767" s="14">
        <v>200.06</v>
      </c>
    </row>
    <row r="768" spans="1:24" s="14" customFormat="1" x14ac:dyDescent="0.25">
      <c r="A768" s="50">
        <v>45098</v>
      </c>
      <c r="B768" s="16">
        <v>172</v>
      </c>
      <c r="C768" s="36">
        <v>0.73453703703703699</v>
      </c>
      <c r="D768" s="16" t="s">
        <v>7408</v>
      </c>
      <c r="E768" s="14" t="s">
        <v>70</v>
      </c>
      <c r="F768" s="16" t="s">
        <v>8011</v>
      </c>
      <c r="G768" s="16" t="s">
        <v>880</v>
      </c>
      <c r="H768" s="14">
        <v>0.22700000000000001</v>
      </c>
      <c r="I768" s="14" t="s">
        <v>10237</v>
      </c>
      <c r="J768" s="14" t="s">
        <v>10238</v>
      </c>
      <c r="K768" s="14" t="s">
        <v>10239</v>
      </c>
      <c r="L768" s="14" t="s">
        <v>10232</v>
      </c>
      <c r="O768" s="14" t="s">
        <v>10240</v>
      </c>
      <c r="P768" s="14" t="s">
        <v>10241</v>
      </c>
      <c r="Q768" s="14">
        <v>421326.32</v>
      </c>
      <c r="R768" s="14">
        <v>6194322.4299999997</v>
      </c>
      <c r="S768" s="14" t="s">
        <v>10242</v>
      </c>
      <c r="T768" s="14" t="s">
        <v>10243</v>
      </c>
      <c r="U768" s="14">
        <v>421350.40000000002</v>
      </c>
      <c r="V768" s="14">
        <v>6194312.8600000003</v>
      </c>
      <c r="W768" s="14">
        <v>180.32</v>
      </c>
      <c r="X768" s="14">
        <v>200.06</v>
      </c>
    </row>
    <row r="769" spans="1:24" s="14" customFormat="1" x14ac:dyDescent="0.25">
      <c r="A769" s="50">
        <v>45098</v>
      </c>
      <c r="B769" s="16">
        <v>172</v>
      </c>
      <c r="C769" s="36">
        <v>0.73822916666666671</v>
      </c>
      <c r="D769" s="16" t="s">
        <v>7408</v>
      </c>
      <c r="E769" s="14" t="s">
        <v>65</v>
      </c>
      <c r="F769" s="16" t="s">
        <v>8011</v>
      </c>
      <c r="G769" s="16" t="s">
        <v>879</v>
      </c>
      <c r="H769" s="14">
        <v>0.222</v>
      </c>
      <c r="I769" s="14" t="s">
        <v>10248</v>
      </c>
      <c r="J769" s="14" t="s">
        <v>10249</v>
      </c>
      <c r="K769" s="14" t="s">
        <v>10250</v>
      </c>
      <c r="L769" s="14" t="s">
        <v>10251</v>
      </c>
      <c r="O769" s="14" t="s">
        <v>10244</v>
      </c>
      <c r="P769" s="14" t="s">
        <v>10245</v>
      </c>
      <c r="Q769" s="14">
        <v>421319.98</v>
      </c>
      <c r="R769" s="14">
        <v>6194308.9400000004</v>
      </c>
      <c r="S769" s="14" t="s">
        <v>10246</v>
      </c>
      <c r="T769" s="14" t="s">
        <v>10247</v>
      </c>
      <c r="U769" s="14">
        <v>421341.56</v>
      </c>
      <c r="V769" s="14">
        <v>6194307.1799999997</v>
      </c>
      <c r="W769" s="14">
        <v>358.21</v>
      </c>
      <c r="X769" s="14">
        <v>200.06</v>
      </c>
    </row>
    <row r="770" spans="1:24" s="14" customFormat="1" x14ac:dyDescent="0.25">
      <c r="A770" s="50">
        <v>45098</v>
      </c>
      <c r="B770" s="16">
        <v>172</v>
      </c>
      <c r="C770" s="36">
        <v>0.74375000000000002</v>
      </c>
      <c r="D770" s="16" t="s">
        <v>7408</v>
      </c>
      <c r="E770" s="14" t="s">
        <v>70</v>
      </c>
      <c r="F770" s="16" t="s">
        <v>8011</v>
      </c>
      <c r="G770" s="16" t="s">
        <v>879</v>
      </c>
      <c r="H770" s="14">
        <v>-2.3E-2</v>
      </c>
      <c r="I770" s="14" t="s">
        <v>10248</v>
      </c>
      <c r="J770" s="14" t="s">
        <v>10249</v>
      </c>
      <c r="K770" s="14" t="s">
        <v>10250</v>
      </c>
      <c r="L770" s="14" t="s">
        <v>10251</v>
      </c>
      <c r="O770" s="14" t="s">
        <v>10252</v>
      </c>
      <c r="P770" s="14" t="s">
        <v>10253</v>
      </c>
      <c r="Q770" s="14">
        <v>421318.88</v>
      </c>
      <c r="R770" s="14">
        <v>6194552.0099999998</v>
      </c>
      <c r="S770" s="14" t="s">
        <v>10254</v>
      </c>
      <c r="T770" s="14" t="s">
        <v>10255</v>
      </c>
      <c r="U770" s="14">
        <v>421341.35</v>
      </c>
      <c r="V770" s="14">
        <v>6194551.5700000003</v>
      </c>
      <c r="W770" s="14">
        <v>359.74</v>
      </c>
      <c r="X770" s="14">
        <v>200.06</v>
      </c>
    </row>
    <row r="771" spans="1:24" s="14" customFormat="1" x14ac:dyDescent="0.25">
      <c r="A771" s="50">
        <v>45098</v>
      </c>
      <c r="B771" s="16">
        <v>172</v>
      </c>
      <c r="C771" s="36">
        <v>0.74747685185185186</v>
      </c>
      <c r="D771" s="16" t="s">
        <v>7408</v>
      </c>
      <c r="E771" s="14" t="s">
        <v>65</v>
      </c>
      <c r="F771" s="16" t="s">
        <v>8011</v>
      </c>
      <c r="G771" s="16" t="s">
        <v>878</v>
      </c>
      <c r="H771" s="14">
        <v>-1.7999999999999999E-2</v>
      </c>
      <c r="I771" s="14" t="s">
        <v>10260</v>
      </c>
      <c r="J771" s="14" t="s">
        <v>10261</v>
      </c>
      <c r="K771" s="14" t="s">
        <v>10262</v>
      </c>
      <c r="L771" s="14" t="s">
        <v>10263</v>
      </c>
      <c r="O771" s="14" t="s">
        <v>10256</v>
      </c>
      <c r="P771" s="14" t="s">
        <v>10257</v>
      </c>
      <c r="Q771" s="14">
        <v>421310.15</v>
      </c>
      <c r="R771" s="14">
        <v>6194567.0599999996</v>
      </c>
      <c r="S771" s="14" t="s">
        <v>10258</v>
      </c>
      <c r="T771" s="14" t="s">
        <v>10259</v>
      </c>
      <c r="U771" s="14">
        <v>421332.49</v>
      </c>
      <c r="V771" s="14">
        <v>6194557.8200000003</v>
      </c>
      <c r="W771" s="14">
        <v>181.12</v>
      </c>
      <c r="X771" s="14">
        <v>200.06</v>
      </c>
    </row>
    <row r="772" spans="1:24" s="14" customFormat="1" x14ac:dyDescent="0.25">
      <c r="A772" s="50">
        <v>45098</v>
      </c>
      <c r="B772" s="16">
        <v>172</v>
      </c>
      <c r="C772" s="36">
        <v>0.75304398148148144</v>
      </c>
      <c r="D772" s="16" t="s">
        <v>7408</v>
      </c>
      <c r="E772" s="14" t="s">
        <v>70</v>
      </c>
      <c r="F772" s="16" t="s">
        <v>8011</v>
      </c>
      <c r="G772" s="16" t="s">
        <v>878</v>
      </c>
      <c r="H772" s="14">
        <v>0.22700000000000001</v>
      </c>
      <c r="I772" s="14" t="s">
        <v>10260</v>
      </c>
      <c r="J772" s="14" t="s">
        <v>10261</v>
      </c>
      <c r="K772" s="14" t="s">
        <v>10262</v>
      </c>
      <c r="L772" s="14" t="s">
        <v>10263</v>
      </c>
      <c r="O772" s="14" t="s">
        <v>10264</v>
      </c>
      <c r="P772" s="14" t="s">
        <v>10265</v>
      </c>
      <c r="Q772" s="14">
        <v>421308</v>
      </c>
      <c r="R772" s="14">
        <v>6194320.8700000001</v>
      </c>
      <c r="S772" s="14" t="s">
        <v>10266</v>
      </c>
      <c r="T772" s="14" t="s">
        <v>10267</v>
      </c>
      <c r="U772" s="14">
        <v>421332.44</v>
      </c>
      <c r="V772" s="14">
        <v>6194313.4299999997</v>
      </c>
      <c r="W772" s="14">
        <v>180.17</v>
      </c>
      <c r="X772" s="14">
        <v>200.06</v>
      </c>
    </row>
    <row r="773" spans="1:24" s="14" customFormat="1" x14ac:dyDescent="0.25">
      <c r="A773" s="50">
        <v>45098</v>
      </c>
      <c r="B773" s="16">
        <v>172</v>
      </c>
      <c r="C773" s="36">
        <v>0.75636574074074081</v>
      </c>
      <c r="D773" s="16" t="s">
        <v>7408</v>
      </c>
      <c r="E773" s="14" t="s">
        <v>65</v>
      </c>
      <c r="F773" s="16" t="s">
        <v>8011</v>
      </c>
      <c r="G773" s="16" t="s">
        <v>877</v>
      </c>
      <c r="H773" s="14">
        <v>0.221</v>
      </c>
      <c r="I773" s="14" t="s">
        <v>10272</v>
      </c>
      <c r="J773" s="14" t="s">
        <v>10273</v>
      </c>
      <c r="K773" s="14" t="s">
        <v>10274</v>
      </c>
      <c r="L773" s="14" t="s">
        <v>10263</v>
      </c>
      <c r="O773" s="14" t="s">
        <v>10268</v>
      </c>
      <c r="P773" s="14" t="s">
        <v>10269</v>
      </c>
      <c r="Q773" s="14">
        <v>421301.51</v>
      </c>
      <c r="R773" s="14">
        <v>6194311.6799999997</v>
      </c>
      <c r="S773" s="14" t="s">
        <v>10270</v>
      </c>
      <c r="T773" s="14" t="s">
        <v>10271</v>
      </c>
      <c r="U773" s="14">
        <v>421323.56</v>
      </c>
      <c r="V773" s="14">
        <v>6194308.3700000001</v>
      </c>
      <c r="W773" s="14">
        <v>358.97</v>
      </c>
      <c r="X773" s="14">
        <v>200.06</v>
      </c>
    </row>
    <row r="774" spans="1:24" s="14" customFormat="1" x14ac:dyDescent="0.25">
      <c r="A774" s="50">
        <v>45098</v>
      </c>
      <c r="B774" s="16">
        <v>172</v>
      </c>
      <c r="C774" s="36">
        <v>0.76192129629629635</v>
      </c>
      <c r="D774" s="16" t="s">
        <v>7408</v>
      </c>
      <c r="E774" s="14" t="s">
        <v>70</v>
      </c>
      <c r="F774" s="16" t="s">
        <v>8011</v>
      </c>
      <c r="G774" s="16" t="s">
        <v>877</v>
      </c>
      <c r="H774" s="14">
        <v>-2.3E-2</v>
      </c>
      <c r="I774" s="14" t="s">
        <v>10272</v>
      </c>
      <c r="J774" s="14" t="s">
        <v>10273</v>
      </c>
      <c r="K774" s="14" t="s">
        <v>10274</v>
      </c>
      <c r="L774" s="14" t="s">
        <v>10279</v>
      </c>
      <c r="O774" s="14" t="s">
        <v>10275</v>
      </c>
      <c r="P774" s="14" t="s">
        <v>10276</v>
      </c>
      <c r="Q774" s="14">
        <v>421299.65</v>
      </c>
      <c r="R774" s="14">
        <v>6194556.3899999997</v>
      </c>
      <c r="S774" s="14" t="s">
        <v>10277</v>
      </c>
      <c r="T774" s="14" t="s">
        <v>10278</v>
      </c>
      <c r="U774" s="14">
        <v>421323.41</v>
      </c>
      <c r="V774" s="14">
        <v>6194551.6100000003</v>
      </c>
      <c r="W774" s="14">
        <v>0.14000000000000001</v>
      </c>
      <c r="X774" s="14">
        <v>200.06</v>
      </c>
    </row>
    <row r="775" spans="1:24" s="14" customFormat="1" x14ac:dyDescent="0.25">
      <c r="A775" s="50">
        <v>45098</v>
      </c>
      <c r="B775" s="16">
        <v>172</v>
      </c>
      <c r="C775" s="36">
        <v>0.76552083333333332</v>
      </c>
      <c r="D775" s="16" t="s">
        <v>7408</v>
      </c>
      <c r="E775" s="14" t="s">
        <v>65</v>
      </c>
      <c r="F775" s="16" t="s">
        <v>8011</v>
      </c>
      <c r="G775" s="16" t="s">
        <v>876</v>
      </c>
      <c r="H775" s="14">
        <v>-1.7999999999999999E-2</v>
      </c>
      <c r="I775" s="14" t="s">
        <v>10284</v>
      </c>
      <c r="J775" s="14" t="s">
        <v>10285</v>
      </c>
      <c r="K775" s="14" t="s">
        <v>10286</v>
      </c>
      <c r="L775" s="14" t="s">
        <v>10279</v>
      </c>
      <c r="O775" s="14" t="s">
        <v>10280</v>
      </c>
      <c r="P775" s="14" t="s">
        <v>10281</v>
      </c>
      <c r="Q775" s="14">
        <v>421290.97</v>
      </c>
      <c r="R775" s="14">
        <v>6194564.5899999999</v>
      </c>
      <c r="S775" s="14" t="s">
        <v>10282</v>
      </c>
      <c r="T775" s="14" t="s">
        <v>10283</v>
      </c>
      <c r="U775" s="14">
        <v>421314.34</v>
      </c>
      <c r="V775" s="14">
        <v>6194558.2999999998</v>
      </c>
      <c r="W775" s="14">
        <v>180.48</v>
      </c>
      <c r="X775" s="14">
        <v>200.06</v>
      </c>
    </row>
    <row r="776" spans="1:24" s="14" customFormat="1" x14ac:dyDescent="0.25">
      <c r="A776" s="50">
        <v>45098</v>
      </c>
      <c r="B776" s="16">
        <v>172</v>
      </c>
      <c r="C776" s="36">
        <v>0.77106481481481481</v>
      </c>
      <c r="D776" s="16" t="s">
        <v>7408</v>
      </c>
      <c r="E776" s="14" t="s">
        <v>70</v>
      </c>
      <c r="F776" s="16" t="s">
        <v>8011</v>
      </c>
      <c r="G776" s="16" t="s">
        <v>876</v>
      </c>
      <c r="H776" s="14">
        <v>0.22600000000000001</v>
      </c>
      <c r="I776" s="14" t="s">
        <v>10284</v>
      </c>
      <c r="J776" s="14" t="s">
        <v>10285</v>
      </c>
      <c r="K776" s="14" t="s">
        <v>10286</v>
      </c>
      <c r="L776" s="14" t="s">
        <v>10291</v>
      </c>
      <c r="O776" s="14" t="s">
        <v>10287</v>
      </c>
      <c r="P776" s="14" t="s">
        <v>10288</v>
      </c>
      <c r="Q776" s="14">
        <v>421289.57</v>
      </c>
      <c r="R776" s="14">
        <v>6194319.0700000003</v>
      </c>
      <c r="S776" s="14" t="s">
        <v>10289</v>
      </c>
      <c r="T776" s="14" t="s">
        <v>10290</v>
      </c>
      <c r="U776" s="14">
        <v>421314.34</v>
      </c>
      <c r="V776" s="14">
        <v>6194313.8799999999</v>
      </c>
      <c r="W776" s="14">
        <v>180.02</v>
      </c>
      <c r="X776" s="14">
        <v>200.06</v>
      </c>
    </row>
    <row r="777" spans="1:24" s="14" customFormat="1" x14ac:dyDescent="0.25">
      <c r="A777" s="50">
        <v>45098</v>
      </c>
      <c r="B777" s="16">
        <v>172</v>
      </c>
      <c r="C777" s="36">
        <v>0.77435185185185185</v>
      </c>
      <c r="D777" s="16" t="s">
        <v>7408</v>
      </c>
      <c r="E777" s="14" t="s">
        <v>65</v>
      </c>
      <c r="F777" s="16" t="s">
        <v>8011</v>
      </c>
      <c r="G777" s="16" t="s">
        <v>875</v>
      </c>
      <c r="H777" s="14">
        <v>0.221</v>
      </c>
      <c r="I777" s="14" t="s">
        <v>10296</v>
      </c>
      <c r="J777" s="14" t="s">
        <v>10297</v>
      </c>
      <c r="K777" s="14" t="s">
        <v>10298</v>
      </c>
      <c r="L777" s="14" t="s">
        <v>10291</v>
      </c>
      <c r="O777" s="14" t="s">
        <v>10292</v>
      </c>
      <c r="P777" s="14" t="s">
        <v>10293</v>
      </c>
      <c r="Q777" s="14">
        <v>421281.36</v>
      </c>
      <c r="R777" s="14">
        <v>6194310.6100000003</v>
      </c>
      <c r="S777" s="14" t="s">
        <v>10294</v>
      </c>
      <c r="T777" s="14" t="s">
        <v>10295</v>
      </c>
      <c r="U777" s="14">
        <v>421305.47</v>
      </c>
      <c r="V777" s="14">
        <v>6194308.21</v>
      </c>
      <c r="W777" s="14">
        <v>359.62</v>
      </c>
      <c r="X777" s="14">
        <v>200.06</v>
      </c>
    </row>
    <row r="778" spans="1:24" s="14" customFormat="1" x14ac:dyDescent="0.25">
      <c r="A778" s="50">
        <v>45098</v>
      </c>
      <c r="B778" s="16">
        <v>172</v>
      </c>
      <c r="C778" s="36">
        <v>0.77978009259259251</v>
      </c>
      <c r="D778" s="16" t="s">
        <v>7408</v>
      </c>
      <c r="E778" s="52" t="s">
        <v>70</v>
      </c>
      <c r="F778" s="16" t="s">
        <v>8011</v>
      </c>
      <c r="G778" s="16" t="s">
        <v>875</v>
      </c>
      <c r="H778" s="14">
        <v>-2.4E-2</v>
      </c>
      <c r="I778" s="14" t="s">
        <v>10296</v>
      </c>
      <c r="J778" s="14" t="s">
        <v>10297</v>
      </c>
      <c r="K778" s="14" t="s">
        <v>10298</v>
      </c>
      <c r="L778" s="14" t="s">
        <v>10303</v>
      </c>
      <c r="O778" s="14" t="s">
        <v>10299</v>
      </c>
      <c r="P778" s="14" t="s">
        <v>10300</v>
      </c>
      <c r="Q778" s="14">
        <v>421281.86</v>
      </c>
      <c r="R778" s="14">
        <v>6194549.3899999997</v>
      </c>
      <c r="S778" s="14" t="s">
        <v>10301</v>
      </c>
      <c r="T778" s="14" t="s">
        <v>10302</v>
      </c>
      <c r="U778" s="14">
        <v>421305.42</v>
      </c>
      <c r="V778" s="14">
        <v>6194553.3300000001</v>
      </c>
      <c r="W778" s="14">
        <v>0.04</v>
      </c>
      <c r="X778" s="14">
        <v>200.06</v>
      </c>
    </row>
    <row r="779" spans="1:24" s="56" customFormat="1" x14ac:dyDescent="0.25">
      <c r="A779" s="42">
        <v>45098</v>
      </c>
      <c r="B779" s="53">
        <v>172</v>
      </c>
      <c r="C779" s="54">
        <v>0.78303240740740743</v>
      </c>
      <c r="D779" s="53" t="s">
        <v>7408</v>
      </c>
      <c r="E779" s="55" t="s">
        <v>65</v>
      </c>
      <c r="F779" s="53" t="s">
        <v>8011</v>
      </c>
      <c r="G779" s="53" t="s">
        <v>874</v>
      </c>
      <c r="H779" s="56">
        <v>-1.7000000000000001E-2</v>
      </c>
      <c r="I779" s="56" t="s">
        <v>10308</v>
      </c>
      <c r="J779" s="56" t="s">
        <v>10309</v>
      </c>
      <c r="K779" s="56" t="s">
        <v>10310</v>
      </c>
      <c r="L779" s="56" t="s">
        <v>10303</v>
      </c>
      <c r="O779" s="56" t="s">
        <v>10304</v>
      </c>
      <c r="P779" s="56" t="s">
        <v>10305</v>
      </c>
      <c r="Q779" s="56">
        <v>421273.5</v>
      </c>
      <c r="R779" s="56">
        <v>6194566.3799999999</v>
      </c>
      <c r="S779" s="56" t="s">
        <v>10306</v>
      </c>
      <c r="T779" s="56" t="s">
        <v>10307</v>
      </c>
      <c r="U779" s="56">
        <v>421296.4</v>
      </c>
      <c r="V779" s="56">
        <v>6194557.04</v>
      </c>
      <c r="W779" s="56">
        <v>180.71</v>
      </c>
      <c r="X779" s="56">
        <v>200.06</v>
      </c>
    </row>
    <row r="780" spans="1:24" s="14" customFormat="1" x14ac:dyDescent="0.25">
      <c r="A780" s="50">
        <v>45098</v>
      </c>
      <c r="B780" s="16">
        <v>172</v>
      </c>
      <c r="C780" s="36">
        <v>0.78858796296296296</v>
      </c>
      <c r="D780" s="16" t="s">
        <v>7408</v>
      </c>
      <c r="E780" s="14" t="s">
        <v>70</v>
      </c>
      <c r="F780" s="16" t="s">
        <v>8011</v>
      </c>
      <c r="G780" s="16" t="s">
        <v>874</v>
      </c>
      <c r="H780" s="14">
        <v>0.22500000000000001</v>
      </c>
      <c r="I780" s="14" t="s">
        <v>10308</v>
      </c>
      <c r="J780" s="14" t="s">
        <v>10309</v>
      </c>
      <c r="K780" s="14" t="s">
        <v>10310</v>
      </c>
      <c r="L780" s="14" t="s">
        <v>10315</v>
      </c>
      <c r="O780" s="14" t="s">
        <v>10311</v>
      </c>
      <c r="P780" s="14" t="s">
        <v>10312</v>
      </c>
      <c r="Q780" s="14">
        <v>421271.78</v>
      </c>
      <c r="R780" s="14">
        <v>6194321.6200000001</v>
      </c>
      <c r="S780" s="14" t="s">
        <v>10313</v>
      </c>
      <c r="T780" s="14" t="s">
        <v>10314</v>
      </c>
      <c r="U780" s="14">
        <v>421296.35</v>
      </c>
      <c r="V780" s="14">
        <v>6194314.6100000003</v>
      </c>
      <c r="W780" s="14">
        <v>179.82</v>
      </c>
      <c r="X780" s="14">
        <v>200.06</v>
      </c>
    </row>
    <row r="781" spans="1:24" s="14" customFormat="1" x14ac:dyDescent="0.25">
      <c r="A781" s="50">
        <v>45098</v>
      </c>
      <c r="B781" s="16">
        <v>172</v>
      </c>
      <c r="C781" s="36">
        <v>0.79199074074074083</v>
      </c>
      <c r="D781" s="16" t="s">
        <v>7408</v>
      </c>
      <c r="E781" s="14" t="s">
        <v>65</v>
      </c>
      <c r="F781" s="16" t="s">
        <v>8011</v>
      </c>
      <c r="G781" s="16" t="s">
        <v>873</v>
      </c>
      <c r="H781" s="14">
        <v>0.221</v>
      </c>
      <c r="I781" s="14" t="s">
        <v>10320</v>
      </c>
      <c r="J781" s="14" t="s">
        <v>10321</v>
      </c>
      <c r="K781" s="14" t="s">
        <v>10322</v>
      </c>
      <c r="L781" s="14" t="s">
        <v>10315</v>
      </c>
      <c r="O781" s="14" t="s">
        <v>10316</v>
      </c>
      <c r="P781" s="14" t="s">
        <v>10317</v>
      </c>
      <c r="Q781" s="14">
        <v>421263.88</v>
      </c>
      <c r="R781" s="14">
        <v>6194314.3700000001</v>
      </c>
      <c r="S781" s="14" t="s">
        <v>10318</v>
      </c>
      <c r="T781" s="14" t="s">
        <v>10319</v>
      </c>
      <c r="U781" s="14">
        <v>421287.55</v>
      </c>
      <c r="V781" s="14">
        <v>6194307.5599999996</v>
      </c>
      <c r="W781" s="14">
        <v>358.64</v>
      </c>
      <c r="X781" s="14">
        <v>200.06</v>
      </c>
    </row>
    <row r="782" spans="1:24" s="14" customFormat="1" x14ac:dyDescent="0.25">
      <c r="A782" s="50">
        <v>45098</v>
      </c>
      <c r="B782" s="16">
        <v>172</v>
      </c>
      <c r="C782" s="36">
        <v>0.79749999999999999</v>
      </c>
      <c r="D782" s="16" t="s">
        <v>7408</v>
      </c>
      <c r="E782" s="14" t="s">
        <v>70</v>
      </c>
      <c r="F782" s="16" t="s">
        <v>8011</v>
      </c>
      <c r="G782" s="16" t="s">
        <v>873</v>
      </c>
      <c r="H782" s="14">
        <v>-2.1999999999999999E-2</v>
      </c>
      <c r="I782" s="14" t="s">
        <v>10320</v>
      </c>
      <c r="J782" s="14" t="s">
        <v>10321</v>
      </c>
      <c r="K782" s="14" t="s">
        <v>10322</v>
      </c>
      <c r="L782" s="14" t="s">
        <v>10315</v>
      </c>
      <c r="O782" s="14" t="s">
        <v>10323</v>
      </c>
      <c r="P782" s="14" t="s">
        <v>10324</v>
      </c>
      <c r="Q782" s="14">
        <v>421263.17</v>
      </c>
      <c r="R782" s="14">
        <v>6194556.8899999997</v>
      </c>
      <c r="S782" s="14" t="s">
        <v>10325</v>
      </c>
      <c r="T782" s="14" t="s">
        <v>10326</v>
      </c>
      <c r="U782" s="14">
        <v>421287.4</v>
      </c>
      <c r="V782" s="14">
        <v>6194551.3300000001</v>
      </c>
      <c r="W782" s="14">
        <v>359.86</v>
      </c>
      <c r="X782" s="14">
        <v>200.06</v>
      </c>
    </row>
    <row r="783" spans="1:24" s="14" customFormat="1" x14ac:dyDescent="0.25">
      <c r="A783" s="50">
        <v>45098</v>
      </c>
      <c r="B783" s="16">
        <v>172</v>
      </c>
      <c r="C783" s="36">
        <v>0.80094907407407412</v>
      </c>
      <c r="D783" s="16" t="s">
        <v>7408</v>
      </c>
      <c r="E783" s="14" t="s">
        <v>65</v>
      </c>
      <c r="F783" s="16" t="s">
        <v>8011</v>
      </c>
      <c r="G783" s="16" t="s">
        <v>872</v>
      </c>
      <c r="H783" s="14">
        <v>-1.7000000000000001E-2</v>
      </c>
      <c r="I783" s="14" t="s">
        <v>10331</v>
      </c>
      <c r="J783" s="14" t="s">
        <v>10332</v>
      </c>
      <c r="K783" s="14" t="s">
        <v>10333</v>
      </c>
      <c r="L783" s="14" t="s">
        <v>10334</v>
      </c>
      <c r="O783" s="14" t="s">
        <v>10327</v>
      </c>
      <c r="P783" s="14" t="s">
        <v>10328</v>
      </c>
      <c r="Q783" s="14">
        <v>421256.08</v>
      </c>
      <c r="R783" s="14">
        <v>6194559.2000000002</v>
      </c>
      <c r="S783" s="14" t="s">
        <v>10329</v>
      </c>
      <c r="T783" s="14" t="s">
        <v>10330</v>
      </c>
      <c r="U783" s="14">
        <v>421278.45</v>
      </c>
      <c r="V783" s="14">
        <v>6194556.7800000003</v>
      </c>
      <c r="W783" s="14">
        <v>180.52</v>
      </c>
      <c r="X783" s="14">
        <v>200.06</v>
      </c>
    </row>
    <row r="784" spans="1:24" s="14" customFormat="1" x14ac:dyDescent="0.25">
      <c r="A784" s="50">
        <v>45098</v>
      </c>
      <c r="B784" s="16">
        <v>172</v>
      </c>
      <c r="C784" s="36">
        <v>0.80635416666666659</v>
      </c>
      <c r="D784" s="16" t="s">
        <v>7408</v>
      </c>
      <c r="E784" s="14" t="s">
        <v>70</v>
      </c>
      <c r="F784" s="16" t="s">
        <v>8011</v>
      </c>
      <c r="G784" s="16" t="s">
        <v>872</v>
      </c>
      <c r="H784" s="14">
        <v>0.22700000000000001</v>
      </c>
      <c r="I784" s="14" t="s">
        <v>10331</v>
      </c>
      <c r="J784" s="14" t="s">
        <v>10332</v>
      </c>
      <c r="K784" s="14" t="s">
        <v>10333</v>
      </c>
      <c r="L784" s="14" t="s">
        <v>10334</v>
      </c>
      <c r="O784" s="14" t="s">
        <v>10335</v>
      </c>
      <c r="P784" s="14" t="s">
        <v>10336</v>
      </c>
      <c r="Q784" s="14">
        <v>421255.63</v>
      </c>
      <c r="R784" s="14">
        <v>6194319.8700000001</v>
      </c>
      <c r="S784" s="14" t="s">
        <v>10337</v>
      </c>
      <c r="T784" s="14" t="s">
        <v>10338</v>
      </c>
      <c r="U784" s="14">
        <v>421278.42</v>
      </c>
      <c r="V784" s="14">
        <v>6194313.2999999998</v>
      </c>
      <c r="W784" s="14">
        <v>179.47</v>
      </c>
      <c r="X784" s="14">
        <v>200.06</v>
      </c>
    </row>
    <row r="785" spans="1:24" s="14" customFormat="1" x14ac:dyDescent="0.25">
      <c r="A785" s="50">
        <v>45098</v>
      </c>
      <c r="B785" s="16">
        <v>172</v>
      </c>
      <c r="C785" s="36">
        <v>0.80960648148148151</v>
      </c>
      <c r="D785" s="16" t="s">
        <v>7408</v>
      </c>
      <c r="E785" s="14" t="s">
        <v>10343</v>
      </c>
      <c r="F785" s="16" t="s">
        <v>8011</v>
      </c>
      <c r="G785" s="16" t="s">
        <v>1146</v>
      </c>
      <c r="H785" s="14">
        <v>1.091</v>
      </c>
      <c r="O785" s="14" t="s">
        <v>10339</v>
      </c>
      <c r="P785" s="14" t="s">
        <v>10340</v>
      </c>
      <c r="Q785" s="14">
        <v>421259.81</v>
      </c>
      <c r="R785" s="14">
        <v>6194297.1500000004</v>
      </c>
      <c r="S785" s="14" t="s">
        <v>10341</v>
      </c>
      <c r="T785" s="14" t="s">
        <v>10342</v>
      </c>
      <c r="U785" s="14">
        <v>421259.97</v>
      </c>
      <c r="V785" s="14">
        <v>6194286.6600000001</v>
      </c>
      <c r="W785" s="14">
        <v>314.39</v>
      </c>
      <c r="X785" s="14">
        <v>150.05000000000001</v>
      </c>
    </row>
    <row r="786" spans="1:24" s="68" customFormat="1" x14ac:dyDescent="0.25">
      <c r="A786" s="65">
        <v>45098</v>
      </c>
      <c r="B786" s="66">
        <v>172</v>
      </c>
      <c r="C786" s="67">
        <v>0.82981481481481489</v>
      </c>
      <c r="D786" s="66" t="s">
        <v>7408</v>
      </c>
      <c r="E786" s="68" t="s">
        <v>10349</v>
      </c>
      <c r="F786" s="66" t="s">
        <v>8011</v>
      </c>
      <c r="G786" s="66" t="s">
        <v>1146</v>
      </c>
      <c r="H786" s="68">
        <v>0.191</v>
      </c>
      <c r="M786" s="68" t="s">
        <v>10344</v>
      </c>
      <c r="O786" s="68" t="s">
        <v>10345</v>
      </c>
      <c r="P786" s="68" t="s">
        <v>10346</v>
      </c>
      <c r="Q786" s="68">
        <v>420688.07</v>
      </c>
      <c r="R786" s="68">
        <v>6195192.2800000003</v>
      </c>
      <c r="S786" s="68" t="s">
        <v>10347</v>
      </c>
      <c r="T786" s="68" t="s">
        <v>10348</v>
      </c>
      <c r="U786" s="68">
        <v>420702.46</v>
      </c>
      <c r="V786" s="68">
        <v>6195187.9900000002</v>
      </c>
      <c r="W786" s="68">
        <v>70.680000000000007</v>
      </c>
      <c r="X786" s="68">
        <v>150.05000000000001</v>
      </c>
    </row>
    <row r="787" spans="1:24" s="14" customFormat="1" x14ac:dyDescent="0.25">
      <c r="A787" s="50">
        <v>45098</v>
      </c>
      <c r="B787" s="16">
        <v>172</v>
      </c>
      <c r="C787" s="36">
        <v>0.83328703703703699</v>
      </c>
      <c r="D787" s="16" t="s">
        <v>7408</v>
      </c>
      <c r="E787" s="14" t="s">
        <v>65</v>
      </c>
      <c r="F787" s="16" t="s">
        <v>8011</v>
      </c>
      <c r="G787" s="16" t="s">
        <v>1146</v>
      </c>
      <c r="H787" s="14">
        <v>0.16300000000000001</v>
      </c>
      <c r="I787" s="14" t="s">
        <v>10354</v>
      </c>
      <c r="J787" s="14" t="s">
        <v>10355</v>
      </c>
      <c r="K787" s="14" t="s">
        <v>10356</v>
      </c>
      <c r="L787" s="14" t="s">
        <v>10357</v>
      </c>
      <c r="O787" s="14" t="s">
        <v>10350</v>
      </c>
      <c r="P787" s="14" t="s">
        <v>10351</v>
      </c>
      <c r="Q787" s="14">
        <v>420674.94</v>
      </c>
      <c r="R787" s="14">
        <v>6195217.1799999997</v>
      </c>
      <c r="S787" s="14" t="s">
        <v>10352</v>
      </c>
      <c r="T787" s="14" t="s">
        <v>10353</v>
      </c>
      <c r="U787" s="14">
        <v>420699.41</v>
      </c>
      <c r="V787" s="14">
        <v>6195211.9800000004</v>
      </c>
      <c r="W787" s="14">
        <v>0.69</v>
      </c>
      <c r="X787" s="14">
        <v>150.05000000000001</v>
      </c>
    </row>
    <row r="788" spans="1:24" s="14" customFormat="1" x14ac:dyDescent="0.25">
      <c r="A788" s="50">
        <v>45098</v>
      </c>
      <c r="B788" s="16">
        <v>172</v>
      </c>
      <c r="C788" s="36">
        <v>0.83740740740740749</v>
      </c>
      <c r="D788" s="16" t="s">
        <v>7408</v>
      </c>
      <c r="E788" s="14" t="s">
        <v>70</v>
      </c>
      <c r="F788" s="16" t="s">
        <v>8011</v>
      </c>
      <c r="G788" s="16" t="s">
        <v>1146</v>
      </c>
      <c r="H788" s="14">
        <v>-1.9E-2</v>
      </c>
      <c r="I788" s="14" t="s">
        <v>10354</v>
      </c>
      <c r="J788" s="14" t="s">
        <v>10355</v>
      </c>
      <c r="K788" s="14" t="s">
        <v>10356</v>
      </c>
      <c r="L788" s="14" t="s">
        <v>10357</v>
      </c>
      <c r="O788" s="14" t="s">
        <v>10358</v>
      </c>
      <c r="P788" s="14" t="s">
        <v>10359</v>
      </c>
      <c r="Q788" s="14">
        <v>420675.24</v>
      </c>
      <c r="R788" s="14">
        <v>6195397.2999999998</v>
      </c>
      <c r="S788" s="14" t="s">
        <v>10360</v>
      </c>
      <c r="T788" s="14" t="s">
        <v>10361</v>
      </c>
      <c r="U788" s="14">
        <v>420699.32</v>
      </c>
      <c r="V788" s="14">
        <v>6195394.4900000002</v>
      </c>
      <c r="W788" s="14">
        <v>0.47</v>
      </c>
      <c r="X788" s="14">
        <v>150.05000000000001</v>
      </c>
    </row>
    <row r="789" spans="1:24" s="14" customFormat="1" x14ac:dyDescent="0.25">
      <c r="A789" s="50">
        <v>45098</v>
      </c>
      <c r="B789" s="16">
        <v>172</v>
      </c>
      <c r="C789" s="36">
        <v>0.84070601851851856</v>
      </c>
      <c r="D789" s="16" t="s">
        <v>7408</v>
      </c>
      <c r="E789" s="14" t="s">
        <v>65</v>
      </c>
      <c r="F789" s="16" t="s">
        <v>8011</v>
      </c>
      <c r="G789" s="16" t="s">
        <v>1145</v>
      </c>
      <c r="H789" s="14">
        <v>-2.3E-2</v>
      </c>
      <c r="I789" s="14" t="s">
        <v>10366</v>
      </c>
      <c r="J789" s="14" t="s">
        <v>10367</v>
      </c>
      <c r="K789" s="14" t="s">
        <v>10368</v>
      </c>
      <c r="L789" s="14" t="s">
        <v>10369</v>
      </c>
      <c r="O789" s="14" t="s">
        <v>10362</v>
      </c>
      <c r="P789" s="14" t="s">
        <v>10363</v>
      </c>
      <c r="Q789" s="14">
        <v>420668.47</v>
      </c>
      <c r="R789" s="14">
        <v>6195418.0599999996</v>
      </c>
      <c r="S789" s="14" t="s">
        <v>10364</v>
      </c>
      <c r="T789" s="14" t="s">
        <v>10365</v>
      </c>
      <c r="U789" s="14">
        <v>420690.38</v>
      </c>
      <c r="V789" s="14">
        <v>6195409.2300000004</v>
      </c>
      <c r="W789" s="14">
        <v>180.83</v>
      </c>
      <c r="X789" s="14">
        <v>150.05000000000001</v>
      </c>
    </row>
    <row r="790" spans="1:24" s="14" customFormat="1" x14ac:dyDescent="0.25">
      <c r="A790" s="50">
        <v>45098</v>
      </c>
      <c r="B790" s="16">
        <v>172</v>
      </c>
      <c r="C790" s="36">
        <v>0.84512731481481485</v>
      </c>
      <c r="D790" s="16" t="s">
        <v>7408</v>
      </c>
      <c r="E790" s="14" t="s">
        <v>70</v>
      </c>
      <c r="F790" s="16" t="s">
        <v>8011</v>
      </c>
      <c r="G790" s="16" t="s">
        <v>1145</v>
      </c>
      <c r="H790" s="14">
        <v>0.17</v>
      </c>
      <c r="I790" s="14" t="s">
        <v>10366</v>
      </c>
      <c r="J790" s="14" t="s">
        <v>10367</v>
      </c>
      <c r="K790" s="14" t="s">
        <v>10368</v>
      </c>
      <c r="L790" s="14" t="s">
        <v>10369</v>
      </c>
      <c r="O790" s="14" t="s">
        <v>10370</v>
      </c>
      <c r="P790" s="14" t="s">
        <v>10371</v>
      </c>
      <c r="Q790" s="14">
        <v>420665.85</v>
      </c>
      <c r="R790" s="14">
        <v>6195224.79</v>
      </c>
      <c r="S790" s="14" t="s">
        <v>10372</v>
      </c>
      <c r="T790" s="14" t="s">
        <v>10373</v>
      </c>
      <c r="U790" s="14">
        <v>420690.35</v>
      </c>
      <c r="V790" s="14">
        <v>6195216.8099999996</v>
      </c>
      <c r="W790" s="14">
        <v>179.7</v>
      </c>
      <c r="X790" s="14">
        <v>150.05000000000001</v>
      </c>
    </row>
    <row r="791" spans="1:24" s="14" customFormat="1" x14ac:dyDescent="0.25">
      <c r="A791" s="50">
        <v>45098</v>
      </c>
      <c r="B791" s="16">
        <v>172</v>
      </c>
      <c r="C791" s="36">
        <v>0.84774305555555562</v>
      </c>
      <c r="D791" s="16" t="s">
        <v>7408</v>
      </c>
      <c r="E791" s="52" t="s">
        <v>65</v>
      </c>
      <c r="F791" s="16" t="s">
        <v>8011</v>
      </c>
      <c r="G791" s="16" t="s">
        <v>1144</v>
      </c>
      <c r="H791" s="14">
        <v>0.16600000000000001</v>
      </c>
      <c r="I791" s="14" t="s">
        <v>10378</v>
      </c>
      <c r="J791" s="14" t="s">
        <v>10379</v>
      </c>
      <c r="K791" s="14" t="s">
        <v>10380</v>
      </c>
      <c r="L791" s="14" t="s">
        <v>10369</v>
      </c>
      <c r="O791" s="14" t="s">
        <v>10374</v>
      </c>
      <c r="P791" s="14" t="s">
        <v>10375</v>
      </c>
      <c r="Q791" s="14">
        <v>420657.42</v>
      </c>
      <c r="R791" s="14">
        <v>6195214.21</v>
      </c>
      <c r="S791" s="14" t="s">
        <v>10376</v>
      </c>
      <c r="T791" s="14" t="s">
        <v>10377</v>
      </c>
      <c r="U791" s="14">
        <v>420681.39</v>
      </c>
      <c r="V791" s="14">
        <v>6195209.6600000001</v>
      </c>
      <c r="W791" s="14">
        <v>359.27</v>
      </c>
      <c r="X791" s="14">
        <v>150.05000000000001</v>
      </c>
    </row>
    <row r="792" spans="1:24" s="14" customFormat="1" x14ac:dyDescent="0.25">
      <c r="A792" s="50">
        <v>45098</v>
      </c>
      <c r="B792" s="16">
        <v>172</v>
      </c>
      <c r="C792" s="36">
        <v>0.85217592592592595</v>
      </c>
      <c r="D792" s="16" t="s">
        <v>7408</v>
      </c>
      <c r="E792" s="14" t="s">
        <v>70</v>
      </c>
      <c r="F792" s="16" t="s">
        <v>8011</v>
      </c>
      <c r="G792" s="16" t="s">
        <v>1144</v>
      </c>
      <c r="H792" s="14">
        <v>-2.4E-2</v>
      </c>
      <c r="I792" s="14" t="s">
        <v>10378</v>
      </c>
      <c r="J792" s="14" t="s">
        <v>10379</v>
      </c>
      <c r="K792" s="14" t="s">
        <v>10380</v>
      </c>
      <c r="L792" s="14" t="s">
        <v>10385</v>
      </c>
      <c r="O792" s="14" t="s">
        <v>10381</v>
      </c>
      <c r="P792" s="14" t="s">
        <v>10382</v>
      </c>
      <c r="Q792" s="14">
        <v>420657.61</v>
      </c>
      <c r="R792" s="14">
        <v>6195403.7300000004</v>
      </c>
      <c r="S792" s="14" t="s">
        <v>10383</v>
      </c>
      <c r="T792" s="14" t="s">
        <v>10384</v>
      </c>
      <c r="U792" s="14">
        <v>420681.44</v>
      </c>
      <c r="V792" s="14">
        <v>6195399.25</v>
      </c>
      <c r="W792" s="14">
        <v>0.73</v>
      </c>
      <c r="X792" s="14">
        <v>150.05000000000001</v>
      </c>
    </row>
    <row r="793" spans="1:24" s="14" customFormat="1" x14ac:dyDescent="0.25">
      <c r="A793" s="50">
        <v>45098</v>
      </c>
      <c r="B793" s="16">
        <v>172</v>
      </c>
      <c r="C793" s="36">
        <v>0.85767361111111118</v>
      </c>
      <c r="D793" s="16" t="s">
        <v>7408</v>
      </c>
      <c r="E793" s="14" t="s">
        <v>65</v>
      </c>
      <c r="F793" s="16" t="s">
        <v>8011</v>
      </c>
      <c r="G793" s="16" t="s">
        <v>1143</v>
      </c>
      <c r="H793" s="14">
        <v>-1.7999999999999999E-2</v>
      </c>
      <c r="I793" s="14" t="s">
        <v>10390</v>
      </c>
      <c r="J793" s="14" t="s">
        <v>10391</v>
      </c>
      <c r="K793" s="14" t="s">
        <v>10392</v>
      </c>
      <c r="L793" s="14" t="s">
        <v>10385</v>
      </c>
      <c r="O793" s="14" t="s">
        <v>10386</v>
      </c>
      <c r="P793" s="14" t="s">
        <v>10387</v>
      </c>
      <c r="Q793" s="14">
        <v>420649.83</v>
      </c>
      <c r="R793" s="14">
        <v>6195413.8799999999</v>
      </c>
      <c r="S793" s="14" t="s">
        <v>10388</v>
      </c>
      <c r="T793" s="14" t="s">
        <v>10389</v>
      </c>
      <c r="U793" s="14">
        <v>420672.49</v>
      </c>
      <c r="V793" s="14">
        <v>6195404.1900000004</v>
      </c>
      <c r="W793" s="14">
        <v>179.97</v>
      </c>
      <c r="X793" s="14">
        <v>150.05000000000001</v>
      </c>
    </row>
    <row r="794" spans="1:24" s="14" customFormat="1" x14ac:dyDescent="0.25">
      <c r="A794" s="50">
        <v>45098</v>
      </c>
      <c r="B794" s="16">
        <v>172</v>
      </c>
      <c r="C794" s="36">
        <v>0.86204861111111108</v>
      </c>
      <c r="D794" s="16" t="s">
        <v>7408</v>
      </c>
      <c r="E794" s="14" t="s">
        <v>70</v>
      </c>
      <c r="F794" s="16" t="s">
        <v>8011</v>
      </c>
      <c r="G794" s="16" t="s">
        <v>1143</v>
      </c>
      <c r="H794" s="14">
        <v>0.17499999999999999</v>
      </c>
      <c r="I794" s="14" t="s">
        <v>10390</v>
      </c>
      <c r="J794" s="14" t="s">
        <v>10391</v>
      </c>
      <c r="K794" s="14" t="s">
        <v>10392</v>
      </c>
      <c r="L794" s="14" t="s">
        <v>10397</v>
      </c>
      <c r="O794" s="14" t="s">
        <v>10393</v>
      </c>
      <c r="P794" s="14" t="s">
        <v>10394</v>
      </c>
      <c r="Q794" s="14">
        <v>420648.62</v>
      </c>
      <c r="R794" s="14">
        <v>6195220.9199999999</v>
      </c>
      <c r="S794" s="14" t="s">
        <v>10395</v>
      </c>
      <c r="T794" s="14" t="s">
        <v>10396</v>
      </c>
      <c r="U794" s="14">
        <v>420672.45</v>
      </c>
      <c r="V794" s="14">
        <v>6195211.3200000003</v>
      </c>
      <c r="W794" s="14">
        <v>180.53</v>
      </c>
      <c r="X794" s="14">
        <v>150.05000000000001</v>
      </c>
    </row>
    <row r="795" spans="1:24" s="14" customFormat="1" x14ac:dyDescent="0.25">
      <c r="A795" s="50">
        <v>45098</v>
      </c>
      <c r="B795" s="16">
        <v>172</v>
      </c>
      <c r="C795" s="36">
        <v>0.86571759259259251</v>
      </c>
      <c r="D795" s="16" t="s">
        <v>7408</v>
      </c>
      <c r="E795" s="14" t="s">
        <v>65</v>
      </c>
      <c r="F795" s="16" t="s">
        <v>8011</v>
      </c>
      <c r="G795" s="16" t="s">
        <v>1142</v>
      </c>
      <c r="H795" s="14">
        <v>0.16500000000000001</v>
      </c>
      <c r="I795" s="14" t="s">
        <v>10402</v>
      </c>
      <c r="J795" s="14" t="s">
        <v>10403</v>
      </c>
      <c r="K795" s="14" t="s">
        <v>10404</v>
      </c>
      <c r="L795" s="14" t="s">
        <v>10397</v>
      </c>
      <c r="O795" s="14" t="s">
        <v>10398</v>
      </c>
      <c r="P795" s="14" t="s">
        <v>10399</v>
      </c>
      <c r="Q795" s="14">
        <v>420637.47</v>
      </c>
      <c r="R795" s="14">
        <v>6195214.75</v>
      </c>
      <c r="S795" s="14" t="s">
        <v>10400</v>
      </c>
      <c r="T795" s="14" t="s">
        <v>10401</v>
      </c>
      <c r="U795" s="14">
        <v>420663.5</v>
      </c>
      <c r="V795" s="14">
        <v>6195210.5800000001</v>
      </c>
      <c r="W795" s="14">
        <v>359.63</v>
      </c>
      <c r="X795" s="14">
        <v>150.05000000000001</v>
      </c>
    </row>
    <row r="796" spans="1:24" s="14" customFormat="1" x14ac:dyDescent="0.25">
      <c r="A796" s="50">
        <v>45098</v>
      </c>
      <c r="B796" s="16">
        <v>172</v>
      </c>
      <c r="C796" s="36">
        <v>0.87002314814814818</v>
      </c>
      <c r="D796" s="16" t="s">
        <v>7408</v>
      </c>
      <c r="E796" s="14" t="s">
        <v>70</v>
      </c>
      <c r="F796" s="16" t="s">
        <v>8011</v>
      </c>
      <c r="G796" s="16" t="s">
        <v>1142</v>
      </c>
      <c r="H796" s="14">
        <v>-2.4E-2</v>
      </c>
      <c r="I796" s="14" t="s">
        <v>10402</v>
      </c>
      <c r="J796" s="14" t="s">
        <v>10403</v>
      </c>
      <c r="K796" s="14" t="s">
        <v>10404</v>
      </c>
      <c r="L796" s="14" t="s">
        <v>10397</v>
      </c>
      <c r="O796" s="14" t="s">
        <v>10405</v>
      </c>
      <c r="P796" s="14" t="s">
        <v>10406</v>
      </c>
      <c r="Q796" s="14">
        <v>420638.95</v>
      </c>
      <c r="R796" s="14">
        <v>6195403.7800000003</v>
      </c>
      <c r="S796" s="14" t="s">
        <v>10407</v>
      </c>
      <c r="T796" s="14" t="s">
        <v>10408</v>
      </c>
      <c r="U796" s="14">
        <v>420663.55</v>
      </c>
      <c r="V796" s="14">
        <v>6195399.0300000003</v>
      </c>
      <c r="W796" s="14">
        <v>359.65</v>
      </c>
      <c r="X796" s="14">
        <v>150.05000000000001</v>
      </c>
    </row>
    <row r="797" spans="1:24" s="14" customFormat="1" x14ac:dyDescent="0.25">
      <c r="A797" s="50">
        <v>45098</v>
      </c>
      <c r="B797" s="16">
        <v>172</v>
      </c>
      <c r="C797" s="36">
        <v>0.87379629629629629</v>
      </c>
      <c r="D797" s="16" t="s">
        <v>7408</v>
      </c>
      <c r="E797" s="14" t="s">
        <v>65</v>
      </c>
      <c r="F797" s="16" t="s">
        <v>8011</v>
      </c>
      <c r="G797" s="16" t="s">
        <v>1141</v>
      </c>
      <c r="H797" s="14">
        <v>-1.7999999999999999E-2</v>
      </c>
      <c r="I797" s="14" t="s">
        <v>10413</v>
      </c>
      <c r="J797" s="14" t="s">
        <v>10414</v>
      </c>
      <c r="K797" s="14" t="s">
        <v>10415</v>
      </c>
      <c r="L797" s="14" t="s">
        <v>10416</v>
      </c>
      <c r="O797" s="14" t="s">
        <v>10409</v>
      </c>
      <c r="P797" s="14" t="s">
        <v>10410</v>
      </c>
      <c r="Q797" s="14">
        <v>420633.41</v>
      </c>
      <c r="R797" s="14">
        <v>6195413</v>
      </c>
      <c r="S797" s="14" t="s">
        <v>10411</v>
      </c>
      <c r="T797" s="14" t="s">
        <v>10412</v>
      </c>
      <c r="U797" s="14">
        <v>420654.4</v>
      </c>
      <c r="V797" s="14">
        <v>6195404.5099999998</v>
      </c>
      <c r="W797" s="14">
        <v>180.73</v>
      </c>
      <c r="X797" s="14">
        <v>150.05000000000001</v>
      </c>
    </row>
    <row r="798" spans="1:24" s="14" customFormat="1" x14ac:dyDescent="0.25">
      <c r="A798" s="50">
        <v>45098</v>
      </c>
      <c r="B798" s="16">
        <v>172</v>
      </c>
      <c r="C798" s="36">
        <v>0.87814814814814823</v>
      </c>
      <c r="D798" s="16" t="s">
        <v>7408</v>
      </c>
      <c r="E798" s="14" t="s">
        <v>70</v>
      </c>
      <c r="F798" s="16" t="s">
        <v>8011</v>
      </c>
      <c r="G798" s="16" t="s">
        <v>1141</v>
      </c>
      <c r="H798" s="14">
        <v>0.17199999999999999</v>
      </c>
      <c r="I798" s="14" t="s">
        <v>10413</v>
      </c>
      <c r="J798" s="14" t="s">
        <v>10414</v>
      </c>
      <c r="K798" s="14" t="s">
        <v>10415</v>
      </c>
      <c r="L798" s="14" t="s">
        <v>10416</v>
      </c>
      <c r="O798" s="14" t="s">
        <v>10417</v>
      </c>
      <c r="P798" s="14" t="s">
        <v>10418</v>
      </c>
      <c r="Q798" s="14">
        <v>420629.47</v>
      </c>
      <c r="R798" s="14">
        <v>6195221.1600000001</v>
      </c>
      <c r="S798" s="14" t="s">
        <v>10419</v>
      </c>
      <c r="T798" s="14" t="s">
        <v>10420</v>
      </c>
      <c r="U798" s="14">
        <v>420654.39</v>
      </c>
      <c r="V798" s="14">
        <v>6195214.3300000001</v>
      </c>
      <c r="W798" s="14">
        <v>180.05</v>
      </c>
      <c r="X798" s="14">
        <v>150.05000000000001</v>
      </c>
    </row>
    <row r="799" spans="1:24" s="14" customFormat="1" x14ac:dyDescent="0.25">
      <c r="A799" s="50">
        <v>45098</v>
      </c>
      <c r="B799" s="16">
        <v>172</v>
      </c>
      <c r="C799" s="36">
        <v>0.88275462962962958</v>
      </c>
      <c r="D799" s="16" t="s">
        <v>7408</v>
      </c>
      <c r="E799" s="14" t="s">
        <v>65</v>
      </c>
      <c r="F799" s="16" t="s">
        <v>8011</v>
      </c>
      <c r="G799" s="16" t="s">
        <v>1135</v>
      </c>
      <c r="H799" s="14">
        <v>0.16800000000000001</v>
      </c>
      <c r="I799" s="14" t="s">
        <v>10425</v>
      </c>
      <c r="J799" s="14" t="s">
        <v>10426</v>
      </c>
      <c r="K799" s="14" t="s">
        <v>10427</v>
      </c>
      <c r="L799" s="14" t="s">
        <v>10428</v>
      </c>
      <c r="O799" s="14" t="s">
        <v>10421</v>
      </c>
      <c r="P799" s="14" t="s">
        <v>10422</v>
      </c>
      <c r="Q799" s="14">
        <v>420621.27</v>
      </c>
      <c r="R799" s="14">
        <v>6195215.1200000001</v>
      </c>
      <c r="S799" s="14" t="s">
        <v>10423</v>
      </c>
      <c r="T799" s="14" t="s">
        <v>10424</v>
      </c>
      <c r="U799" s="14">
        <v>420645.42</v>
      </c>
      <c r="V799" s="14">
        <v>6195207.2999999998</v>
      </c>
      <c r="W799" s="14">
        <v>0.55000000000000004</v>
      </c>
      <c r="X799" s="14">
        <v>150.05000000000001</v>
      </c>
    </row>
    <row r="800" spans="1:24" s="14" customFormat="1" x14ac:dyDescent="0.25">
      <c r="A800" s="50">
        <v>45098</v>
      </c>
      <c r="B800" s="16">
        <v>172</v>
      </c>
      <c r="C800" s="36">
        <v>0.88706018518518526</v>
      </c>
      <c r="D800" s="16" t="s">
        <v>7408</v>
      </c>
      <c r="E800" s="14" t="s">
        <v>70</v>
      </c>
      <c r="F800" s="16" t="s">
        <v>8011</v>
      </c>
      <c r="G800" s="16" t="s">
        <v>1135</v>
      </c>
      <c r="H800" s="14">
        <v>-2.5000000000000001E-2</v>
      </c>
      <c r="I800" s="14" t="s">
        <v>10425</v>
      </c>
      <c r="J800" s="14" t="s">
        <v>10426</v>
      </c>
      <c r="K800" s="14" t="s">
        <v>10427</v>
      </c>
      <c r="L800" s="14" t="s">
        <v>10428</v>
      </c>
      <c r="O800" s="14" t="s">
        <v>10429</v>
      </c>
      <c r="P800" s="14" t="s">
        <v>10430</v>
      </c>
      <c r="Q800" s="14">
        <v>420621.66</v>
      </c>
      <c r="R800" s="14">
        <v>6195403.6200000001</v>
      </c>
      <c r="S800" s="14" t="s">
        <v>10431</v>
      </c>
      <c r="T800" s="14" t="s">
        <v>10432</v>
      </c>
      <c r="U800" s="14">
        <v>420645.41</v>
      </c>
      <c r="V800" s="14">
        <v>6195399.9500000002</v>
      </c>
      <c r="W800" s="14">
        <v>0.08</v>
      </c>
      <c r="X800" s="14">
        <v>150.05000000000001</v>
      </c>
    </row>
    <row r="801" spans="1:24" s="14" customFormat="1" x14ac:dyDescent="0.25">
      <c r="A801" s="50">
        <v>45098</v>
      </c>
      <c r="B801" s="16">
        <v>172</v>
      </c>
      <c r="C801" s="36">
        <v>0.89100694444444439</v>
      </c>
      <c r="D801" s="16" t="s">
        <v>7408</v>
      </c>
      <c r="E801" s="14" t="s">
        <v>65</v>
      </c>
      <c r="F801" s="16" t="s">
        <v>8011</v>
      </c>
      <c r="G801" s="16" t="s">
        <v>1136</v>
      </c>
      <c r="H801" s="14">
        <v>-2.1999999999999999E-2</v>
      </c>
      <c r="I801" s="14" t="s">
        <v>10437</v>
      </c>
      <c r="J801" s="14" t="s">
        <v>10438</v>
      </c>
      <c r="K801" s="14" t="s">
        <v>10439</v>
      </c>
      <c r="L801" s="14" t="s">
        <v>10428</v>
      </c>
      <c r="O801" s="14" t="s">
        <v>10433</v>
      </c>
      <c r="P801" s="14" t="s">
        <v>10434</v>
      </c>
      <c r="Q801" s="14">
        <v>420615.09</v>
      </c>
      <c r="R801" s="14">
        <v>6195415.0099999998</v>
      </c>
      <c r="S801" s="14" t="s">
        <v>10435</v>
      </c>
      <c r="T801" s="14" t="s">
        <v>10436</v>
      </c>
      <c r="U801" s="14">
        <v>420636.42</v>
      </c>
      <c r="V801" s="14">
        <v>6195407.9000000004</v>
      </c>
      <c r="W801" s="14">
        <v>180.7</v>
      </c>
      <c r="X801" s="14">
        <v>150.05000000000001</v>
      </c>
    </row>
    <row r="802" spans="1:24" s="14" customFormat="1" x14ac:dyDescent="0.25">
      <c r="A802" s="50">
        <v>45098</v>
      </c>
      <c r="B802" s="16">
        <v>172</v>
      </c>
      <c r="C802" s="36">
        <v>0.89542824074074068</v>
      </c>
      <c r="D802" s="16" t="s">
        <v>7408</v>
      </c>
      <c r="E802" s="52" t="s">
        <v>70</v>
      </c>
      <c r="F802" s="16" t="s">
        <v>8011</v>
      </c>
      <c r="G802" s="16" t="s">
        <v>1136</v>
      </c>
      <c r="H802" s="14">
        <v>0.17399999999999999</v>
      </c>
      <c r="I802" s="14" t="s">
        <v>10437</v>
      </c>
      <c r="J802" s="14" t="s">
        <v>10438</v>
      </c>
      <c r="K802" s="14" t="s">
        <v>10439</v>
      </c>
      <c r="L802" s="14" t="s">
        <v>10444</v>
      </c>
      <c r="O802" s="14" t="s">
        <v>10440</v>
      </c>
      <c r="P802" s="14" t="s">
        <v>10441</v>
      </c>
      <c r="Q802" s="14">
        <v>420611.22</v>
      </c>
      <c r="R802" s="14">
        <v>6195220.5800000001</v>
      </c>
      <c r="S802" s="14" t="s">
        <v>10442</v>
      </c>
      <c r="T802" s="14" t="s">
        <v>10443</v>
      </c>
      <c r="U802" s="14">
        <v>420636.29</v>
      </c>
      <c r="V802" s="14">
        <v>6195212.6600000001</v>
      </c>
      <c r="W802" s="14">
        <v>178.71</v>
      </c>
      <c r="X802" s="14">
        <v>150.05000000000001</v>
      </c>
    </row>
    <row r="803" spans="1:24" s="14" customFormat="1" x14ac:dyDescent="0.25">
      <c r="A803" s="50">
        <v>45098</v>
      </c>
      <c r="B803" s="16">
        <v>172</v>
      </c>
      <c r="C803" s="36">
        <v>0.89936342592592589</v>
      </c>
      <c r="D803" s="16" t="s">
        <v>7408</v>
      </c>
      <c r="E803" s="14" t="s">
        <v>65</v>
      </c>
      <c r="F803" s="16" t="s">
        <v>8011</v>
      </c>
      <c r="G803" s="16" t="s">
        <v>1137</v>
      </c>
      <c r="H803" s="14">
        <v>0.16900000000000001</v>
      </c>
      <c r="I803" s="14" t="s">
        <v>10449</v>
      </c>
      <c r="J803" s="14" t="s">
        <v>10450</v>
      </c>
      <c r="K803" s="14" t="s">
        <v>10451</v>
      </c>
      <c r="L803" s="14" t="s">
        <v>10444</v>
      </c>
      <c r="O803" s="14" t="s">
        <v>10445</v>
      </c>
      <c r="P803" s="14" t="s">
        <v>10446</v>
      </c>
      <c r="Q803" s="14">
        <v>420603.62</v>
      </c>
      <c r="R803" s="14">
        <v>6195209.5700000003</v>
      </c>
      <c r="S803" s="14" t="s">
        <v>10447</v>
      </c>
      <c r="T803" s="14" t="s">
        <v>10448</v>
      </c>
      <c r="U803" s="14">
        <v>420627.42</v>
      </c>
      <c r="V803" s="14">
        <v>6195206.8099999996</v>
      </c>
      <c r="W803" s="14">
        <v>359.7</v>
      </c>
      <c r="X803" s="14">
        <v>150.05000000000001</v>
      </c>
    </row>
    <row r="804" spans="1:24" s="14" customFormat="1" x14ac:dyDescent="0.25">
      <c r="A804" s="50">
        <v>45098</v>
      </c>
      <c r="B804" s="16">
        <v>172</v>
      </c>
      <c r="C804" s="36">
        <v>0.9038425925925927</v>
      </c>
      <c r="D804" s="16" t="s">
        <v>7408</v>
      </c>
      <c r="E804" s="14" t="s">
        <v>70</v>
      </c>
      <c r="F804" s="16" t="s">
        <v>8011</v>
      </c>
      <c r="G804" s="16" t="s">
        <v>1137</v>
      </c>
      <c r="H804" s="14">
        <v>-2.8000000000000001E-2</v>
      </c>
      <c r="I804" s="14" t="s">
        <v>10449</v>
      </c>
      <c r="J804" s="14" t="s">
        <v>10450</v>
      </c>
      <c r="K804" s="14" t="s">
        <v>10451</v>
      </c>
      <c r="L804" s="14" t="s">
        <v>10456</v>
      </c>
      <c r="O804" s="14" t="s">
        <v>10452</v>
      </c>
      <c r="P804" s="14" t="s">
        <v>10453</v>
      </c>
      <c r="Q804" s="14">
        <v>420604.43</v>
      </c>
      <c r="R804" s="14">
        <v>6195405.8700000001</v>
      </c>
      <c r="S804" s="14" t="s">
        <v>10454</v>
      </c>
      <c r="T804" s="14" t="s">
        <v>10455</v>
      </c>
      <c r="U804" s="14">
        <v>420627.43</v>
      </c>
      <c r="V804" s="14">
        <v>6195403.46</v>
      </c>
      <c r="W804" s="14">
        <v>0.03</v>
      </c>
      <c r="X804" s="14">
        <v>150.05000000000001</v>
      </c>
    </row>
    <row r="805" spans="1:24" s="14" customFormat="1" x14ac:dyDescent="0.25">
      <c r="A805" s="50">
        <v>45098</v>
      </c>
      <c r="B805" s="16">
        <v>172</v>
      </c>
      <c r="C805" s="36">
        <v>0.9073148148148148</v>
      </c>
      <c r="D805" s="16" t="s">
        <v>7408</v>
      </c>
      <c r="E805" s="14" t="s">
        <v>65</v>
      </c>
      <c r="F805" s="16" t="s">
        <v>8011</v>
      </c>
      <c r="G805" s="16" t="s">
        <v>1138</v>
      </c>
      <c r="H805" s="14">
        <v>-2.1999999999999999E-2</v>
      </c>
      <c r="I805" s="14" t="s">
        <v>10461</v>
      </c>
      <c r="J805" s="14" t="s">
        <v>10462</v>
      </c>
      <c r="K805" s="14" t="s">
        <v>10463</v>
      </c>
      <c r="L805" s="14" t="s">
        <v>10456</v>
      </c>
      <c r="O805" s="14" t="s">
        <v>10457</v>
      </c>
      <c r="P805" s="14" t="s">
        <v>10458</v>
      </c>
      <c r="Q805" s="14">
        <v>420596.51</v>
      </c>
      <c r="R805" s="14">
        <v>6195419.5999999996</v>
      </c>
      <c r="S805" s="14" t="s">
        <v>10459</v>
      </c>
      <c r="T805" s="14" t="s">
        <v>10460</v>
      </c>
      <c r="U805" s="14">
        <v>420618.71</v>
      </c>
      <c r="V805" s="14">
        <v>6195408.3499999996</v>
      </c>
      <c r="W805" s="14">
        <v>181.24</v>
      </c>
      <c r="X805" s="14">
        <v>150.05000000000001</v>
      </c>
    </row>
    <row r="806" spans="1:24" s="14" customFormat="1" x14ac:dyDescent="0.25">
      <c r="A806" s="50">
        <v>45098</v>
      </c>
      <c r="B806" s="16">
        <v>172</v>
      </c>
      <c r="C806" s="36">
        <v>0.91174768518518512</v>
      </c>
      <c r="D806" s="16" t="s">
        <v>7408</v>
      </c>
      <c r="E806" s="14" t="s">
        <v>70</v>
      </c>
      <c r="F806" s="16" t="s">
        <v>8011</v>
      </c>
      <c r="G806" s="16" t="s">
        <v>1138</v>
      </c>
      <c r="H806" s="14">
        <v>0.17399999999999999</v>
      </c>
      <c r="I806" s="14" t="s">
        <v>10461</v>
      </c>
      <c r="J806" s="14" t="s">
        <v>10462</v>
      </c>
      <c r="K806" s="14" t="s">
        <v>10463</v>
      </c>
      <c r="L806" s="14" t="s">
        <v>10456</v>
      </c>
      <c r="O806" s="14" t="s">
        <v>10464</v>
      </c>
      <c r="P806" s="14" t="s">
        <v>10465</v>
      </c>
      <c r="Q806" s="14">
        <v>420593.37</v>
      </c>
      <c r="R806" s="14">
        <v>6195224.4900000002</v>
      </c>
      <c r="S806" s="14" t="s">
        <v>10466</v>
      </c>
      <c r="T806" s="14" t="s">
        <v>10467</v>
      </c>
      <c r="U806" s="14">
        <v>420618.6</v>
      </c>
      <c r="V806" s="14">
        <v>6195212.2000000002</v>
      </c>
      <c r="W806" s="14">
        <v>180.31</v>
      </c>
      <c r="X806" s="14">
        <v>150.05000000000001</v>
      </c>
    </row>
    <row r="807" spans="1:24" s="14" customFormat="1" x14ac:dyDescent="0.25">
      <c r="A807" s="50">
        <v>45098</v>
      </c>
      <c r="B807" s="16">
        <v>172</v>
      </c>
      <c r="C807" s="36">
        <v>0.91601851851851857</v>
      </c>
      <c r="D807" s="16" t="s">
        <v>7408</v>
      </c>
      <c r="E807" s="14" t="s">
        <v>65</v>
      </c>
      <c r="F807" s="16" t="s">
        <v>8011</v>
      </c>
      <c r="G807" s="16" t="s">
        <v>1139</v>
      </c>
      <c r="H807" s="14">
        <v>0.16700000000000001</v>
      </c>
      <c r="I807" s="14" t="s">
        <v>10472</v>
      </c>
      <c r="J807" s="14" t="s">
        <v>10473</v>
      </c>
      <c r="K807" s="14" t="s">
        <v>10474</v>
      </c>
      <c r="L807" s="14" t="s">
        <v>10475</v>
      </c>
      <c r="O807" s="14" t="s">
        <v>10468</v>
      </c>
      <c r="P807" s="14" t="s">
        <v>10469</v>
      </c>
      <c r="Q807" s="14">
        <v>420583.21</v>
      </c>
      <c r="R807" s="14">
        <v>6195211.8799999999</v>
      </c>
      <c r="S807" s="14" t="s">
        <v>10470</v>
      </c>
      <c r="T807" s="14" t="s">
        <v>10471</v>
      </c>
      <c r="U807" s="14">
        <v>420609.41</v>
      </c>
      <c r="V807" s="14">
        <v>6195208.29</v>
      </c>
      <c r="W807" s="14">
        <v>359.4</v>
      </c>
      <c r="X807" s="14">
        <v>150.05000000000001</v>
      </c>
    </row>
    <row r="808" spans="1:24" s="14" customFormat="1" x14ac:dyDescent="0.25">
      <c r="A808" s="50">
        <v>45098</v>
      </c>
      <c r="B808" s="16">
        <v>172</v>
      </c>
      <c r="C808" s="36">
        <v>0.92038194444444443</v>
      </c>
      <c r="D808" s="16" t="s">
        <v>175</v>
      </c>
      <c r="E808" s="14" t="s">
        <v>70</v>
      </c>
      <c r="F808" s="16" t="s">
        <v>8011</v>
      </c>
      <c r="G808" s="16" t="s">
        <v>1139</v>
      </c>
      <c r="H808" s="14">
        <v>-2.4E-2</v>
      </c>
      <c r="I808" s="14" t="s">
        <v>10472</v>
      </c>
      <c r="J808" s="14" t="s">
        <v>10473</v>
      </c>
      <c r="K808" s="14" t="s">
        <v>10474</v>
      </c>
      <c r="L808" s="14" t="s">
        <v>10475</v>
      </c>
      <c r="O808" s="14" t="s">
        <v>10476</v>
      </c>
      <c r="P808" s="14" t="s">
        <v>10477</v>
      </c>
      <c r="Q808" s="14">
        <v>420584.54</v>
      </c>
      <c r="R808" s="14">
        <v>6195403.4400000004</v>
      </c>
      <c r="S808" s="14" t="s">
        <v>10478</v>
      </c>
      <c r="T808" s="14" t="s">
        <v>10479</v>
      </c>
      <c r="U808" s="14">
        <v>420609.45</v>
      </c>
      <c r="V808" s="14">
        <v>6195399.4699999997</v>
      </c>
      <c r="W808" s="14">
        <v>359.91</v>
      </c>
      <c r="X808" s="14">
        <v>150.05000000000001</v>
      </c>
    </row>
    <row r="809" spans="1:24" s="14" customFormat="1" x14ac:dyDescent="0.25">
      <c r="A809" s="50">
        <v>45098</v>
      </c>
      <c r="B809" s="16">
        <v>172</v>
      </c>
      <c r="C809" s="36">
        <v>0.92488425925925932</v>
      </c>
      <c r="D809" s="16" t="s">
        <v>175</v>
      </c>
      <c r="E809" s="14" t="s">
        <v>65</v>
      </c>
      <c r="F809" s="16" t="s">
        <v>8011</v>
      </c>
      <c r="G809" s="16" t="s">
        <v>1140</v>
      </c>
      <c r="H809" s="14">
        <v>-1.2E-2</v>
      </c>
      <c r="I809" s="14" t="s">
        <v>10484</v>
      </c>
      <c r="J809" s="14" t="s">
        <v>10485</v>
      </c>
      <c r="K809" s="14" t="s">
        <v>10486</v>
      </c>
      <c r="L809" s="14" t="s">
        <v>10487</v>
      </c>
      <c r="O809" s="14" t="s">
        <v>10480</v>
      </c>
      <c r="P809" s="14" t="s">
        <v>10481</v>
      </c>
      <c r="Q809" s="14">
        <v>420577.73</v>
      </c>
      <c r="R809" s="14">
        <v>6195406.4500000002</v>
      </c>
      <c r="S809" s="14" t="s">
        <v>10482</v>
      </c>
      <c r="T809" s="14" t="s">
        <v>10483</v>
      </c>
      <c r="U809" s="14">
        <v>420600.45</v>
      </c>
      <c r="V809" s="14">
        <v>6195398.4800000004</v>
      </c>
      <c r="W809" s="14">
        <v>180.45</v>
      </c>
      <c r="X809" s="14">
        <v>150.05000000000001</v>
      </c>
    </row>
    <row r="810" spans="1:24" s="14" customFormat="1" x14ac:dyDescent="0.25">
      <c r="A810" s="50">
        <v>45098</v>
      </c>
      <c r="B810" s="16">
        <v>172</v>
      </c>
      <c r="C810" s="36">
        <v>0.92901620370370364</v>
      </c>
      <c r="D810" s="16" t="s">
        <v>175</v>
      </c>
      <c r="E810" s="14" t="s">
        <v>70</v>
      </c>
      <c r="F810" s="16" t="s">
        <v>8011</v>
      </c>
      <c r="G810" s="16" t="s">
        <v>1140</v>
      </c>
      <c r="H810" s="14">
        <v>0.17299999999999999</v>
      </c>
      <c r="I810" s="14" t="s">
        <v>10484</v>
      </c>
      <c r="J810" s="14" t="s">
        <v>10485</v>
      </c>
      <c r="K810" s="14" t="s">
        <v>10486</v>
      </c>
      <c r="L810" s="14" t="s">
        <v>10487</v>
      </c>
      <c r="O810" s="14" t="s">
        <v>10488</v>
      </c>
      <c r="P810" s="14" t="s">
        <v>10489</v>
      </c>
      <c r="Q810" s="14">
        <v>420574.27</v>
      </c>
      <c r="R810" s="14">
        <v>6195223.7599999998</v>
      </c>
      <c r="S810" s="14" t="s">
        <v>10490</v>
      </c>
      <c r="T810" s="14" t="s">
        <v>10491</v>
      </c>
      <c r="U810" s="14">
        <v>420600.33</v>
      </c>
      <c r="V810" s="14">
        <v>6195213.9000000004</v>
      </c>
      <c r="W810" s="14">
        <v>179.68</v>
      </c>
      <c r="X810" s="14">
        <v>150.05000000000001</v>
      </c>
    </row>
    <row r="811" spans="1:24" s="14" customFormat="1" x14ac:dyDescent="0.25">
      <c r="A811" s="50">
        <v>45098</v>
      </c>
      <c r="B811" s="16">
        <v>172</v>
      </c>
      <c r="C811" s="36">
        <v>0.93121527777777768</v>
      </c>
      <c r="D811" s="16" t="s">
        <v>175</v>
      </c>
      <c r="E811" s="14" t="s">
        <v>10496</v>
      </c>
      <c r="F811" s="16" t="s">
        <v>8011</v>
      </c>
      <c r="G811" s="16" t="s">
        <v>1218</v>
      </c>
      <c r="H811" s="14">
        <v>-0.93700000000000006</v>
      </c>
      <c r="O811" s="14" t="s">
        <v>10492</v>
      </c>
      <c r="P811" s="14" t="s">
        <v>10493</v>
      </c>
      <c r="Q811" s="14">
        <v>420572.31</v>
      </c>
      <c r="R811" s="14">
        <v>6195201.8499999996</v>
      </c>
      <c r="S811" s="14" t="s">
        <v>10494</v>
      </c>
      <c r="T811" s="14" t="s">
        <v>10495</v>
      </c>
      <c r="U811" s="14">
        <v>420582.2</v>
      </c>
      <c r="V811" s="14">
        <v>6195186.5099999998</v>
      </c>
      <c r="W811" s="14">
        <v>200.45</v>
      </c>
      <c r="X811" s="14">
        <v>150.05000000000001</v>
      </c>
    </row>
    <row r="812" spans="1:24" s="14" customFormat="1" x14ac:dyDescent="0.25">
      <c r="A812" s="50">
        <v>45098</v>
      </c>
      <c r="B812" s="16">
        <v>172</v>
      </c>
      <c r="C812" s="36">
        <v>0.94973379629629628</v>
      </c>
      <c r="D812" s="16" t="s">
        <v>175</v>
      </c>
      <c r="E812" s="14" t="s">
        <v>65</v>
      </c>
      <c r="F812" s="16" t="s">
        <v>8011</v>
      </c>
      <c r="G812" s="16" t="s">
        <v>1218</v>
      </c>
      <c r="H812" s="14">
        <v>-7.0000000000000001E-3</v>
      </c>
      <c r="I812" s="14" t="s">
        <v>10501</v>
      </c>
      <c r="J812" s="14" t="s">
        <v>10502</v>
      </c>
      <c r="K812" s="14" t="s">
        <v>10503</v>
      </c>
      <c r="L812" s="14" t="s">
        <v>10504</v>
      </c>
      <c r="O812" s="14" t="s">
        <v>10497</v>
      </c>
      <c r="P812" s="14" t="s">
        <v>10498</v>
      </c>
      <c r="Q812" s="14">
        <v>420159.46</v>
      </c>
      <c r="R812" s="14">
        <v>6194269.7300000004</v>
      </c>
      <c r="S812" s="14" t="s">
        <v>10499</v>
      </c>
      <c r="T812" s="14" t="s">
        <v>10500</v>
      </c>
      <c r="U812" s="14">
        <v>420178.31</v>
      </c>
      <c r="V812" s="14">
        <v>6194256.9000000004</v>
      </c>
      <c r="W812" s="14">
        <v>180.78</v>
      </c>
      <c r="X812" s="14">
        <v>150.05000000000001</v>
      </c>
    </row>
    <row r="813" spans="1:24" s="14" customFormat="1" x14ac:dyDescent="0.25">
      <c r="A813" s="50">
        <v>45098</v>
      </c>
      <c r="B813" s="16">
        <v>172</v>
      </c>
      <c r="C813" s="36">
        <v>0.95378472222222221</v>
      </c>
      <c r="D813" s="16" t="s">
        <v>175</v>
      </c>
      <c r="E813" s="14" t="s">
        <v>70</v>
      </c>
      <c r="F813" s="16" t="s">
        <v>8011</v>
      </c>
      <c r="G813" s="16" t="s">
        <v>1218</v>
      </c>
      <c r="H813" s="14">
        <v>0.17299999999999999</v>
      </c>
      <c r="I813" s="14" t="s">
        <v>10501</v>
      </c>
      <c r="J813" s="14" t="s">
        <v>10502</v>
      </c>
      <c r="K813" s="14" t="s">
        <v>10503</v>
      </c>
      <c r="L813" s="14" t="s">
        <v>10504</v>
      </c>
      <c r="O813" s="14" t="s">
        <v>10505</v>
      </c>
      <c r="P813" s="14" t="s">
        <v>10506</v>
      </c>
      <c r="Q813" s="14">
        <v>420157.25</v>
      </c>
      <c r="R813" s="14">
        <v>6194092.2599999998</v>
      </c>
      <c r="S813" s="14" t="s">
        <v>10507</v>
      </c>
      <c r="T813" s="14" t="s">
        <v>10508</v>
      </c>
      <c r="U813" s="14">
        <v>420178.3</v>
      </c>
      <c r="V813" s="14">
        <v>6194077.5099999998</v>
      </c>
      <c r="W813" s="14">
        <v>179.69</v>
      </c>
      <c r="X813" s="14">
        <v>150.05000000000001</v>
      </c>
    </row>
    <row r="814" spans="1:24" s="14" customFormat="1" x14ac:dyDescent="0.25">
      <c r="A814" s="50">
        <v>45098</v>
      </c>
      <c r="B814" s="16">
        <v>172</v>
      </c>
      <c r="C814" s="36">
        <v>0.95775462962962965</v>
      </c>
      <c r="D814" s="16" t="s">
        <v>175</v>
      </c>
      <c r="E814" s="14" t="s">
        <v>65</v>
      </c>
      <c r="F814" s="16" t="s">
        <v>8011</v>
      </c>
      <c r="G814" s="16" t="s">
        <v>1217</v>
      </c>
      <c r="H814" s="14">
        <v>0.16800000000000001</v>
      </c>
      <c r="I814" s="14" t="s">
        <v>10513</v>
      </c>
      <c r="J814" s="14" t="s">
        <v>10514</v>
      </c>
      <c r="K814" s="14" t="s">
        <v>10515</v>
      </c>
      <c r="L814" s="14" t="s">
        <v>10516</v>
      </c>
      <c r="O814" s="14" t="s">
        <v>10509</v>
      </c>
      <c r="P814" s="14" t="s">
        <v>10510</v>
      </c>
      <c r="Q814" s="14">
        <v>420147.92</v>
      </c>
      <c r="R814" s="14">
        <v>6194079.46</v>
      </c>
      <c r="S814" s="14" t="s">
        <v>10511</v>
      </c>
      <c r="T814" s="14" t="s">
        <v>10512</v>
      </c>
      <c r="U814" s="14">
        <v>420169.22</v>
      </c>
      <c r="V814" s="14">
        <v>6194070.8799999999</v>
      </c>
      <c r="W814" s="14">
        <v>0.6</v>
      </c>
      <c r="X814" s="14">
        <v>150.05000000000001</v>
      </c>
    </row>
    <row r="815" spans="1:24" s="14" customFormat="1" x14ac:dyDescent="0.25">
      <c r="A815" s="50">
        <v>45098</v>
      </c>
      <c r="B815" s="16">
        <v>172</v>
      </c>
      <c r="C815" s="36">
        <v>0.96193287037037034</v>
      </c>
      <c r="D815" s="16" t="s">
        <v>175</v>
      </c>
      <c r="E815" s="14" t="s">
        <v>70</v>
      </c>
      <c r="F815" s="16" t="s">
        <v>8011</v>
      </c>
      <c r="G815" s="16" t="s">
        <v>1217</v>
      </c>
      <c r="H815" s="14">
        <v>-1.6E-2</v>
      </c>
      <c r="I815" s="14" t="s">
        <v>10513</v>
      </c>
      <c r="J815" s="14" t="s">
        <v>10514</v>
      </c>
      <c r="K815" s="14" t="s">
        <v>10515</v>
      </c>
      <c r="L815" s="14" t="s">
        <v>10516</v>
      </c>
      <c r="O815" s="14" t="s">
        <v>10517</v>
      </c>
      <c r="P815" s="14" t="s">
        <v>10518</v>
      </c>
      <c r="Q815" s="14">
        <v>420147.44</v>
      </c>
      <c r="R815" s="14">
        <v>6194262.6900000004</v>
      </c>
      <c r="S815" s="14" t="s">
        <v>10519</v>
      </c>
      <c r="T815" s="14" t="s">
        <v>10520</v>
      </c>
      <c r="U815" s="14">
        <v>420169.25</v>
      </c>
      <c r="V815" s="14">
        <v>6194255.4199999999</v>
      </c>
      <c r="W815" s="14">
        <v>359.65</v>
      </c>
      <c r="X815" s="14">
        <v>150.05000000000001</v>
      </c>
    </row>
    <row r="816" spans="1:24" s="14" customFormat="1" x14ac:dyDescent="0.25">
      <c r="A816" s="50">
        <v>45098</v>
      </c>
      <c r="B816" s="16">
        <v>172</v>
      </c>
      <c r="C816" s="36">
        <v>0.96766203703703713</v>
      </c>
      <c r="D816" s="16" t="s">
        <v>175</v>
      </c>
      <c r="E816" s="14" t="s">
        <v>65</v>
      </c>
      <c r="F816" s="16" t="s">
        <v>8011</v>
      </c>
      <c r="G816" s="16" t="s">
        <v>1216</v>
      </c>
      <c r="H816" s="14">
        <v>-1.4E-2</v>
      </c>
      <c r="I816" s="14" t="s">
        <v>10525</v>
      </c>
      <c r="J816" s="14" t="s">
        <v>10526</v>
      </c>
      <c r="K816" s="14" t="s">
        <v>10527</v>
      </c>
      <c r="L816" s="14" t="s">
        <v>10528</v>
      </c>
      <c r="O816" s="14" t="s">
        <v>10521</v>
      </c>
      <c r="P816" s="14" t="s">
        <v>10522</v>
      </c>
      <c r="Q816" s="14">
        <v>420137.98</v>
      </c>
      <c r="R816" s="14">
        <v>6194276.2400000002</v>
      </c>
      <c r="S816" s="14" t="s">
        <v>10523</v>
      </c>
      <c r="T816" s="14" t="s">
        <v>10524</v>
      </c>
      <c r="U816" s="14">
        <v>420160.26</v>
      </c>
      <c r="V816" s="14">
        <v>6194264.1699999999</v>
      </c>
      <c r="W816" s="14">
        <v>180.17</v>
      </c>
      <c r="X816" s="14">
        <v>150.05000000000001</v>
      </c>
    </row>
    <row r="817" spans="1:24" s="14" customFormat="1" x14ac:dyDescent="0.25">
      <c r="A817" s="50">
        <v>45098</v>
      </c>
      <c r="B817" s="16">
        <v>172</v>
      </c>
      <c r="C817" s="36">
        <v>0.97201388888888884</v>
      </c>
      <c r="D817" s="16" t="s">
        <v>175</v>
      </c>
      <c r="E817" s="14" t="s">
        <v>70</v>
      </c>
      <c r="F817" s="16" t="s">
        <v>8011</v>
      </c>
      <c r="G817" s="16" t="s">
        <v>1216</v>
      </c>
      <c r="H817" s="14">
        <v>0.17799999999999999</v>
      </c>
      <c r="I817" s="14" t="s">
        <v>10525</v>
      </c>
      <c r="J817" s="14" t="s">
        <v>10526</v>
      </c>
      <c r="K817" s="14" t="s">
        <v>10527</v>
      </c>
      <c r="L817" s="14" t="s">
        <v>10528</v>
      </c>
      <c r="O817" s="14" t="s">
        <v>10529</v>
      </c>
      <c r="P817" s="14" t="s">
        <v>10530</v>
      </c>
      <c r="Q817" s="14">
        <v>420136.18</v>
      </c>
      <c r="R817" s="14">
        <v>6194083.8600000003</v>
      </c>
      <c r="S817" s="14" t="s">
        <v>10531</v>
      </c>
      <c r="T817" s="14" t="s">
        <v>10532</v>
      </c>
      <c r="U817" s="14">
        <v>420160.24</v>
      </c>
      <c r="V817" s="14">
        <v>6194072.1299999999</v>
      </c>
      <c r="W817" s="14">
        <v>179.88</v>
      </c>
      <c r="X817" s="14">
        <v>150.05000000000001</v>
      </c>
    </row>
    <row r="818" spans="1:24" s="14" customFormat="1" x14ac:dyDescent="0.25">
      <c r="A818" s="50">
        <v>45098</v>
      </c>
      <c r="B818" s="16">
        <v>172</v>
      </c>
      <c r="C818" s="36">
        <v>0.97503472222222232</v>
      </c>
      <c r="D818" s="16" t="s">
        <v>175</v>
      </c>
      <c r="E818" s="14" t="s">
        <v>65</v>
      </c>
      <c r="F818" s="16" t="s">
        <v>8011</v>
      </c>
      <c r="G818" s="16" t="s">
        <v>1215</v>
      </c>
      <c r="H818" s="14">
        <v>0.17299999999999999</v>
      </c>
      <c r="I818" s="14" t="s">
        <v>10537</v>
      </c>
      <c r="J818" s="14" t="s">
        <v>10538</v>
      </c>
      <c r="K818" s="14" t="s">
        <v>10539</v>
      </c>
      <c r="L818" s="14" t="s">
        <v>10528</v>
      </c>
      <c r="O818" s="14" t="s">
        <v>10533</v>
      </c>
      <c r="P818" s="14" t="s">
        <v>10534</v>
      </c>
      <c r="Q818" s="14">
        <v>420126.96</v>
      </c>
      <c r="R818" s="14">
        <v>6194071.9000000004</v>
      </c>
      <c r="S818" s="14" t="s">
        <v>10535</v>
      </c>
      <c r="T818" s="14" t="s">
        <v>10536</v>
      </c>
      <c r="U818" s="14">
        <v>420151.15</v>
      </c>
      <c r="V818" s="14">
        <v>6194065.8799999999</v>
      </c>
      <c r="W818" s="14">
        <v>1.71</v>
      </c>
      <c r="X818" s="14">
        <v>150.05000000000001</v>
      </c>
    </row>
    <row r="819" spans="1:24" s="14" customFormat="1" x14ac:dyDescent="0.25">
      <c r="A819" s="50">
        <v>45098</v>
      </c>
      <c r="B819" s="16">
        <v>172</v>
      </c>
      <c r="C819" s="36">
        <v>0.97949074074074083</v>
      </c>
      <c r="D819" s="16" t="s">
        <v>175</v>
      </c>
      <c r="E819" s="14" t="s">
        <v>70</v>
      </c>
      <c r="F819" s="16" t="s">
        <v>8011</v>
      </c>
      <c r="G819" s="16" t="s">
        <v>1215</v>
      </c>
      <c r="H819" s="14">
        <v>-1.7999999999999999E-2</v>
      </c>
      <c r="I819" s="14" t="s">
        <v>10537</v>
      </c>
      <c r="J819" s="14" t="s">
        <v>10538</v>
      </c>
      <c r="K819" s="14" t="s">
        <v>10539</v>
      </c>
      <c r="L819" s="14" t="s">
        <v>10544</v>
      </c>
      <c r="O819" s="14" t="s">
        <v>10540</v>
      </c>
      <c r="P819" s="14" t="s">
        <v>10541</v>
      </c>
      <c r="Q819" s="14">
        <v>420128.21</v>
      </c>
      <c r="R819" s="14">
        <v>6194268.3799999999</v>
      </c>
      <c r="S819" s="14" t="s">
        <v>10542</v>
      </c>
      <c r="T819" s="14" t="s">
        <v>10543</v>
      </c>
      <c r="U819" s="14">
        <v>420151.27</v>
      </c>
      <c r="V819" s="14">
        <v>6194257.5199999996</v>
      </c>
      <c r="W819" s="14">
        <v>359.89</v>
      </c>
      <c r="X819" s="14">
        <v>150.05000000000001</v>
      </c>
    </row>
    <row r="820" spans="1:24" s="14" customFormat="1" x14ac:dyDescent="0.25">
      <c r="A820" s="50">
        <v>45098</v>
      </c>
      <c r="B820" s="16">
        <v>172</v>
      </c>
      <c r="C820" s="36">
        <v>0.98346064814814815</v>
      </c>
      <c r="D820" s="16" t="s">
        <v>175</v>
      </c>
      <c r="E820" s="14" t="s">
        <v>65</v>
      </c>
      <c r="F820" s="16" t="s">
        <v>8011</v>
      </c>
      <c r="G820" s="16" t="s">
        <v>1214</v>
      </c>
      <c r="H820" s="14">
        <v>-1.4E-2</v>
      </c>
      <c r="I820" s="14" t="s">
        <v>10549</v>
      </c>
      <c r="J820" s="14" t="s">
        <v>10550</v>
      </c>
      <c r="K820" s="14" t="s">
        <v>10551</v>
      </c>
      <c r="L820" s="14" t="s">
        <v>10544</v>
      </c>
      <c r="O820" s="14" t="s">
        <v>10545</v>
      </c>
      <c r="P820" s="14" t="s">
        <v>10546</v>
      </c>
      <c r="Q820" s="14">
        <v>420120.79</v>
      </c>
      <c r="R820" s="14">
        <v>6194273.2999999998</v>
      </c>
      <c r="S820" s="14" t="s">
        <v>10547</v>
      </c>
      <c r="T820" s="14" t="s">
        <v>10548</v>
      </c>
      <c r="U820" s="14">
        <v>420142.31</v>
      </c>
      <c r="V820" s="14">
        <v>6194264.4400000004</v>
      </c>
      <c r="W820" s="14">
        <v>180.2</v>
      </c>
      <c r="X820" s="14">
        <v>150.05000000000001</v>
      </c>
    </row>
    <row r="821" spans="1:24" s="14" customFormat="1" x14ac:dyDescent="0.25">
      <c r="A821" s="50">
        <v>45098</v>
      </c>
      <c r="B821" s="16">
        <v>172</v>
      </c>
      <c r="C821" s="36">
        <v>0.98771990740740734</v>
      </c>
      <c r="D821" s="16" t="s">
        <v>175</v>
      </c>
      <c r="E821" s="14" t="s">
        <v>70</v>
      </c>
      <c r="F821" s="16" t="s">
        <v>8011</v>
      </c>
      <c r="G821" s="16" t="s">
        <v>1214</v>
      </c>
      <c r="H821" s="14">
        <v>0.17199999999999999</v>
      </c>
      <c r="I821" s="14" t="s">
        <v>10549</v>
      </c>
      <c r="J821" s="14" t="s">
        <v>10550</v>
      </c>
      <c r="K821" s="14" t="s">
        <v>10551</v>
      </c>
      <c r="L821" s="14" t="s">
        <v>10556</v>
      </c>
      <c r="O821" s="14" t="s">
        <v>10552</v>
      </c>
      <c r="P821" s="14" t="s">
        <v>10553</v>
      </c>
      <c r="Q821" s="14">
        <v>420118.5</v>
      </c>
      <c r="R821" s="14">
        <v>6194085.54</v>
      </c>
      <c r="S821" s="14" t="s">
        <v>10554</v>
      </c>
      <c r="T821" s="14" t="s">
        <v>10555</v>
      </c>
      <c r="U821" s="14">
        <v>420142.3</v>
      </c>
      <c r="V821" s="14">
        <v>6194077.8799999999</v>
      </c>
      <c r="W821" s="14">
        <v>180.15</v>
      </c>
      <c r="X821" s="14">
        <v>150.05000000000001</v>
      </c>
    </row>
    <row r="822" spans="1:24" s="14" customFormat="1" x14ac:dyDescent="0.25">
      <c r="A822" s="50">
        <v>45098</v>
      </c>
      <c r="B822" s="16">
        <v>172</v>
      </c>
      <c r="C822" s="36">
        <v>0.99130787037037038</v>
      </c>
      <c r="D822" s="16" t="s">
        <v>175</v>
      </c>
      <c r="E822" s="14" t="s">
        <v>65</v>
      </c>
      <c r="F822" s="16" t="s">
        <v>8011</v>
      </c>
      <c r="G822" s="16" t="s">
        <v>1213</v>
      </c>
      <c r="H822" s="14">
        <v>0.16600000000000001</v>
      </c>
      <c r="I822" s="14" t="s">
        <v>10561</v>
      </c>
      <c r="J822" s="14" t="s">
        <v>10562</v>
      </c>
      <c r="K822" s="14" t="s">
        <v>10563</v>
      </c>
      <c r="L822" s="14" t="s">
        <v>10556</v>
      </c>
      <c r="O822" s="14" t="s">
        <v>10557</v>
      </c>
      <c r="P822" s="14" t="s">
        <v>10558</v>
      </c>
      <c r="Q822" s="14">
        <v>420108.29</v>
      </c>
      <c r="R822" s="14">
        <v>6194084.46</v>
      </c>
      <c r="S822" s="14" t="s">
        <v>10559</v>
      </c>
      <c r="T822" s="14" t="s">
        <v>10560</v>
      </c>
      <c r="U822" s="14">
        <v>420133.32</v>
      </c>
      <c r="V822" s="14">
        <v>6194073.5700000003</v>
      </c>
      <c r="W822" s="14">
        <v>359.12</v>
      </c>
      <c r="X822" s="14">
        <v>150.05000000000001</v>
      </c>
    </row>
    <row r="823" spans="1:24" s="14" customFormat="1" x14ac:dyDescent="0.25">
      <c r="A823" s="50">
        <v>45098</v>
      </c>
      <c r="B823" s="16">
        <v>172</v>
      </c>
      <c r="C823" s="36">
        <v>0.99550925925925926</v>
      </c>
      <c r="D823" s="16" t="s">
        <v>175</v>
      </c>
      <c r="E823" s="14" t="s">
        <v>70</v>
      </c>
      <c r="F823" s="16" t="s">
        <v>8011</v>
      </c>
      <c r="G823" s="16" t="s">
        <v>1213</v>
      </c>
      <c r="H823" s="14">
        <v>-2.1000000000000001E-2</v>
      </c>
      <c r="I823" s="14" t="s">
        <v>10561</v>
      </c>
      <c r="J823" s="14" t="s">
        <v>10562</v>
      </c>
      <c r="K823" s="14" t="s">
        <v>10563</v>
      </c>
      <c r="L823" s="14" t="s">
        <v>10556</v>
      </c>
      <c r="O823" s="14" t="s">
        <v>10564</v>
      </c>
      <c r="P823" s="14" t="s">
        <v>10565</v>
      </c>
      <c r="Q823" s="14">
        <v>420109.18</v>
      </c>
      <c r="R823" s="14">
        <v>6194271.1200000001</v>
      </c>
      <c r="S823" s="14" t="s">
        <v>10566</v>
      </c>
      <c r="T823" s="14" t="s">
        <v>10567</v>
      </c>
      <c r="U823" s="14">
        <v>420133.28</v>
      </c>
      <c r="V823" s="14">
        <v>6194260.2300000004</v>
      </c>
      <c r="W823" s="14">
        <v>359.82</v>
      </c>
      <c r="X823" s="14">
        <v>150.05000000000001</v>
      </c>
    </row>
    <row r="824" spans="1:24" s="72" customFormat="1" x14ac:dyDescent="0.25">
      <c r="A824" s="69">
        <v>45099</v>
      </c>
      <c r="B824" s="70">
        <v>173</v>
      </c>
      <c r="C824" s="71">
        <v>0</v>
      </c>
      <c r="D824" s="70" t="s">
        <v>175</v>
      </c>
      <c r="E824" s="72" t="s">
        <v>77</v>
      </c>
      <c r="F824" s="70" t="s">
        <v>8011</v>
      </c>
      <c r="G824" s="70" t="s">
        <v>1207</v>
      </c>
      <c r="H824" s="72">
        <v>-8.2000000000000003E-2</v>
      </c>
      <c r="O824" s="72" t="s">
        <v>10568</v>
      </c>
      <c r="P824" s="72" t="s">
        <v>10569</v>
      </c>
      <c r="Q824" s="72">
        <v>420102.6</v>
      </c>
      <c r="R824" s="72">
        <v>6194346.2300000004</v>
      </c>
      <c r="S824" s="72" t="s">
        <v>10570</v>
      </c>
      <c r="T824" s="72" t="s">
        <v>10571</v>
      </c>
      <c r="U824" s="72">
        <v>420124.31</v>
      </c>
      <c r="V824" s="72">
        <v>6194332.25</v>
      </c>
      <c r="W824" s="72">
        <v>179.98</v>
      </c>
      <c r="X824" s="72">
        <v>150.05000000000001</v>
      </c>
    </row>
    <row r="825" spans="1:24" s="14" customFormat="1" x14ac:dyDescent="0.25">
      <c r="A825" s="50">
        <v>45099</v>
      </c>
      <c r="B825" s="16">
        <v>173</v>
      </c>
      <c r="C825" s="36">
        <v>2.0949074074074073E-3</v>
      </c>
      <c r="D825" s="16" t="s">
        <v>175</v>
      </c>
      <c r="E825" s="14" t="s">
        <v>65</v>
      </c>
      <c r="F825" s="16" t="s">
        <v>8011</v>
      </c>
      <c r="G825" s="16" t="s">
        <v>1207</v>
      </c>
      <c r="H825" s="14">
        <v>-1.6E-2</v>
      </c>
      <c r="I825" s="14" t="s">
        <v>10576</v>
      </c>
      <c r="J825" s="14" t="s">
        <v>10577</v>
      </c>
      <c r="K825" s="14" t="s">
        <v>10578</v>
      </c>
      <c r="L825" s="14" t="s">
        <v>10579</v>
      </c>
      <c r="O825" s="14" t="s">
        <v>10572</v>
      </c>
      <c r="P825" s="14" t="s">
        <v>10573</v>
      </c>
      <c r="Q825" s="14">
        <v>420103.08</v>
      </c>
      <c r="R825" s="14">
        <v>6194276.8399999999</v>
      </c>
      <c r="S825" s="14" t="s">
        <v>10574</v>
      </c>
      <c r="T825" s="14" t="s">
        <v>10575</v>
      </c>
      <c r="U825" s="14">
        <v>420124.31</v>
      </c>
      <c r="V825" s="14">
        <v>6194266.2999999998</v>
      </c>
      <c r="W825" s="14">
        <v>180.32</v>
      </c>
      <c r="X825" s="14">
        <v>150.05000000000001</v>
      </c>
    </row>
    <row r="826" spans="1:24" s="14" customFormat="1" x14ac:dyDescent="0.25">
      <c r="A826" s="50">
        <v>45099</v>
      </c>
      <c r="B826" s="16">
        <v>173</v>
      </c>
      <c r="C826" s="36">
        <v>6.4814814814814813E-3</v>
      </c>
      <c r="D826" s="16" t="s">
        <v>175</v>
      </c>
      <c r="E826" s="14" t="s">
        <v>70</v>
      </c>
      <c r="F826" s="16" t="s">
        <v>8011</v>
      </c>
      <c r="G826" s="16" t="s">
        <v>1207</v>
      </c>
      <c r="H826" s="14">
        <v>0.17199999999999999</v>
      </c>
      <c r="I826" s="14" t="s">
        <v>10576</v>
      </c>
      <c r="J826" s="14" t="s">
        <v>10577</v>
      </c>
      <c r="K826" s="14" t="s">
        <v>10578</v>
      </c>
      <c r="L826" s="14" t="s">
        <v>10579</v>
      </c>
      <c r="O826" s="14" t="s">
        <v>10580</v>
      </c>
      <c r="P826" s="14" t="s">
        <v>10581</v>
      </c>
      <c r="Q826" s="14">
        <v>420102.64</v>
      </c>
      <c r="R826" s="14">
        <v>6194082.3099999996</v>
      </c>
      <c r="S826" s="14" t="s">
        <v>10582</v>
      </c>
      <c r="T826" s="14" t="s">
        <v>10583</v>
      </c>
      <c r="U826" s="14">
        <v>420124.28</v>
      </c>
      <c r="V826" s="14">
        <v>6194078.3499999996</v>
      </c>
      <c r="W826" s="14">
        <v>179.99</v>
      </c>
      <c r="X826" s="14">
        <v>150.05000000000001</v>
      </c>
    </row>
    <row r="827" spans="1:24" s="14" customFormat="1" x14ac:dyDescent="0.25">
      <c r="A827" s="50">
        <v>45099</v>
      </c>
      <c r="B827" s="16">
        <v>173</v>
      </c>
      <c r="C827" s="36">
        <v>1.050925925925926E-2</v>
      </c>
      <c r="D827" s="16" t="s">
        <v>175</v>
      </c>
      <c r="E827" s="14" t="s">
        <v>65</v>
      </c>
      <c r="F827" s="16" t="s">
        <v>8011</v>
      </c>
      <c r="G827" s="16" t="s">
        <v>1208</v>
      </c>
      <c r="H827" s="14">
        <v>0.16800000000000001</v>
      </c>
      <c r="I827" s="14" t="s">
        <v>10588</v>
      </c>
      <c r="J827" s="14" t="s">
        <v>10589</v>
      </c>
      <c r="K827" s="14" t="s">
        <v>10590</v>
      </c>
      <c r="L827" s="14" t="s">
        <v>10591</v>
      </c>
      <c r="O827" s="14" t="s">
        <v>10584</v>
      </c>
      <c r="P827" s="14" t="s">
        <v>10585</v>
      </c>
      <c r="Q827" s="14">
        <v>420092.15</v>
      </c>
      <c r="R827" s="14">
        <v>6194079.8300000001</v>
      </c>
      <c r="S827" s="14" t="s">
        <v>10586</v>
      </c>
      <c r="T827" s="14" t="s">
        <v>10587</v>
      </c>
      <c r="U827" s="14">
        <v>420115.25</v>
      </c>
      <c r="V827" s="14">
        <v>6194070.8399999999</v>
      </c>
      <c r="W827" s="14">
        <v>0.74</v>
      </c>
      <c r="X827" s="14">
        <v>150.05000000000001</v>
      </c>
    </row>
    <row r="828" spans="1:24" s="14" customFormat="1" x14ac:dyDescent="0.25">
      <c r="A828" s="50">
        <v>45099</v>
      </c>
      <c r="B828" s="16">
        <v>173</v>
      </c>
      <c r="C828" s="36">
        <v>1.4780092592592595E-2</v>
      </c>
      <c r="D828" s="16" t="s">
        <v>175</v>
      </c>
      <c r="E828" s="14" t="s">
        <v>70</v>
      </c>
      <c r="F828" s="16" t="s">
        <v>8011</v>
      </c>
      <c r="G828" s="16" t="s">
        <v>1208</v>
      </c>
      <c r="H828" s="14">
        <v>-2.1000000000000001E-2</v>
      </c>
      <c r="I828" s="14" t="s">
        <v>10588</v>
      </c>
      <c r="J828" s="14" t="s">
        <v>10589</v>
      </c>
      <c r="K828" s="14" t="s">
        <v>10590</v>
      </c>
      <c r="L828" s="14" t="s">
        <v>10591</v>
      </c>
      <c r="O828" s="14" t="s">
        <v>10592</v>
      </c>
      <c r="P828" s="14" t="s">
        <v>10593</v>
      </c>
      <c r="Q828" s="14">
        <v>420092.97</v>
      </c>
      <c r="R828" s="14">
        <v>6194269.1399999997</v>
      </c>
      <c r="S828" s="14" t="s">
        <v>10594</v>
      </c>
      <c r="T828" s="14" t="s">
        <v>10595</v>
      </c>
      <c r="U828" s="14">
        <v>420115.27</v>
      </c>
      <c r="V828" s="14">
        <v>6194260.0300000003</v>
      </c>
      <c r="W828" s="14">
        <v>0.54</v>
      </c>
      <c r="X828" s="14">
        <v>150.05000000000001</v>
      </c>
    </row>
    <row r="829" spans="1:24" s="14" customFormat="1" x14ac:dyDescent="0.25">
      <c r="A829" s="50">
        <v>45099</v>
      </c>
      <c r="B829" s="16">
        <v>173</v>
      </c>
      <c r="C829" s="36">
        <v>1.8935185185185183E-2</v>
      </c>
      <c r="D829" s="16" t="s">
        <v>175</v>
      </c>
      <c r="E829" s="14" t="s">
        <v>65</v>
      </c>
      <c r="F829" s="16" t="s">
        <v>8011</v>
      </c>
      <c r="G829" s="16" t="s">
        <v>1209</v>
      </c>
      <c r="H829" s="14">
        <v>-1.7000000000000001E-2</v>
      </c>
      <c r="I829" s="14" t="s">
        <v>10600</v>
      </c>
      <c r="J829" s="14" t="s">
        <v>10601</v>
      </c>
      <c r="K829" s="14" t="s">
        <v>10602</v>
      </c>
      <c r="L829" s="14" t="s">
        <v>10603</v>
      </c>
      <c r="O829" s="14" t="s">
        <v>10596</v>
      </c>
      <c r="P829" s="14" t="s">
        <v>10597</v>
      </c>
      <c r="Q829" s="14">
        <v>420086.32</v>
      </c>
      <c r="R829" s="14">
        <v>6194276.21</v>
      </c>
      <c r="S829" s="14" t="s">
        <v>10598</v>
      </c>
      <c r="T829" s="14" t="s">
        <v>10599</v>
      </c>
      <c r="U829" s="14">
        <v>420106.21</v>
      </c>
      <c r="V829" s="14">
        <v>6194267.3899999997</v>
      </c>
      <c r="W829" s="14">
        <v>180.61</v>
      </c>
      <c r="X829" s="14">
        <v>150.05000000000001</v>
      </c>
    </row>
    <row r="830" spans="1:24" s="14" customFormat="1" x14ac:dyDescent="0.25">
      <c r="A830" s="50">
        <v>45099</v>
      </c>
      <c r="B830" s="16">
        <v>173</v>
      </c>
      <c r="C830" s="36">
        <v>2.3206018518518515E-2</v>
      </c>
      <c r="D830" s="16" t="s">
        <v>175</v>
      </c>
      <c r="E830" s="14" t="s">
        <v>70</v>
      </c>
      <c r="F830" s="16" t="s">
        <v>8011</v>
      </c>
      <c r="G830" s="16" t="s">
        <v>1209</v>
      </c>
      <c r="H830" s="14">
        <v>0.16900000000000001</v>
      </c>
      <c r="I830" s="14" t="s">
        <v>10600</v>
      </c>
      <c r="J830" s="14" t="s">
        <v>10601</v>
      </c>
      <c r="K830" s="14" t="s">
        <v>10602</v>
      </c>
      <c r="L830" s="14" t="s">
        <v>10603</v>
      </c>
      <c r="O830" s="14" t="s">
        <v>10604</v>
      </c>
      <c r="P830" s="14" t="s">
        <v>10605</v>
      </c>
      <c r="Q830" s="14">
        <v>420083.76</v>
      </c>
      <c r="R830" s="14">
        <v>6194089.2999999998</v>
      </c>
      <c r="S830" s="14" t="s">
        <v>10606</v>
      </c>
      <c r="T830" s="14" t="s">
        <v>10607</v>
      </c>
      <c r="U830" s="14">
        <v>420106.11</v>
      </c>
      <c r="V830" s="14">
        <v>6194080.9100000001</v>
      </c>
      <c r="W830" s="14">
        <v>178.87</v>
      </c>
      <c r="X830" s="14">
        <v>150.05000000000001</v>
      </c>
    </row>
    <row r="831" spans="1:24" s="14" customFormat="1" x14ac:dyDescent="0.25">
      <c r="A831" s="50">
        <v>45099</v>
      </c>
      <c r="B831" s="16">
        <v>173</v>
      </c>
      <c r="C831" s="36">
        <v>2.7569444444444448E-2</v>
      </c>
      <c r="D831" s="16" t="s">
        <v>175</v>
      </c>
      <c r="E831" s="14" t="s">
        <v>65</v>
      </c>
      <c r="F831" s="16" t="s">
        <v>8011</v>
      </c>
      <c r="G831" s="16" t="s">
        <v>1210</v>
      </c>
      <c r="H831" s="14">
        <v>0.161</v>
      </c>
      <c r="I831" s="14" t="s">
        <v>10612</v>
      </c>
      <c r="J831" s="14" t="s">
        <v>10613</v>
      </c>
      <c r="K831" s="14" t="s">
        <v>10614</v>
      </c>
      <c r="L831" s="14" t="s">
        <v>10615</v>
      </c>
      <c r="O831" s="14" t="s">
        <v>10608</v>
      </c>
      <c r="P831" s="14" t="s">
        <v>10609</v>
      </c>
      <c r="Q831" s="14">
        <v>420074.28</v>
      </c>
      <c r="R831" s="14">
        <v>6194090.5800000001</v>
      </c>
      <c r="S831" s="14" t="s">
        <v>10610</v>
      </c>
      <c r="T831" s="14" t="s">
        <v>10611</v>
      </c>
      <c r="U831" s="14">
        <v>420097.3</v>
      </c>
      <c r="V831" s="14">
        <v>6194077.6399999997</v>
      </c>
      <c r="W831" s="14">
        <v>359.9</v>
      </c>
      <c r="X831" s="14">
        <v>150.05000000000001</v>
      </c>
    </row>
    <row r="832" spans="1:24" s="14" customFormat="1" x14ac:dyDescent="0.25">
      <c r="A832" s="50">
        <v>45099</v>
      </c>
      <c r="B832" s="16">
        <v>173</v>
      </c>
      <c r="C832" s="36">
        <v>3.15625E-2</v>
      </c>
      <c r="D832" s="16" t="s">
        <v>175</v>
      </c>
      <c r="E832" s="14" t="s">
        <v>70</v>
      </c>
      <c r="F832" s="16" t="s">
        <v>8011</v>
      </c>
      <c r="G832" s="16" t="s">
        <v>1210</v>
      </c>
      <c r="H832" s="14">
        <v>-1.9E-2</v>
      </c>
      <c r="I832" s="14" t="s">
        <v>10612</v>
      </c>
      <c r="J832" s="14" t="s">
        <v>10613</v>
      </c>
      <c r="K832" s="14" t="s">
        <v>10614</v>
      </c>
      <c r="L832" s="14" t="s">
        <v>10615</v>
      </c>
      <c r="O832" s="14" t="s">
        <v>10616</v>
      </c>
      <c r="P832" s="14" t="s">
        <v>10617</v>
      </c>
      <c r="Q832" s="14">
        <v>420075.37</v>
      </c>
      <c r="R832" s="14">
        <v>6194267.2999999998</v>
      </c>
      <c r="S832" s="14" t="s">
        <v>10618</v>
      </c>
      <c r="T832" s="14" t="s">
        <v>10619</v>
      </c>
      <c r="U832" s="14">
        <v>420097.33</v>
      </c>
      <c r="V832" s="14">
        <v>6194258.1299999999</v>
      </c>
      <c r="W832" s="14">
        <v>359.41</v>
      </c>
      <c r="X832" s="14">
        <v>150.05000000000001</v>
      </c>
    </row>
    <row r="833" spans="1:24" s="14" customFormat="1" x14ac:dyDescent="0.25">
      <c r="A833" s="50">
        <v>45099</v>
      </c>
      <c r="B833" s="16">
        <v>173</v>
      </c>
      <c r="C833" s="36">
        <v>3.560185185185185E-2</v>
      </c>
      <c r="D833" s="16" t="s">
        <v>175</v>
      </c>
      <c r="E833" s="14" t="s">
        <v>65</v>
      </c>
      <c r="F833" s="16" t="s">
        <v>8011</v>
      </c>
      <c r="G833" s="16" t="s">
        <v>1211</v>
      </c>
      <c r="H833" s="14">
        <v>-1.6E-2</v>
      </c>
      <c r="I833" s="14" t="s">
        <v>10624</v>
      </c>
      <c r="J833" s="14" t="s">
        <v>10625</v>
      </c>
      <c r="K833" s="14" t="s">
        <v>10626</v>
      </c>
      <c r="L833" s="14" t="s">
        <v>10615</v>
      </c>
      <c r="O833" s="14" t="s">
        <v>10620</v>
      </c>
      <c r="P833" s="14" t="s">
        <v>10621</v>
      </c>
      <c r="Q833" s="14">
        <v>420067.48</v>
      </c>
      <c r="R833" s="14">
        <v>6194272.96</v>
      </c>
      <c r="S833" s="14" t="s">
        <v>10622</v>
      </c>
      <c r="T833" s="14" t="s">
        <v>10623</v>
      </c>
      <c r="U833" s="14">
        <v>420088.41</v>
      </c>
      <c r="V833" s="14">
        <v>6194266.0499999998</v>
      </c>
      <c r="W833" s="14">
        <v>181.64</v>
      </c>
      <c r="X833" s="14">
        <v>150.05000000000001</v>
      </c>
    </row>
    <row r="834" spans="1:24" s="14" customFormat="1" x14ac:dyDescent="0.25">
      <c r="A834" s="50">
        <v>45099</v>
      </c>
      <c r="B834" s="16">
        <v>173</v>
      </c>
      <c r="C834" s="36">
        <v>3.9861111111111111E-2</v>
      </c>
      <c r="D834" s="16" t="s">
        <v>175</v>
      </c>
      <c r="E834" s="14" t="s">
        <v>70</v>
      </c>
      <c r="F834" s="16" t="s">
        <v>8011</v>
      </c>
      <c r="G834" s="16" t="s">
        <v>1211</v>
      </c>
      <c r="H834" s="14">
        <v>0.17100000000000001</v>
      </c>
      <c r="I834" s="14" t="s">
        <v>10624</v>
      </c>
      <c r="J834" s="14" t="s">
        <v>10625</v>
      </c>
      <c r="K834" s="14" t="s">
        <v>10626</v>
      </c>
      <c r="L834" s="14" t="s">
        <v>10631</v>
      </c>
      <c r="O834" s="14" t="s">
        <v>10627</v>
      </c>
      <c r="P834" s="14" t="s">
        <v>10628</v>
      </c>
      <c r="Q834" s="14">
        <v>420065.46</v>
      </c>
      <c r="R834" s="14">
        <v>6194086.7999999998</v>
      </c>
      <c r="S834" s="14" t="s">
        <v>10629</v>
      </c>
      <c r="T834" s="14" t="s">
        <v>10630</v>
      </c>
      <c r="U834" s="14">
        <v>420088.25</v>
      </c>
      <c r="V834" s="14">
        <v>6194079.0899999999</v>
      </c>
      <c r="W834" s="14">
        <v>179.7</v>
      </c>
      <c r="X834" s="14">
        <v>150.05000000000001</v>
      </c>
    </row>
    <row r="835" spans="1:24" s="14" customFormat="1" x14ac:dyDescent="0.25">
      <c r="A835" s="50">
        <v>45099</v>
      </c>
      <c r="B835" s="16">
        <v>173</v>
      </c>
      <c r="C835" s="36">
        <v>4.387731481481482E-2</v>
      </c>
      <c r="D835" s="16" t="s">
        <v>175</v>
      </c>
      <c r="E835" s="14" t="s">
        <v>65</v>
      </c>
      <c r="F835" s="16" t="s">
        <v>8011</v>
      </c>
      <c r="G835" s="16" t="s">
        <v>1212</v>
      </c>
      <c r="H835" s="14">
        <v>0.16400000000000001</v>
      </c>
      <c r="I835" s="14" t="s">
        <v>10636</v>
      </c>
      <c r="J835" s="14" t="s">
        <v>10637</v>
      </c>
      <c r="K835" s="14" t="s">
        <v>10638</v>
      </c>
      <c r="L835" s="14" t="s">
        <v>10631</v>
      </c>
      <c r="O835" s="14" t="s">
        <v>10632</v>
      </c>
      <c r="P835" s="14" t="s">
        <v>10633</v>
      </c>
      <c r="Q835" s="14">
        <v>420056.45</v>
      </c>
      <c r="R835" s="14">
        <v>6194083.6799999997</v>
      </c>
      <c r="S835" s="14" t="s">
        <v>10634</v>
      </c>
      <c r="T835" s="14" t="s">
        <v>10635</v>
      </c>
      <c r="U835" s="14">
        <v>420079.08</v>
      </c>
      <c r="V835" s="14">
        <v>6194074.79</v>
      </c>
      <c r="W835" s="14">
        <v>2.59</v>
      </c>
      <c r="X835" s="14">
        <v>150.05000000000001</v>
      </c>
    </row>
    <row r="836" spans="1:24" s="14" customFormat="1" x14ac:dyDescent="0.25">
      <c r="A836" s="50">
        <v>45099</v>
      </c>
      <c r="B836" s="16">
        <v>173</v>
      </c>
      <c r="C836" s="36">
        <v>4.809027777777778E-2</v>
      </c>
      <c r="D836" s="16" t="s">
        <v>175</v>
      </c>
      <c r="E836" s="14" t="s">
        <v>70</v>
      </c>
      <c r="F836" s="16" t="s">
        <v>8011</v>
      </c>
      <c r="G836" s="16" t="s">
        <v>1212</v>
      </c>
      <c r="H836" s="14">
        <v>-2.1999999999999999E-2</v>
      </c>
      <c r="I836" s="14" t="s">
        <v>10636</v>
      </c>
      <c r="J836" s="14" t="s">
        <v>10637</v>
      </c>
      <c r="K836" s="14" t="s">
        <v>10638</v>
      </c>
      <c r="L836" s="14" t="s">
        <v>10631</v>
      </c>
      <c r="O836" s="14" t="s">
        <v>10639</v>
      </c>
      <c r="P836" s="14" t="s">
        <v>10640</v>
      </c>
      <c r="Q836" s="14">
        <v>420057.59</v>
      </c>
      <c r="R836" s="14">
        <v>6194269.7000000002</v>
      </c>
      <c r="S836" s="14" t="s">
        <v>10641</v>
      </c>
      <c r="T836" s="14" t="s">
        <v>10642</v>
      </c>
      <c r="U836" s="14">
        <v>420079.21</v>
      </c>
      <c r="V836" s="14">
        <v>6194260.8300000001</v>
      </c>
      <c r="W836" s="14">
        <v>0.25</v>
      </c>
      <c r="X836" s="14">
        <v>150.05000000000001</v>
      </c>
    </row>
    <row r="837" spans="1:24" s="14" customFormat="1" x14ac:dyDescent="0.25">
      <c r="A837" s="50">
        <v>45099</v>
      </c>
      <c r="B837" s="16">
        <v>173</v>
      </c>
      <c r="C837" s="36">
        <v>4.9803240740740738E-2</v>
      </c>
      <c r="D837" s="16" t="s">
        <v>175</v>
      </c>
      <c r="E837" s="14" t="s">
        <v>9148</v>
      </c>
      <c r="F837" s="16" t="s">
        <v>8011</v>
      </c>
      <c r="G837" s="16" t="s">
        <v>1212</v>
      </c>
      <c r="H837" s="14">
        <v>-3.4000000000000002E-2</v>
      </c>
      <c r="O837" s="14" t="s">
        <v>10643</v>
      </c>
      <c r="P837" s="14" t="s">
        <v>10644</v>
      </c>
      <c r="Q837" s="14">
        <v>420059.6</v>
      </c>
      <c r="R837" s="14">
        <v>6194289.1900000004</v>
      </c>
      <c r="S837" s="14" t="s">
        <v>10645</v>
      </c>
      <c r="T837" s="14" t="s">
        <v>10646</v>
      </c>
      <c r="U837" s="14">
        <v>420068.67</v>
      </c>
      <c r="V837" s="14">
        <v>6194281.7699999996</v>
      </c>
      <c r="W837" s="14">
        <v>127.29</v>
      </c>
      <c r="X837" s="14">
        <v>150.05000000000001</v>
      </c>
    </row>
    <row r="838" spans="1:24" s="14" customFormat="1" x14ac:dyDescent="0.25">
      <c r="A838" s="50">
        <v>45099</v>
      </c>
      <c r="B838" s="16">
        <v>173</v>
      </c>
      <c r="C838" s="36">
        <v>5.2384259259259262E-2</v>
      </c>
      <c r="D838" s="16" t="s">
        <v>175</v>
      </c>
      <c r="E838" s="14" t="s">
        <v>10647</v>
      </c>
      <c r="F838" s="16" t="s">
        <v>8011</v>
      </c>
      <c r="G838" s="16" t="s">
        <v>1090</v>
      </c>
      <c r="H838" s="14">
        <v>-1.99</v>
      </c>
      <c r="O838" s="14" t="s">
        <v>10648</v>
      </c>
      <c r="P838" s="14" t="s">
        <v>10649</v>
      </c>
      <c r="Q838" s="14">
        <v>420060.05</v>
      </c>
      <c r="R838" s="14">
        <v>6194289.3099999996</v>
      </c>
      <c r="S838" s="14" t="s">
        <v>10650</v>
      </c>
      <c r="T838" s="14" t="s">
        <v>10651</v>
      </c>
      <c r="U838" s="14">
        <v>420069.4</v>
      </c>
      <c r="V838" s="14">
        <v>6194282.4299999997</v>
      </c>
      <c r="W838" s="14">
        <v>117.82</v>
      </c>
      <c r="X838" s="14">
        <v>150.05000000000001</v>
      </c>
    </row>
    <row r="839" spans="1:24" s="68" customFormat="1" x14ac:dyDescent="0.25">
      <c r="A839" s="65">
        <v>45099</v>
      </c>
      <c r="B839" s="66">
        <v>173</v>
      </c>
      <c r="C839" s="67">
        <v>6.7280092592592586E-2</v>
      </c>
      <c r="D839" s="66" t="s">
        <v>175</v>
      </c>
      <c r="E839" s="68" t="s">
        <v>10657</v>
      </c>
      <c r="F839" s="66" t="s">
        <v>8011</v>
      </c>
      <c r="G839" s="66" t="s">
        <v>1090</v>
      </c>
      <c r="H839" s="68">
        <v>-3.6999999999999998E-2</v>
      </c>
      <c r="M839" s="68" t="s">
        <v>10652</v>
      </c>
      <c r="O839" s="68" t="s">
        <v>10653</v>
      </c>
      <c r="P839" s="68" t="s">
        <v>10654</v>
      </c>
      <c r="Q839" s="68">
        <v>420483.09</v>
      </c>
      <c r="R839" s="68">
        <v>6192342.3099999996</v>
      </c>
      <c r="S839" s="68" t="s">
        <v>10655</v>
      </c>
      <c r="T839" s="68" t="s">
        <v>10656</v>
      </c>
      <c r="U839" s="68">
        <v>420498.38</v>
      </c>
      <c r="V839" s="68">
        <v>6192331.8499999996</v>
      </c>
      <c r="W839" s="68">
        <v>141.77000000000001</v>
      </c>
      <c r="X839" s="68">
        <v>150.05000000000001</v>
      </c>
    </row>
    <row r="840" spans="1:24" s="14" customFormat="1" x14ac:dyDescent="0.25">
      <c r="A840" s="50">
        <v>45099</v>
      </c>
      <c r="B840" s="16">
        <v>173</v>
      </c>
      <c r="C840" s="36">
        <v>7.0381944444444441E-2</v>
      </c>
      <c r="D840" s="16" t="s">
        <v>175</v>
      </c>
      <c r="E840" s="14" t="s">
        <v>65</v>
      </c>
      <c r="F840" s="16" t="s">
        <v>8011</v>
      </c>
      <c r="G840" s="16" t="s">
        <v>1090</v>
      </c>
      <c r="H840" s="14">
        <v>-1.4E-2</v>
      </c>
      <c r="I840" s="14" t="s">
        <v>10662</v>
      </c>
      <c r="J840" s="14" t="s">
        <v>10663</v>
      </c>
      <c r="K840" s="14" t="s">
        <v>10664</v>
      </c>
      <c r="L840" s="14" t="s">
        <v>10665</v>
      </c>
      <c r="O840" s="14" t="s">
        <v>10658</v>
      </c>
      <c r="P840" s="14" t="s">
        <v>10659</v>
      </c>
      <c r="Q840" s="14">
        <v>420480.05</v>
      </c>
      <c r="R840" s="14">
        <v>6192320.8200000003</v>
      </c>
      <c r="S840" s="14" t="s">
        <v>10660</v>
      </c>
      <c r="T840" s="14" t="s">
        <v>10661</v>
      </c>
      <c r="U840" s="14">
        <v>420503.03</v>
      </c>
      <c r="V840" s="14">
        <v>6192309.2699999996</v>
      </c>
      <c r="W840" s="14">
        <v>181.01</v>
      </c>
      <c r="X840" s="14">
        <v>150.05000000000001</v>
      </c>
    </row>
    <row r="841" spans="1:24" s="14" customFormat="1" x14ac:dyDescent="0.25">
      <c r="A841" s="50">
        <v>45099</v>
      </c>
      <c r="B841" s="16">
        <v>173</v>
      </c>
      <c r="C841" s="36">
        <v>7.4745370370370365E-2</v>
      </c>
      <c r="D841" s="16" t="s">
        <v>175</v>
      </c>
      <c r="E841" s="14" t="s">
        <v>70</v>
      </c>
      <c r="F841" s="16" t="s">
        <v>8011</v>
      </c>
      <c r="G841" s="16" t="s">
        <v>1090</v>
      </c>
      <c r="H841" s="14">
        <v>0.17299999999999999</v>
      </c>
      <c r="I841" s="14" t="s">
        <v>10662</v>
      </c>
      <c r="J841" s="14" t="s">
        <v>10663</v>
      </c>
      <c r="K841" s="14" t="s">
        <v>10664</v>
      </c>
      <c r="L841" s="14" t="s">
        <v>10665</v>
      </c>
      <c r="O841" s="14" t="s">
        <v>10666</v>
      </c>
      <c r="P841" s="14" t="s">
        <v>10667</v>
      </c>
      <c r="Q841" s="14">
        <v>420479.48</v>
      </c>
      <c r="R841" s="14">
        <v>6192128.8200000003</v>
      </c>
      <c r="S841" s="14" t="s">
        <v>10668</v>
      </c>
      <c r="T841" s="14" t="s">
        <v>10669</v>
      </c>
      <c r="U841" s="14">
        <v>420502.9</v>
      </c>
      <c r="V841" s="14">
        <v>6192122.3099999996</v>
      </c>
      <c r="W841" s="14">
        <v>180.18</v>
      </c>
      <c r="X841" s="14">
        <v>150.05000000000001</v>
      </c>
    </row>
    <row r="842" spans="1:24" s="14" customFormat="1" x14ac:dyDescent="0.25">
      <c r="A842" s="50">
        <v>45099</v>
      </c>
      <c r="B842" s="16">
        <v>173</v>
      </c>
      <c r="C842" s="36">
        <v>8.009259259259259E-2</v>
      </c>
      <c r="D842" s="16" t="s">
        <v>175</v>
      </c>
      <c r="E842" s="14" t="s">
        <v>65</v>
      </c>
      <c r="F842" s="16" t="s">
        <v>8011</v>
      </c>
      <c r="G842" s="16" t="s">
        <v>1089</v>
      </c>
      <c r="H842" s="14">
        <v>0.16800000000000001</v>
      </c>
      <c r="I842" s="14" t="s">
        <v>10674</v>
      </c>
      <c r="J842" s="14" t="s">
        <v>10675</v>
      </c>
      <c r="K842" s="14" t="s">
        <v>10676</v>
      </c>
      <c r="L842" s="14" t="s">
        <v>10677</v>
      </c>
      <c r="O842" s="14" t="s">
        <v>10670</v>
      </c>
      <c r="P842" s="14" t="s">
        <v>10671</v>
      </c>
      <c r="Q842" s="14">
        <v>420490.34</v>
      </c>
      <c r="R842" s="14">
        <v>6192126.8399999999</v>
      </c>
      <c r="S842" s="14" t="s">
        <v>10672</v>
      </c>
      <c r="T842" s="14" t="s">
        <v>10673</v>
      </c>
      <c r="U842" s="14">
        <v>420511.99</v>
      </c>
      <c r="V842" s="14">
        <v>6192116.1500000004</v>
      </c>
      <c r="W842" s="14">
        <v>0.64</v>
      </c>
      <c r="X842" s="14">
        <v>150.05000000000001</v>
      </c>
    </row>
    <row r="843" spans="1:24" s="14" customFormat="1" x14ac:dyDescent="0.25">
      <c r="A843" s="50">
        <v>45099</v>
      </c>
      <c r="B843" s="16">
        <v>173</v>
      </c>
      <c r="C843" s="36">
        <v>8.4317129629629631E-2</v>
      </c>
      <c r="D843" s="16" t="s">
        <v>175</v>
      </c>
      <c r="E843" s="14" t="s">
        <v>70</v>
      </c>
      <c r="F843" s="16" t="s">
        <v>8011</v>
      </c>
      <c r="G843" s="16" t="s">
        <v>1089</v>
      </c>
      <c r="H843" s="14">
        <v>-1.9E-2</v>
      </c>
      <c r="I843" s="14" t="s">
        <v>10674</v>
      </c>
      <c r="J843" s="14" t="s">
        <v>10675</v>
      </c>
      <c r="K843" s="14" t="s">
        <v>10676</v>
      </c>
      <c r="L843" s="14" t="s">
        <v>10677</v>
      </c>
      <c r="O843" s="14" t="s">
        <v>10678</v>
      </c>
      <c r="P843" s="14" t="s">
        <v>10679</v>
      </c>
      <c r="Q843" s="14">
        <v>420491.08</v>
      </c>
      <c r="R843" s="14">
        <v>6192314.4400000004</v>
      </c>
      <c r="S843" s="14" t="s">
        <v>10680</v>
      </c>
      <c r="T843" s="14" t="s">
        <v>10681</v>
      </c>
      <c r="U843" s="14">
        <v>420512.05</v>
      </c>
      <c r="V843" s="14">
        <v>6192303.3300000001</v>
      </c>
      <c r="W843" s="14">
        <v>359.53</v>
      </c>
      <c r="X843" s="14">
        <v>150.05000000000001</v>
      </c>
    </row>
    <row r="844" spans="1:24" s="14" customFormat="1" x14ac:dyDescent="0.25">
      <c r="A844" s="50">
        <v>45099</v>
      </c>
      <c r="B844" s="16">
        <v>173</v>
      </c>
      <c r="C844" s="36">
        <v>8.8576388888888899E-2</v>
      </c>
      <c r="D844" s="16" t="s">
        <v>175</v>
      </c>
      <c r="E844" s="14" t="s">
        <v>65</v>
      </c>
      <c r="F844" s="16" t="s">
        <v>8011</v>
      </c>
      <c r="G844" s="16" t="s">
        <v>1088</v>
      </c>
      <c r="H844" s="14">
        <v>-1.2999999999999999E-2</v>
      </c>
      <c r="I844" s="14" t="s">
        <v>10685</v>
      </c>
      <c r="J844" s="14" t="s">
        <v>10686</v>
      </c>
      <c r="K844" s="14" t="s">
        <v>10687</v>
      </c>
      <c r="L844" s="14" t="s">
        <v>10677</v>
      </c>
      <c r="O844" s="14" t="s">
        <v>10682</v>
      </c>
      <c r="P844" s="14" t="s">
        <v>10683</v>
      </c>
      <c r="Q844" s="14">
        <v>420500.8</v>
      </c>
      <c r="R844" s="14">
        <v>6192321.9100000001</v>
      </c>
      <c r="S844" s="14" t="s">
        <v>10660</v>
      </c>
      <c r="T844" s="14" t="s">
        <v>10684</v>
      </c>
      <c r="U844" s="14">
        <v>420520.93</v>
      </c>
      <c r="V844" s="14">
        <v>6192308.9400000004</v>
      </c>
      <c r="W844" s="14">
        <v>180.64</v>
      </c>
      <c r="X844" s="14">
        <v>150.05000000000001</v>
      </c>
    </row>
    <row r="845" spans="1:24" s="14" customFormat="1" x14ac:dyDescent="0.25">
      <c r="A845" s="50">
        <v>45099</v>
      </c>
      <c r="B845" s="16">
        <v>173</v>
      </c>
      <c r="C845" s="36">
        <v>9.2835648148148153E-2</v>
      </c>
      <c r="D845" s="16" t="s">
        <v>175</v>
      </c>
      <c r="E845" s="14" t="s">
        <v>70</v>
      </c>
      <c r="F845" s="16" t="s">
        <v>8011</v>
      </c>
      <c r="G845" s="16" t="s">
        <v>1088</v>
      </c>
      <c r="H845" s="14">
        <v>0.17399999999999999</v>
      </c>
      <c r="I845" s="14" t="s">
        <v>10685</v>
      </c>
      <c r="J845" s="14" t="s">
        <v>10686</v>
      </c>
      <c r="K845" s="14" t="s">
        <v>10687</v>
      </c>
      <c r="L845" s="14" t="s">
        <v>10692</v>
      </c>
      <c r="O845" s="14" t="s">
        <v>10688</v>
      </c>
      <c r="P845" s="14" t="s">
        <v>10689</v>
      </c>
      <c r="Q845" s="14">
        <v>420499.61</v>
      </c>
      <c r="R845" s="14">
        <v>6192134.0999999996</v>
      </c>
      <c r="S845" s="14" t="s">
        <v>10690</v>
      </c>
      <c r="T845" s="14" t="s">
        <v>10691</v>
      </c>
      <c r="U845" s="14">
        <v>420520.9</v>
      </c>
      <c r="V845" s="14">
        <v>6192122.0899999999</v>
      </c>
      <c r="W845" s="14">
        <v>180.37</v>
      </c>
      <c r="X845" s="14">
        <v>150.05000000000001</v>
      </c>
    </row>
    <row r="846" spans="1:24" s="14" customFormat="1" x14ac:dyDescent="0.25">
      <c r="A846" s="50">
        <v>45099</v>
      </c>
      <c r="B846" s="16">
        <v>173</v>
      </c>
      <c r="C846" s="36">
        <v>9.6712962962962959E-2</v>
      </c>
      <c r="D846" s="16" t="s">
        <v>175</v>
      </c>
      <c r="E846" s="14" t="s">
        <v>65</v>
      </c>
      <c r="F846" s="16" t="s">
        <v>8011</v>
      </c>
      <c r="G846" s="16" t="s">
        <v>1087</v>
      </c>
      <c r="H846" s="14">
        <v>0.17</v>
      </c>
      <c r="I846" s="14" t="s">
        <v>10697</v>
      </c>
      <c r="J846" s="14" t="s">
        <v>10698</v>
      </c>
      <c r="K846" s="14" t="s">
        <v>10699</v>
      </c>
      <c r="L846" s="14" t="s">
        <v>10692</v>
      </c>
      <c r="O846" s="14" t="s">
        <v>10693</v>
      </c>
      <c r="P846" s="14" t="s">
        <v>10694</v>
      </c>
      <c r="Q846" s="14">
        <v>420507.81</v>
      </c>
      <c r="R846" s="14">
        <v>6192123.7400000002</v>
      </c>
      <c r="S846" s="14" t="s">
        <v>10695</v>
      </c>
      <c r="T846" s="14" t="s">
        <v>10696</v>
      </c>
      <c r="U846" s="14">
        <v>420529.9</v>
      </c>
      <c r="V846" s="14">
        <v>6192114.8899999997</v>
      </c>
      <c r="W846" s="14">
        <v>1.05</v>
      </c>
      <c r="X846" s="14">
        <v>150.05000000000001</v>
      </c>
    </row>
    <row r="847" spans="1:24" s="14" customFormat="1" x14ac:dyDescent="0.25">
      <c r="A847" s="50">
        <v>45099</v>
      </c>
      <c r="B847" s="16">
        <v>173</v>
      </c>
      <c r="C847" s="36">
        <v>0.10100694444444445</v>
      </c>
      <c r="D847" s="16" t="s">
        <v>175</v>
      </c>
      <c r="E847" s="14" t="s">
        <v>70</v>
      </c>
      <c r="F847" s="16" t="s">
        <v>8011</v>
      </c>
      <c r="G847" s="16" t="s">
        <v>1087</v>
      </c>
      <c r="H847" s="14">
        <v>-1.7999999999999999E-2</v>
      </c>
      <c r="I847" s="14" t="s">
        <v>10697</v>
      </c>
      <c r="J847" s="14" t="s">
        <v>10698</v>
      </c>
      <c r="K847" s="14" t="s">
        <v>10699</v>
      </c>
      <c r="L847" s="14" t="s">
        <v>10704</v>
      </c>
      <c r="O847" s="14" t="s">
        <v>10700</v>
      </c>
      <c r="P847" s="14" t="s">
        <v>10701</v>
      </c>
      <c r="Q847" s="14">
        <v>420509</v>
      </c>
      <c r="R847" s="14">
        <v>6192311.6399999997</v>
      </c>
      <c r="S847" s="14" t="s">
        <v>10702</v>
      </c>
      <c r="T847" s="14" t="s">
        <v>10703</v>
      </c>
      <c r="U847" s="14">
        <v>420529.95</v>
      </c>
      <c r="V847" s="14">
        <v>6192302.7800000003</v>
      </c>
      <c r="W847" s="14">
        <v>359.92</v>
      </c>
      <c r="X847" s="14">
        <v>150.05000000000001</v>
      </c>
    </row>
    <row r="848" spans="1:24" s="14" customFormat="1" x14ac:dyDescent="0.25">
      <c r="A848" s="50">
        <v>45099</v>
      </c>
      <c r="B848" s="16">
        <v>173</v>
      </c>
      <c r="C848" s="36">
        <v>0.10515046296296297</v>
      </c>
      <c r="D848" s="16" t="s">
        <v>175</v>
      </c>
      <c r="E848" s="14" t="s">
        <v>65</v>
      </c>
      <c r="F848" s="16" t="s">
        <v>8011</v>
      </c>
      <c r="G848" s="16" t="s">
        <v>1086</v>
      </c>
      <c r="H848" s="14">
        <v>-1.4E-2</v>
      </c>
      <c r="I848" s="14" t="s">
        <v>10709</v>
      </c>
      <c r="J848" s="14" t="s">
        <v>10710</v>
      </c>
      <c r="K848" s="14" t="s">
        <v>10711</v>
      </c>
      <c r="L848" s="14" t="s">
        <v>10704</v>
      </c>
      <c r="O848" s="14" t="s">
        <v>10705</v>
      </c>
      <c r="P848" s="14" t="s">
        <v>10706</v>
      </c>
      <c r="Q848" s="14">
        <v>420517.72</v>
      </c>
      <c r="R848" s="14">
        <v>6192319.8099999996</v>
      </c>
      <c r="S848" s="14" t="s">
        <v>10707</v>
      </c>
      <c r="T848" s="14" t="s">
        <v>10708</v>
      </c>
      <c r="U848" s="14">
        <v>420538.98</v>
      </c>
      <c r="V848" s="14">
        <v>6192309.6399999997</v>
      </c>
      <c r="W848" s="14">
        <v>180.6</v>
      </c>
      <c r="X848" s="14">
        <v>150.05000000000001</v>
      </c>
    </row>
    <row r="849" spans="1:24" s="14" customFormat="1" x14ac:dyDescent="0.25">
      <c r="A849" s="50">
        <v>45099</v>
      </c>
      <c r="B849" s="16">
        <v>173</v>
      </c>
      <c r="C849" s="36">
        <v>0.10946759259259259</v>
      </c>
      <c r="D849" s="16" t="s">
        <v>175</v>
      </c>
      <c r="E849" s="14" t="s">
        <v>70</v>
      </c>
      <c r="F849" s="16" t="s">
        <v>8011</v>
      </c>
      <c r="G849" s="16" t="s">
        <v>1086</v>
      </c>
      <c r="H849" s="14">
        <v>0.17499999999999999</v>
      </c>
      <c r="I849" s="14" t="s">
        <v>10709</v>
      </c>
      <c r="J849" s="14" t="s">
        <v>10710</v>
      </c>
      <c r="K849" s="14" t="s">
        <v>10711</v>
      </c>
      <c r="L849" s="14" t="s">
        <v>10704</v>
      </c>
      <c r="O849" s="14" t="s">
        <v>10712</v>
      </c>
      <c r="P849" s="14" t="s">
        <v>10713</v>
      </c>
      <c r="Q849" s="14">
        <v>420518.13</v>
      </c>
      <c r="R849" s="14">
        <v>6192128.7699999996</v>
      </c>
      <c r="S849" s="14" t="s">
        <v>10714</v>
      </c>
      <c r="T849" s="14" t="s">
        <v>10715</v>
      </c>
      <c r="U849" s="14">
        <v>420538.98</v>
      </c>
      <c r="V849" s="14">
        <v>6192120.7599999998</v>
      </c>
      <c r="W849" s="14">
        <v>180.19</v>
      </c>
      <c r="X849" s="14">
        <v>150.05000000000001</v>
      </c>
    </row>
    <row r="850" spans="1:24" s="14" customFormat="1" x14ac:dyDescent="0.25">
      <c r="A850" s="50">
        <v>45099</v>
      </c>
      <c r="B850" s="16">
        <v>173</v>
      </c>
      <c r="C850" s="36">
        <v>0.11280092592592593</v>
      </c>
      <c r="D850" s="16" t="s">
        <v>175</v>
      </c>
      <c r="E850" s="14" t="s">
        <v>65</v>
      </c>
      <c r="F850" s="16" t="s">
        <v>8011</v>
      </c>
      <c r="G850" s="16" t="s">
        <v>1085</v>
      </c>
      <c r="H850" s="14">
        <v>0.17</v>
      </c>
      <c r="I850" s="14" t="s">
        <v>10720</v>
      </c>
      <c r="J850" s="14" t="s">
        <v>10721</v>
      </c>
      <c r="K850" s="14" t="s">
        <v>10722</v>
      </c>
      <c r="L850" s="14" t="s">
        <v>10723</v>
      </c>
      <c r="O850" s="14" t="s">
        <v>10716</v>
      </c>
      <c r="P850" s="14" t="s">
        <v>10717</v>
      </c>
      <c r="Q850" s="14">
        <v>420526.04</v>
      </c>
      <c r="R850" s="14">
        <v>6192120.2300000004</v>
      </c>
      <c r="S850" s="14" t="s">
        <v>10718</v>
      </c>
      <c r="T850" s="14" t="s">
        <v>10719</v>
      </c>
      <c r="U850" s="14">
        <v>420547.89</v>
      </c>
      <c r="V850" s="14">
        <v>6192114.1799999997</v>
      </c>
      <c r="W850" s="14">
        <v>1.1499999999999999</v>
      </c>
      <c r="X850" s="14">
        <v>150.05000000000001</v>
      </c>
    </row>
    <row r="851" spans="1:24" s="14" customFormat="1" x14ac:dyDescent="0.25">
      <c r="A851" s="50">
        <v>45099</v>
      </c>
      <c r="B851" s="16">
        <v>173</v>
      </c>
      <c r="C851" s="36">
        <v>0.11716435185185185</v>
      </c>
      <c r="D851" s="16" t="s">
        <v>175</v>
      </c>
      <c r="E851" s="14" t="s">
        <v>70</v>
      </c>
      <c r="F851" s="16" t="s">
        <v>8011</v>
      </c>
      <c r="G851" s="16" t="s">
        <v>1085</v>
      </c>
      <c r="H851" s="14">
        <v>-1.9E-2</v>
      </c>
      <c r="I851" s="14" t="s">
        <v>10720</v>
      </c>
      <c r="J851" s="14" t="s">
        <v>10721</v>
      </c>
      <c r="K851" s="14" t="s">
        <v>10722</v>
      </c>
      <c r="L851" s="14" t="s">
        <v>10723</v>
      </c>
      <c r="O851" s="14" t="s">
        <v>10724</v>
      </c>
      <c r="P851" s="14" t="s">
        <v>10725</v>
      </c>
      <c r="Q851" s="14">
        <v>420527.34</v>
      </c>
      <c r="R851" s="14">
        <v>6192310.96</v>
      </c>
      <c r="S851" s="14" t="s">
        <v>10726</v>
      </c>
      <c r="T851" s="14" t="s">
        <v>10727</v>
      </c>
      <c r="U851" s="14">
        <v>420547.98</v>
      </c>
      <c r="V851" s="14">
        <v>6192303.1900000004</v>
      </c>
      <c r="W851" s="14">
        <v>359.99</v>
      </c>
      <c r="X851" s="14">
        <v>150.05000000000001</v>
      </c>
    </row>
    <row r="852" spans="1:24" s="90" customFormat="1" x14ac:dyDescent="0.25">
      <c r="A852" s="93">
        <v>45099</v>
      </c>
      <c r="B852" s="95">
        <v>173</v>
      </c>
      <c r="C852" s="83">
        <v>0.12164351851851851</v>
      </c>
      <c r="D852" s="95" t="s">
        <v>175</v>
      </c>
      <c r="E852" s="90" t="s">
        <v>7456</v>
      </c>
      <c r="F852" s="95" t="s">
        <v>8011</v>
      </c>
      <c r="G852" s="95" t="s">
        <v>1091</v>
      </c>
      <c r="H852" s="90">
        <v>-1.4E-2</v>
      </c>
      <c r="I852" s="90" t="s">
        <v>10732</v>
      </c>
      <c r="J852" s="90" t="s">
        <v>10733</v>
      </c>
      <c r="K852" s="90" t="s">
        <v>10734</v>
      </c>
      <c r="L852" s="90" t="s">
        <v>10735</v>
      </c>
      <c r="O852" s="90" t="s">
        <v>10728</v>
      </c>
      <c r="P852" s="90" t="s">
        <v>10729</v>
      </c>
      <c r="Q852" s="90">
        <v>420536.58</v>
      </c>
      <c r="R852" s="90">
        <v>6192305.25</v>
      </c>
      <c r="S852" s="90" t="s">
        <v>10730</v>
      </c>
      <c r="T852" s="90" t="s">
        <v>10731</v>
      </c>
      <c r="U852" s="90">
        <v>420556.95</v>
      </c>
      <c r="V852" s="90">
        <v>6192309.8700000001</v>
      </c>
      <c r="W852" s="90">
        <v>179.47</v>
      </c>
      <c r="X852" s="90">
        <v>150.05000000000001</v>
      </c>
    </row>
    <row r="853" spans="1:24" s="90" customFormat="1" x14ac:dyDescent="0.25">
      <c r="A853" s="93">
        <v>45099</v>
      </c>
      <c r="B853" s="95">
        <v>173</v>
      </c>
      <c r="C853" s="83">
        <v>0.12203703703703704</v>
      </c>
      <c r="D853" s="95" t="s">
        <v>175</v>
      </c>
      <c r="E853" s="90" t="s">
        <v>7457</v>
      </c>
      <c r="F853" s="95" t="s">
        <v>8011</v>
      </c>
      <c r="G853" s="95" t="s">
        <v>1091</v>
      </c>
      <c r="H853" s="90">
        <v>-4.0000000000000001E-3</v>
      </c>
      <c r="I853" s="90" t="s">
        <v>10732</v>
      </c>
      <c r="J853" s="90" t="s">
        <v>10733</v>
      </c>
      <c r="K853" s="90" t="s">
        <v>10734</v>
      </c>
      <c r="L853" s="90" t="s">
        <v>10735</v>
      </c>
      <c r="O853" s="90" t="s">
        <v>10736</v>
      </c>
      <c r="P853" s="90" t="s">
        <v>10737</v>
      </c>
      <c r="Q853" s="90">
        <v>420536.88</v>
      </c>
      <c r="R853" s="90">
        <v>6192288.8099999996</v>
      </c>
      <c r="S853" s="90" t="s">
        <v>10738</v>
      </c>
      <c r="T853" s="90" t="s">
        <v>10739</v>
      </c>
      <c r="U853" s="90">
        <v>420556.49</v>
      </c>
      <c r="V853" s="90">
        <v>6192298.7199999997</v>
      </c>
      <c r="W853" s="90">
        <v>178.21</v>
      </c>
      <c r="X853" s="90">
        <v>150.05000000000001</v>
      </c>
    </row>
    <row r="854" spans="1:24" s="14" customFormat="1" x14ac:dyDescent="0.25">
      <c r="A854" s="50">
        <v>45099</v>
      </c>
      <c r="B854" s="16">
        <v>173</v>
      </c>
      <c r="C854" s="36">
        <v>0.12252314814814814</v>
      </c>
      <c r="D854" s="16" t="s">
        <v>175</v>
      </c>
      <c r="E854" s="14" t="s">
        <v>10744</v>
      </c>
      <c r="F854" s="16" t="s">
        <v>8011</v>
      </c>
      <c r="G854" s="16" t="s">
        <v>1091</v>
      </c>
      <c r="H854" s="14">
        <v>5.0000000000000001E-3</v>
      </c>
      <c r="O854" s="14" t="s">
        <v>10740</v>
      </c>
      <c r="P854" s="14" t="s">
        <v>10741</v>
      </c>
      <c r="Q854" s="14">
        <v>420537.13</v>
      </c>
      <c r="R854" s="14">
        <v>6192292.25</v>
      </c>
      <c r="S854" s="14" t="s">
        <v>10742</v>
      </c>
      <c r="T854" s="14" t="s">
        <v>10743</v>
      </c>
      <c r="U854" s="14">
        <v>420556.19</v>
      </c>
      <c r="V854" s="14">
        <v>6192289.6900000004</v>
      </c>
      <c r="W854" s="14">
        <v>150.13</v>
      </c>
      <c r="X854" s="14">
        <v>150.05000000000001</v>
      </c>
    </row>
    <row r="855" spans="1:24" s="14" customFormat="1" x14ac:dyDescent="0.25">
      <c r="A855" s="50">
        <v>45099</v>
      </c>
      <c r="B855" s="16">
        <v>173</v>
      </c>
      <c r="C855" s="36">
        <v>0.12876157407407407</v>
      </c>
      <c r="D855" s="16" t="s">
        <v>175</v>
      </c>
      <c r="E855" s="14" t="s">
        <v>65</v>
      </c>
      <c r="F855" s="16" t="s">
        <v>8011</v>
      </c>
      <c r="G855" s="16" t="s">
        <v>1091</v>
      </c>
      <c r="H855" s="14">
        <v>-1.6E-2</v>
      </c>
      <c r="I855" s="14" t="s">
        <v>10749</v>
      </c>
      <c r="J855" s="14" t="s">
        <v>10750</v>
      </c>
      <c r="K855" s="14" t="s">
        <v>10751</v>
      </c>
      <c r="L855" s="14" t="s">
        <v>10735</v>
      </c>
      <c r="O855" s="14" t="s">
        <v>10745</v>
      </c>
      <c r="P855" s="14" t="s">
        <v>10746</v>
      </c>
      <c r="Q855" s="14">
        <v>420535.25</v>
      </c>
      <c r="R855" s="14">
        <v>6192322.1200000001</v>
      </c>
      <c r="S855" s="14" t="s">
        <v>10747</v>
      </c>
      <c r="T855" s="14" t="s">
        <v>10748</v>
      </c>
      <c r="U855" s="14">
        <v>420556.98</v>
      </c>
      <c r="V855" s="14">
        <v>6192311.1100000003</v>
      </c>
      <c r="W855" s="14">
        <v>179.73</v>
      </c>
      <c r="X855" s="14">
        <v>150.05000000000001</v>
      </c>
    </row>
    <row r="856" spans="1:24" s="14" customFormat="1" x14ac:dyDescent="0.25">
      <c r="A856" s="50">
        <v>45099</v>
      </c>
      <c r="B856" s="16">
        <v>173</v>
      </c>
      <c r="C856" s="36">
        <v>0.13318287037037038</v>
      </c>
      <c r="D856" s="16" t="s">
        <v>175</v>
      </c>
      <c r="E856" s="14" t="s">
        <v>70</v>
      </c>
      <c r="F856" s="16" t="s">
        <v>8011</v>
      </c>
      <c r="G856" s="16" t="s">
        <v>1091</v>
      </c>
      <c r="H856" s="14">
        <v>0.17599999999999999</v>
      </c>
      <c r="I856" s="14" t="s">
        <v>10749</v>
      </c>
      <c r="J856" s="14" t="s">
        <v>10750</v>
      </c>
      <c r="K856" s="14" t="s">
        <v>10751</v>
      </c>
      <c r="L856" s="14" t="s">
        <v>10756</v>
      </c>
      <c r="O856" s="14" t="s">
        <v>10752</v>
      </c>
      <c r="P856" s="14" t="s">
        <v>10753</v>
      </c>
      <c r="Q856" s="14">
        <v>420532.96</v>
      </c>
      <c r="R856" s="14">
        <v>6192126.71</v>
      </c>
      <c r="S856" s="14" t="s">
        <v>10754</v>
      </c>
      <c r="T856" s="14" t="s">
        <v>10755</v>
      </c>
      <c r="U856" s="14">
        <v>420557.04</v>
      </c>
      <c r="V856" s="14">
        <v>6192119.7699999996</v>
      </c>
      <c r="W856" s="14">
        <v>180.23</v>
      </c>
      <c r="X856" s="14">
        <v>150.05000000000001</v>
      </c>
    </row>
    <row r="857" spans="1:24" s="14" customFormat="1" x14ac:dyDescent="0.25">
      <c r="A857" s="50">
        <v>45099</v>
      </c>
      <c r="B857" s="16">
        <v>173</v>
      </c>
      <c r="C857" s="36">
        <v>0.13707175925925927</v>
      </c>
      <c r="D857" s="16" t="s">
        <v>175</v>
      </c>
      <c r="E857" s="14" t="s">
        <v>65</v>
      </c>
      <c r="F857" s="16" t="s">
        <v>8011</v>
      </c>
      <c r="G857" s="16" t="s">
        <v>1092</v>
      </c>
      <c r="H857" s="14">
        <v>0.16700000000000001</v>
      </c>
      <c r="I857" s="14" t="s">
        <v>10761</v>
      </c>
      <c r="J857" s="14" t="s">
        <v>10762</v>
      </c>
      <c r="K857" s="14" t="s">
        <v>10763</v>
      </c>
      <c r="L857" s="14" t="s">
        <v>10756</v>
      </c>
      <c r="O857" s="14" t="s">
        <v>10757</v>
      </c>
      <c r="P857" s="14" t="s">
        <v>10758</v>
      </c>
      <c r="Q857" s="14">
        <v>420542.33</v>
      </c>
      <c r="R857" s="14">
        <v>6192127.79</v>
      </c>
      <c r="S857" s="14" t="s">
        <v>10759</v>
      </c>
      <c r="T857" s="14" t="s">
        <v>10760</v>
      </c>
      <c r="U857" s="14">
        <v>420565.87</v>
      </c>
      <c r="V857" s="14">
        <v>6192117.1200000001</v>
      </c>
      <c r="W857" s="14">
        <v>0.34</v>
      </c>
      <c r="X857" s="14">
        <v>150.05000000000001</v>
      </c>
    </row>
    <row r="858" spans="1:24" s="14" customFormat="1" x14ac:dyDescent="0.25">
      <c r="A858" s="50">
        <v>45099</v>
      </c>
      <c r="B858" s="16">
        <v>173</v>
      </c>
      <c r="C858" s="36">
        <v>0.14130787037037038</v>
      </c>
      <c r="D858" s="16" t="s">
        <v>175</v>
      </c>
      <c r="E858" s="14" t="s">
        <v>70</v>
      </c>
      <c r="F858" s="16" t="s">
        <v>8011</v>
      </c>
      <c r="G858" s="16" t="s">
        <v>1092</v>
      </c>
      <c r="H858" s="14">
        <v>-1.9E-2</v>
      </c>
      <c r="I858" s="14" t="s">
        <v>10761</v>
      </c>
      <c r="J858" s="14" t="s">
        <v>10762</v>
      </c>
      <c r="K858" s="14" t="s">
        <v>10763</v>
      </c>
      <c r="L858" s="14" t="s">
        <v>10756</v>
      </c>
      <c r="O858" s="14" t="s">
        <v>10764</v>
      </c>
      <c r="P858" s="14" t="s">
        <v>10765</v>
      </c>
      <c r="Q858" s="14">
        <v>420542.5</v>
      </c>
      <c r="R858" s="14">
        <v>6192314.5800000001</v>
      </c>
      <c r="S858" s="14" t="s">
        <v>10766</v>
      </c>
      <c r="T858" s="14" t="s">
        <v>10767</v>
      </c>
      <c r="U858" s="14">
        <v>420565.93</v>
      </c>
      <c r="V858" s="14">
        <v>6192303.3200000003</v>
      </c>
      <c r="W858" s="14">
        <v>359.88</v>
      </c>
      <c r="X858" s="14">
        <v>150.05000000000001</v>
      </c>
    </row>
    <row r="859" spans="1:24" s="14" customFormat="1" x14ac:dyDescent="0.25">
      <c r="A859" s="50">
        <v>45099</v>
      </c>
      <c r="B859" s="16">
        <v>173</v>
      </c>
      <c r="C859" s="36">
        <v>0.1446875</v>
      </c>
      <c r="D859" s="16" t="s">
        <v>175</v>
      </c>
      <c r="E859" s="14" t="s">
        <v>65</v>
      </c>
      <c r="F859" s="16" t="s">
        <v>8011</v>
      </c>
      <c r="G859" s="16" t="s">
        <v>1093</v>
      </c>
      <c r="H859" s="14">
        <v>-1.4999999999999999E-2</v>
      </c>
      <c r="I859" s="14" t="s">
        <v>10772</v>
      </c>
      <c r="J859" s="14" t="s">
        <v>10773</v>
      </c>
      <c r="K859" s="14" t="s">
        <v>10774</v>
      </c>
      <c r="L859" s="14" t="s">
        <v>10775</v>
      </c>
      <c r="O859" s="14" t="s">
        <v>10768</v>
      </c>
      <c r="P859" s="14" t="s">
        <v>10769</v>
      </c>
      <c r="Q859" s="14">
        <v>420551.6</v>
      </c>
      <c r="R859" s="14">
        <v>6192318.4900000002</v>
      </c>
      <c r="S859" s="14" t="s">
        <v>10770</v>
      </c>
      <c r="T859" s="14" t="s">
        <v>10771</v>
      </c>
      <c r="U859" s="14">
        <v>420574.96</v>
      </c>
      <c r="V859" s="14">
        <v>6192310.9199999999</v>
      </c>
      <c r="W859" s="14">
        <v>180.58</v>
      </c>
      <c r="X859" s="14">
        <v>150.05000000000001</v>
      </c>
    </row>
    <row r="860" spans="1:24" s="14" customFormat="1" x14ac:dyDescent="0.25">
      <c r="A860" s="50">
        <v>45099</v>
      </c>
      <c r="B860" s="16">
        <v>173</v>
      </c>
      <c r="C860" s="36">
        <v>0.14895833333333333</v>
      </c>
      <c r="D860" s="16" t="s">
        <v>175</v>
      </c>
      <c r="E860" s="14" t="s">
        <v>70</v>
      </c>
      <c r="F860" s="16" t="s">
        <v>8011</v>
      </c>
      <c r="G860" s="16" t="s">
        <v>1093</v>
      </c>
      <c r="H860" s="14">
        <v>0.17199999999999999</v>
      </c>
      <c r="I860" s="14" t="s">
        <v>10772</v>
      </c>
      <c r="J860" s="14" t="s">
        <v>10773</v>
      </c>
      <c r="K860" s="14" t="s">
        <v>10774</v>
      </c>
      <c r="L860" s="14" t="s">
        <v>10775</v>
      </c>
      <c r="O860" s="14" t="s">
        <v>10776</v>
      </c>
      <c r="P860" s="14" t="s">
        <v>10777</v>
      </c>
      <c r="Q860" s="14">
        <v>420551.17</v>
      </c>
      <c r="R860" s="14">
        <v>6192129.2300000004</v>
      </c>
      <c r="S860" s="14" t="s">
        <v>10778</v>
      </c>
      <c r="T860" s="14" t="s">
        <v>10779</v>
      </c>
      <c r="U860" s="14">
        <v>420574.93</v>
      </c>
      <c r="V860" s="14">
        <v>6192123.21</v>
      </c>
      <c r="W860" s="14">
        <v>180.08</v>
      </c>
      <c r="X860" s="14">
        <v>150.05000000000001</v>
      </c>
    </row>
    <row r="861" spans="1:24" s="14" customFormat="1" x14ac:dyDescent="0.25">
      <c r="A861" s="50">
        <v>45099</v>
      </c>
      <c r="B861" s="16">
        <v>173</v>
      </c>
      <c r="C861" s="36">
        <v>0.15258101851851852</v>
      </c>
      <c r="D861" s="16" t="s">
        <v>175</v>
      </c>
      <c r="E861" s="14" t="s">
        <v>65</v>
      </c>
      <c r="F861" s="16" t="s">
        <v>8011</v>
      </c>
      <c r="G861" s="16" t="s">
        <v>1094</v>
      </c>
      <c r="H861" s="14">
        <v>0.16500000000000001</v>
      </c>
      <c r="I861" s="14" t="s">
        <v>10784</v>
      </c>
      <c r="J861" s="14" t="s">
        <v>10785</v>
      </c>
      <c r="K861" s="14" t="s">
        <v>10786</v>
      </c>
      <c r="L861" s="14" t="s">
        <v>10787</v>
      </c>
      <c r="O861" s="14" t="s">
        <v>10780</v>
      </c>
      <c r="P861" s="14" t="s">
        <v>10781</v>
      </c>
      <c r="Q861" s="14">
        <v>420559.67</v>
      </c>
      <c r="R861" s="14">
        <v>6192132.0800000001</v>
      </c>
      <c r="S861" s="14" t="s">
        <v>10782</v>
      </c>
      <c r="T861" s="14" t="s">
        <v>10783</v>
      </c>
      <c r="U861" s="14">
        <v>420583.85</v>
      </c>
      <c r="V861" s="14">
        <v>6192119.29</v>
      </c>
      <c r="W861" s="14">
        <v>0.93</v>
      </c>
      <c r="X861" s="14">
        <v>150.05000000000001</v>
      </c>
    </row>
    <row r="862" spans="1:24" s="14" customFormat="1" x14ac:dyDescent="0.25">
      <c r="A862" s="50">
        <v>45099</v>
      </c>
      <c r="B862" s="16">
        <v>173</v>
      </c>
      <c r="C862" s="36">
        <v>0.15678240740740743</v>
      </c>
      <c r="D862" s="16" t="s">
        <v>175</v>
      </c>
      <c r="E862" s="14" t="s">
        <v>70</v>
      </c>
      <c r="F862" s="16" t="s">
        <v>8011</v>
      </c>
      <c r="G862" s="16" t="s">
        <v>1094</v>
      </c>
      <c r="H862" s="14">
        <v>-0.02</v>
      </c>
      <c r="I862" s="14" t="s">
        <v>10784</v>
      </c>
      <c r="J862" s="14" t="s">
        <v>10785</v>
      </c>
      <c r="K862" s="14" t="s">
        <v>10786</v>
      </c>
      <c r="L862" s="14" t="s">
        <v>10787</v>
      </c>
      <c r="O862" s="14" t="s">
        <v>10788</v>
      </c>
      <c r="P862" s="14" t="s">
        <v>10789</v>
      </c>
      <c r="Q862" s="14">
        <v>420560.27</v>
      </c>
      <c r="R862" s="14">
        <v>6192316.7999999998</v>
      </c>
      <c r="S862" s="14" t="s">
        <v>10790</v>
      </c>
      <c r="T862" s="14" t="s">
        <v>10791</v>
      </c>
      <c r="U862" s="14">
        <v>420584.01</v>
      </c>
      <c r="V862" s="14">
        <v>6192304.5099999998</v>
      </c>
      <c r="W862" s="14">
        <v>359.63</v>
      </c>
      <c r="X862" s="14">
        <v>150.05000000000001</v>
      </c>
    </row>
    <row r="863" spans="1:24" s="14" customFormat="1" x14ac:dyDescent="0.25">
      <c r="A863" s="50">
        <v>45099</v>
      </c>
      <c r="B863" s="16">
        <v>173</v>
      </c>
      <c r="C863" s="36">
        <v>0.16050925925925927</v>
      </c>
      <c r="D863" s="16" t="s">
        <v>175</v>
      </c>
      <c r="E863" s="14" t="s">
        <v>65</v>
      </c>
      <c r="F863" s="16" t="s">
        <v>8011</v>
      </c>
      <c r="G863" s="16" t="s">
        <v>1095</v>
      </c>
      <c r="H863" s="14">
        <v>-1.4999999999999999E-2</v>
      </c>
      <c r="I863" s="14" t="s">
        <v>10796</v>
      </c>
      <c r="J863" s="14" t="s">
        <v>10797</v>
      </c>
      <c r="K863" s="14" t="s">
        <v>10798</v>
      </c>
      <c r="L863" s="14" t="s">
        <v>10787</v>
      </c>
      <c r="O863" s="14" t="s">
        <v>10792</v>
      </c>
      <c r="P863" s="14" t="s">
        <v>10793</v>
      </c>
      <c r="Q863" s="14">
        <v>420570.32</v>
      </c>
      <c r="R863" s="14">
        <v>6192322.1399999997</v>
      </c>
      <c r="S863" s="14" t="s">
        <v>10794</v>
      </c>
      <c r="T863" s="14" t="s">
        <v>10795</v>
      </c>
      <c r="U863" s="14">
        <v>420592.85</v>
      </c>
      <c r="V863" s="14">
        <v>6192311.0300000003</v>
      </c>
      <c r="W863" s="14">
        <v>180.23</v>
      </c>
      <c r="X863" s="14">
        <v>150.05000000000001</v>
      </c>
    </row>
    <row r="864" spans="1:24" s="14" customFormat="1" x14ac:dyDescent="0.25">
      <c r="A864" s="50">
        <v>45099</v>
      </c>
      <c r="B864" s="16">
        <v>173</v>
      </c>
      <c r="C864" s="36">
        <v>0.16472222222222221</v>
      </c>
      <c r="D864" s="16" t="s">
        <v>175</v>
      </c>
      <c r="E864" s="14" t="s">
        <v>70</v>
      </c>
      <c r="F864" s="16" t="s">
        <v>8011</v>
      </c>
      <c r="G864" s="16" t="s">
        <v>1095</v>
      </c>
      <c r="H864" s="14">
        <v>0.17100000000000001</v>
      </c>
      <c r="I864" s="14" t="s">
        <v>10796</v>
      </c>
      <c r="J864" s="14" t="s">
        <v>10797</v>
      </c>
      <c r="K864" s="14" t="s">
        <v>10798</v>
      </c>
      <c r="L864" s="14" t="s">
        <v>10803</v>
      </c>
      <c r="O864" s="14" t="s">
        <v>10799</v>
      </c>
      <c r="P864" s="14" t="s">
        <v>10800</v>
      </c>
      <c r="Q864" s="14">
        <v>420568.92</v>
      </c>
      <c r="R864" s="14">
        <v>6192135.5</v>
      </c>
      <c r="S864" s="14" t="s">
        <v>10801</v>
      </c>
      <c r="T864" s="14" t="s">
        <v>10802</v>
      </c>
      <c r="U864" s="14">
        <v>420592.95</v>
      </c>
      <c r="V864" s="14">
        <v>6192125.0300000003</v>
      </c>
      <c r="W864" s="14">
        <v>180.39</v>
      </c>
      <c r="X864" s="14">
        <v>150.05000000000001</v>
      </c>
    </row>
    <row r="865" spans="1:24" s="14" customFormat="1" x14ac:dyDescent="0.25">
      <c r="A865" s="50">
        <v>45099</v>
      </c>
      <c r="B865" s="16">
        <v>173</v>
      </c>
      <c r="C865" s="36">
        <v>0.16853009259259258</v>
      </c>
      <c r="D865" s="16" t="s">
        <v>175</v>
      </c>
      <c r="E865" s="14" t="s">
        <v>65</v>
      </c>
      <c r="F865" s="16" t="s">
        <v>8011</v>
      </c>
      <c r="G865" s="16" t="s">
        <v>1096</v>
      </c>
      <c r="H865" s="14">
        <v>0.16700000000000001</v>
      </c>
      <c r="I865" s="14" t="s">
        <v>10808</v>
      </c>
      <c r="J865" s="14" t="s">
        <v>10809</v>
      </c>
      <c r="K865" s="14" t="s">
        <v>10810</v>
      </c>
      <c r="L865" s="14" t="s">
        <v>10803</v>
      </c>
      <c r="O865" s="14" t="s">
        <v>10804</v>
      </c>
      <c r="P865" s="14" t="s">
        <v>10805</v>
      </c>
      <c r="Q865" s="14">
        <v>420578.22</v>
      </c>
      <c r="R865" s="14">
        <v>6192124.5199999996</v>
      </c>
      <c r="S865" s="14" t="s">
        <v>10806</v>
      </c>
      <c r="T865" s="14" t="s">
        <v>10807</v>
      </c>
      <c r="U865" s="14">
        <v>420601.78</v>
      </c>
      <c r="V865" s="14">
        <v>6192117.6900000004</v>
      </c>
      <c r="W865" s="14">
        <v>2.0699999999999998</v>
      </c>
      <c r="X865" s="14">
        <v>150.05000000000001</v>
      </c>
    </row>
    <row r="866" spans="1:24" s="14" customFormat="1" x14ac:dyDescent="0.25">
      <c r="A866" s="50">
        <v>45099</v>
      </c>
      <c r="B866" s="16">
        <v>173</v>
      </c>
      <c r="C866" s="36">
        <v>0.17270833333333332</v>
      </c>
      <c r="D866" s="16" t="s">
        <v>177</v>
      </c>
      <c r="E866" s="14" t="s">
        <v>70</v>
      </c>
      <c r="F866" s="16" t="s">
        <v>8011</v>
      </c>
      <c r="G866" s="16" t="s">
        <v>1096</v>
      </c>
      <c r="H866" s="14">
        <v>-1.7999999999999999E-2</v>
      </c>
      <c r="I866" s="14" t="s">
        <v>10808</v>
      </c>
      <c r="J866" s="14" t="s">
        <v>10809</v>
      </c>
      <c r="K866" s="14" t="s">
        <v>10810</v>
      </c>
      <c r="L866" s="14" t="s">
        <v>10803</v>
      </c>
      <c r="O866" s="14" t="s">
        <v>10811</v>
      </c>
      <c r="P866" s="14" t="s">
        <v>10812</v>
      </c>
      <c r="Q866" s="14">
        <v>420579.28</v>
      </c>
      <c r="R866" s="14">
        <v>6192307.4000000004</v>
      </c>
      <c r="S866" s="14" t="s">
        <v>10813</v>
      </c>
      <c r="T866" s="14" t="s">
        <v>10814</v>
      </c>
      <c r="U866" s="14">
        <v>420601.85</v>
      </c>
      <c r="V866" s="14">
        <v>6192302.5300000003</v>
      </c>
      <c r="W866" s="14">
        <v>359.99</v>
      </c>
      <c r="X866" s="14">
        <v>150.05000000000001</v>
      </c>
    </row>
    <row r="867" spans="1:24" s="14" customFormat="1" x14ac:dyDescent="0.25">
      <c r="A867" s="50">
        <v>45099</v>
      </c>
      <c r="B867" s="16">
        <v>173</v>
      </c>
      <c r="C867" s="36">
        <v>0.17495370370370369</v>
      </c>
      <c r="D867" s="16" t="s">
        <v>177</v>
      </c>
      <c r="E867" s="14" t="s">
        <v>9148</v>
      </c>
      <c r="F867" s="16" t="s">
        <v>8011</v>
      </c>
      <c r="G867" s="16" t="s">
        <v>1096</v>
      </c>
      <c r="H867" s="14">
        <v>-3.5999999999999997E-2</v>
      </c>
      <c r="O867" s="14" t="s">
        <v>10815</v>
      </c>
      <c r="P867" s="14" t="s">
        <v>10816</v>
      </c>
      <c r="Q867" s="14">
        <v>420579.55</v>
      </c>
      <c r="R867" s="14">
        <v>6192335.8399999999</v>
      </c>
      <c r="S867" s="14" t="s">
        <v>10817</v>
      </c>
      <c r="T867" s="14" t="s">
        <v>10818</v>
      </c>
      <c r="U867" s="14">
        <v>420589.46</v>
      </c>
      <c r="V867" s="14">
        <v>6192328.2599999998</v>
      </c>
      <c r="W867" s="14">
        <v>112.19</v>
      </c>
      <c r="X867" s="14">
        <v>150.05000000000001</v>
      </c>
    </row>
    <row r="868" spans="1:24" s="14" customFormat="1" x14ac:dyDescent="0.25">
      <c r="A868" s="50">
        <v>45099</v>
      </c>
      <c r="B868" s="16">
        <v>173</v>
      </c>
      <c r="C868" s="36">
        <v>0.1771412037037037</v>
      </c>
      <c r="D868" s="16" t="s">
        <v>177</v>
      </c>
      <c r="E868" s="14" t="s">
        <v>10820</v>
      </c>
      <c r="F868" s="16" t="s">
        <v>1098</v>
      </c>
      <c r="G868" s="16" t="s">
        <v>1096</v>
      </c>
      <c r="H868" s="14">
        <v>-3.7999999999999999E-2</v>
      </c>
      <c r="O868" s="14" t="s">
        <v>10821</v>
      </c>
      <c r="P868" s="14" t="s">
        <v>10822</v>
      </c>
      <c r="Q868" s="14">
        <v>420579.7</v>
      </c>
      <c r="R868" s="14">
        <v>6192336.0999999996</v>
      </c>
      <c r="S868" s="14" t="s">
        <v>10823</v>
      </c>
      <c r="T868" s="14" t="s">
        <v>10824</v>
      </c>
      <c r="U868" s="14">
        <v>420589.3</v>
      </c>
      <c r="V868" s="14">
        <v>6192330.0999999996</v>
      </c>
      <c r="W868" s="14">
        <v>111.8</v>
      </c>
      <c r="X868" s="14">
        <v>150.05000000000001</v>
      </c>
    </row>
    <row r="869" spans="1:24" s="14" customFormat="1" x14ac:dyDescent="0.25">
      <c r="A869" s="50">
        <v>45099</v>
      </c>
      <c r="B869" s="16">
        <v>173</v>
      </c>
      <c r="C869" s="36">
        <v>0.18532407407407406</v>
      </c>
      <c r="D869" s="16" t="s">
        <v>177</v>
      </c>
      <c r="E869" s="14" t="s">
        <v>6362</v>
      </c>
      <c r="F869" s="16" t="s">
        <v>1098</v>
      </c>
      <c r="G869" s="16" t="s">
        <v>1295</v>
      </c>
      <c r="H869" s="14">
        <v>-3.6999999999999998E-2</v>
      </c>
      <c r="O869" s="14" t="s">
        <v>10825</v>
      </c>
      <c r="P869" s="14" t="s">
        <v>10826</v>
      </c>
      <c r="Q869" s="14">
        <v>419381.91</v>
      </c>
      <c r="R869" s="14">
        <v>6192095.5700000003</v>
      </c>
      <c r="S869" s="14" t="s">
        <v>10827</v>
      </c>
      <c r="T869" s="14" t="s">
        <v>10828</v>
      </c>
      <c r="U869" s="14">
        <v>419391.18</v>
      </c>
      <c r="V869" s="14">
        <v>6192089.5</v>
      </c>
      <c r="W869" s="14">
        <v>110.23</v>
      </c>
      <c r="X869" s="14">
        <v>200.06</v>
      </c>
    </row>
    <row r="870" spans="1:24" s="14" customFormat="1" x14ac:dyDescent="0.25">
      <c r="A870" s="50">
        <v>45099</v>
      </c>
      <c r="B870" s="16">
        <v>173</v>
      </c>
      <c r="C870" s="36">
        <v>0.18620370370370368</v>
      </c>
      <c r="D870" s="16" t="s">
        <v>177</v>
      </c>
      <c r="E870" s="52" t="s">
        <v>8182</v>
      </c>
      <c r="F870" s="16" t="s">
        <v>1098</v>
      </c>
      <c r="G870" s="16" t="s">
        <v>1295</v>
      </c>
      <c r="H870" s="14">
        <v>-3.5999999999999997E-2</v>
      </c>
      <c r="O870" s="14" t="s">
        <v>10829</v>
      </c>
      <c r="P870" s="14" t="s">
        <v>10830</v>
      </c>
      <c r="Q870" s="14">
        <v>419379.64</v>
      </c>
      <c r="R870" s="14">
        <v>6192093.9400000004</v>
      </c>
      <c r="S870" s="14" t="s">
        <v>10831</v>
      </c>
      <c r="T870" s="14" t="s">
        <v>10832</v>
      </c>
      <c r="U870" s="14">
        <v>419388.85</v>
      </c>
      <c r="V870" s="14">
        <v>6192087.8600000003</v>
      </c>
      <c r="W870" s="14">
        <v>110.45</v>
      </c>
      <c r="X870" s="14">
        <v>200.06</v>
      </c>
    </row>
    <row r="871" spans="1:24" s="68" customFormat="1" x14ac:dyDescent="0.25">
      <c r="A871" s="65">
        <v>45099</v>
      </c>
      <c r="B871" s="66">
        <v>173</v>
      </c>
      <c r="C871" s="67">
        <v>0.18862268518518518</v>
      </c>
      <c r="D871" s="66" t="s">
        <v>177</v>
      </c>
      <c r="E871" s="88" t="s">
        <v>10838</v>
      </c>
      <c r="F871" s="66" t="s">
        <v>1098</v>
      </c>
      <c r="G871" s="66" t="s">
        <v>1295</v>
      </c>
      <c r="H871" s="68">
        <v>-3.4000000000000002E-2</v>
      </c>
      <c r="M871" s="68" t="s">
        <v>10833</v>
      </c>
      <c r="O871" s="68" t="s">
        <v>10834</v>
      </c>
      <c r="P871" s="68" t="s">
        <v>10835</v>
      </c>
      <c r="Q871" s="68">
        <v>419380.53</v>
      </c>
      <c r="R871" s="68">
        <v>6192093.2199999997</v>
      </c>
      <c r="S871" s="68" t="s">
        <v>10836</v>
      </c>
      <c r="T871" s="68" t="s">
        <v>10837</v>
      </c>
      <c r="U871" s="68">
        <v>419397.79</v>
      </c>
      <c r="V871" s="68">
        <v>6192088</v>
      </c>
      <c r="W871" s="68">
        <v>138.41</v>
      </c>
      <c r="X871" s="68">
        <v>200.06</v>
      </c>
    </row>
    <row r="872" spans="1:24" s="14" customFormat="1" x14ac:dyDescent="0.25">
      <c r="A872" s="50">
        <v>45099</v>
      </c>
      <c r="B872" s="16">
        <v>173</v>
      </c>
      <c r="C872" s="36">
        <v>0.19136574074074075</v>
      </c>
      <c r="D872" s="16" t="s">
        <v>177</v>
      </c>
      <c r="E872" s="14" t="s">
        <v>65</v>
      </c>
      <c r="F872" s="16" t="s">
        <v>1098</v>
      </c>
      <c r="G872" s="16" t="s">
        <v>1295</v>
      </c>
      <c r="H872" s="14">
        <v>-1.4999999999999999E-2</v>
      </c>
      <c r="I872" s="14" t="s">
        <v>10843</v>
      </c>
      <c r="J872" s="14" t="s">
        <v>10844</v>
      </c>
      <c r="K872" s="14" t="s">
        <v>10845</v>
      </c>
      <c r="L872" s="14" t="s">
        <v>10846</v>
      </c>
      <c r="O872" s="14" t="s">
        <v>10839</v>
      </c>
      <c r="P872" s="14" t="s">
        <v>10840</v>
      </c>
      <c r="Q872" s="14">
        <v>419380.3</v>
      </c>
      <c r="R872" s="14">
        <v>6192079.7300000004</v>
      </c>
      <c r="S872" s="14" t="s">
        <v>10841</v>
      </c>
      <c r="T872" s="14" t="s">
        <v>10842</v>
      </c>
      <c r="U872" s="14">
        <v>419402.83</v>
      </c>
      <c r="V872" s="14">
        <v>6192070.3499999996</v>
      </c>
      <c r="W872" s="14">
        <v>181.27</v>
      </c>
      <c r="X872" s="14">
        <v>200.06</v>
      </c>
    </row>
    <row r="873" spans="1:24" s="14" customFormat="1" x14ac:dyDescent="0.25">
      <c r="A873" s="50">
        <v>45099</v>
      </c>
      <c r="B873" s="16">
        <v>173</v>
      </c>
      <c r="C873" s="36">
        <v>0.19675925925925927</v>
      </c>
      <c r="D873" s="16" t="s">
        <v>177</v>
      </c>
      <c r="E873" s="14" t="s">
        <v>70</v>
      </c>
      <c r="F873" s="16" t="s">
        <v>1098</v>
      </c>
      <c r="G873" s="16" t="s">
        <v>1295</v>
      </c>
      <c r="H873" s="14">
        <v>0.223</v>
      </c>
      <c r="I873" s="14" t="s">
        <v>10843</v>
      </c>
      <c r="J873" s="14" t="s">
        <v>10844</v>
      </c>
      <c r="K873" s="14" t="s">
        <v>10845</v>
      </c>
      <c r="L873" s="14" t="s">
        <v>10851</v>
      </c>
      <c r="O873" s="14" t="s">
        <v>10847</v>
      </c>
      <c r="P873" s="14" t="s">
        <v>10848</v>
      </c>
      <c r="Q873" s="14">
        <v>419380.25</v>
      </c>
      <c r="R873" s="14">
        <v>6191843.3200000003</v>
      </c>
      <c r="S873" s="14" t="s">
        <v>10849</v>
      </c>
      <c r="T873" s="14" t="s">
        <v>10850</v>
      </c>
      <c r="U873" s="14">
        <v>419402.77</v>
      </c>
      <c r="V873" s="14">
        <v>6191832.46</v>
      </c>
      <c r="W873" s="14">
        <v>179.51</v>
      </c>
      <c r="X873" s="14">
        <v>200.06</v>
      </c>
    </row>
    <row r="874" spans="1:24" s="14" customFormat="1" x14ac:dyDescent="0.25">
      <c r="A874" s="50">
        <v>45099</v>
      </c>
      <c r="B874" s="16">
        <v>173</v>
      </c>
      <c r="C874" s="36">
        <v>0.19997685185185185</v>
      </c>
      <c r="D874" s="16" t="s">
        <v>177</v>
      </c>
      <c r="E874" s="14" t="s">
        <v>65</v>
      </c>
      <c r="F874" s="16" t="s">
        <v>1098</v>
      </c>
      <c r="G874" s="16" t="s">
        <v>1294</v>
      </c>
      <c r="H874" s="14">
        <v>0.219</v>
      </c>
      <c r="I874" s="14" t="s">
        <v>10856</v>
      </c>
      <c r="J874" s="14" t="s">
        <v>10857</v>
      </c>
      <c r="K874" s="14" t="s">
        <v>10858</v>
      </c>
      <c r="L874" s="14" t="s">
        <v>10851</v>
      </c>
      <c r="O874" s="14" t="s">
        <v>10852</v>
      </c>
      <c r="P874" s="14" t="s">
        <v>10853</v>
      </c>
      <c r="Q874" s="14">
        <v>419370.95</v>
      </c>
      <c r="R874" s="14">
        <v>6191829.4400000004</v>
      </c>
      <c r="S874" s="14" t="s">
        <v>10854</v>
      </c>
      <c r="T874" s="14" t="s">
        <v>10855</v>
      </c>
      <c r="U874" s="14">
        <v>419393.84</v>
      </c>
      <c r="V874" s="14">
        <v>6191825.9100000001</v>
      </c>
      <c r="W874" s="14">
        <v>0.8</v>
      </c>
      <c r="X874" s="14">
        <v>200.06</v>
      </c>
    </row>
    <row r="875" spans="1:24" s="14" customFormat="1" x14ac:dyDescent="0.25">
      <c r="A875" s="50">
        <v>45099</v>
      </c>
      <c r="B875" s="16">
        <v>173</v>
      </c>
      <c r="C875" s="36">
        <v>0.20550925925925925</v>
      </c>
      <c r="D875" s="16" t="s">
        <v>177</v>
      </c>
      <c r="E875" s="14" t="s">
        <v>70</v>
      </c>
      <c r="F875" s="16" t="s">
        <v>1098</v>
      </c>
      <c r="G875" s="16" t="s">
        <v>1294</v>
      </c>
      <c r="H875" s="14">
        <v>-2.5000000000000001E-2</v>
      </c>
      <c r="I875" s="14" t="s">
        <v>10856</v>
      </c>
      <c r="J875" s="14" t="s">
        <v>10857</v>
      </c>
      <c r="K875" s="14" t="s">
        <v>10858</v>
      </c>
      <c r="L875" s="14" t="s">
        <v>10863</v>
      </c>
      <c r="O875" s="14" t="s">
        <v>10859</v>
      </c>
      <c r="P875" s="14" t="s">
        <v>10860</v>
      </c>
      <c r="Q875" s="14">
        <v>419370.15</v>
      </c>
      <c r="R875" s="14">
        <v>6192070.54</v>
      </c>
      <c r="S875" s="14" t="s">
        <v>10861</v>
      </c>
      <c r="T875" s="14" t="s">
        <v>10862</v>
      </c>
      <c r="U875" s="14">
        <v>419393.87</v>
      </c>
      <c r="V875" s="14">
        <v>6192070.04</v>
      </c>
      <c r="W875" s="14">
        <v>359.78</v>
      </c>
      <c r="X875" s="14">
        <v>200.06</v>
      </c>
    </row>
    <row r="876" spans="1:24" s="14" customFormat="1" x14ac:dyDescent="0.25">
      <c r="A876" s="50">
        <v>45099</v>
      </c>
      <c r="B876" s="16">
        <v>173</v>
      </c>
      <c r="C876" s="36">
        <v>0.20894675925925923</v>
      </c>
      <c r="D876" s="16" t="s">
        <v>177</v>
      </c>
      <c r="E876" s="14" t="s">
        <v>65</v>
      </c>
      <c r="F876" s="16" t="s">
        <v>1098</v>
      </c>
      <c r="G876" s="16" t="s">
        <v>1293</v>
      </c>
      <c r="H876" s="14">
        <v>-1.2E-2</v>
      </c>
      <c r="I876" s="14" t="s">
        <v>10868</v>
      </c>
      <c r="J876" s="14" t="s">
        <v>10869</v>
      </c>
      <c r="K876" s="14" t="s">
        <v>10870</v>
      </c>
      <c r="L876" s="14" t="s">
        <v>10863</v>
      </c>
      <c r="O876" s="14" t="s">
        <v>10864</v>
      </c>
      <c r="P876" s="14" t="s">
        <v>10865</v>
      </c>
      <c r="Q876" s="14">
        <v>419362.57</v>
      </c>
      <c r="R876" s="14">
        <v>6192074.0899999999</v>
      </c>
      <c r="S876" s="14" t="s">
        <v>10866</v>
      </c>
      <c r="T876" s="14" t="s">
        <v>10867</v>
      </c>
      <c r="U876" s="14">
        <v>419384.88</v>
      </c>
      <c r="V876" s="14">
        <v>6192067.54</v>
      </c>
      <c r="W876" s="14">
        <v>180.62</v>
      </c>
      <c r="X876" s="14">
        <v>200.06</v>
      </c>
    </row>
    <row r="877" spans="1:24" s="14" customFormat="1" x14ac:dyDescent="0.25">
      <c r="A877" s="50">
        <v>45099</v>
      </c>
      <c r="B877" s="16">
        <v>173</v>
      </c>
      <c r="C877" s="36">
        <v>0.21350694444444443</v>
      </c>
      <c r="D877" s="16" t="s">
        <v>177</v>
      </c>
      <c r="E877" s="14" t="s">
        <v>70</v>
      </c>
      <c r="F877" s="16" t="s">
        <v>1098</v>
      </c>
      <c r="G877" s="16" t="s">
        <v>1293</v>
      </c>
      <c r="H877" s="14">
        <v>0.223</v>
      </c>
      <c r="I877" s="14" t="s">
        <v>10868</v>
      </c>
      <c r="J877" s="14" t="s">
        <v>10869</v>
      </c>
      <c r="K877" s="14" t="s">
        <v>10870</v>
      </c>
      <c r="L877" s="14" t="s">
        <v>10863</v>
      </c>
      <c r="O877" s="14" t="s">
        <v>10871</v>
      </c>
      <c r="P877" s="14" t="s">
        <v>10872</v>
      </c>
      <c r="Q877" s="14">
        <v>419361.3</v>
      </c>
      <c r="R877" s="14">
        <v>6191836.9199999999</v>
      </c>
      <c r="S877" s="14" t="s">
        <v>10873</v>
      </c>
      <c r="T877" s="14" t="s">
        <v>10874</v>
      </c>
      <c r="U877" s="14">
        <v>419384.81</v>
      </c>
      <c r="V877" s="14">
        <v>6191832.9800000004</v>
      </c>
      <c r="W877" s="14">
        <v>179.97</v>
      </c>
      <c r="X877" s="14">
        <v>200.06</v>
      </c>
    </row>
    <row r="878" spans="1:24" s="14" customFormat="1" x14ac:dyDescent="0.25">
      <c r="A878" s="50">
        <v>45099</v>
      </c>
      <c r="B878" s="16">
        <v>173</v>
      </c>
      <c r="C878" s="36">
        <v>0.2169675925925926</v>
      </c>
      <c r="D878" s="16" t="s">
        <v>177</v>
      </c>
      <c r="E878" s="14" t="s">
        <v>65</v>
      </c>
      <c r="F878" s="16" t="s">
        <v>1098</v>
      </c>
      <c r="G878" s="16" t="s">
        <v>1292</v>
      </c>
      <c r="H878" s="14">
        <v>0.219</v>
      </c>
      <c r="I878" s="14" t="s">
        <v>10879</v>
      </c>
      <c r="J878" s="14" t="s">
        <v>10880</v>
      </c>
      <c r="K878" s="14" t="s">
        <v>10881</v>
      </c>
      <c r="L878" s="14" t="s">
        <v>10882</v>
      </c>
      <c r="O878" s="14" t="s">
        <v>10875</v>
      </c>
      <c r="P878" s="14" t="s">
        <v>10876</v>
      </c>
      <c r="Q878" s="14">
        <v>419353.7</v>
      </c>
      <c r="R878" s="14">
        <v>6191827.0199999996</v>
      </c>
      <c r="S878" s="14" t="s">
        <v>10877</v>
      </c>
      <c r="T878" s="14" t="s">
        <v>10878</v>
      </c>
      <c r="U878" s="14">
        <v>419375.84</v>
      </c>
      <c r="V878" s="14">
        <v>6191825.54</v>
      </c>
      <c r="W878" s="14">
        <v>359.59</v>
      </c>
      <c r="X878" s="14">
        <v>200.06</v>
      </c>
    </row>
    <row r="879" spans="1:24" s="14" customFormat="1" x14ac:dyDescent="0.25">
      <c r="A879" s="50">
        <v>45099</v>
      </c>
      <c r="B879" s="16">
        <v>173</v>
      </c>
      <c r="C879" s="36">
        <v>0.2215162037037037</v>
      </c>
      <c r="D879" s="16" t="s">
        <v>177</v>
      </c>
      <c r="E879" s="14" t="s">
        <v>70</v>
      </c>
      <c r="F879" s="16" t="s">
        <v>1098</v>
      </c>
      <c r="G879" s="16" t="s">
        <v>1292</v>
      </c>
      <c r="H879" s="14">
        <v>-1.9E-2</v>
      </c>
      <c r="I879" s="14" t="s">
        <v>10879</v>
      </c>
      <c r="J879" s="14" t="s">
        <v>10880</v>
      </c>
      <c r="K879" s="14" t="s">
        <v>10881</v>
      </c>
      <c r="L879" s="14" t="s">
        <v>10882</v>
      </c>
      <c r="O879" s="14" t="s">
        <v>10883</v>
      </c>
      <c r="P879" s="14" t="s">
        <v>10884</v>
      </c>
      <c r="Q879" s="14">
        <v>419351.92</v>
      </c>
      <c r="R879" s="14">
        <v>6192066.46</v>
      </c>
      <c r="S879" s="14" t="s">
        <v>10885</v>
      </c>
      <c r="T879" s="14" t="s">
        <v>10886</v>
      </c>
      <c r="U879" s="14">
        <v>419375.82</v>
      </c>
      <c r="V879" s="14">
        <v>6192064</v>
      </c>
      <c r="W879" s="14">
        <v>358.85</v>
      </c>
      <c r="X879" s="14">
        <v>200.06</v>
      </c>
    </row>
    <row r="880" spans="1:24" s="14" customFormat="1" x14ac:dyDescent="0.25">
      <c r="A880" s="50">
        <v>45099</v>
      </c>
      <c r="B880" s="16">
        <v>173</v>
      </c>
      <c r="C880" s="36">
        <v>0.22445601851851851</v>
      </c>
      <c r="D880" s="16" t="s">
        <v>177</v>
      </c>
      <c r="E880" s="14" t="s">
        <v>65</v>
      </c>
      <c r="F880" s="16" t="s">
        <v>1098</v>
      </c>
      <c r="G880" s="16" t="s">
        <v>1291</v>
      </c>
      <c r="H880" s="14">
        <v>-1.6E-2</v>
      </c>
      <c r="I880" s="14" t="s">
        <v>10891</v>
      </c>
      <c r="J880" s="14" t="s">
        <v>10892</v>
      </c>
      <c r="K880" s="14" t="s">
        <v>10893</v>
      </c>
      <c r="L880" s="14" t="s">
        <v>10882</v>
      </c>
      <c r="O880" s="14" t="s">
        <v>10887</v>
      </c>
      <c r="P880" s="14" t="s">
        <v>10888</v>
      </c>
      <c r="Q880" s="14">
        <v>419343.51</v>
      </c>
      <c r="R880" s="14">
        <v>6192079.0599999996</v>
      </c>
      <c r="S880" s="14" t="s">
        <v>10889</v>
      </c>
      <c r="T880" s="14" t="s">
        <v>10890</v>
      </c>
      <c r="U880" s="14">
        <v>419366.87</v>
      </c>
      <c r="V880" s="14">
        <v>6192072.1100000003</v>
      </c>
      <c r="W880" s="14">
        <v>180.68</v>
      </c>
      <c r="X880" s="14">
        <v>200.06</v>
      </c>
    </row>
    <row r="881" spans="1:24" s="14" customFormat="1" x14ac:dyDescent="0.25">
      <c r="A881" s="50">
        <v>45099</v>
      </c>
      <c r="B881" s="16">
        <v>173</v>
      </c>
      <c r="C881" s="36">
        <v>0.22893518518518519</v>
      </c>
      <c r="D881" s="16" t="s">
        <v>177</v>
      </c>
      <c r="E881" s="14" t="s">
        <v>70</v>
      </c>
      <c r="F881" s="16" t="s">
        <v>1098</v>
      </c>
      <c r="G881" s="16" t="s">
        <v>1291</v>
      </c>
      <c r="H881" s="14">
        <v>0.223</v>
      </c>
      <c r="I881" s="14" t="s">
        <v>10891</v>
      </c>
      <c r="J881" s="14" t="s">
        <v>10892</v>
      </c>
      <c r="K881" s="14" t="s">
        <v>10893</v>
      </c>
      <c r="L881" s="14" t="s">
        <v>10898</v>
      </c>
      <c r="O881" s="14" t="s">
        <v>10894</v>
      </c>
      <c r="P881" s="14" t="s">
        <v>10895</v>
      </c>
      <c r="Q881" s="14">
        <v>419342.84</v>
      </c>
      <c r="R881" s="14">
        <v>6191842.3099999996</v>
      </c>
      <c r="S881" s="14" t="s">
        <v>10896</v>
      </c>
      <c r="T881" s="14" t="s">
        <v>10897</v>
      </c>
      <c r="U881" s="14">
        <v>419366.86</v>
      </c>
      <c r="V881" s="14">
        <v>6191833.2000000002</v>
      </c>
      <c r="W881" s="14">
        <v>179.42</v>
      </c>
      <c r="X881" s="14">
        <v>200.06</v>
      </c>
    </row>
    <row r="882" spans="1:24" s="14" customFormat="1" x14ac:dyDescent="0.25">
      <c r="A882" s="50">
        <v>45099</v>
      </c>
      <c r="B882" s="16">
        <v>173</v>
      </c>
      <c r="C882" s="36">
        <v>0.23247685185185185</v>
      </c>
      <c r="D882" s="16" t="s">
        <v>177</v>
      </c>
      <c r="E882" s="14" t="s">
        <v>65</v>
      </c>
      <c r="F882" s="16" t="s">
        <v>1098</v>
      </c>
      <c r="G882" s="16" t="s">
        <v>1290</v>
      </c>
      <c r="H882" s="14">
        <v>0.219</v>
      </c>
      <c r="I882" s="14" t="s">
        <v>10903</v>
      </c>
      <c r="J882" s="14" t="s">
        <v>10904</v>
      </c>
      <c r="K882" s="14" t="s">
        <v>10905</v>
      </c>
      <c r="L882" s="14" t="s">
        <v>10898</v>
      </c>
      <c r="O882" s="14" t="s">
        <v>10899</v>
      </c>
      <c r="P882" s="14" t="s">
        <v>10900</v>
      </c>
      <c r="Q882" s="14">
        <v>419336.01</v>
      </c>
      <c r="R882" s="14">
        <v>6191823.8499999996</v>
      </c>
      <c r="S882" s="14" t="s">
        <v>10901</v>
      </c>
      <c r="T882" s="14" t="s">
        <v>10902</v>
      </c>
      <c r="U882" s="14">
        <v>419357.94</v>
      </c>
      <c r="V882" s="14">
        <v>6191825.7800000003</v>
      </c>
      <c r="W882" s="14">
        <v>358.71</v>
      </c>
      <c r="X882" s="14">
        <v>200.06</v>
      </c>
    </row>
    <row r="883" spans="1:24" s="14" customFormat="1" x14ac:dyDescent="0.25">
      <c r="A883" s="50">
        <v>45099</v>
      </c>
      <c r="B883" s="16">
        <v>173</v>
      </c>
      <c r="C883" s="36">
        <v>0.23710648148148147</v>
      </c>
      <c r="D883" s="16" t="s">
        <v>177</v>
      </c>
      <c r="E883" s="14" t="s">
        <v>70</v>
      </c>
      <c r="F883" s="16" t="s">
        <v>1098</v>
      </c>
      <c r="G883" s="16" t="s">
        <v>1290</v>
      </c>
      <c r="H883" s="14">
        <v>-2.1999999999999999E-2</v>
      </c>
      <c r="I883" s="14" t="s">
        <v>10903</v>
      </c>
      <c r="J883" s="14" t="s">
        <v>10904</v>
      </c>
      <c r="K883" s="14" t="s">
        <v>10905</v>
      </c>
      <c r="L883" s="14" t="s">
        <v>10910</v>
      </c>
      <c r="O883" s="14" t="s">
        <v>10906</v>
      </c>
      <c r="P883" s="14" t="s">
        <v>10907</v>
      </c>
      <c r="Q883" s="14">
        <v>419334.74</v>
      </c>
      <c r="R883" s="14">
        <v>6192065.1699999999</v>
      </c>
      <c r="S883" s="14" t="s">
        <v>10908</v>
      </c>
      <c r="T883" s="14" t="s">
        <v>10909</v>
      </c>
      <c r="U883" s="14">
        <v>419357.71</v>
      </c>
      <c r="V883" s="14">
        <v>6192066.54</v>
      </c>
      <c r="W883" s="14">
        <v>359.46</v>
      </c>
      <c r="X883" s="14">
        <v>200.06</v>
      </c>
    </row>
    <row r="884" spans="1:24" s="14" customFormat="1" x14ac:dyDescent="0.25">
      <c r="A884" s="50">
        <v>45099</v>
      </c>
      <c r="B884" s="16">
        <v>173</v>
      </c>
      <c r="C884" s="36">
        <v>0.24062500000000001</v>
      </c>
      <c r="D884" s="16" t="s">
        <v>177</v>
      </c>
      <c r="E884" s="14" t="s">
        <v>65</v>
      </c>
      <c r="F884" s="16" t="s">
        <v>1098</v>
      </c>
      <c r="G884" s="16" t="s">
        <v>1289</v>
      </c>
      <c r="H884" s="14">
        <v>-1.4999999999999999E-2</v>
      </c>
      <c r="I884" s="14" t="s">
        <v>10915</v>
      </c>
      <c r="J884" s="14" t="s">
        <v>10916</v>
      </c>
      <c r="K884" s="14" t="s">
        <v>10917</v>
      </c>
      <c r="L884" s="14" t="s">
        <v>10910</v>
      </c>
      <c r="O884" s="14" t="s">
        <v>10911</v>
      </c>
      <c r="P884" s="14" t="s">
        <v>10912</v>
      </c>
      <c r="Q884" s="14">
        <v>419325.57</v>
      </c>
      <c r="R884" s="14">
        <v>6192080.5199999996</v>
      </c>
      <c r="S884" s="14" t="s">
        <v>10913</v>
      </c>
      <c r="T884" s="14" t="s">
        <v>10914</v>
      </c>
      <c r="U884" s="14">
        <v>419348.87</v>
      </c>
      <c r="V884" s="14">
        <v>6192070.9299999997</v>
      </c>
      <c r="W884" s="14">
        <v>181.14</v>
      </c>
      <c r="X884" s="14">
        <v>200.06</v>
      </c>
    </row>
    <row r="885" spans="1:24" s="14" customFormat="1" x14ac:dyDescent="0.25">
      <c r="A885" s="50">
        <v>45099</v>
      </c>
      <c r="B885" s="16">
        <v>173</v>
      </c>
      <c r="C885" s="36">
        <v>0.24556712962962965</v>
      </c>
      <c r="D885" s="16" t="s">
        <v>177</v>
      </c>
      <c r="E885" s="14" t="s">
        <v>70</v>
      </c>
      <c r="F885" s="16" t="s">
        <v>1098</v>
      </c>
      <c r="G885" s="16" t="s">
        <v>1289</v>
      </c>
      <c r="H885" s="14">
        <v>0.245</v>
      </c>
      <c r="I885" s="14" t="s">
        <v>10915</v>
      </c>
      <c r="J885" s="14" t="s">
        <v>10916</v>
      </c>
      <c r="K885" s="14" t="s">
        <v>10917</v>
      </c>
      <c r="L885" s="14" t="s">
        <v>10910</v>
      </c>
      <c r="O885" s="14" t="s">
        <v>10918</v>
      </c>
      <c r="P885" s="14" t="s">
        <v>10919</v>
      </c>
      <c r="Q885" s="14">
        <v>419325.91</v>
      </c>
      <c r="R885" s="14">
        <v>6191817.6600000001</v>
      </c>
      <c r="S885" s="14" t="s">
        <v>10920</v>
      </c>
      <c r="T885" s="14" t="s">
        <v>10921</v>
      </c>
      <c r="U885" s="14">
        <v>419348.83</v>
      </c>
      <c r="V885" s="14">
        <v>6191810.9699999997</v>
      </c>
      <c r="W885" s="14">
        <v>179.87</v>
      </c>
      <c r="X885" s="14">
        <v>200.06</v>
      </c>
    </row>
    <row r="886" spans="1:24" s="14" customFormat="1" x14ac:dyDescent="0.25">
      <c r="A886" s="50">
        <v>45099</v>
      </c>
      <c r="B886" s="16">
        <v>173</v>
      </c>
      <c r="C886" s="36">
        <v>0.24858796296296296</v>
      </c>
      <c r="D886" s="16" t="s">
        <v>177</v>
      </c>
      <c r="E886" s="14" t="s">
        <v>65</v>
      </c>
      <c r="F886" s="16" t="s">
        <v>1098</v>
      </c>
      <c r="G886" s="16" t="s">
        <v>1288</v>
      </c>
      <c r="H886" s="14">
        <v>0.21299999999999999</v>
      </c>
      <c r="I886" s="14" t="s">
        <v>10926</v>
      </c>
      <c r="J886" s="14" t="s">
        <v>10927</v>
      </c>
      <c r="K886" s="14" t="s">
        <v>10928</v>
      </c>
      <c r="L886" s="14" t="s">
        <v>10929</v>
      </c>
      <c r="O886" s="14" t="s">
        <v>10922</v>
      </c>
      <c r="P886" s="14" t="s">
        <v>10923</v>
      </c>
      <c r="Q886" s="14">
        <v>419318.04</v>
      </c>
      <c r="R886" s="14">
        <v>6191839.1600000001</v>
      </c>
      <c r="S886" s="14" t="s">
        <v>10924</v>
      </c>
      <c r="T886" s="14" t="s">
        <v>10925</v>
      </c>
      <c r="U886" s="14">
        <v>419339.94</v>
      </c>
      <c r="V886" s="14">
        <v>6191831.9900000002</v>
      </c>
      <c r="W886" s="14">
        <v>358.23</v>
      </c>
      <c r="X886" s="14">
        <v>200.06</v>
      </c>
    </row>
    <row r="887" spans="1:24" s="14" customFormat="1" x14ac:dyDescent="0.25">
      <c r="A887" s="50">
        <v>45099</v>
      </c>
      <c r="B887" s="16">
        <v>173</v>
      </c>
      <c r="C887" s="36">
        <v>0.25299768518518517</v>
      </c>
      <c r="D887" s="16" t="s">
        <v>177</v>
      </c>
      <c r="E887" s="52" t="s">
        <v>70</v>
      </c>
      <c r="F887" s="16" t="s">
        <v>1098</v>
      </c>
      <c r="G887" s="16" t="s">
        <v>1288</v>
      </c>
      <c r="H887" s="14">
        <v>-0.02</v>
      </c>
      <c r="I887" s="14" t="s">
        <v>10926</v>
      </c>
      <c r="J887" s="14" t="s">
        <v>10927</v>
      </c>
      <c r="K887" s="14" t="s">
        <v>10928</v>
      </c>
      <c r="L887" s="14" t="s">
        <v>10929</v>
      </c>
      <c r="O887" s="14" t="s">
        <v>10930</v>
      </c>
      <c r="P887" s="14" t="s">
        <v>10931</v>
      </c>
      <c r="Q887" s="14">
        <v>419317.21</v>
      </c>
      <c r="R887" s="14">
        <v>6192073.0700000003</v>
      </c>
      <c r="S887" s="14" t="s">
        <v>10932</v>
      </c>
      <c r="T887" s="14" t="s">
        <v>10933</v>
      </c>
      <c r="U887" s="14">
        <v>419339.89</v>
      </c>
      <c r="V887" s="14">
        <v>6192064.8899999997</v>
      </c>
      <c r="W887" s="14">
        <v>358.74</v>
      </c>
      <c r="X887" s="14">
        <v>200.06</v>
      </c>
    </row>
    <row r="888" spans="1:24" s="14" customFormat="1" x14ac:dyDescent="0.25">
      <c r="A888" s="50">
        <v>45099</v>
      </c>
      <c r="B888" s="16">
        <v>173</v>
      </c>
      <c r="C888" s="36">
        <v>0.25626157407407407</v>
      </c>
      <c r="D888" s="16" t="s">
        <v>177</v>
      </c>
      <c r="E888" s="14" t="s">
        <v>65</v>
      </c>
      <c r="F888" s="16" t="s">
        <v>1098</v>
      </c>
      <c r="G888" s="16" t="s">
        <v>1279</v>
      </c>
      <c r="H888" s="14">
        <v>-1.4999999999999999E-2</v>
      </c>
      <c r="I888" s="14" t="s">
        <v>10938</v>
      </c>
      <c r="J888" s="14" t="s">
        <v>10939</v>
      </c>
      <c r="K888" s="14" t="s">
        <v>10940</v>
      </c>
      <c r="L888" s="14" t="s">
        <v>10929</v>
      </c>
      <c r="O888" s="14" t="s">
        <v>10934</v>
      </c>
      <c r="P888" s="14" t="s">
        <v>10935</v>
      </c>
      <c r="Q888" s="14">
        <v>419307.8</v>
      </c>
      <c r="R888" s="14">
        <v>6192078.3200000003</v>
      </c>
      <c r="S888" s="14" t="s">
        <v>10936</v>
      </c>
      <c r="T888" s="14" t="s">
        <v>10937</v>
      </c>
      <c r="U888" s="14">
        <v>419330.79</v>
      </c>
      <c r="V888" s="14">
        <v>6192070.9100000001</v>
      </c>
      <c r="W888" s="14">
        <v>178.65</v>
      </c>
      <c r="X888" s="14">
        <v>200.06</v>
      </c>
    </row>
    <row r="889" spans="1:24" s="14" customFormat="1" x14ac:dyDescent="0.25">
      <c r="A889" s="50">
        <v>45099</v>
      </c>
      <c r="B889" s="16">
        <v>173</v>
      </c>
      <c r="C889" s="36">
        <v>0.260775462962963</v>
      </c>
      <c r="D889" s="16" t="s">
        <v>177</v>
      </c>
      <c r="E889" s="14" t="s">
        <v>70</v>
      </c>
      <c r="F889" s="16" t="s">
        <v>1098</v>
      </c>
      <c r="G889" s="16" t="s">
        <v>1279</v>
      </c>
      <c r="H889" s="14">
        <v>0.221</v>
      </c>
      <c r="I889" s="14" t="s">
        <v>10938</v>
      </c>
      <c r="J889" s="14" t="s">
        <v>10939</v>
      </c>
      <c r="K889" s="14" t="s">
        <v>10940</v>
      </c>
      <c r="L889" s="14" t="s">
        <v>10945</v>
      </c>
      <c r="O889" s="14" t="s">
        <v>10941</v>
      </c>
      <c r="P889" s="14" t="s">
        <v>10942</v>
      </c>
      <c r="Q889" s="14">
        <v>419308.3</v>
      </c>
      <c r="R889" s="14">
        <v>6191838.29</v>
      </c>
      <c r="S889" s="14" t="s">
        <v>10943</v>
      </c>
      <c r="T889" s="14" t="s">
        <v>10944</v>
      </c>
      <c r="U889" s="14">
        <v>419330.83</v>
      </c>
      <c r="V889" s="14">
        <v>6191834.5099999998</v>
      </c>
      <c r="W889" s="14">
        <v>178.83</v>
      </c>
      <c r="X889" s="14">
        <v>200.06</v>
      </c>
    </row>
    <row r="890" spans="1:24" s="14" customFormat="1" x14ac:dyDescent="0.25">
      <c r="A890" s="50">
        <v>45099</v>
      </c>
      <c r="B890" s="16">
        <v>173</v>
      </c>
      <c r="C890" s="36">
        <v>0.26476851851851851</v>
      </c>
      <c r="D890" s="16" t="s">
        <v>177</v>
      </c>
      <c r="E890" s="14" t="s">
        <v>65</v>
      </c>
      <c r="F890" s="16" t="s">
        <v>1098</v>
      </c>
      <c r="G890" s="16" t="s">
        <v>1280</v>
      </c>
      <c r="H890" s="14">
        <v>0.218</v>
      </c>
      <c r="I890" s="14" t="s">
        <v>10950</v>
      </c>
      <c r="J890" s="14" t="s">
        <v>10951</v>
      </c>
      <c r="K890" s="14" t="s">
        <v>10952</v>
      </c>
      <c r="L890" s="14" t="s">
        <v>10945</v>
      </c>
      <c r="O890" s="14" t="s">
        <v>10946</v>
      </c>
      <c r="P890" s="14" t="s">
        <v>10947</v>
      </c>
      <c r="Q890" s="14">
        <v>419299.86</v>
      </c>
      <c r="R890" s="14">
        <v>6191829.7199999997</v>
      </c>
      <c r="S890" s="14" t="s">
        <v>10948</v>
      </c>
      <c r="T890" s="14" t="s">
        <v>10949</v>
      </c>
      <c r="U890" s="14">
        <v>419321.73</v>
      </c>
      <c r="V890" s="14">
        <v>6191826.4900000002</v>
      </c>
      <c r="W890" s="14">
        <v>359.63</v>
      </c>
      <c r="X890" s="14">
        <v>200.06</v>
      </c>
    </row>
    <row r="891" spans="1:24" s="14" customFormat="1" x14ac:dyDescent="0.25">
      <c r="A891" s="50">
        <v>45099</v>
      </c>
      <c r="B891" s="57">
        <v>173</v>
      </c>
      <c r="C891" s="36">
        <v>0.26928240740740744</v>
      </c>
      <c r="D891" s="16" t="s">
        <v>177</v>
      </c>
      <c r="E891" s="52" t="s">
        <v>70</v>
      </c>
      <c r="F891" s="16" t="s">
        <v>1098</v>
      </c>
      <c r="G891" s="16" t="s">
        <v>1280</v>
      </c>
      <c r="H891" s="14">
        <v>-0.02</v>
      </c>
      <c r="I891" s="14" t="s">
        <v>10950</v>
      </c>
      <c r="J891" s="14" t="s">
        <v>10951</v>
      </c>
      <c r="K891" s="14" t="s">
        <v>10952</v>
      </c>
      <c r="L891" s="14" t="s">
        <v>10957</v>
      </c>
      <c r="O891" s="14" t="s">
        <v>10953</v>
      </c>
      <c r="P891" s="14" t="s">
        <v>10954</v>
      </c>
      <c r="Q891" s="14">
        <v>419299.16</v>
      </c>
      <c r="R891" s="14">
        <v>6192068.2800000003</v>
      </c>
      <c r="S891" s="14" t="s">
        <v>10955</v>
      </c>
      <c r="T891" s="14" t="s">
        <v>10956</v>
      </c>
      <c r="U891" s="14">
        <v>419321.82</v>
      </c>
      <c r="V891" s="14">
        <v>6192064.4299999997</v>
      </c>
      <c r="W891" s="14">
        <v>359.08</v>
      </c>
      <c r="X891" s="14">
        <v>200.06</v>
      </c>
    </row>
    <row r="892" spans="1:24" s="14" customFormat="1" x14ac:dyDescent="0.25">
      <c r="A892" s="50">
        <v>45099</v>
      </c>
      <c r="B892" s="57">
        <v>173</v>
      </c>
      <c r="C892" s="36">
        <v>0.27159722222222221</v>
      </c>
      <c r="D892" s="16" t="s">
        <v>177</v>
      </c>
      <c r="E892" s="52" t="s">
        <v>65</v>
      </c>
      <c r="F892" s="16" t="s">
        <v>1098</v>
      </c>
      <c r="G892" s="16" t="s">
        <v>1281</v>
      </c>
      <c r="H892" s="14">
        <v>-1.4999999999999999E-2</v>
      </c>
      <c r="I892" s="14" t="s">
        <v>10962</v>
      </c>
      <c r="J892" s="14" t="s">
        <v>10963</v>
      </c>
      <c r="K892" s="14" t="s">
        <v>10964</v>
      </c>
      <c r="L892" s="14" t="s">
        <v>10957</v>
      </c>
      <c r="O892" s="14" t="s">
        <v>10958</v>
      </c>
      <c r="P892" s="14" t="s">
        <v>10959</v>
      </c>
      <c r="Q892" s="14">
        <v>419290.33</v>
      </c>
      <c r="R892" s="14">
        <v>6192078.5099999998</v>
      </c>
      <c r="S892" s="14" t="s">
        <v>10960</v>
      </c>
      <c r="T892" s="14" t="s">
        <v>10961</v>
      </c>
      <c r="U892" s="14">
        <v>419312.86</v>
      </c>
      <c r="V892" s="14">
        <v>6192070.6399999997</v>
      </c>
      <c r="W892" s="14">
        <v>180.32</v>
      </c>
      <c r="X892" s="14">
        <v>200.06</v>
      </c>
    </row>
    <row r="893" spans="1:24" s="14" customFormat="1" x14ac:dyDescent="0.25">
      <c r="A893" s="50">
        <v>45099</v>
      </c>
      <c r="B893" s="57">
        <v>173</v>
      </c>
      <c r="C893" s="36">
        <v>0.27616898148148145</v>
      </c>
      <c r="D893" s="16" t="s">
        <v>177</v>
      </c>
      <c r="E893" s="14" t="s">
        <v>70</v>
      </c>
      <c r="F893" s="16" t="s">
        <v>1098</v>
      </c>
      <c r="G893" s="16" t="s">
        <v>1281</v>
      </c>
      <c r="H893" s="14">
        <v>0.224</v>
      </c>
      <c r="I893" s="14" t="s">
        <v>10962</v>
      </c>
      <c r="J893" s="14" t="s">
        <v>10963</v>
      </c>
      <c r="K893" s="14" t="s">
        <v>10964</v>
      </c>
      <c r="L893" s="14" t="s">
        <v>10957</v>
      </c>
      <c r="O893" s="14" t="s">
        <v>10965</v>
      </c>
      <c r="P893" s="14" t="s">
        <v>10966</v>
      </c>
      <c r="Q893" s="14">
        <v>419289.87</v>
      </c>
      <c r="R893" s="14">
        <v>6191835.7999999998</v>
      </c>
      <c r="S893" s="14" t="s">
        <v>10967</v>
      </c>
      <c r="T893" s="14" t="s">
        <v>10968</v>
      </c>
      <c r="U893" s="14">
        <v>419312.84</v>
      </c>
      <c r="V893" s="14">
        <v>6191832.0599999996</v>
      </c>
      <c r="W893" s="14">
        <v>179.52</v>
      </c>
      <c r="X893" s="14">
        <v>200.06</v>
      </c>
    </row>
    <row r="894" spans="1:24" s="14" customFormat="1" x14ac:dyDescent="0.25">
      <c r="A894" s="50">
        <v>45099</v>
      </c>
      <c r="B894" s="57">
        <v>173</v>
      </c>
      <c r="C894" s="36">
        <v>0.27840277777777778</v>
      </c>
      <c r="D894" s="16" t="s">
        <v>177</v>
      </c>
      <c r="E894" s="14" t="s">
        <v>65</v>
      </c>
      <c r="F894" s="16" t="s">
        <v>1098</v>
      </c>
      <c r="G894" s="16" t="s">
        <v>1282</v>
      </c>
      <c r="H894" s="14">
        <v>0.22</v>
      </c>
      <c r="I894" s="14" t="s">
        <v>10973</v>
      </c>
      <c r="J894" s="14" t="s">
        <v>10974</v>
      </c>
      <c r="K894" s="14" t="s">
        <v>10975</v>
      </c>
      <c r="L894" s="14" t="s">
        <v>10976</v>
      </c>
      <c r="O894" s="14" t="s">
        <v>10969</v>
      </c>
      <c r="P894" s="14" t="s">
        <v>10970</v>
      </c>
      <c r="Q894" s="14">
        <v>419282.54</v>
      </c>
      <c r="R894" s="14">
        <v>6191824.7199999997</v>
      </c>
      <c r="S894" s="14" t="s">
        <v>10971</v>
      </c>
      <c r="T894" s="14" t="s">
        <v>10972</v>
      </c>
      <c r="U894" s="14">
        <v>419303.82</v>
      </c>
      <c r="V894" s="14">
        <v>6191824.5800000001</v>
      </c>
      <c r="W894" s="14">
        <v>359.59</v>
      </c>
      <c r="X894" s="14">
        <v>200.06</v>
      </c>
    </row>
    <row r="895" spans="1:24" s="14" customFormat="1" x14ac:dyDescent="0.25">
      <c r="A895" s="50">
        <v>45099</v>
      </c>
      <c r="B895" s="57">
        <v>173</v>
      </c>
      <c r="C895" s="36">
        <v>0.2829976851851852</v>
      </c>
      <c r="D895" s="16" t="s">
        <v>177</v>
      </c>
      <c r="E895" s="14" t="s">
        <v>70</v>
      </c>
      <c r="F895" s="16" t="s">
        <v>1098</v>
      </c>
      <c r="G895" s="16" t="s">
        <v>1282</v>
      </c>
      <c r="H895" s="14">
        <v>-0.02</v>
      </c>
      <c r="I895" s="14" t="s">
        <v>10973</v>
      </c>
      <c r="J895" s="14" t="s">
        <v>10974</v>
      </c>
      <c r="K895" s="14" t="s">
        <v>10975</v>
      </c>
      <c r="L895" s="14" t="s">
        <v>10976</v>
      </c>
      <c r="O895" s="14" t="s">
        <v>10977</v>
      </c>
      <c r="P895" s="14" t="s">
        <v>10978</v>
      </c>
      <c r="Q895" s="14">
        <v>419282.66</v>
      </c>
      <c r="R895" s="14">
        <v>6192066.6500000004</v>
      </c>
      <c r="S895" s="14" t="s">
        <v>10979</v>
      </c>
      <c r="T895" s="14" t="s">
        <v>10980</v>
      </c>
      <c r="U895" s="14">
        <v>419303.86</v>
      </c>
      <c r="V895" s="14">
        <v>6192064.8399999999</v>
      </c>
      <c r="W895" s="14">
        <v>359.13</v>
      </c>
      <c r="X895" s="14">
        <v>200.06</v>
      </c>
    </row>
    <row r="896" spans="1:24" s="14" customFormat="1" x14ac:dyDescent="0.25">
      <c r="A896" s="50">
        <v>45099</v>
      </c>
      <c r="B896" s="57">
        <v>173</v>
      </c>
      <c r="C896" s="36">
        <v>0.28535879629629629</v>
      </c>
      <c r="D896" s="16" t="s">
        <v>177</v>
      </c>
      <c r="E896" s="14" t="s">
        <v>65</v>
      </c>
      <c r="F896" s="16" t="s">
        <v>1098</v>
      </c>
      <c r="G896" s="16" t="s">
        <v>1283</v>
      </c>
      <c r="H896" s="14">
        <v>-1.6E-2</v>
      </c>
      <c r="I896" s="14" t="s">
        <v>10985</v>
      </c>
      <c r="J896" s="14" t="s">
        <v>10986</v>
      </c>
      <c r="K896" s="14" t="s">
        <v>10987</v>
      </c>
      <c r="L896" s="14" t="s">
        <v>10976</v>
      </c>
      <c r="O896" s="14" t="s">
        <v>10981</v>
      </c>
      <c r="P896" s="14" t="s">
        <v>10982</v>
      </c>
      <c r="Q896" s="14">
        <v>419273.11</v>
      </c>
      <c r="R896" s="14">
        <v>6192080.29</v>
      </c>
      <c r="S896" s="14" t="s">
        <v>10983</v>
      </c>
      <c r="T896" s="14" t="s">
        <v>10984</v>
      </c>
      <c r="U896" s="14">
        <v>419294.98</v>
      </c>
      <c r="V896" s="14">
        <v>6192072.2999999998</v>
      </c>
      <c r="W896" s="14">
        <v>181.06</v>
      </c>
      <c r="X896" s="14">
        <v>200.06</v>
      </c>
    </row>
    <row r="897" spans="1:24" s="14" customFormat="1" x14ac:dyDescent="0.25">
      <c r="A897" s="50">
        <v>45099</v>
      </c>
      <c r="B897" s="57">
        <v>173</v>
      </c>
      <c r="C897" s="36">
        <v>0.28993055555555552</v>
      </c>
      <c r="D897" s="16" t="s">
        <v>177</v>
      </c>
      <c r="E897" s="14" t="s">
        <v>70</v>
      </c>
      <c r="F897" s="16" t="s">
        <v>1098</v>
      </c>
      <c r="G897" s="16" t="s">
        <v>1283</v>
      </c>
      <c r="H897" s="14">
        <v>0.223</v>
      </c>
      <c r="I897" s="14" t="s">
        <v>10985</v>
      </c>
      <c r="J897" s="14" t="s">
        <v>10986</v>
      </c>
      <c r="K897" s="14" t="s">
        <v>10987</v>
      </c>
      <c r="L897" s="14" t="s">
        <v>10992</v>
      </c>
      <c r="O897" s="14" t="s">
        <v>10988</v>
      </c>
      <c r="P897" s="14" t="s">
        <v>10989</v>
      </c>
      <c r="Q897" s="14">
        <v>419271.48</v>
      </c>
      <c r="R897" s="14">
        <v>6191838.3899999997</v>
      </c>
      <c r="S897" s="14" t="s">
        <v>10990</v>
      </c>
      <c r="T897" s="14" t="s">
        <v>10991</v>
      </c>
      <c r="U897" s="14">
        <v>419294.79</v>
      </c>
      <c r="V897" s="14">
        <v>6191833.0199999996</v>
      </c>
      <c r="W897" s="14">
        <v>178.9</v>
      </c>
      <c r="X897" s="14">
        <v>200.06</v>
      </c>
    </row>
    <row r="898" spans="1:24" s="14" customFormat="1" x14ac:dyDescent="0.25">
      <c r="A898" s="50">
        <v>45099</v>
      </c>
      <c r="B898" s="57">
        <v>173</v>
      </c>
      <c r="C898" s="36">
        <v>0.29260416666666667</v>
      </c>
      <c r="D898" s="16" t="s">
        <v>177</v>
      </c>
      <c r="E898" s="14" t="s">
        <v>65</v>
      </c>
      <c r="F898" s="16" t="s">
        <v>1098</v>
      </c>
      <c r="G898" s="16" t="s">
        <v>1284</v>
      </c>
      <c r="H898" s="14">
        <v>0.22</v>
      </c>
      <c r="I898" s="14" t="s">
        <v>10997</v>
      </c>
      <c r="J898" s="14" t="s">
        <v>10998</v>
      </c>
      <c r="K898" s="14" t="s">
        <v>10999</v>
      </c>
      <c r="L898" s="14" t="s">
        <v>10992</v>
      </c>
      <c r="O898" s="14" t="s">
        <v>10993</v>
      </c>
      <c r="P898" s="14" t="s">
        <v>10994</v>
      </c>
      <c r="Q898" s="14">
        <v>419263.48</v>
      </c>
      <c r="R898" s="14">
        <v>6191819.2800000003</v>
      </c>
      <c r="S898" s="14" t="s">
        <v>10995</v>
      </c>
      <c r="T898" s="14" t="s">
        <v>10996</v>
      </c>
      <c r="U898" s="14">
        <v>419285.71</v>
      </c>
      <c r="V898" s="14">
        <v>6191824.3300000001</v>
      </c>
      <c r="W898" s="14">
        <v>0.41</v>
      </c>
      <c r="X898" s="14">
        <v>200.06</v>
      </c>
    </row>
    <row r="899" spans="1:24" s="14" customFormat="1" x14ac:dyDescent="0.25">
      <c r="A899" s="50">
        <v>45099</v>
      </c>
      <c r="B899" s="57">
        <v>173</v>
      </c>
      <c r="C899" s="36">
        <v>0.29737268518518517</v>
      </c>
      <c r="D899" s="16" t="s">
        <v>177</v>
      </c>
      <c r="E899" s="52" t="s">
        <v>70</v>
      </c>
      <c r="F899" s="16" t="s">
        <v>1098</v>
      </c>
      <c r="G899" s="16" t="s">
        <v>1284</v>
      </c>
      <c r="H899" s="14">
        <v>-1.9E-2</v>
      </c>
      <c r="I899" s="14" t="s">
        <v>10997</v>
      </c>
      <c r="J899" s="14" t="s">
        <v>10998</v>
      </c>
      <c r="K899" s="14" t="s">
        <v>10999</v>
      </c>
      <c r="L899" s="14" t="s">
        <v>10992</v>
      </c>
      <c r="O899" s="14" t="s">
        <v>11000</v>
      </c>
      <c r="P899" s="14" t="s">
        <v>11001</v>
      </c>
      <c r="Q899" s="14">
        <v>419263.8</v>
      </c>
      <c r="R899" s="14">
        <v>6192068.1299999999</v>
      </c>
      <c r="S899" s="14" t="s">
        <v>11002</v>
      </c>
      <c r="T899" s="14" t="s">
        <v>11003</v>
      </c>
      <c r="U899" s="14">
        <v>419285.83</v>
      </c>
      <c r="V899" s="14">
        <v>6192064.1399999997</v>
      </c>
      <c r="W899" s="14">
        <v>359.27</v>
      </c>
      <c r="X899" s="14">
        <v>200.06</v>
      </c>
    </row>
    <row r="900" spans="1:24" s="14" customFormat="1" x14ac:dyDescent="0.25">
      <c r="A900" s="50">
        <v>45099</v>
      </c>
      <c r="B900" s="57">
        <v>173</v>
      </c>
      <c r="C900" s="36">
        <v>0.2996759259259259</v>
      </c>
      <c r="D900" s="16" t="s">
        <v>177</v>
      </c>
      <c r="E900" s="52" t="s">
        <v>65</v>
      </c>
      <c r="F900" s="16" t="s">
        <v>1098</v>
      </c>
      <c r="G900" s="16" t="s">
        <v>1285</v>
      </c>
      <c r="H900" s="14">
        <v>-1.7000000000000001E-2</v>
      </c>
      <c r="I900" s="14" t="s">
        <v>11008</v>
      </c>
      <c r="J900" s="14" t="s">
        <v>11009</v>
      </c>
      <c r="K900" s="14" t="s">
        <v>11010</v>
      </c>
      <c r="L900" s="14" t="s">
        <v>11011</v>
      </c>
      <c r="O900" s="14" t="s">
        <v>11004</v>
      </c>
      <c r="P900" s="14" t="s">
        <v>11005</v>
      </c>
      <c r="Q900" s="14">
        <v>419255.28</v>
      </c>
      <c r="R900" s="14">
        <v>6192081.7400000002</v>
      </c>
      <c r="S900" s="14" t="s">
        <v>11006</v>
      </c>
      <c r="T900" s="14" t="s">
        <v>11007</v>
      </c>
      <c r="U900" s="14">
        <v>419276.99</v>
      </c>
      <c r="V900" s="14">
        <v>6192072.9500000002</v>
      </c>
      <c r="W900" s="14">
        <v>182.29</v>
      </c>
      <c r="X900" s="14">
        <v>200.06</v>
      </c>
    </row>
    <row r="901" spans="1:24" s="14" customFormat="1" x14ac:dyDescent="0.25">
      <c r="A901" s="50">
        <v>45099</v>
      </c>
      <c r="B901" s="57">
        <v>173</v>
      </c>
      <c r="C901" s="36">
        <v>0.30432870370370374</v>
      </c>
      <c r="D901" s="16" t="s">
        <v>177</v>
      </c>
      <c r="E901" s="14" t="s">
        <v>70</v>
      </c>
      <c r="F901" s="16" t="s">
        <v>1098</v>
      </c>
      <c r="G901" s="16" t="s">
        <v>1285</v>
      </c>
      <c r="H901" s="14">
        <v>0.22500000000000001</v>
      </c>
      <c r="I901" s="14" t="s">
        <v>11008</v>
      </c>
      <c r="J901" s="14" t="s">
        <v>11009</v>
      </c>
      <c r="K901" s="14" t="s">
        <v>11010</v>
      </c>
      <c r="L901" s="14" t="s">
        <v>11011</v>
      </c>
      <c r="O901" s="14" t="s">
        <v>11012</v>
      </c>
      <c r="P901" s="14" t="s">
        <v>11013</v>
      </c>
      <c r="Q901" s="14">
        <v>419253.95</v>
      </c>
      <c r="R901" s="14">
        <v>6191835.8200000003</v>
      </c>
      <c r="S901" s="14" t="s">
        <v>11014</v>
      </c>
      <c r="T901" s="14" t="s">
        <v>11015</v>
      </c>
      <c r="U901" s="14">
        <v>419276.89</v>
      </c>
      <c r="V901" s="14">
        <v>6191830.4800000004</v>
      </c>
      <c r="W901" s="14">
        <v>179.63</v>
      </c>
      <c r="X901" s="14">
        <v>200.06</v>
      </c>
    </row>
    <row r="902" spans="1:24" s="14" customFormat="1" x14ac:dyDescent="0.25">
      <c r="A902" s="50">
        <v>45099</v>
      </c>
      <c r="B902" s="57">
        <v>173</v>
      </c>
      <c r="C902" s="36">
        <v>0.30668981481481483</v>
      </c>
      <c r="D902" s="16" t="s">
        <v>177</v>
      </c>
      <c r="E902" s="52" t="s">
        <v>65</v>
      </c>
      <c r="F902" s="16" t="s">
        <v>1098</v>
      </c>
      <c r="G902" s="16" t="s">
        <v>1286</v>
      </c>
      <c r="H902" s="14">
        <v>0.222</v>
      </c>
      <c r="I902" s="14" t="s">
        <v>11020</v>
      </c>
      <c r="J902" s="14" t="s">
        <v>11021</v>
      </c>
      <c r="K902" s="14" t="s">
        <v>11022</v>
      </c>
      <c r="L902" s="14" t="s">
        <v>11011</v>
      </c>
      <c r="O902" s="14" t="s">
        <v>11016</v>
      </c>
      <c r="P902" s="14" t="s">
        <v>11017</v>
      </c>
      <c r="Q902" s="14">
        <v>419245.41</v>
      </c>
      <c r="R902" s="14">
        <v>6191828.2000000002</v>
      </c>
      <c r="S902" s="14" t="s">
        <v>11018</v>
      </c>
      <c r="T902" s="14" t="s">
        <v>11019</v>
      </c>
      <c r="U902" s="14">
        <v>419267.69</v>
      </c>
      <c r="V902" s="14">
        <v>6191823.1100000003</v>
      </c>
      <c r="W902" s="14">
        <v>1.63</v>
      </c>
      <c r="X902" s="14">
        <v>200.06</v>
      </c>
    </row>
    <row r="903" spans="1:24" s="14" customFormat="1" x14ac:dyDescent="0.25">
      <c r="A903" s="50">
        <v>45099</v>
      </c>
      <c r="B903" s="57">
        <v>173</v>
      </c>
      <c r="C903" s="36">
        <v>0.31131944444444443</v>
      </c>
      <c r="D903" s="16" t="s">
        <v>177</v>
      </c>
      <c r="E903" s="52" t="s">
        <v>70</v>
      </c>
      <c r="F903" s="16" t="s">
        <v>1098</v>
      </c>
      <c r="G903" s="16" t="s">
        <v>1286</v>
      </c>
      <c r="H903" s="14">
        <v>-2.1999999999999999E-2</v>
      </c>
      <c r="I903" s="14" t="s">
        <v>11020</v>
      </c>
      <c r="J903" s="14" t="s">
        <v>11021</v>
      </c>
      <c r="K903" s="14" t="s">
        <v>11022</v>
      </c>
      <c r="L903" s="14" t="s">
        <v>11027</v>
      </c>
      <c r="O903" s="14" t="s">
        <v>11023</v>
      </c>
      <c r="P903" s="14" t="s">
        <v>11024</v>
      </c>
      <c r="Q903" s="14">
        <v>419244.67</v>
      </c>
      <c r="R903" s="14">
        <v>6192071.7400000002</v>
      </c>
      <c r="S903" s="14" t="s">
        <v>11025</v>
      </c>
      <c r="T903" s="14" t="s">
        <v>11026</v>
      </c>
      <c r="U903" s="14">
        <v>419267.77</v>
      </c>
      <c r="V903" s="14">
        <v>6192066.6100000003</v>
      </c>
      <c r="W903" s="14">
        <v>359.92</v>
      </c>
      <c r="X903" s="14">
        <v>200.06</v>
      </c>
    </row>
    <row r="904" spans="1:24" s="14" customFormat="1" x14ac:dyDescent="0.25">
      <c r="A904" s="50">
        <v>45099</v>
      </c>
      <c r="B904" s="57">
        <v>173</v>
      </c>
      <c r="C904" s="36">
        <v>0.31358796296296293</v>
      </c>
      <c r="D904" s="16" t="s">
        <v>177</v>
      </c>
      <c r="E904" s="14" t="s">
        <v>65</v>
      </c>
      <c r="F904" s="16" t="s">
        <v>1098</v>
      </c>
      <c r="G904" s="16" t="s">
        <v>1287</v>
      </c>
      <c r="H904" s="14">
        <v>-1.7999999999999999E-2</v>
      </c>
      <c r="I904" s="14" t="s">
        <v>11032</v>
      </c>
      <c r="J904" s="14" t="s">
        <v>11033</v>
      </c>
      <c r="K904" s="14" t="s">
        <v>11034</v>
      </c>
      <c r="L904" s="14" t="s">
        <v>11027</v>
      </c>
      <c r="O904" s="14" t="s">
        <v>11028</v>
      </c>
      <c r="P904" s="14" t="s">
        <v>11029</v>
      </c>
      <c r="Q904" s="14">
        <v>419237.61</v>
      </c>
      <c r="R904" s="14">
        <v>6192080.9800000004</v>
      </c>
      <c r="S904" s="14" t="s">
        <v>11030</v>
      </c>
      <c r="T904" s="14" t="s">
        <v>11031</v>
      </c>
      <c r="U904" s="14">
        <v>419259.01</v>
      </c>
      <c r="V904" s="14">
        <v>6192074.0300000003</v>
      </c>
      <c r="W904" s="14">
        <v>180.34</v>
      </c>
      <c r="X904" s="14">
        <v>200.06</v>
      </c>
    </row>
    <row r="905" spans="1:24" s="14" customFormat="1" x14ac:dyDescent="0.25">
      <c r="A905" s="50">
        <v>45099</v>
      </c>
      <c r="B905" s="57">
        <v>173</v>
      </c>
      <c r="C905" s="36">
        <v>0.31822916666666667</v>
      </c>
      <c r="D905" s="16" t="s">
        <v>177</v>
      </c>
      <c r="E905" s="14" t="s">
        <v>70</v>
      </c>
      <c r="F905" s="16" t="s">
        <v>1098</v>
      </c>
      <c r="G905" s="16" t="s">
        <v>1287</v>
      </c>
      <c r="H905" s="14">
        <v>0.22500000000000001</v>
      </c>
      <c r="I905" s="14" t="s">
        <v>11032</v>
      </c>
      <c r="J905" s="14" t="s">
        <v>11033</v>
      </c>
      <c r="K905" s="14" t="s">
        <v>11034</v>
      </c>
      <c r="L905" s="14" t="s">
        <v>11027</v>
      </c>
      <c r="O905" s="14" t="s">
        <v>11035</v>
      </c>
      <c r="P905" s="14" t="s">
        <v>11036</v>
      </c>
      <c r="Q905" s="14">
        <v>419235.68</v>
      </c>
      <c r="R905" s="14">
        <v>6191835</v>
      </c>
      <c r="S905" s="14" t="s">
        <v>11037</v>
      </c>
      <c r="T905" s="14" t="s">
        <v>11038</v>
      </c>
      <c r="U905" s="14">
        <v>419258.86</v>
      </c>
      <c r="V905" s="14">
        <v>6191830.6699999999</v>
      </c>
      <c r="W905" s="14">
        <v>179.94</v>
      </c>
      <c r="X905" s="14">
        <v>200.06</v>
      </c>
    </row>
    <row r="906" spans="1:24" s="14" customFormat="1" x14ac:dyDescent="0.25">
      <c r="A906" s="50">
        <v>45099</v>
      </c>
      <c r="B906" s="57">
        <v>173</v>
      </c>
      <c r="C906" s="36">
        <v>0.31892361111111112</v>
      </c>
      <c r="D906" s="16" t="s">
        <v>177</v>
      </c>
      <c r="E906" s="14" t="s">
        <v>9148</v>
      </c>
      <c r="F906" s="16" t="s">
        <v>1098</v>
      </c>
      <c r="G906" s="16" t="s">
        <v>1287</v>
      </c>
      <c r="H906" s="14">
        <v>0.247</v>
      </c>
      <c r="O906" s="14" t="s">
        <v>11039</v>
      </c>
      <c r="P906" s="14" t="s">
        <v>11040</v>
      </c>
      <c r="Q906" s="14">
        <v>419236.02</v>
      </c>
      <c r="R906" s="14">
        <v>6191812.1799999997</v>
      </c>
      <c r="S906" s="14" t="s">
        <v>11041</v>
      </c>
      <c r="T906" s="14" t="s">
        <v>11042</v>
      </c>
      <c r="U906" s="14">
        <v>419250.59</v>
      </c>
      <c r="V906" s="14">
        <v>6191805.0999999996</v>
      </c>
      <c r="W906" s="14">
        <v>112.31</v>
      </c>
      <c r="X906" s="14">
        <v>200.06</v>
      </c>
    </row>
    <row r="907" spans="1:24" s="14" customFormat="1" x14ac:dyDescent="0.25">
      <c r="A907" s="50">
        <v>45099</v>
      </c>
      <c r="B907" s="57">
        <v>173</v>
      </c>
      <c r="C907" s="36">
        <v>0.32200231481481484</v>
      </c>
      <c r="D907" s="16" t="s">
        <v>177</v>
      </c>
      <c r="E907" s="14" t="s">
        <v>11043</v>
      </c>
      <c r="F907" s="16" t="s">
        <v>1098</v>
      </c>
      <c r="G907" s="16" t="s">
        <v>1495</v>
      </c>
      <c r="H907" s="14">
        <v>-0.86199999999999999</v>
      </c>
      <c r="O907" s="14" t="s">
        <v>11044</v>
      </c>
      <c r="P907" s="14" t="s">
        <v>11045</v>
      </c>
      <c r="Q907" s="14">
        <v>419235.89</v>
      </c>
      <c r="R907" s="14">
        <v>6191810.9299999997</v>
      </c>
      <c r="S907" s="14" t="s">
        <v>11046</v>
      </c>
      <c r="T907" s="14" t="s">
        <v>11047</v>
      </c>
      <c r="U907" s="14">
        <v>419246.33</v>
      </c>
      <c r="V907" s="14">
        <v>6191805.4000000004</v>
      </c>
      <c r="W907" s="14">
        <v>105.74</v>
      </c>
      <c r="X907" s="14">
        <v>150.05000000000001</v>
      </c>
    </row>
    <row r="908" spans="1:24" s="14" customFormat="1" x14ac:dyDescent="0.25">
      <c r="A908" s="50">
        <v>45099</v>
      </c>
      <c r="B908" s="57">
        <v>173</v>
      </c>
      <c r="C908" s="36">
        <v>0.33155092592592594</v>
      </c>
      <c r="D908" s="16" t="s">
        <v>177</v>
      </c>
      <c r="E908" s="14" t="s">
        <v>6362</v>
      </c>
      <c r="F908" s="16" t="s">
        <v>1098</v>
      </c>
      <c r="G908" s="16" t="s">
        <v>1495</v>
      </c>
      <c r="H908" s="14">
        <v>-3.5000000000000003E-2</v>
      </c>
      <c r="O908" s="14" t="s">
        <v>11048</v>
      </c>
      <c r="P908" s="14" t="s">
        <v>11049</v>
      </c>
      <c r="Q908" s="14">
        <v>419086.61</v>
      </c>
      <c r="R908" s="14">
        <v>6190988.9000000004</v>
      </c>
      <c r="S908" s="14" t="s">
        <v>11050</v>
      </c>
      <c r="T908" s="14" t="s">
        <v>11051</v>
      </c>
      <c r="U908" s="14">
        <v>419093.54</v>
      </c>
      <c r="V908" s="14">
        <v>6190980.7199999997</v>
      </c>
      <c r="W908" s="14">
        <v>128.28</v>
      </c>
      <c r="X908" s="14">
        <v>150.05000000000001</v>
      </c>
    </row>
    <row r="909" spans="1:24" s="14" customFormat="1" x14ac:dyDescent="0.25">
      <c r="A909" s="50">
        <v>45099</v>
      </c>
      <c r="B909" s="57">
        <v>173</v>
      </c>
      <c r="C909" s="36">
        <v>0.332974537037037</v>
      </c>
      <c r="D909" s="16" t="s">
        <v>177</v>
      </c>
      <c r="E909" s="52" t="s">
        <v>8182</v>
      </c>
      <c r="F909" s="16" t="s">
        <v>1098</v>
      </c>
      <c r="G909" s="16" t="s">
        <v>1495</v>
      </c>
      <c r="H909" s="14">
        <v>-4.2000000000000003E-2</v>
      </c>
      <c r="O909" s="14" t="s">
        <v>11052</v>
      </c>
      <c r="P909" s="14" t="s">
        <v>11053</v>
      </c>
      <c r="Q909" s="14">
        <v>419084.41</v>
      </c>
      <c r="R909" s="14">
        <v>6190988.4299999997</v>
      </c>
      <c r="S909" s="14" t="s">
        <v>11054</v>
      </c>
      <c r="T909" s="14" t="s">
        <v>11055</v>
      </c>
      <c r="U909" s="14">
        <v>419095.17</v>
      </c>
      <c r="V909" s="14">
        <v>6190984.9500000002</v>
      </c>
      <c r="W909" s="14">
        <v>100.34</v>
      </c>
      <c r="X909" s="14">
        <v>150.05000000000001</v>
      </c>
    </row>
    <row r="910" spans="1:24" s="68" customFormat="1" x14ac:dyDescent="0.25">
      <c r="A910" s="65">
        <v>45099</v>
      </c>
      <c r="B910" s="106">
        <v>173</v>
      </c>
      <c r="C910" s="67">
        <v>0.33620370370370373</v>
      </c>
      <c r="D910" s="66" t="s">
        <v>177</v>
      </c>
      <c r="E910" s="68" t="s">
        <v>11061</v>
      </c>
      <c r="F910" s="66" t="s">
        <v>1098</v>
      </c>
      <c r="G910" s="66" t="s">
        <v>1495</v>
      </c>
      <c r="H910" s="68">
        <v>-2.9000000000000001E-2</v>
      </c>
      <c r="M910" s="68" t="s">
        <v>11056</v>
      </c>
      <c r="O910" s="68" t="s">
        <v>11057</v>
      </c>
      <c r="P910" s="68" t="s">
        <v>11058</v>
      </c>
      <c r="Q910" s="68">
        <v>419083.81</v>
      </c>
      <c r="R910" s="68">
        <v>6190988.4400000004</v>
      </c>
      <c r="S910" s="68" t="s">
        <v>11059</v>
      </c>
      <c r="T910" s="68" t="s">
        <v>11060</v>
      </c>
      <c r="U910" s="68">
        <v>419103.47</v>
      </c>
      <c r="V910" s="68">
        <v>6190976.4699999997</v>
      </c>
      <c r="W910" s="68">
        <v>179.38</v>
      </c>
      <c r="X910" s="68">
        <v>150.05000000000001</v>
      </c>
    </row>
    <row r="911" spans="1:24" s="14" customFormat="1" x14ac:dyDescent="0.25">
      <c r="A911" s="50">
        <v>45099</v>
      </c>
      <c r="B911" s="57">
        <v>173</v>
      </c>
      <c r="C911" s="36">
        <v>0.33797453703703706</v>
      </c>
      <c r="D911" s="16" t="s">
        <v>177</v>
      </c>
      <c r="E911" s="52" t="s">
        <v>65</v>
      </c>
      <c r="F911" s="16" t="s">
        <v>1098</v>
      </c>
      <c r="G911" s="16" t="s">
        <v>1495</v>
      </c>
      <c r="H911" s="14">
        <v>-7.0000000000000001E-3</v>
      </c>
      <c r="I911" s="14" t="s">
        <v>11066</v>
      </c>
      <c r="J911" s="14" t="s">
        <v>11067</v>
      </c>
      <c r="K911" s="14" t="s">
        <v>11068</v>
      </c>
      <c r="L911" s="14" t="s">
        <v>11069</v>
      </c>
      <c r="O911" s="14" t="s">
        <v>11062</v>
      </c>
      <c r="P911" s="14" t="s">
        <v>11063</v>
      </c>
      <c r="Q911" s="14">
        <v>419083.64</v>
      </c>
      <c r="R911" s="14">
        <v>6190970.8300000001</v>
      </c>
      <c r="S911" s="14" t="s">
        <v>11064</v>
      </c>
      <c r="T911" s="14" t="s">
        <v>11065</v>
      </c>
      <c r="U911" s="14">
        <v>419103.67</v>
      </c>
      <c r="V911" s="14">
        <v>6190954.9500000002</v>
      </c>
      <c r="W911" s="14">
        <v>181.01</v>
      </c>
      <c r="X911" s="14">
        <v>150.05000000000001</v>
      </c>
    </row>
    <row r="912" spans="1:24" s="14" customFormat="1" x14ac:dyDescent="0.25">
      <c r="A912" s="50">
        <v>45099</v>
      </c>
      <c r="B912" s="57">
        <v>173</v>
      </c>
      <c r="C912" s="36">
        <v>0.34158564814814812</v>
      </c>
      <c r="D912" s="16" t="s">
        <v>177</v>
      </c>
      <c r="E912" s="52" t="s">
        <v>70</v>
      </c>
      <c r="F912" s="16" t="s">
        <v>1098</v>
      </c>
      <c r="G912" s="16" t="s">
        <v>1495</v>
      </c>
      <c r="H912" s="14">
        <v>0.17399999999999999</v>
      </c>
      <c r="I912" s="14" t="s">
        <v>11066</v>
      </c>
      <c r="J912" s="14" t="s">
        <v>11067</v>
      </c>
      <c r="K912" s="14" t="s">
        <v>11068</v>
      </c>
      <c r="L912" s="14" t="s">
        <v>11074</v>
      </c>
      <c r="O912" s="14" t="s">
        <v>11070</v>
      </c>
      <c r="P912" s="14" t="s">
        <v>11071</v>
      </c>
      <c r="Q912" s="14">
        <v>419083.17</v>
      </c>
      <c r="R912" s="14">
        <v>6190781.2300000004</v>
      </c>
      <c r="S912" s="14" t="s">
        <v>11072</v>
      </c>
      <c r="T912" s="14" t="s">
        <v>11073</v>
      </c>
      <c r="U912" s="14">
        <v>419103.6</v>
      </c>
      <c r="V912" s="14">
        <v>6190774.0599999996</v>
      </c>
      <c r="W912" s="14">
        <v>180.71</v>
      </c>
      <c r="X912" s="14">
        <v>150.05000000000001</v>
      </c>
    </row>
    <row r="913" spans="1:24" s="14" customFormat="1" x14ac:dyDescent="0.25">
      <c r="A913" s="50">
        <v>45099</v>
      </c>
      <c r="B913" s="57">
        <v>173</v>
      </c>
      <c r="C913" s="36">
        <v>0.3442824074074074</v>
      </c>
      <c r="D913" s="16" t="s">
        <v>177</v>
      </c>
      <c r="E913" s="52" t="s">
        <v>65</v>
      </c>
      <c r="F913" s="16" t="s">
        <v>1098</v>
      </c>
      <c r="G913" s="16" t="s">
        <v>1494</v>
      </c>
      <c r="H913" s="14">
        <v>0.16500000000000001</v>
      </c>
      <c r="I913" s="14" t="s">
        <v>11079</v>
      </c>
      <c r="J913" s="14" t="s">
        <v>11080</v>
      </c>
      <c r="K913" s="14" t="s">
        <v>11081</v>
      </c>
      <c r="L913" s="14" t="s">
        <v>11074</v>
      </c>
      <c r="O913" s="14" t="s">
        <v>11075</v>
      </c>
      <c r="P913" s="14" t="s">
        <v>11076</v>
      </c>
      <c r="Q913" s="14">
        <v>419072.74</v>
      </c>
      <c r="R913" s="14">
        <v>6190768.1299999999</v>
      </c>
      <c r="S913" s="14" t="s">
        <v>11077</v>
      </c>
      <c r="T913" s="14" t="s">
        <v>11078</v>
      </c>
      <c r="U913" s="14">
        <v>419094.42</v>
      </c>
      <c r="V913" s="14">
        <v>6190771.7400000002</v>
      </c>
      <c r="W913" s="14">
        <v>358.97</v>
      </c>
      <c r="X913" s="14">
        <v>150.05000000000001</v>
      </c>
    </row>
    <row r="914" spans="1:24" s="14" customFormat="1" x14ac:dyDescent="0.25">
      <c r="A914" s="50">
        <v>45099</v>
      </c>
      <c r="B914" s="57">
        <v>173</v>
      </c>
      <c r="C914" s="36">
        <v>0.34802083333333328</v>
      </c>
      <c r="D914" s="16" t="s">
        <v>177</v>
      </c>
      <c r="E914" s="52" t="s">
        <v>70</v>
      </c>
      <c r="F914" s="16" t="s">
        <v>1098</v>
      </c>
      <c r="G914" s="16" t="s">
        <v>1494</v>
      </c>
      <c r="H914" s="14">
        <v>-2.4E-2</v>
      </c>
      <c r="I914" s="14" t="s">
        <v>11079</v>
      </c>
      <c r="J914" s="14" t="s">
        <v>11080</v>
      </c>
      <c r="K914" s="14" t="s">
        <v>11081</v>
      </c>
      <c r="L914" s="14" t="s">
        <v>11074</v>
      </c>
      <c r="O914" s="14" t="s">
        <v>11082</v>
      </c>
      <c r="P914" s="14" t="s">
        <v>11083</v>
      </c>
      <c r="Q914" s="14">
        <v>419073.59</v>
      </c>
      <c r="R914" s="14">
        <v>6190960.29</v>
      </c>
      <c r="S914" s="14" t="s">
        <v>11084</v>
      </c>
      <c r="T914" s="14" t="s">
        <v>11085</v>
      </c>
      <c r="U914" s="14">
        <v>419094.43</v>
      </c>
      <c r="V914" s="14">
        <v>6190960.3799999999</v>
      </c>
      <c r="W914" s="14">
        <v>0.14000000000000001</v>
      </c>
      <c r="X914" s="14">
        <v>150.05000000000001</v>
      </c>
    </row>
    <row r="915" spans="1:24" s="14" customFormat="1" x14ac:dyDescent="0.25">
      <c r="A915" s="50">
        <v>45099</v>
      </c>
      <c r="B915" s="57">
        <v>173</v>
      </c>
      <c r="C915" s="36">
        <v>0.35057870370370375</v>
      </c>
      <c r="D915" s="16" t="s">
        <v>177</v>
      </c>
      <c r="E915" s="14" t="s">
        <v>65</v>
      </c>
      <c r="F915" s="16" t="s">
        <v>1098</v>
      </c>
      <c r="G915" s="16" t="s">
        <v>1493</v>
      </c>
      <c r="H915" s="14">
        <v>-1.2E-2</v>
      </c>
      <c r="I915" s="14" t="s">
        <v>11090</v>
      </c>
      <c r="J915" s="14" t="s">
        <v>11091</v>
      </c>
      <c r="K915" s="14" t="s">
        <v>11092</v>
      </c>
      <c r="L915" s="14" t="s">
        <v>11093</v>
      </c>
      <c r="O915" s="14" t="s">
        <v>11086</v>
      </c>
      <c r="P915" s="14" t="s">
        <v>11087</v>
      </c>
      <c r="Q915" s="14">
        <v>419063.25</v>
      </c>
      <c r="R915" s="14">
        <v>6190963.7300000004</v>
      </c>
      <c r="S915" s="14" t="s">
        <v>11088</v>
      </c>
      <c r="T915" s="14" t="s">
        <v>11089</v>
      </c>
      <c r="U915" s="14">
        <v>419085.29</v>
      </c>
      <c r="V915" s="14">
        <v>6190959.3300000001</v>
      </c>
      <c r="W915" s="14">
        <v>182.86</v>
      </c>
      <c r="X915" s="14">
        <v>150.05000000000001</v>
      </c>
    </row>
    <row r="916" spans="1:24" s="14" customFormat="1" x14ac:dyDescent="0.25">
      <c r="A916" s="50">
        <v>45099</v>
      </c>
      <c r="B916" s="57">
        <v>173</v>
      </c>
      <c r="C916" s="36">
        <v>0.35395833333333332</v>
      </c>
      <c r="D916" s="16" t="s">
        <v>177</v>
      </c>
      <c r="E916" s="14" t="s">
        <v>70</v>
      </c>
      <c r="F916" s="16" t="s">
        <v>1098</v>
      </c>
      <c r="G916" s="16" t="s">
        <v>1493</v>
      </c>
      <c r="H916" s="14">
        <v>0.17100000000000001</v>
      </c>
      <c r="I916" s="14" t="s">
        <v>11090</v>
      </c>
      <c r="J916" s="14" t="s">
        <v>11091</v>
      </c>
      <c r="K916" s="14" t="s">
        <v>11092</v>
      </c>
      <c r="L916" s="14" t="s">
        <v>11093</v>
      </c>
      <c r="O916" s="14" t="s">
        <v>11094</v>
      </c>
      <c r="P916" s="14" t="s">
        <v>11095</v>
      </c>
      <c r="Q916" s="14">
        <v>419059.75</v>
      </c>
      <c r="R916" s="14">
        <v>6190785.5199999996</v>
      </c>
      <c r="S916" s="14" t="s">
        <v>11096</v>
      </c>
      <c r="T916" s="14" t="s">
        <v>11097</v>
      </c>
      <c r="U916" s="14">
        <v>419085.58</v>
      </c>
      <c r="V916" s="14">
        <v>6190776.3899999997</v>
      </c>
      <c r="W916" s="14">
        <v>180.77</v>
      </c>
      <c r="X916" s="14">
        <v>150.05000000000001</v>
      </c>
    </row>
    <row r="917" spans="1:24" s="14" customFormat="1" x14ac:dyDescent="0.25">
      <c r="A917" s="50">
        <v>45099</v>
      </c>
      <c r="B917" s="57">
        <v>173</v>
      </c>
      <c r="C917" s="36">
        <v>0.35706018518518517</v>
      </c>
      <c r="D917" s="16" t="s">
        <v>177</v>
      </c>
      <c r="E917" s="52" t="s">
        <v>65</v>
      </c>
      <c r="F917" s="16" t="s">
        <v>1098</v>
      </c>
      <c r="G917" s="16" t="s">
        <v>1492</v>
      </c>
      <c r="H917" s="14">
        <v>0.16800000000000001</v>
      </c>
      <c r="I917" s="14" t="s">
        <v>11102</v>
      </c>
      <c r="J917" s="14" t="s">
        <v>11103</v>
      </c>
      <c r="K917" s="14" t="s">
        <v>11104</v>
      </c>
      <c r="L917" s="14" t="s">
        <v>11093</v>
      </c>
      <c r="O917" s="14" t="s">
        <v>11098</v>
      </c>
      <c r="P917" s="14" t="s">
        <v>11099</v>
      </c>
      <c r="Q917" s="14">
        <v>419050.45</v>
      </c>
      <c r="R917" s="14">
        <v>6190769.29</v>
      </c>
      <c r="S917" s="14" t="s">
        <v>11100</v>
      </c>
      <c r="T917" s="14" t="s">
        <v>11101</v>
      </c>
      <c r="U917" s="14">
        <v>419076.44</v>
      </c>
      <c r="V917" s="14">
        <v>6190768.7800000003</v>
      </c>
      <c r="W917" s="14">
        <v>359.47</v>
      </c>
      <c r="X917" s="14">
        <v>150.05000000000001</v>
      </c>
    </row>
    <row r="918" spans="1:24" s="14" customFormat="1" x14ac:dyDescent="0.25">
      <c r="A918" s="50">
        <v>45099</v>
      </c>
      <c r="B918" s="57">
        <v>173</v>
      </c>
      <c r="C918" s="36">
        <v>0.36074074074074075</v>
      </c>
      <c r="D918" s="16" t="s">
        <v>177</v>
      </c>
      <c r="E918" s="14" t="s">
        <v>70</v>
      </c>
      <c r="F918" s="16" t="s">
        <v>1098</v>
      </c>
      <c r="G918" s="16" t="s">
        <v>1492</v>
      </c>
      <c r="H918" s="14">
        <v>-2.1999999999999999E-2</v>
      </c>
      <c r="I918" s="14" t="s">
        <v>11102</v>
      </c>
      <c r="J918" s="14" t="s">
        <v>11103</v>
      </c>
      <c r="K918" s="14" t="s">
        <v>11104</v>
      </c>
      <c r="L918" s="14" t="s">
        <v>11093</v>
      </c>
      <c r="O918" s="14" t="s">
        <v>11105</v>
      </c>
      <c r="P918" s="14" t="s">
        <v>11106</v>
      </c>
      <c r="Q918" s="14">
        <v>419051.83</v>
      </c>
      <c r="R918" s="14">
        <v>6190960.7699999996</v>
      </c>
      <c r="S918" s="14" t="s">
        <v>11107</v>
      </c>
      <c r="T918" s="14" t="s">
        <v>11108</v>
      </c>
      <c r="U918" s="14">
        <v>419076.4</v>
      </c>
      <c r="V918" s="14">
        <v>6190958.6299999999</v>
      </c>
      <c r="W918" s="14">
        <v>359.95</v>
      </c>
      <c r="X918" s="14">
        <v>150.05000000000001</v>
      </c>
    </row>
    <row r="919" spans="1:24" s="14" customFormat="1" x14ac:dyDescent="0.25">
      <c r="A919" s="50">
        <v>45099</v>
      </c>
      <c r="B919" s="57">
        <v>173</v>
      </c>
      <c r="C919" s="36">
        <v>0.36403935185185188</v>
      </c>
      <c r="D919" s="16" t="s">
        <v>177</v>
      </c>
      <c r="E919" s="14" t="s">
        <v>65</v>
      </c>
      <c r="F919" s="16" t="s">
        <v>1098</v>
      </c>
      <c r="G919" s="16" t="s">
        <v>1491</v>
      </c>
      <c r="H919" s="14">
        <v>-1.6E-2</v>
      </c>
      <c r="I919" s="14" t="s">
        <v>11113</v>
      </c>
      <c r="J919" s="14" t="s">
        <v>11114</v>
      </c>
      <c r="K919" s="14" t="s">
        <v>11115</v>
      </c>
      <c r="L919" s="14" t="s">
        <v>11116</v>
      </c>
      <c r="O919" s="14" t="s">
        <v>11109</v>
      </c>
      <c r="P919" s="14" t="s">
        <v>11110</v>
      </c>
      <c r="Q919" s="14">
        <v>419043.33</v>
      </c>
      <c r="R919" s="14">
        <v>6190974.9400000004</v>
      </c>
      <c r="S919" s="14" t="s">
        <v>11111</v>
      </c>
      <c r="T919" s="14" t="s">
        <v>11112</v>
      </c>
      <c r="U919" s="14">
        <v>419067.49</v>
      </c>
      <c r="V919" s="14">
        <v>6190963.2599999998</v>
      </c>
      <c r="W919" s="14">
        <v>180.62</v>
      </c>
      <c r="X919" s="14">
        <v>150.05000000000001</v>
      </c>
    </row>
    <row r="920" spans="1:24" s="14" customFormat="1" x14ac:dyDescent="0.25">
      <c r="A920" s="50">
        <v>45099</v>
      </c>
      <c r="B920" s="57">
        <v>173</v>
      </c>
      <c r="C920" s="36">
        <v>0.36759259259259264</v>
      </c>
      <c r="D920" s="16" t="s">
        <v>177</v>
      </c>
      <c r="E920" s="14" t="s">
        <v>70</v>
      </c>
      <c r="F920" s="16" t="s">
        <v>1098</v>
      </c>
      <c r="G920" s="16" t="s">
        <v>1491</v>
      </c>
      <c r="H920" s="14">
        <v>0.17199999999999999</v>
      </c>
      <c r="I920" s="14" t="s">
        <v>11113</v>
      </c>
      <c r="J920" s="14" t="s">
        <v>11114</v>
      </c>
      <c r="K920" s="14" t="s">
        <v>11115</v>
      </c>
      <c r="L920" s="14" t="s">
        <v>11116</v>
      </c>
      <c r="O920" s="14" t="s">
        <v>11117</v>
      </c>
      <c r="P920" s="14" t="s">
        <v>11118</v>
      </c>
      <c r="Q920" s="14">
        <v>419042.65</v>
      </c>
      <c r="R920" s="14">
        <v>6190787.2699999996</v>
      </c>
      <c r="S920" s="14" t="s">
        <v>11119</v>
      </c>
      <c r="T920" s="14" t="s">
        <v>11120</v>
      </c>
      <c r="U920" s="14">
        <v>419067.54</v>
      </c>
      <c r="V920" s="14">
        <v>6190775.6500000004</v>
      </c>
      <c r="W920" s="14">
        <v>180.71</v>
      </c>
      <c r="X920" s="14">
        <v>150.05000000000001</v>
      </c>
    </row>
    <row r="921" spans="1:24" s="14" customFormat="1" x14ac:dyDescent="0.25">
      <c r="A921" s="50">
        <v>45099</v>
      </c>
      <c r="B921" s="57">
        <v>173</v>
      </c>
      <c r="C921" s="36">
        <v>0.37055555555555553</v>
      </c>
      <c r="D921" s="16" t="s">
        <v>177</v>
      </c>
      <c r="E921" s="14" t="s">
        <v>65</v>
      </c>
      <c r="F921" s="16" t="s">
        <v>1098</v>
      </c>
      <c r="G921" s="16" t="s">
        <v>1490</v>
      </c>
      <c r="H921" s="14">
        <v>0.16600000000000001</v>
      </c>
      <c r="I921" s="14" t="s">
        <v>11125</v>
      </c>
      <c r="J921" s="14" t="s">
        <v>11126</v>
      </c>
      <c r="K921" s="14" t="s">
        <v>11127</v>
      </c>
      <c r="L921" s="14" t="s">
        <v>11116</v>
      </c>
      <c r="O921" s="14" t="s">
        <v>11121</v>
      </c>
      <c r="P921" s="14" t="s">
        <v>11122</v>
      </c>
      <c r="Q921" s="14">
        <v>419032.82</v>
      </c>
      <c r="R921" s="14">
        <v>6190772.2199999997</v>
      </c>
      <c r="S921" s="14" t="s">
        <v>11123</v>
      </c>
      <c r="T921" s="14" t="s">
        <v>11124</v>
      </c>
      <c r="U921" s="14">
        <v>419058.52</v>
      </c>
      <c r="V921" s="14">
        <v>6190770.4000000004</v>
      </c>
      <c r="W921" s="14">
        <v>359.41</v>
      </c>
      <c r="X921" s="14">
        <v>150.05000000000001</v>
      </c>
    </row>
    <row r="922" spans="1:24" s="14" customFormat="1" x14ac:dyDescent="0.25">
      <c r="A922" s="50">
        <v>45099</v>
      </c>
      <c r="B922" s="57">
        <v>173</v>
      </c>
      <c r="C922" s="36">
        <v>0.37410879629629629</v>
      </c>
      <c r="D922" s="16" t="s">
        <v>177</v>
      </c>
      <c r="E922" s="14" t="s">
        <v>70</v>
      </c>
      <c r="F922" s="16" t="s">
        <v>1098</v>
      </c>
      <c r="G922" s="16" t="s">
        <v>1490</v>
      </c>
      <c r="H922" s="14">
        <v>-2.1000000000000001E-2</v>
      </c>
      <c r="I922" s="14" t="s">
        <v>11125</v>
      </c>
      <c r="J922" s="14" t="s">
        <v>11126</v>
      </c>
      <c r="K922" s="14" t="s">
        <v>11127</v>
      </c>
      <c r="L922" s="14" t="s">
        <v>11132</v>
      </c>
      <c r="O922" s="14" t="s">
        <v>11128</v>
      </c>
      <c r="P922" s="14" t="s">
        <v>11129</v>
      </c>
      <c r="Q922" s="14">
        <v>419033.89</v>
      </c>
      <c r="R922" s="14">
        <v>6190958.1799999997</v>
      </c>
      <c r="S922" s="14" t="s">
        <v>11130</v>
      </c>
      <c r="T922" s="14" t="s">
        <v>11131</v>
      </c>
      <c r="U922" s="14">
        <v>419058.53</v>
      </c>
      <c r="V922" s="14">
        <v>6190957.25</v>
      </c>
      <c r="W922" s="14">
        <v>359.74</v>
      </c>
      <c r="X922" s="14">
        <v>150.05000000000001</v>
      </c>
    </row>
    <row r="923" spans="1:24" s="14" customFormat="1" x14ac:dyDescent="0.25">
      <c r="A923" s="50">
        <v>45099</v>
      </c>
      <c r="B923" s="57">
        <v>173</v>
      </c>
      <c r="C923" s="36">
        <v>0.37649305555555551</v>
      </c>
      <c r="D923" s="16" t="s">
        <v>177</v>
      </c>
      <c r="E923" s="52" t="s">
        <v>65</v>
      </c>
      <c r="F923" s="16" t="s">
        <v>1098</v>
      </c>
      <c r="G923" s="16" t="s">
        <v>1484</v>
      </c>
      <c r="H923" s="14">
        <v>-1.2999999999999999E-2</v>
      </c>
      <c r="I923" s="14" t="s">
        <v>11137</v>
      </c>
      <c r="J923" s="14" t="s">
        <v>11138</v>
      </c>
      <c r="K923" s="14" t="s">
        <v>11139</v>
      </c>
      <c r="L923" s="14" t="s">
        <v>11132</v>
      </c>
      <c r="O923" s="14" t="s">
        <v>11133</v>
      </c>
      <c r="P923" s="14" t="s">
        <v>11134</v>
      </c>
      <c r="Q923" s="14">
        <v>419026.46</v>
      </c>
      <c r="R923" s="14">
        <v>6190968.46</v>
      </c>
      <c r="S923" s="14" t="s">
        <v>11135</v>
      </c>
      <c r="T923" s="14" t="s">
        <v>11136</v>
      </c>
      <c r="U923" s="14">
        <v>419049.58</v>
      </c>
      <c r="V923" s="14">
        <v>6190960.2400000002</v>
      </c>
      <c r="W923" s="14">
        <v>181.01</v>
      </c>
      <c r="X923" s="14">
        <v>150.05000000000001</v>
      </c>
    </row>
    <row r="924" spans="1:24" s="14" customFormat="1" x14ac:dyDescent="0.25">
      <c r="A924" s="50">
        <v>45099</v>
      </c>
      <c r="B924" s="57">
        <v>173</v>
      </c>
      <c r="C924" s="36">
        <v>0.38002314814814814</v>
      </c>
      <c r="D924" s="16" t="s">
        <v>177</v>
      </c>
      <c r="E924" s="52" t="s">
        <v>70</v>
      </c>
      <c r="F924" s="16" t="s">
        <v>1098</v>
      </c>
      <c r="G924" s="16" t="s">
        <v>1484</v>
      </c>
      <c r="H924" s="14">
        <v>0.17399999999999999</v>
      </c>
      <c r="I924" s="14" t="s">
        <v>11137</v>
      </c>
      <c r="J924" s="14" t="s">
        <v>11138</v>
      </c>
      <c r="K924" s="14" t="s">
        <v>11139</v>
      </c>
      <c r="L924" s="14" t="s">
        <v>11132</v>
      </c>
      <c r="O924" s="14" t="s">
        <v>11140</v>
      </c>
      <c r="P924" s="14" t="s">
        <v>11141</v>
      </c>
      <c r="Q924" s="14">
        <v>419024.31</v>
      </c>
      <c r="R924" s="14">
        <v>6190782.3799999999</v>
      </c>
      <c r="S924" s="14" t="s">
        <v>11142</v>
      </c>
      <c r="T924" s="14" t="s">
        <v>11143</v>
      </c>
      <c r="U924" s="14">
        <v>419049.51</v>
      </c>
      <c r="V924" s="14">
        <v>6190774.0999999996</v>
      </c>
      <c r="W924" s="14">
        <v>179.75</v>
      </c>
      <c r="X924" s="14">
        <v>150.05000000000001</v>
      </c>
    </row>
    <row r="925" spans="1:24" s="14" customFormat="1" x14ac:dyDescent="0.25">
      <c r="A925" s="50">
        <v>45099</v>
      </c>
      <c r="B925" s="57">
        <v>173</v>
      </c>
      <c r="C925" s="36">
        <v>0.38271990740740741</v>
      </c>
      <c r="D925" s="16" t="s">
        <v>177</v>
      </c>
      <c r="E925" s="14" t="s">
        <v>65</v>
      </c>
      <c r="F925" s="16" t="s">
        <v>1098</v>
      </c>
      <c r="G925" s="16" t="s">
        <v>1485</v>
      </c>
      <c r="H925" s="14">
        <v>0.16900000000000001</v>
      </c>
      <c r="I925" s="14" t="s">
        <v>11148</v>
      </c>
      <c r="J925" s="14" t="s">
        <v>11149</v>
      </c>
      <c r="K925" s="14" t="s">
        <v>11150</v>
      </c>
      <c r="L925" s="14" t="s">
        <v>11151</v>
      </c>
      <c r="O925" s="14" t="s">
        <v>11144</v>
      </c>
      <c r="P925" s="14" t="s">
        <v>11145</v>
      </c>
      <c r="Q925" s="14">
        <v>419015.2</v>
      </c>
      <c r="R925" s="14">
        <v>6190771.9400000004</v>
      </c>
      <c r="S925" s="14" t="s">
        <v>11146</v>
      </c>
      <c r="T925" s="14" t="s">
        <v>11147</v>
      </c>
      <c r="U925" s="14">
        <v>419040.55</v>
      </c>
      <c r="V925" s="14">
        <v>6190767.25</v>
      </c>
      <c r="W925" s="14">
        <v>359.66</v>
      </c>
      <c r="X925" s="14">
        <v>150.05000000000001</v>
      </c>
    </row>
    <row r="926" spans="1:24" s="14" customFormat="1" x14ac:dyDescent="0.25">
      <c r="A926" s="50">
        <v>45099</v>
      </c>
      <c r="B926" s="57">
        <v>173</v>
      </c>
      <c r="C926" s="36">
        <v>0.38644675925925925</v>
      </c>
      <c r="D926" s="16" t="s">
        <v>177</v>
      </c>
      <c r="E926" s="52" t="s">
        <v>70</v>
      </c>
      <c r="F926" s="16" t="s">
        <v>1098</v>
      </c>
      <c r="G926" s="16" t="s">
        <v>1485</v>
      </c>
      <c r="H926" s="14">
        <v>-2.8000000000000001E-2</v>
      </c>
      <c r="I926" s="14" t="s">
        <v>11148</v>
      </c>
      <c r="J926" s="14" t="s">
        <v>11149</v>
      </c>
      <c r="K926" s="14" t="s">
        <v>11150</v>
      </c>
      <c r="L926" s="14" t="s">
        <v>11151</v>
      </c>
      <c r="O926" s="14" t="s">
        <v>11152</v>
      </c>
      <c r="P926" s="14" t="s">
        <v>11153</v>
      </c>
      <c r="Q926" s="14">
        <v>419016.4</v>
      </c>
      <c r="R926" s="14">
        <v>6190968.5199999996</v>
      </c>
      <c r="S926" s="14" t="s">
        <v>11154</v>
      </c>
      <c r="T926" s="14" t="s">
        <v>11155</v>
      </c>
      <c r="U926" s="14">
        <v>419040.61</v>
      </c>
      <c r="V926" s="14">
        <v>6190964.21</v>
      </c>
      <c r="W926" s="14">
        <v>359.87</v>
      </c>
      <c r="X926" s="14">
        <v>150.05000000000001</v>
      </c>
    </row>
    <row r="927" spans="1:24" s="14" customFormat="1" x14ac:dyDescent="0.25">
      <c r="A927" s="50">
        <v>45099</v>
      </c>
      <c r="B927" s="57"/>
      <c r="C927" s="36">
        <v>0.38866898148148149</v>
      </c>
      <c r="D927" s="16" t="s">
        <v>177</v>
      </c>
      <c r="E927" s="14" t="s">
        <v>65</v>
      </c>
      <c r="F927" s="16" t="s">
        <v>1098</v>
      </c>
      <c r="G927" s="16" t="s">
        <v>1486</v>
      </c>
      <c r="I927" s="14" t="s">
        <v>11183</v>
      </c>
      <c r="J927" s="14" t="s">
        <v>11180</v>
      </c>
      <c r="K927" s="14" t="s">
        <v>11197</v>
      </c>
      <c r="L927" s="14" t="s">
        <v>11151</v>
      </c>
    </row>
    <row r="928" spans="1:24" s="14" customFormat="1" x14ac:dyDescent="0.25">
      <c r="A928" s="50">
        <v>45099</v>
      </c>
      <c r="B928" s="57"/>
      <c r="C928" s="36">
        <v>0.39229166666666665</v>
      </c>
      <c r="D928" s="16" t="s">
        <v>177</v>
      </c>
      <c r="E928" s="14" t="s">
        <v>70</v>
      </c>
      <c r="F928" s="16" t="s">
        <v>1098</v>
      </c>
      <c r="G928" s="16" t="s">
        <v>1486</v>
      </c>
      <c r="I928" s="14" t="s">
        <v>11183</v>
      </c>
      <c r="J928" s="14" t="s">
        <v>11180</v>
      </c>
      <c r="K928" s="14" t="s">
        <v>11197</v>
      </c>
      <c r="L928" s="14" t="s">
        <v>11151</v>
      </c>
    </row>
    <row r="929" spans="1:24" s="14" customFormat="1" x14ac:dyDescent="0.25">
      <c r="A929" s="50">
        <v>45099</v>
      </c>
      <c r="B929" s="57"/>
      <c r="C929" s="36">
        <v>0.39497685185185188</v>
      </c>
      <c r="D929" s="16" t="s">
        <v>177</v>
      </c>
      <c r="E929" s="52" t="s">
        <v>65</v>
      </c>
      <c r="F929" s="16" t="s">
        <v>1098</v>
      </c>
      <c r="G929" s="16" t="s">
        <v>1487</v>
      </c>
      <c r="I929" s="14" t="s">
        <v>11184</v>
      </c>
      <c r="J929" s="14" t="s">
        <v>11181</v>
      </c>
      <c r="K929" s="14" t="s">
        <v>11198</v>
      </c>
      <c r="L929" s="14" t="s">
        <v>11151</v>
      </c>
    </row>
    <row r="930" spans="1:24" s="14" customFormat="1" x14ac:dyDescent="0.25">
      <c r="A930" s="50">
        <v>45099</v>
      </c>
      <c r="B930" s="57"/>
      <c r="C930" s="36">
        <v>0.39857638888888891</v>
      </c>
      <c r="D930" s="16" t="s">
        <v>177</v>
      </c>
      <c r="E930" s="14" t="s">
        <v>70</v>
      </c>
      <c r="F930" s="16" t="s">
        <v>1098</v>
      </c>
      <c r="G930" s="16" t="s">
        <v>1487</v>
      </c>
      <c r="I930" s="14" t="s">
        <v>11184</v>
      </c>
      <c r="J930" s="14" t="s">
        <v>11181</v>
      </c>
      <c r="K930" s="14" t="s">
        <v>11198</v>
      </c>
      <c r="L930" s="14" t="s">
        <v>11151</v>
      </c>
    </row>
    <row r="931" spans="1:24" s="14" customFormat="1" x14ac:dyDescent="0.25">
      <c r="A931" s="50">
        <v>45099</v>
      </c>
      <c r="B931" s="57"/>
      <c r="C931" s="36">
        <v>0.40084490740740741</v>
      </c>
      <c r="D931" s="16" t="s">
        <v>177</v>
      </c>
      <c r="E931" s="14" t="s">
        <v>65</v>
      </c>
      <c r="F931" s="16" t="s">
        <v>1098</v>
      </c>
      <c r="G931" s="16" t="s">
        <v>1488</v>
      </c>
      <c r="I931" s="14" t="s">
        <v>11185</v>
      </c>
      <c r="J931" s="14" t="s">
        <v>11182</v>
      </c>
      <c r="K931" s="14" t="s">
        <v>11199</v>
      </c>
      <c r="L931" s="14" t="s">
        <v>11212</v>
      </c>
    </row>
    <row r="932" spans="1:24" s="14" customFormat="1" x14ac:dyDescent="0.25">
      <c r="A932" s="50">
        <v>45099</v>
      </c>
      <c r="B932" s="57"/>
      <c r="C932" s="36">
        <v>0.40446759259259263</v>
      </c>
      <c r="D932" s="16" t="s">
        <v>177</v>
      </c>
      <c r="E932" s="14" t="s">
        <v>70</v>
      </c>
      <c r="F932" s="16" t="s">
        <v>1098</v>
      </c>
      <c r="G932" s="16" t="s">
        <v>1488</v>
      </c>
      <c r="I932" s="14" t="s">
        <v>11185</v>
      </c>
      <c r="J932" s="14" t="s">
        <v>11182</v>
      </c>
      <c r="K932" s="14" t="s">
        <v>11199</v>
      </c>
      <c r="L932" s="14" t="s">
        <v>11200</v>
      </c>
    </row>
    <row r="933" spans="1:24" s="14" customFormat="1" x14ac:dyDescent="0.25">
      <c r="A933" s="50">
        <v>45099</v>
      </c>
      <c r="B933" s="57"/>
      <c r="C933" s="36">
        <v>0.40726851851851853</v>
      </c>
      <c r="D933" s="16" t="s">
        <v>177</v>
      </c>
      <c r="E933" s="14" t="s">
        <v>65</v>
      </c>
      <c r="F933" s="16" t="s">
        <v>1098</v>
      </c>
      <c r="G933" s="16" t="s">
        <v>1489</v>
      </c>
      <c r="I933" s="14" t="s">
        <v>11161</v>
      </c>
      <c r="J933" s="14" t="s">
        <v>11162</v>
      </c>
      <c r="K933" s="14" t="s">
        <v>11163</v>
      </c>
      <c r="L933" s="14" t="s">
        <v>11200</v>
      </c>
    </row>
    <row r="934" spans="1:24" s="14" customFormat="1" x14ac:dyDescent="0.25">
      <c r="A934" s="50">
        <v>45099</v>
      </c>
      <c r="B934" s="57"/>
      <c r="C934" s="36">
        <v>0.4107407407407408</v>
      </c>
      <c r="D934" s="16" t="s">
        <v>177</v>
      </c>
      <c r="E934" s="14" t="s">
        <v>70</v>
      </c>
      <c r="F934" s="16" t="s">
        <v>1098</v>
      </c>
      <c r="G934" s="16" t="s">
        <v>1489</v>
      </c>
      <c r="I934" s="14" t="s">
        <v>11161</v>
      </c>
      <c r="J934" s="14" t="s">
        <v>11162</v>
      </c>
      <c r="K934" s="14" t="s">
        <v>11163</v>
      </c>
      <c r="L934" s="14" t="s">
        <v>11213</v>
      </c>
    </row>
    <row r="935" spans="1:24" s="14" customFormat="1" x14ac:dyDescent="0.25">
      <c r="A935" s="50">
        <v>45099</v>
      </c>
      <c r="B935" s="57">
        <v>173</v>
      </c>
      <c r="C935" s="36">
        <v>0.4140625</v>
      </c>
      <c r="D935" s="16" t="s">
        <v>177</v>
      </c>
      <c r="E935" s="52" t="s">
        <v>11160</v>
      </c>
      <c r="F935" s="16" t="s">
        <v>1098</v>
      </c>
      <c r="G935" s="16" t="s">
        <v>1486</v>
      </c>
      <c r="H935" s="14">
        <v>-2.1000000000000001E-2</v>
      </c>
      <c r="O935" s="14" t="s">
        <v>11156</v>
      </c>
      <c r="P935" s="14" t="s">
        <v>11157</v>
      </c>
      <c r="Q935" s="14">
        <v>419007.84</v>
      </c>
      <c r="R935" s="14">
        <v>6190977.4299999997</v>
      </c>
      <c r="S935" s="14" t="s">
        <v>11158</v>
      </c>
      <c r="T935" s="14" t="s">
        <v>11159</v>
      </c>
      <c r="U935" s="14">
        <v>419031.65</v>
      </c>
      <c r="V935" s="14">
        <v>6190968.6799999997</v>
      </c>
      <c r="W935" s="14">
        <v>182.83</v>
      </c>
      <c r="X935" s="14">
        <v>150.05000000000001</v>
      </c>
    </row>
    <row r="936" spans="1:24" s="14" customFormat="1" x14ac:dyDescent="0.25">
      <c r="A936" s="50">
        <v>45099</v>
      </c>
      <c r="B936" s="57">
        <v>173</v>
      </c>
      <c r="C936" s="36">
        <v>0.42818287037037034</v>
      </c>
      <c r="D936" s="16" t="s">
        <v>177</v>
      </c>
      <c r="E936" s="52" t="s">
        <v>11211</v>
      </c>
      <c r="F936" s="16" t="s">
        <v>1098</v>
      </c>
      <c r="G936" s="16" t="s">
        <v>11165</v>
      </c>
      <c r="H936" s="14">
        <v>-3.3000000000000002E-2</v>
      </c>
      <c r="O936" s="14" t="s">
        <v>11166</v>
      </c>
      <c r="P936" s="14" t="s">
        <v>11167</v>
      </c>
      <c r="Q936" s="14">
        <v>418509.45</v>
      </c>
      <c r="R936" s="14">
        <v>6188818.0199999996</v>
      </c>
      <c r="S936" s="14" t="s">
        <v>11168</v>
      </c>
      <c r="T936" s="14" t="s">
        <v>11169</v>
      </c>
      <c r="U936" s="14">
        <v>418519.66</v>
      </c>
      <c r="V936" s="14">
        <v>6188810.6600000001</v>
      </c>
      <c r="W936" s="14">
        <v>108.53</v>
      </c>
      <c r="X936" s="14">
        <v>150.05000000000001</v>
      </c>
    </row>
    <row r="937" spans="1:24" s="68" customFormat="1" x14ac:dyDescent="0.25">
      <c r="A937" s="65">
        <v>45099</v>
      </c>
      <c r="B937" s="106">
        <v>173</v>
      </c>
      <c r="C937" s="67">
        <v>0.42907407407407411</v>
      </c>
      <c r="D937" s="66" t="s">
        <v>177</v>
      </c>
      <c r="E937" s="88" t="s">
        <v>64</v>
      </c>
      <c r="F937" s="66" t="s">
        <v>1098</v>
      </c>
      <c r="G937" s="66" t="s">
        <v>11165</v>
      </c>
      <c r="H937" s="68">
        <v>-2.8000000000000001E-2</v>
      </c>
      <c r="M937" s="68" t="s">
        <v>11170</v>
      </c>
      <c r="O937" s="68" t="s">
        <v>11171</v>
      </c>
      <c r="P937" s="68" t="s">
        <v>11172</v>
      </c>
      <c r="Q937" s="68">
        <v>418509.26</v>
      </c>
      <c r="R937" s="68">
        <v>6188818.21</v>
      </c>
      <c r="S937" s="68" t="s">
        <v>11173</v>
      </c>
      <c r="T937" s="68" t="s">
        <v>11174</v>
      </c>
      <c r="U937" s="68">
        <v>418532.67</v>
      </c>
      <c r="V937" s="68">
        <v>6188809.4900000002</v>
      </c>
      <c r="W937" s="68">
        <v>182.93</v>
      </c>
      <c r="X937" s="68">
        <v>150.05000000000001</v>
      </c>
    </row>
    <row r="938" spans="1:24" s="14" customFormat="1" x14ac:dyDescent="0.25">
      <c r="A938" s="50">
        <v>45099</v>
      </c>
      <c r="B938" s="57">
        <v>173</v>
      </c>
      <c r="C938" s="36">
        <v>0.43282407407407408</v>
      </c>
      <c r="D938" s="16" t="s">
        <v>97</v>
      </c>
      <c r="E938" s="14" t="s">
        <v>65</v>
      </c>
      <c r="F938" s="16" t="s">
        <v>1098</v>
      </c>
      <c r="G938" s="16" t="s">
        <v>11165</v>
      </c>
      <c r="H938" s="14">
        <v>-2.1999999999999999E-2</v>
      </c>
      <c r="I938" s="14" t="s">
        <v>11179</v>
      </c>
      <c r="L938" s="14" t="s">
        <v>11164</v>
      </c>
      <c r="O938" s="14" t="s">
        <v>11175</v>
      </c>
      <c r="P938" s="14" t="s">
        <v>11176</v>
      </c>
      <c r="Q938" s="14">
        <v>418508.49</v>
      </c>
      <c r="R938" s="14">
        <v>6188809.8499999996</v>
      </c>
      <c r="S938" s="14" t="s">
        <v>11177</v>
      </c>
      <c r="T938" s="14" t="s">
        <v>11178</v>
      </c>
      <c r="U938" s="14">
        <v>418532.01</v>
      </c>
      <c r="V938" s="14">
        <v>6188802.8499999996</v>
      </c>
      <c r="W938" s="14">
        <v>181.04</v>
      </c>
      <c r="X938" s="14">
        <v>150.05000000000001</v>
      </c>
    </row>
    <row r="939" spans="1:24" s="14" customFormat="1" x14ac:dyDescent="0.25">
      <c r="A939" s="50">
        <v>45099</v>
      </c>
      <c r="B939" s="57">
        <v>173</v>
      </c>
      <c r="C939" s="36">
        <v>0.43723379629629627</v>
      </c>
      <c r="D939" s="16" t="s">
        <v>97</v>
      </c>
      <c r="E939" s="14" t="s">
        <v>70</v>
      </c>
      <c r="F939" s="16" t="s">
        <v>1098</v>
      </c>
      <c r="G939" s="16" t="s">
        <v>11165</v>
      </c>
      <c r="H939" s="14">
        <v>0.17199999999999999</v>
      </c>
      <c r="I939" s="14" t="s">
        <v>11179</v>
      </c>
      <c r="L939" s="14" t="s">
        <v>11190</v>
      </c>
      <c r="O939" s="14" t="s">
        <v>11186</v>
      </c>
      <c r="P939" s="14" t="s">
        <v>11187</v>
      </c>
      <c r="Q939" s="14">
        <v>418508.75</v>
      </c>
      <c r="R939" s="14">
        <v>6188618.6600000001</v>
      </c>
      <c r="S939" s="14" t="s">
        <v>11188</v>
      </c>
      <c r="T939" s="14" t="s">
        <v>11189</v>
      </c>
      <c r="U939" s="14">
        <v>418531.91</v>
      </c>
      <c r="V939" s="14">
        <v>6188609.2699999996</v>
      </c>
      <c r="W939" s="14">
        <v>179.57</v>
      </c>
      <c r="X939" s="14">
        <v>150.05000000000001</v>
      </c>
    </row>
    <row r="940" spans="1:24" s="14" customFormat="1" x14ac:dyDescent="0.25">
      <c r="A940" s="50">
        <v>45099</v>
      </c>
      <c r="B940" s="57">
        <v>173</v>
      </c>
      <c r="C940" s="36">
        <v>0.44016203703703699</v>
      </c>
      <c r="D940" s="16" t="s">
        <v>97</v>
      </c>
      <c r="E940" s="14" t="s">
        <v>65</v>
      </c>
      <c r="F940" s="16" t="s">
        <v>1098</v>
      </c>
      <c r="G940" s="16" t="s">
        <v>11191</v>
      </c>
      <c r="H940" s="14">
        <v>0.16600000000000001</v>
      </c>
      <c r="I940" s="14" t="s">
        <v>11196</v>
      </c>
      <c r="L940" s="14" t="s">
        <v>11190</v>
      </c>
      <c r="O940" s="14" t="s">
        <v>11192</v>
      </c>
      <c r="P940" s="14" t="s">
        <v>11193</v>
      </c>
      <c r="Q940" s="14">
        <v>418489.27</v>
      </c>
      <c r="R940" s="14">
        <v>6188613.1500000004</v>
      </c>
      <c r="S940" s="14" t="s">
        <v>11194</v>
      </c>
      <c r="T940" s="14" t="s">
        <v>11195</v>
      </c>
      <c r="U940" s="14">
        <v>418513.86</v>
      </c>
      <c r="V940" s="14">
        <v>6188604.1399999997</v>
      </c>
      <c r="W940" s="14">
        <v>0.47</v>
      </c>
      <c r="X940" s="14">
        <v>150.05000000000001</v>
      </c>
    </row>
    <row r="941" spans="1:24" s="14" customFormat="1" x14ac:dyDescent="0.25">
      <c r="A941" s="50">
        <v>45099</v>
      </c>
      <c r="B941" s="57">
        <v>173</v>
      </c>
      <c r="C941" s="36">
        <v>0.44443287037037038</v>
      </c>
      <c r="D941" s="16" t="s">
        <v>97</v>
      </c>
      <c r="E941" s="14" t="s">
        <v>70</v>
      </c>
      <c r="F941" s="16" t="s">
        <v>1098</v>
      </c>
      <c r="G941" s="16" t="s">
        <v>11191</v>
      </c>
      <c r="H941" s="14">
        <v>-2.3E-2</v>
      </c>
      <c r="I941" s="14" t="s">
        <v>11196</v>
      </c>
      <c r="L941" s="14" t="s">
        <v>11205</v>
      </c>
      <c r="O941" s="14" t="s">
        <v>11201</v>
      </c>
      <c r="P941" s="14" t="s">
        <v>11202</v>
      </c>
      <c r="Q941" s="14">
        <v>418489.39</v>
      </c>
      <c r="R941" s="14">
        <v>6188801.6200000001</v>
      </c>
      <c r="S941" s="14" t="s">
        <v>11203</v>
      </c>
      <c r="T941" s="14" t="s">
        <v>11204</v>
      </c>
      <c r="U941" s="14">
        <v>418513.97</v>
      </c>
      <c r="V941" s="14">
        <v>6188793.1100000003</v>
      </c>
      <c r="W941" s="14">
        <v>359.26</v>
      </c>
      <c r="X941" s="14">
        <v>150.05000000000001</v>
      </c>
    </row>
    <row r="942" spans="1:24" s="14" customFormat="1" x14ac:dyDescent="0.25">
      <c r="A942" s="50">
        <v>45099</v>
      </c>
      <c r="B942" s="57">
        <v>173</v>
      </c>
      <c r="C942" s="36">
        <v>0.44931712962962966</v>
      </c>
      <c r="D942" s="16" t="s">
        <v>97</v>
      </c>
      <c r="E942" s="14" t="s">
        <v>11160</v>
      </c>
      <c r="F942" s="16" t="s">
        <v>8759</v>
      </c>
      <c r="G942" s="16" t="s">
        <v>1676</v>
      </c>
      <c r="H942" s="14">
        <v>-0.32900000000000001</v>
      </c>
      <c r="O942" s="14" t="s">
        <v>11206</v>
      </c>
      <c r="P942" s="14" t="s">
        <v>11207</v>
      </c>
      <c r="Q942" s="14">
        <v>418490.74</v>
      </c>
      <c r="R942" s="14">
        <v>6188821.6699999999</v>
      </c>
      <c r="S942" s="14" t="s">
        <v>11208</v>
      </c>
      <c r="T942" s="14" t="s">
        <v>11209</v>
      </c>
      <c r="U942" s="14">
        <v>418501.23</v>
      </c>
      <c r="V942" s="14">
        <v>6188816.7000000002</v>
      </c>
      <c r="W942" s="14">
        <v>166.25</v>
      </c>
      <c r="X942" s="14">
        <v>200.06</v>
      </c>
    </row>
    <row r="943" spans="1:24" s="14" customFormat="1" x14ac:dyDescent="0.25">
      <c r="A943" s="50">
        <v>45099</v>
      </c>
      <c r="B943" s="57">
        <v>173</v>
      </c>
      <c r="C943" s="36">
        <v>0.46006944444444442</v>
      </c>
      <c r="D943" s="16" t="s">
        <v>97</v>
      </c>
      <c r="E943" s="52" t="s">
        <v>11211</v>
      </c>
      <c r="F943" s="16" t="s">
        <v>8759</v>
      </c>
      <c r="G943" s="16" t="s">
        <v>1676</v>
      </c>
      <c r="H943" s="14">
        <v>-0.03</v>
      </c>
      <c r="O943" s="14" t="s">
        <v>11214</v>
      </c>
      <c r="P943" s="14" t="s">
        <v>11215</v>
      </c>
      <c r="Q943" s="14">
        <v>417085.13</v>
      </c>
      <c r="R943" s="14">
        <v>6188524.4000000004</v>
      </c>
      <c r="S943" s="14" t="s">
        <v>11216</v>
      </c>
      <c r="T943" s="14" t="s">
        <v>11217</v>
      </c>
      <c r="U943" s="14">
        <v>417094.53</v>
      </c>
      <c r="V943" s="14">
        <v>6188518.4199999999</v>
      </c>
      <c r="W943" s="14">
        <v>174.41</v>
      </c>
      <c r="X943" s="14">
        <v>200.06</v>
      </c>
    </row>
    <row r="944" spans="1:24" s="68" customFormat="1" x14ac:dyDescent="0.25">
      <c r="A944" s="65">
        <v>45099</v>
      </c>
      <c r="B944" s="106">
        <v>173</v>
      </c>
      <c r="C944" s="67">
        <v>0.46158564814814818</v>
      </c>
      <c r="D944" s="66" t="s">
        <v>97</v>
      </c>
      <c r="E944" s="88" t="s">
        <v>11235</v>
      </c>
      <c r="F944" s="66" t="s">
        <v>8759</v>
      </c>
      <c r="G944" s="66" t="s">
        <v>1676</v>
      </c>
      <c r="H944" s="68">
        <v>-2.5000000000000001E-2</v>
      </c>
      <c r="M944" s="68" t="s">
        <v>11218</v>
      </c>
      <c r="O944" s="68" t="s">
        <v>11219</v>
      </c>
      <c r="P944" s="68" t="s">
        <v>11220</v>
      </c>
      <c r="Q944" s="68">
        <v>417083.27</v>
      </c>
      <c r="R944" s="68">
        <v>6188524.9400000004</v>
      </c>
      <c r="S944" s="68" t="s">
        <v>11221</v>
      </c>
      <c r="T944" s="68" t="s">
        <v>11222</v>
      </c>
      <c r="U944" s="68">
        <v>417091.77</v>
      </c>
      <c r="V944" s="68">
        <v>6188513.2199999997</v>
      </c>
      <c r="W944" s="68">
        <v>180.73</v>
      </c>
      <c r="X944" s="68">
        <v>200.06</v>
      </c>
    </row>
    <row r="945" spans="1:24" s="68" customFormat="1" x14ac:dyDescent="0.25">
      <c r="A945" s="65">
        <v>45099</v>
      </c>
      <c r="B945" s="106">
        <v>173</v>
      </c>
      <c r="C945" s="67">
        <v>0.4682291666666667</v>
      </c>
      <c r="D945" s="66" t="s">
        <v>97</v>
      </c>
      <c r="E945" s="88" t="s">
        <v>11234</v>
      </c>
      <c r="F945" s="66" t="s">
        <v>8759</v>
      </c>
      <c r="G945" s="66" t="s">
        <v>1676</v>
      </c>
      <c r="H945" s="68">
        <v>-2.8000000000000001E-2</v>
      </c>
      <c r="M945" s="68" t="s">
        <v>11223</v>
      </c>
      <c r="O945" s="68" t="s">
        <v>11224</v>
      </c>
      <c r="P945" s="68" t="s">
        <v>11225</v>
      </c>
      <c r="Q945" s="68">
        <v>417082.96</v>
      </c>
      <c r="R945" s="68">
        <v>6188525.04</v>
      </c>
      <c r="S945" s="68" t="s">
        <v>11226</v>
      </c>
      <c r="T945" s="68" t="s">
        <v>11227</v>
      </c>
      <c r="U945" s="68">
        <v>417101.66</v>
      </c>
      <c r="V945" s="68">
        <v>6188513.1900000004</v>
      </c>
      <c r="W945" s="68">
        <v>114.11</v>
      </c>
      <c r="X945" s="68">
        <v>200.06</v>
      </c>
    </row>
    <row r="946" spans="1:24" s="68" customFormat="1" x14ac:dyDescent="0.25">
      <c r="A946" s="65">
        <v>45099</v>
      </c>
      <c r="B946" s="106">
        <v>173</v>
      </c>
      <c r="C946" s="67">
        <v>0.47027777777777779</v>
      </c>
      <c r="D946" s="66" t="s">
        <v>97</v>
      </c>
      <c r="E946" s="88" t="s">
        <v>11233</v>
      </c>
      <c r="F946" s="66" t="s">
        <v>8759</v>
      </c>
      <c r="G946" s="66" t="s">
        <v>1676</v>
      </c>
      <c r="H946" s="68">
        <v>-2.5999999999999999E-2</v>
      </c>
      <c r="M946" s="68" t="s">
        <v>11228</v>
      </c>
      <c r="O946" s="68" t="s">
        <v>11229</v>
      </c>
      <c r="P946" s="68" t="s">
        <v>11230</v>
      </c>
      <c r="Q946" s="68">
        <v>417083.15</v>
      </c>
      <c r="R946" s="68">
        <v>6188524.8200000003</v>
      </c>
      <c r="S946" s="68" t="s">
        <v>11231</v>
      </c>
      <c r="T946" s="68" t="s">
        <v>11232</v>
      </c>
      <c r="U946" s="68">
        <v>417106.39</v>
      </c>
      <c r="V946" s="68">
        <v>6188513.79</v>
      </c>
      <c r="W946" s="68">
        <v>179.19</v>
      </c>
      <c r="X946" s="68">
        <v>200.06</v>
      </c>
    </row>
    <row r="947" spans="1:24" s="14" customFormat="1" x14ac:dyDescent="0.25">
      <c r="A947" s="50">
        <v>45099</v>
      </c>
      <c r="B947" s="57">
        <v>173</v>
      </c>
      <c r="C947" s="36">
        <v>0.4756481481481481</v>
      </c>
      <c r="D947" s="16" t="s">
        <v>97</v>
      </c>
      <c r="E947" s="52" t="s">
        <v>65</v>
      </c>
      <c r="F947" s="16" t="s">
        <v>8759</v>
      </c>
      <c r="G947" s="16" t="s">
        <v>1676</v>
      </c>
      <c r="H947" s="14">
        <v>-1.2999999999999999E-2</v>
      </c>
      <c r="I947" s="14" t="s">
        <v>11240</v>
      </c>
      <c r="J947" s="14" t="s">
        <v>11241</v>
      </c>
      <c r="K947" s="14" t="s">
        <v>11242</v>
      </c>
      <c r="L947" s="14" t="s">
        <v>11243</v>
      </c>
      <c r="O947" s="14" t="s">
        <v>11236</v>
      </c>
      <c r="P947" s="14" t="s">
        <v>11237</v>
      </c>
      <c r="Q947" s="14">
        <v>417083.48</v>
      </c>
      <c r="R947" s="14">
        <v>6188504.5800000001</v>
      </c>
      <c r="S947" s="14" t="s">
        <v>11238</v>
      </c>
      <c r="T947" s="14" t="s">
        <v>11239</v>
      </c>
      <c r="U947" s="14">
        <v>417106.46</v>
      </c>
      <c r="V947" s="14">
        <v>6188501.0499999998</v>
      </c>
      <c r="W947" s="14">
        <v>179.84</v>
      </c>
      <c r="X947" s="14">
        <v>200.06</v>
      </c>
    </row>
    <row r="948" spans="1:24" s="14" customFormat="1" x14ac:dyDescent="0.25">
      <c r="A948" s="50">
        <v>45099</v>
      </c>
      <c r="B948" s="57">
        <v>173</v>
      </c>
      <c r="C948" s="36">
        <v>0.48053240740740738</v>
      </c>
      <c r="D948" s="16" t="s">
        <v>97</v>
      </c>
      <c r="E948" s="52" t="s">
        <v>70</v>
      </c>
      <c r="F948" s="16" t="s">
        <v>8759</v>
      </c>
      <c r="G948" s="16" t="s">
        <v>1676</v>
      </c>
      <c r="H948" s="14">
        <v>0.23699999999999999</v>
      </c>
      <c r="I948" s="14" t="s">
        <v>11240</v>
      </c>
      <c r="J948" s="14" t="s">
        <v>11241</v>
      </c>
      <c r="K948" s="14" t="s">
        <v>11242</v>
      </c>
      <c r="L948" s="14" t="s">
        <v>11248</v>
      </c>
      <c r="O948" s="14" t="s">
        <v>11244</v>
      </c>
      <c r="P948" s="14" t="s">
        <v>11245</v>
      </c>
      <c r="Q948" s="14">
        <v>417081.41</v>
      </c>
      <c r="R948" s="14">
        <v>6188258.8799999999</v>
      </c>
      <c r="S948" s="14" t="s">
        <v>11246</v>
      </c>
      <c r="T948" s="14" t="s">
        <v>11247</v>
      </c>
      <c r="U948" s="14">
        <v>417106.49</v>
      </c>
      <c r="V948" s="14">
        <v>6188251.3200000003</v>
      </c>
      <c r="W948" s="14">
        <v>178.88</v>
      </c>
      <c r="X948" s="14">
        <v>200.06</v>
      </c>
    </row>
    <row r="949" spans="1:24" s="14" customFormat="1" x14ac:dyDescent="0.25">
      <c r="A949" s="50">
        <v>45099</v>
      </c>
      <c r="B949" s="57">
        <v>173</v>
      </c>
      <c r="C949" s="36">
        <v>0.48335648148148147</v>
      </c>
      <c r="D949" s="16" t="s">
        <v>97</v>
      </c>
      <c r="E949" s="52" t="s">
        <v>65</v>
      </c>
      <c r="F949" s="16" t="s">
        <v>8759</v>
      </c>
      <c r="G949" s="16" t="s">
        <v>1675</v>
      </c>
      <c r="H949" s="14">
        <v>0.216</v>
      </c>
      <c r="I949" s="14" t="s">
        <v>11253</v>
      </c>
      <c r="J949" s="14" t="s">
        <v>11254</v>
      </c>
      <c r="K949" s="14" t="s">
        <v>11255</v>
      </c>
      <c r="L949" s="14" t="s">
        <v>11248</v>
      </c>
      <c r="O949" s="14" t="s">
        <v>11249</v>
      </c>
      <c r="P949" s="14" t="s">
        <v>11250</v>
      </c>
      <c r="Q949" s="14">
        <v>417072.42</v>
      </c>
      <c r="R949" s="14">
        <v>6188268.4299999997</v>
      </c>
      <c r="S949" s="14" t="s">
        <v>11251</v>
      </c>
      <c r="T949" s="14" t="s">
        <v>11252</v>
      </c>
      <c r="U949" s="14">
        <v>417097.4</v>
      </c>
      <c r="V949" s="14">
        <v>6188261.4000000004</v>
      </c>
      <c r="W949" s="14">
        <v>359.65</v>
      </c>
      <c r="X949" s="14">
        <v>200.06</v>
      </c>
    </row>
    <row r="950" spans="1:24" s="14" customFormat="1" x14ac:dyDescent="0.25">
      <c r="A950" s="50">
        <v>45099</v>
      </c>
      <c r="B950" s="57">
        <v>173</v>
      </c>
      <c r="C950" s="36">
        <v>0.48863425925925924</v>
      </c>
      <c r="D950" s="16" t="s">
        <v>97</v>
      </c>
      <c r="E950" s="14" t="s">
        <v>70</v>
      </c>
      <c r="F950" s="16" t="s">
        <v>8759</v>
      </c>
      <c r="G950" s="16" t="s">
        <v>1675</v>
      </c>
      <c r="H950" s="14">
        <v>-1.7000000000000001E-2</v>
      </c>
      <c r="I950" s="14" t="s">
        <v>11253</v>
      </c>
      <c r="J950" s="14" t="s">
        <v>11254</v>
      </c>
      <c r="K950" s="14" t="s">
        <v>11255</v>
      </c>
      <c r="L950" s="14" t="s">
        <v>11248</v>
      </c>
      <c r="O950" s="14" t="s">
        <v>11256</v>
      </c>
      <c r="P950" s="14" t="s">
        <v>11257</v>
      </c>
      <c r="Q950" s="14">
        <v>417073.76</v>
      </c>
      <c r="R950" s="14">
        <v>6188504.46</v>
      </c>
      <c r="S950" s="14" t="s">
        <v>11258</v>
      </c>
      <c r="T950" s="14" t="s">
        <v>11259</v>
      </c>
      <c r="U950" s="14">
        <v>417097.49</v>
      </c>
      <c r="V950" s="14">
        <v>6188494.5700000003</v>
      </c>
      <c r="W950" s="14">
        <v>358.85</v>
      </c>
      <c r="X950" s="14">
        <v>200.06</v>
      </c>
    </row>
    <row r="951" spans="1:24" s="14" customFormat="1" x14ac:dyDescent="0.25">
      <c r="A951" s="50">
        <v>45099</v>
      </c>
      <c r="B951" s="57">
        <v>173</v>
      </c>
      <c r="C951" s="36">
        <v>0.4912731481481481</v>
      </c>
      <c r="D951" s="16" t="s">
        <v>97</v>
      </c>
      <c r="E951" s="14" t="s">
        <v>65</v>
      </c>
      <c r="F951" s="16" t="s">
        <v>8759</v>
      </c>
      <c r="G951" s="16" t="s">
        <v>1674</v>
      </c>
      <c r="H951" s="14">
        <v>-1.4E-2</v>
      </c>
      <c r="I951" s="14" t="s">
        <v>11264</v>
      </c>
      <c r="J951" s="14" t="s">
        <v>11265</v>
      </c>
      <c r="K951" s="14" t="s">
        <v>11266</v>
      </c>
      <c r="L951" s="14" t="s">
        <v>11267</v>
      </c>
      <c r="O951" s="14" t="s">
        <v>11260</v>
      </c>
      <c r="P951" s="14" t="s">
        <v>11261</v>
      </c>
      <c r="Q951" s="14">
        <v>417065.75</v>
      </c>
      <c r="R951" s="14">
        <v>6188510.7599999998</v>
      </c>
      <c r="S951" s="14" t="s">
        <v>11262</v>
      </c>
      <c r="T951" s="14" t="s">
        <v>11263</v>
      </c>
      <c r="U951" s="14">
        <v>417088.45</v>
      </c>
      <c r="V951" s="14">
        <v>6188502.3099999996</v>
      </c>
      <c r="W951" s="14">
        <v>179.29</v>
      </c>
      <c r="X951" s="14">
        <v>200.06</v>
      </c>
    </row>
    <row r="952" spans="1:24" s="14" customFormat="1" x14ac:dyDescent="0.25">
      <c r="A952" s="50">
        <v>45099</v>
      </c>
      <c r="B952" s="57">
        <v>173</v>
      </c>
      <c r="C952" s="36">
        <v>0.49570601851851853</v>
      </c>
      <c r="D952" s="16" t="s">
        <v>97</v>
      </c>
      <c r="E952" s="14" t="s">
        <v>70</v>
      </c>
      <c r="F952" s="16" t="s">
        <v>8759</v>
      </c>
      <c r="G952" s="16" t="s">
        <v>1674</v>
      </c>
      <c r="H952" s="14">
        <v>0.22</v>
      </c>
      <c r="I952" s="14" t="s">
        <v>11264</v>
      </c>
      <c r="J952" s="14" t="s">
        <v>11265</v>
      </c>
      <c r="K952" s="14" t="s">
        <v>11266</v>
      </c>
      <c r="L952" s="14" t="s">
        <v>11267</v>
      </c>
      <c r="O952" s="14" t="s">
        <v>11268</v>
      </c>
      <c r="P952" s="14" t="s">
        <v>11269</v>
      </c>
      <c r="Q952" s="14">
        <v>417064.34</v>
      </c>
      <c r="R952" s="14">
        <v>6188277.1799999997</v>
      </c>
      <c r="S952" s="14" t="s">
        <v>11270</v>
      </c>
      <c r="T952" s="14" t="s">
        <v>11271</v>
      </c>
      <c r="U952" s="14">
        <v>417088.45</v>
      </c>
      <c r="V952" s="14">
        <v>6188268.1500000004</v>
      </c>
      <c r="W952" s="14">
        <v>179.26</v>
      </c>
      <c r="X952" s="14">
        <v>200.06</v>
      </c>
    </row>
    <row r="953" spans="1:24" s="14" customFormat="1" x14ac:dyDescent="0.25">
      <c r="A953" s="50">
        <v>45099</v>
      </c>
      <c r="B953" s="57">
        <v>173</v>
      </c>
      <c r="C953" s="36">
        <v>0.49856481481481479</v>
      </c>
      <c r="D953" s="16" t="s">
        <v>97</v>
      </c>
      <c r="E953" s="14" t="s">
        <v>65</v>
      </c>
      <c r="F953" s="16" t="s">
        <v>8759</v>
      </c>
      <c r="G953" s="16" t="s">
        <v>1673</v>
      </c>
      <c r="H953" s="14">
        <v>0.217</v>
      </c>
      <c r="I953" s="14" t="s">
        <v>11276</v>
      </c>
      <c r="J953" s="14" t="s">
        <v>11277</v>
      </c>
      <c r="K953" s="14" t="s">
        <v>11278</v>
      </c>
      <c r="L953" s="14" t="s">
        <v>11267</v>
      </c>
      <c r="O953" s="14" t="s">
        <v>11272</v>
      </c>
      <c r="P953" s="14" t="s">
        <v>11273</v>
      </c>
      <c r="Q953" s="14">
        <v>417053.74</v>
      </c>
      <c r="R953" s="14">
        <v>6188264.9100000001</v>
      </c>
      <c r="S953" s="14" t="s">
        <v>11274</v>
      </c>
      <c r="T953" s="14" t="s">
        <v>11275</v>
      </c>
      <c r="U953" s="14">
        <v>417079.46</v>
      </c>
      <c r="V953" s="14">
        <v>6188260.5700000003</v>
      </c>
      <c r="W953" s="14">
        <v>359.67</v>
      </c>
      <c r="X953" s="14">
        <v>200.06</v>
      </c>
    </row>
    <row r="954" spans="1:24" s="14" customFormat="1" x14ac:dyDescent="0.25">
      <c r="A954" s="50">
        <v>45099</v>
      </c>
      <c r="B954" s="57">
        <v>173</v>
      </c>
      <c r="C954" s="36">
        <v>0.50388888888888894</v>
      </c>
      <c r="D954" s="16" t="s">
        <v>97</v>
      </c>
      <c r="E954" s="14" t="s">
        <v>70</v>
      </c>
      <c r="F954" s="16" t="s">
        <v>8759</v>
      </c>
      <c r="G954" s="16" t="s">
        <v>1673</v>
      </c>
      <c r="H954" s="14">
        <v>-1.9E-2</v>
      </c>
      <c r="I954" s="14" t="s">
        <v>11276</v>
      </c>
      <c r="J954" s="14" t="s">
        <v>11277</v>
      </c>
      <c r="K954" s="14" t="s">
        <v>11278</v>
      </c>
      <c r="L954" s="14" t="s">
        <v>11283</v>
      </c>
      <c r="O954" s="14" t="s">
        <v>11279</v>
      </c>
      <c r="P954" s="14" t="s">
        <v>11280</v>
      </c>
      <c r="Q954" s="14">
        <v>417054.9</v>
      </c>
      <c r="R954" s="14">
        <v>6188501.8300000001</v>
      </c>
      <c r="S954" s="14" t="s">
        <v>11281</v>
      </c>
      <c r="T954" s="14" t="s">
        <v>11282</v>
      </c>
      <c r="U954" s="14">
        <v>417079.38</v>
      </c>
      <c r="V954" s="14">
        <v>6188495.79</v>
      </c>
      <c r="W954" s="14">
        <v>359.38</v>
      </c>
      <c r="X954" s="14">
        <v>200.06</v>
      </c>
    </row>
    <row r="955" spans="1:24" s="14" customFormat="1" x14ac:dyDescent="0.25">
      <c r="A955" s="50">
        <v>45099</v>
      </c>
      <c r="B955" s="57">
        <v>173</v>
      </c>
      <c r="C955" s="36">
        <v>0.50717592592592597</v>
      </c>
      <c r="D955" s="16" t="s">
        <v>97</v>
      </c>
      <c r="E955" s="14" t="s">
        <v>65</v>
      </c>
      <c r="F955" s="16" t="s">
        <v>8759</v>
      </c>
      <c r="G955" s="16" t="s">
        <v>1672</v>
      </c>
      <c r="H955" s="14">
        <v>-1.2E-2</v>
      </c>
      <c r="I955" s="14" t="s">
        <v>11288</v>
      </c>
      <c r="J955" s="14" t="s">
        <v>11289</v>
      </c>
      <c r="K955" s="14" t="s">
        <v>11290</v>
      </c>
      <c r="L955" s="14" t="s">
        <v>11283</v>
      </c>
      <c r="O955" s="14" t="s">
        <v>11284</v>
      </c>
      <c r="P955" s="14" t="s">
        <v>11285</v>
      </c>
      <c r="Q955" s="14">
        <v>417048.44</v>
      </c>
      <c r="R955" s="14">
        <v>6188512.0499999998</v>
      </c>
      <c r="S955" s="14" t="s">
        <v>11286</v>
      </c>
      <c r="T955" s="14" t="s">
        <v>11287</v>
      </c>
      <c r="U955" s="14">
        <v>417070.41</v>
      </c>
      <c r="V955" s="14">
        <v>6188499.9800000004</v>
      </c>
      <c r="W955" s="14">
        <v>180.2</v>
      </c>
      <c r="X955" s="14">
        <v>200.06</v>
      </c>
    </row>
    <row r="956" spans="1:24" s="14" customFormat="1" x14ac:dyDescent="0.25">
      <c r="A956" s="50">
        <v>45099</v>
      </c>
      <c r="B956" s="57">
        <v>173</v>
      </c>
      <c r="C956" s="36">
        <v>0.51175925925925925</v>
      </c>
      <c r="D956" s="16" t="s">
        <v>97</v>
      </c>
      <c r="E956" s="52" t="s">
        <v>70</v>
      </c>
      <c r="F956" s="16" t="s">
        <v>8759</v>
      </c>
      <c r="G956" s="16" t="s">
        <v>1672</v>
      </c>
      <c r="H956" s="14">
        <v>0.222</v>
      </c>
      <c r="I956" s="14" t="s">
        <v>11288</v>
      </c>
      <c r="J956" s="14" t="s">
        <v>11289</v>
      </c>
      <c r="K956" s="14" t="s">
        <v>11290</v>
      </c>
      <c r="L956" s="14" t="s">
        <v>11295</v>
      </c>
      <c r="O956" s="14" t="s">
        <v>11291</v>
      </c>
      <c r="P956" s="14" t="s">
        <v>11292</v>
      </c>
      <c r="Q956" s="14">
        <v>417046.18</v>
      </c>
      <c r="R956" s="14">
        <v>6188277.9800000004</v>
      </c>
      <c r="S956" s="14" t="s">
        <v>11293</v>
      </c>
      <c r="T956" s="14" t="s">
        <v>11294</v>
      </c>
      <c r="U956" s="14">
        <v>417070.45</v>
      </c>
      <c r="V956" s="14">
        <v>6188266.46</v>
      </c>
      <c r="W956" s="14">
        <v>179.15</v>
      </c>
      <c r="X956" s="14">
        <v>200.06</v>
      </c>
    </row>
    <row r="957" spans="1:24" s="14" customFormat="1" x14ac:dyDescent="0.25">
      <c r="A957" s="50">
        <v>45099</v>
      </c>
      <c r="B957" s="57">
        <v>173</v>
      </c>
      <c r="C957" s="36">
        <v>0.51475694444444442</v>
      </c>
      <c r="D957" s="16" t="s">
        <v>97</v>
      </c>
      <c r="E957" s="52" t="s">
        <v>65</v>
      </c>
      <c r="F957" s="16" t="s">
        <v>8759</v>
      </c>
      <c r="G957" s="16" t="s">
        <v>1671</v>
      </c>
      <c r="H957" s="14">
        <v>0.218</v>
      </c>
      <c r="I957" s="14" t="s">
        <v>11300</v>
      </c>
      <c r="J957" s="14" t="s">
        <v>11301</v>
      </c>
      <c r="K957" s="14" t="s">
        <v>11302</v>
      </c>
      <c r="L957" s="14" t="s">
        <v>11295</v>
      </c>
      <c r="O957" s="14" t="s">
        <v>11296</v>
      </c>
      <c r="P957" s="14" t="s">
        <v>11297</v>
      </c>
      <c r="Q957" s="14">
        <v>417037.03</v>
      </c>
      <c r="R957" s="14">
        <v>6188264.9500000002</v>
      </c>
      <c r="S957" s="14" t="s">
        <v>11298</v>
      </c>
      <c r="T957" s="14" t="s">
        <v>11299</v>
      </c>
      <c r="U957" s="14">
        <v>417061.37</v>
      </c>
      <c r="V957" s="14">
        <v>6188259.4000000004</v>
      </c>
      <c r="W957" s="14">
        <v>359.59</v>
      </c>
      <c r="X957" s="14">
        <v>200.06</v>
      </c>
    </row>
    <row r="958" spans="1:24" s="14" customFormat="1" x14ac:dyDescent="0.25">
      <c r="A958" s="50">
        <v>45099</v>
      </c>
      <c r="B958" s="57">
        <v>173</v>
      </c>
      <c r="C958" s="36">
        <v>0.52005787037037032</v>
      </c>
      <c r="D958" s="16" t="s">
        <v>97</v>
      </c>
      <c r="E958" s="52" t="s">
        <v>70</v>
      </c>
      <c r="F958" s="16" t="s">
        <v>8759</v>
      </c>
      <c r="G958" s="16" t="s">
        <v>1671</v>
      </c>
      <c r="H958" s="14">
        <v>-1.6E-2</v>
      </c>
      <c r="I958" s="14" t="s">
        <v>11300</v>
      </c>
      <c r="J958" s="14" t="s">
        <v>11301</v>
      </c>
      <c r="K958" s="14" t="s">
        <v>11302</v>
      </c>
      <c r="L958" s="14" t="s">
        <v>11295</v>
      </c>
      <c r="O958" s="14" t="s">
        <v>11303</v>
      </c>
      <c r="P958" s="14" t="s">
        <v>11304</v>
      </c>
      <c r="Q958" s="14">
        <v>417037.71</v>
      </c>
      <c r="R958" s="14">
        <v>6188500.9299999997</v>
      </c>
      <c r="S958" s="14" t="s">
        <v>11305</v>
      </c>
      <c r="T958" s="14" t="s">
        <v>11306</v>
      </c>
      <c r="U958" s="14">
        <v>417061.51</v>
      </c>
      <c r="V958" s="14">
        <v>6188493.4400000004</v>
      </c>
      <c r="W958" s="14">
        <v>358.28</v>
      </c>
      <c r="X958" s="14">
        <v>200.06</v>
      </c>
    </row>
    <row r="959" spans="1:24" s="14" customFormat="1" x14ac:dyDescent="0.25">
      <c r="A959" s="50">
        <v>45099</v>
      </c>
      <c r="B959" s="57">
        <v>173</v>
      </c>
      <c r="C959" s="36">
        <v>0.52344907407407404</v>
      </c>
      <c r="D959" s="16" t="s">
        <v>97</v>
      </c>
      <c r="E959" s="52" t="s">
        <v>65</v>
      </c>
      <c r="F959" s="16" t="s">
        <v>8759</v>
      </c>
      <c r="G959" s="16" t="s">
        <v>1670</v>
      </c>
      <c r="H959" s="14">
        <v>-1.2999999999999999E-2</v>
      </c>
      <c r="I959" s="14" t="s">
        <v>11311</v>
      </c>
      <c r="J959" s="14" t="s">
        <v>11312</v>
      </c>
      <c r="K959" s="14" t="s">
        <v>11313</v>
      </c>
      <c r="L959" s="14" t="s">
        <v>11314</v>
      </c>
      <c r="O959" s="14" t="s">
        <v>11307</v>
      </c>
      <c r="P959" s="14" t="s">
        <v>11308</v>
      </c>
      <c r="Q959" s="14">
        <v>417030.74</v>
      </c>
      <c r="R959" s="14">
        <v>6188512.4400000004</v>
      </c>
      <c r="S959" s="14" t="s">
        <v>11309</v>
      </c>
      <c r="T959" s="14" t="s">
        <v>11310</v>
      </c>
      <c r="U959" s="14">
        <v>417052.45</v>
      </c>
      <c r="V959" s="14">
        <v>6188501.4800000004</v>
      </c>
      <c r="W959" s="14">
        <v>182.23</v>
      </c>
      <c r="X959" s="14">
        <v>200.06</v>
      </c>
    </row>
    <row r="960" spans="1:24" s="14" customFormat="1" x14ac:dyDescent="0.25">
      <c r="A960" s="50">
        <v>45099</v>
      </c>
      <c r="B960" s="57">
        <v>173</v>
      </c>
      <c r="C960" s="36">
        <v>0.52879629629629632</v>
      </c>
      <c r="D960" s="16" t="s">
        <v>97</v>
      </c>
      <c r="E960" s="52" t="s">
        <v>70</v>
      </c>
      <c r="F960" s="16" t="s">
        <v>8759</v>
      </c>
      <c r="G960" s="16" t="s">
        <v>1670</v>
      </c>
      <c r="H960" s="14">
        <v>0.223</v>
      </c>
      <c r="I960" s="14" t="s">
        <v>11311</v>
      </c>
      <c r="J960" s="14" t="s">
        <v>11312</v>
      </c>
      <c r="K960" s="14" t="s">
        <v>11313</v>
      </c>
      <c r="L960" s="14" t="s">
        <v>11314</v>
      </c>
      <c r="O960" s="14" t="s">
        <v>11315</v>
      </c>
      <c r="P960" s="14" t="s">
        <v>11316</v>
      </c>
      <c r="Q960" s="14">
        <v>417029.64</v>
      </c>
      <c r="R960" s="14">
        <v>6188275.8600000003</v>
      </c>
      <c r="S960" s="14" t="s">
        <v>11317</v>
      </c>
      <c r="T960" s="14" t="s">
        <v>11318</v>
      </c>
      <c r="U960" s="14">
        <v>417052.37</v>
      </c>
      <c r="V960" s="14">
        <v>6188265.3099999996</v>
      </c>
      <c r="W960" s="14">
        <v>179.07</v>
      </c>
      <c r="X960" s="14">
        <v>200.06</v>
      </c>
    </row>
    <row r="961" spans="1:24" s="14" customFormat="1" x14ac:dyDescent="0.25">
      <c r="A961" s="50">
        <v>45099</v>
      </c>
      <c r="B961" s="57">
        <v>173</v>
      </c>
      <c r="C961" s="36">
        <v>0.53160879629629632</v>
      </c>
      <c r="D961" s="16" t="s">
        <v>97</v>
      </c>
      <c r="E961" s="52" t="s">
        <v>65</v>
      </c>
      <c r="F961" s="16" t="s">
        <v>8759</v>
      </c>
      <c r="G961" s="16" t="s">
        <v>1669</v>
      </c>
      <c r="H961" s="14">
        <v>0.217</v>
      </c>
      <c r="I961" s="14" t="s">
        <v>11323</v>
      </c>
      <c r="J961" s="14" t="s">
        <v>11324</v>
      </c>
      <c r="K961" s="14" t="s">
        <v>11325</v>
      </c>
      <c r="L961" s="14" t="s">
        <v>11326</v>
      </c>
      <c r="O961" s="14" t="s">
        <v>11319</v>
      </c>
      <c r="P961" s="14" t="s">
        <v>11320</v>
      </c>
      <c r="Q961" s="14">
        <v>417018.67</v>
      </c>
      <c r="R961" s="14">
        <v>6188264.5</v>
      </c>
      <c r="S961" s="14" t="s">
        <v>11321</v>
      </c>
      <c r="T961" s="14" t="s">
        <v>11322</v>
      </c>
      <c r="U961" s="14">
        <v>417043.35</v>
      </c>
      <c r="V961" s="14">
        <v>6188260.7599999998</v>
      </c>
      <c r="W961" s="14">
        <v>1.1200000000000001</v>
      </c>
      <c r="X961" s="14">
        <v>200.06</v>
      </c>
    </row>
    <row r="962" spans="1:24" s="14" customFormat="1" x14ac:dyDescent="0.25">
      <c r="A962" s="50">
        <v>45099</v>
      </c>
      <c r="B962" s="57">
        <v>173</v>
      </c>
      <c r="C962" s="36">
        <v>0.5360300925925926</v>
      </c>
      <c r="D962" s="16" t="s">
        <v>97</v>
      </c>
      <c r="E962" s="52" t="s">
        <v>70</v>
      </c>
      <c r="F962" s="16" t="s">
        <v>8759</v>
      </c>
      <c r="G962" s="16" t="s">
        <v>1669</v>
      </c>
      <c r="H962" s="14">
        <v>-1.7000000000000001E-2</v>
      </c>
      <c r="I962" s="14" t="s">
        <v>11323</v>
      </c>
      <c r="J962" s="14" t="s">
        <v>11324</v>
      </c>
      <c r="K962" s="14" t="s">
        <v>11325</v>
      </c>
      <c r="L962" s="14" t="s">
        <v>11326</v>
      </c>
      <c r="O962" s="14" t="s">
        <v>11327</v>
      </c>
      <c r="P962" s="14" t="s">
        <v>11328</v>
      </c>
      <c r="Q962" s="14">
        <v>417019.52</v>
      </c>
      <c r="R962" s="14">
        <v>6188498.0300000003</v>
      </c>
      <c r="S962" s="14" t="s">
        <v>11329</v>
      </c>
      <c r="T962" s="14" t="s">
        <v>11330</v>
      </c>
      <c r="U962" s="14">
        <v>417043.52</v>
      </c>
      <c r="V962" s="14">
        <v>6188493.8600000003</v>
      </c>
      <c r="W962" s="14">
        <v>358.82</v>
      </c>
      <c r="X962" s="14">
        <v>200.06</v>
      </c>
    </row>
    <row r="963" spans="1:24" s="14" customFormat="1" x14ac:dyDescent="0.25">
      <c r="A963" s="50">
        <v>45099</v>
      </c>
      <c r="B963" s="57">
        <v>173</v>
      </c>
      <c r="C963" s="36">
        <v>0.53915509259259264</v>
      </c>
      <c r="D963" s="16" t="s">
        <v>97</v>
      </c>
      <c r="E963" s="52" t="s">
        <v>65</v>
      </c>
      <c r="F963" s="16" t="s">
        <v>8759</v>
      </c>
      <c r="G963" s="16" t="s">
        <v>1660</v>
      </c>
      <c r="H963" s="14">
        <v>-1.2E-2</v>
      </c>
      <c r="I963" s="14" t="s">
        <v>11335</v>
      </c>
      <c r="J963" s="14" t="s">
        <v>11336</v>
      </c>
      <c r="K963" s="14" t="s">
        <v>11337</v>
      </c>
      <c r="L963" s="14" t="s">
        <v>11326</v>
      </c>
      <c r="O963" s="14" t="s">
        <v>11331</v>
      </c>
      <c r="P963" s="14" t="s">
        <v>11332</v>
      </c>
      <c r="Q963" s="14">
        <v>417011.24</v>
      </c>
      <c r="R963" s="14">
        <v>6188506.2599999998</v>
      </c>
      <c r="S963" s="14" t="s">
        <v>11333</v>
      </c>
      <c r="T963" s="14" t="s">
        <v>11334</v>
      </c>
      <c r="U963" s="14">
        <v>417034.55</v>
      </c>
      <c r="V963" s="14">
        <v>6188500.7400000002</v>
      </c>
      <c r="W963" s="14">
        <v>180.58</v>
      </c>
      <c r="X963" s="14">
        <v>200.06</v>
      </c>
    </row>
    <row r="964" spans="1:24" s="14" customFormat="1" x14ac:dyDescent="0.25">
      <c r="A964" s="50">
        <v>45099</v>
      </c>
      <c r="B964" s="57">
        <v>173</v>
      </c>
      <c r="C964" s="36">
        <v>0.54361111111111116</v>
      </c>
      <c r="D964" s="16" t="s">
        <v>97</v>
      </c>
      <c r="E964" s="52" t="s">
        <v>70</v>
      </c>
      <c r="F964" s="16" t="s">
        <v>8759</v>
      </c>
      <c r="G964" s="16" t="s">
        <v>1660</v>
      </c>
      <c r="H964" s="14">
        <v>0.223</v>
      </c>
      <c r="I964" s="14" t="s">
        <v>11335</v>
      </c>
      <c r="J964" s="14" t="s">
        <v>11336</v>
      </c>
      <c r="K964" s="14" t="s">
        <v>11337</v>
      </c>
      <c r="L964" s="14" t="s">
        <v>11342</v>
      </c>
      <c r="O964" s="14" t="s">
        <v>11338</v>
      </c>
      <c r="P964" s="14" t="s">
        <v>11339</v>
      </c>
      <c r="Q964" s="14">
        <v>417008.95</v>
      </c>
      <c r="R964" s="14">
        <v>6188270.5099999998</v>
      </c>
      <c r="S964" s="14" t="s">
        <v>11340</v>
      </c>
      <c r="T964" s="14" t="s">
        <v>11341</v>
      </c>
      <c r="U964" s="14">
        <v>417034.38</v>
      </c>
      <c r="V964" s="14">
        <v>6188265.1600000001</v>
      </c>
      <c r="W964" s="14">
        <v>178.67</v>
      </c>
      <c r="X964" s="14">
        <v>200.06</v>
      </c>
    </row>
    <row r="965" spans="1:24" s="14" customFormat="1" x14ac:dyDescent="0.25">
      <c r="A965" s="50">
        <v>45099</v>
      </c>
      <c r="B965" s="57">
        <v>173</v>
      </c>
      <c r="C965" s="36">
        <v>0.54689814814814819</v>
      </c>
      <c r="D965" s="16" t="s">
        <v>97</v>
      </c>
      <c r="E965" s="52" t="s">
        <v>65</v>
      </c>
      <c r="F965" s="16" t="s">
        <v>8759</v>
      </c>
      <c r="G965" s="16" t="s">
        <v>1661</v>
      </c>
      <c r="H965" s="14">
        <v>0.219</v>
      </c>
      <c r="I965" s="14" t="s">
        <v>11347</v>
      </c>
      <c r="J965" s="14" t="s">
        <v>11348</v>
      </c>
      <c r="K965" s="14" t="s">
        <v>11349</v>
      </c>
      <c r="L965" s="14" t="s">
        <v>11342</v>
      </c>
      <c r="O965" s="14" t="s">
        <v>11343</v>
      </c>
      <c r="P965" s="14" t="s">
        <v>11344</v>
      </c>
      <c r="Q965" s="14">
        <v>416999.93</v>
      </c>
      <c r="R965" s="14">
        <v>6188264.3200000003</v>
      </c>
      <c r="S965" s="14" t="s">
        <v>11345</v>
      </c>
      <c r="T965" s="14" t="s">
        <v>11346</v>
      </c>
      <c r="U965" s="14">
        <v>417025.51</v>
      </c>
      <c r="V965" s="14">
        <v>6188258.2000000002</v>
      </c>
      <c r="W965" s="14">
        <v>359.12</v>
      </c>
      <c r="X965" s="14">
        <v>200.06</v>
      </c>
    </row>
    <row r="966" spans="1:24" s="14" customFormat="1" x14ac:dyDescent="0.25">
      <c r="A966" s="50">
        <v>45099</v>
      </c>
      <c r="B966" s="57">
        <v>173</v>
      </c>
      <c r="C966" s="36">
        <v>0.55226851851851855</v>
      </c>
      <c r="D966" s="16" t="s">
        <v>97</v>
      </c>
      <c r="E966" s="52" t="s">
        <v>70</v>
      </c>
      <c r="F966" s="16" t="s">
        <v>8759</v>
      </c>
      <c r="G966" s="16" t="s">
        <v>1661</v>
      </c>
      <c r="H966" s="14">
        <v>-1.7999999999999999E-2</v>
      </c>
      <c r="I966" s="14" t="s">
        <v>11347</v>
      </c>
      <c r="J966" s="14" t="s">
        <v>11348</v>
      </c>
      <c r="K966" s="14" t="s">
        <v>11349</v>
      </c>
      <c r="L966" s="14" t="s">
        <v>11354</v>
      </c>
      <c r="O966" s="14" t="s">
        <v>11350</v>
      </c>
      <c r="P966" s="14" t="s">
        <v>11351</v>
      </c>
      <c r="Q966" s="14">
        <v>417000.73</v>
      </c>
      <c r="R966" s="14">
        <v>6188503.0800000001</v>
      </c>
      <c r="S966" s="14" t="s">
        <v>11352</v>
      </c>
      <c r="T966" s="14" t="s">
        <v>11353</v>
      </c>
      <c r="U966" s="14">
        <v>417025.48</v>
      </c>
      <c r="V966" s="14">
        <v>6188495.3899999997</v>
      </c>
      <c r="W966" s="14">
        <v>359.14</v>
      </c>
      <c r="X966" s="14">
        <v>200.06</v>
      </c>
    </row>
    <row r="967" spans="1:24" s="14" customFormat="1" x14ac:dyDescent="0.25">
      <c r="A967" s="50">
        <v>45099</v>
      </c>
      <c r="B967" s="57">
        <v>173</v>
      </c>
      <c r="C967" s="36">
        <v>0.55510416666666662</v>
      </c>
      <c r="D967" s="16" t="s">
        <v>97</v>
      </c>
      <c r="E967" s="52" t="s">
        <v>65</v>
      </c>
      <c r="F967" s="16" t="s">
        <v>8759</v>
      </c>
      <c r="G967" s="16" t="s">
        <v>1662</v>
      </c>
      <c r="H967" s="14">
        <v>-1.4E-2</v>
      </c>
      <c r="I967" s="14" t="s">
        <v>11359</v>
      </c>
      <c r="J967" s="14" t="s">
        <v>11360</v>
      </c>
      <c r="K967" s="14" t="s">
        <v>11361</v>
      </c>
      <c r="L967" s="14" t="s">
        <v>11354</v>
      </c>
      <c r="O967" s="14" t="s">
        <v>11355</v>
      </c>
      <c r="P967" s="14" t="s">
        <v>11356</v>
      </c>
      <c r="Q967" s="14">
        <v>416993.12</v>
      </c>
      <c r="R967" s="14">
        <v>6188509.5</v>
      </c>
      <c r="S967" s="14" t="s">
        <v>11357</v>
      </c>
      <c r="T967" s="14" t="s">
        <v>11358</v>
      </c>
      <c r="U967" s="14">
        <v>417016.46</v>
      </c>
      <c r="V967" s="14">
        <v>6188502.2400000002</v>
      </c>
      <c r="W967" s="14">
        <v>179.54</v>
      </c>
      <c r="X967" s="14">
        <v>200.06</v>
      </c>
    </row>
    <row r="968" spans="1:24" s="14" customFormat="1" x14ac:dyDescent="0.25">
      <c r="A968" s="50">
        <v>45099</v>
      </c>
      <c r="B968" s="57">
        <v>173</v>
      </c>
      <c r="C968" s="36">
        <v>0.56055555555555558</v>
      </c>
      <c r="D968" s="16" t="s">
        <v>97</v>
      </c>
      <c r="E968" s="52" t="s">
        <v>70</v>
      </c>
      <c r="F968" s="16" t="s">
        <v>8759</v>
      </c>
      <c r="G968" s="16" t="s">
        <v>1662</v>
      </c>
      <c r="H968" s="14">
        <v>0.22700000000000001</v>
      </c>
      <c r="I968" s="14" t="s">
        <v>11359</v>
      </c>
      <c r="J968" s="14" t="s">
        <v>11360</v>
      </c>
      <c r="K968" s="14" t="s">
        <v>11361</v>
      </c>
      <c r="L968" s="14" t="s">
        <v>11354</v>
      </c>
      <c r="O968" s="14" t="s">
        <v>11362</v>
      </c>
      <c r="P968" s="14" t="s">
        <v>11363</v>
      </c>
      <c r="Q968" s="14">
        <v>416991.09</v>
      </c>
      <c r="R968" s="14">
        <v>6188268.7999999998</v>
      </c>
      <c r="S968" s="14" t="s">
        <v>11274</v>
      </c>
      <c r="T968" s="14" t="s">
        <v>11364</v>
      </c>
      <c r="U968" s="14">
        <v>417016.41</v>
      </c>
      <c r="V968" s="14">
        <v>6188261.7699999996</v>
      </c>
      <c r="W968" s="14">
        <v>179.45</v>
      </c>
      <c r="X968" s="14">
        <v>200.06</v>
      </c>
    </row>
    <row r="969" spans="1:24" s="14" customFormat="1" x14ac:dyDescent="0.25">
      <c r="A969" s="50">
        <v>45099</v>
      </c>
      <c r="B969" s="57">
        <v>173</v>
      </c>
      <c r="C969" s="36">
        <v>0.56339120370370377</v>
      </c>
      <c r="D969" s="16" t="s">
        <v>97</v>
      </c>
      <c r="E969" s="52" t="s">
        <v>65</v>
      </c>
      <c r="F969" s="16" t="s">
        <v>8759</v>
      </c>
      <c r="G969" s="16" t="s">
        <v>1663</v>
      </c>
      <c r="H969" s="14">
        <v>0.22</v>
      </c>
      <c r="I969" s="14" t="s">
        <v>11369</v>
      </c>
      <c r="J969" s="14" t="s">
        <v>11370</v>
      </c>
      <c r="K969" s="14" t="s">
        <v>11371</v>
      </c>
      <c r="L969" s="14" t="s">
        <v>11372</v>
      </c>
      <c r="O969" s="14" t="s">
        <v>11365</v>
      </c>
      <c r="P969" s="14" t="s">
        <v>11366</v>
      </c>
      <c r="Q969" s="14">
        <v>416981.55</v>
      </c>
      <c r="R969" s="14">
        <v>6188266.4199999999</v>
      </c>
      <c r="S969" s="14" t="s">
        <v>11367</v>
      </c>
      <c r="T969" s="14" t="s">
        <v>11368</v>
      </c>
      <c r="U969" s="14">
        <v>417007.64</v>
      </c>
      <c r="V969" s="14">
        <v>6188257.21</v>
      </c>
      <c r="W969" s="14">
        <v>7.0000000000000007E-2</v>
      </c>
      <c r="X969" s="14">
        <v>200.06</v>
      </c>
    </row>
    <row r="970" spans="1:24" s="14" customFormat="1" x14ac:dyDescent="0.25">
      <c r="A970" s="50">
        <v>45099</v>
      </c>
      <c r="B970" s="57">
        <v>173</v>
      </c>
      <c r="C970" s="36">
        <v>0.56837962962962962</v>
      </c>
      <c r="D970" s="16" t="s">
        <v>97</v>
      </c>
      <c r="E970" s="52" t="s">
        <v>70</v>
      </c>
      <c r="F970" s="16" t="s">
        <v>8759</v>
      </c>
      <c r="G970" s="16" t="s">
        <v>1663</v>
      </c>
      <c r="H970" s="14">
        <v>-1.7999999999999999E-2</v>
      </c>
      <c r="I970" s="14" t="s">
        <v>11369</v>
      </c>
      <c r="J970" s="14" t="s">
        <v>11370</v>
      </c>
      <c r="K970" s="14" t="s">
        <v>11371</v>
      </c>
      <c r="L970" s="14" t="s">
        <v>11372</v>
      </c>
      <c r="O970" s="14" t="s">
        <v>11373</v>
      </c>
      <c r="P970" s="14" t="s">
        <v>11374</v>
      </c>
      <c r="Q970" s="14">
        <v>416983.12</v>
      </c>
      <c r="R970" s="14">
        <v>6188504.0800000001</v>
      </c>
      <c r="S970" s="14" t="s">
        <v>11375</v>
      </c>
      <c r="T970" s="14" t="s">
        <v>11376</v>
      </c>
      <c r="U970" s="14">
        <v>417007.55</v>
      </c>
      <c r="V970" s="14">
        <v>6188495.3399999999</v>
      </c>
      <c r="W970" s="14">
        <v>358.45</v>
      </c>
      <c r="X970" s="14">
        <v>200.06</v>
      </c>
    </row>
    <row r="971" spans="1:24" s="14" customFormat="1" x14ac:dyDescent="0.25">
      <c r="A971" s="50">
        <v>45099</v>
      </c>
      <c r="B971" s="57">
        <v>173</v>
      </c>
      <c r="C971" s="36">
        <v>0.57133101851851853</v>
      </c>
      <c r="D971" s="16" t="s">
        <v>97</v>
      </c>
      <c r="E971" s="52" t="s">
        <v>65</v>
      </c>
      <c r="F971" s="16" t="s">
        <v>8759</v>
      </c>
      <c r="G971" s="16" t="s">
        <v>1664</v>
      </c>
      <c r="H971" s="14">
        <v>-1.4E-2</v>
      </c>
      <c r="I971" s="14" t="s">
        <v>11381</v>
      </c>
      <c r="J971" s="14" t="s">
        <v>11382</v>
      </c>
      <c r="K971" s="14" t="s">
        <v>11383</v>
      </c>
      <c r="L971" s="14" t="s">
        <v>11372</v>
      </c>
      <c r="O971" s="14" t="s">
        <v>11377</v>
      </c>
      <c r="P971" s="14" t="s">
        <v>11378</v>
      </c>
      <c r="Q971" s="14">
        <v>416974.06</v>
      </c>
      <c r="R971" s="14">
        <v>6188510.79</v>
      </c>
      <c r="S971" s="14" t="s">
        <v>11379</v>
      </c>
      <c r="T971" s="14" t="s">
        <v>11380</v>
      </c>
      <c r="U971" s="14">
        <v>416998.33</v>
      </c>
      <c r="V971" s="14">
        <v>6188501.9699999997</v>
      </c>
      <c r="W971" s="14">
        <v>178.14</v>
      </c>
      <c r="X971" s="14">
        <v>200.06</v>
      </c>
    </row>
    <row r="972" spans="1:24" s="14" customFormat="1" x14ac:dyDescent="0.25">
      <c r="A972" s="50">
        <v>45099</v>
      </c>
      <c r="B972" s="57">
        <v>173</v>
      </c>
      <c r="C972" s="36">
        <v>0.5758564814814815</v>
      </c>
      <c r="D972" s="16" t="s">
        <v>97</v>
      </c>
      <c r="E972" s="52" t="s">
        <v>70</v>
      </c>
      <c r="F972" s="16" t="s">
        <v>8759</v>
      </c>
      <c r="G972" s="16" t="s">
        <v>1664</v>
      </c>
      <c r="H972" s="14">
        <v>0.22500000000000001</v>
      </c>
      <c r="I972" s="14" t="s">
        <v>11381</v>
      </c>
      <c r="J972" s="14" t="s">
        <v>11382</v>
      </c>
      <c r="K972" s="14" t="s">
        <v>11383</v>
      </c>
      <c r="L972" s="14" t="s">
        <v>11388</v>
      </c>
      <c r="O972" s="14" t="s">
        <v>11384</v>
      </c>
      <c r="P972" s="14" t="s">
        <v>11385</v>
      </c>
      <c r="Q972" s="14">
        <v>416973.29</v>
      </c>
      <c r="R972" s="14">
        <v>6188271.25</v>
      </c>
      <c r="S972" s="14" t="s">
        <v>11386</v>
      </c>
      <c r="T972" s="14" t="s">
        <v>11387</v>
      </c>
      <c r="U972" s="14">
        <v>416998.34</v>
      </c>
      <c r="V972" s="14">
        <v>6188262.9299999997</v>
      </c>
      <c r="W972" s="14">
        <v>179.39</v>
      </c>
      <c r="X972" s="14">
        <v>200.06</v>
      </c>
    </row>
    <row r="973" spans="1:24" s="14" customFormat="1" x14ac:dyDescent="0.25">
      <c r="A973" s="50">
        <v>45099</v>
      </c>
      <c r="B973" s="57">
        <v>173</v>
      </c>
      <c r="C973" s="36">
        <v>0.57769675925925923</v>
      </c>
      <c r="D973" s="16" t="s">
        <v>97</v>
      </c>
      <c r="E973" s="52" t="s">
        <v>11393</v>
      </c>
      <c r="F973" s="16" t="s">
        <v>8759</v>
      </c>
      <c r="G973" s="16" t="s">
        <v>1665</v>
      </c>
      <c r="H973" s="14">
        <v>0.24099999999999999</v>
      </c>
      <c r="O973" s="14" t="s">
        <v>11389</v>
      </c>
      <c r="P973" s="14" t="s">
        <v>11390</v>
      </c>
      <c r="Q973" s="14">
        <v>416965.82</v>
      </c>
      <c r="R973" s="14">
        <v>6188228.7300000004</v>
      </c>
      <c r="S973" s="14" t="s">
        <v>11391</v>
      </c>
      <c r="T973" s="14" t="s">
        <v>11392</v>
      </c>
      <c r="U973" s="14">
        <v>416989.39</v>
      </c>
      <c r="V973" s="14">
        <v>6188236.29</v>
      </c>
      <c r="W973" s="14">
        <v>359.84</v>
      </c>
      <c r="X973" s="14">
        <v>200.06</v>
      </c>
    </row>
    <row r="974" spans="1:24" s="14" customFormat="1" x14ac:dyDescent="0.25">
      <c r="A974" s="50">
        <v>45099</v>
      </c>
      <c r="B974" s="57">
        <v>173</v>
      </c>
      <c r="C974" s="36">
        <v>0.58043981481481477</v>
      </c>
      <c r="D974" s="16" t="s">
        <v>97</v>
      </c>
      <c r="E974" s="52" t="s">
        <v>65</v>
      </c>
      <c r="F974" s="16" t="s">
        <v>8759</v>
      </c>
      <c r="G974" s="16" t="s">
        <v>1665</v>
      </c>
      <c r="H974" s="14">
        <v>0.221</v>
      </c>
      <c r="I974" s="14" t="s">
        <v>11398</v>
      </c>
      <c r="J974" s="14" t="s">
        <v>11399</v>
      </c>
      <c r="K974" s="14" t="s">
        <v>11400</v>
      </c>
      <c r="L974" s="14" t="s">
        <v>11388</v>
      </c>
      <c r="O974" s="14" t="s">
        <v>11394</v>
      </c>
      <c r="P974" s="14" t="s">
        <v>11395</v>
      </c>
      <c r="Q974" s="14">
        <v>416963.76</v>
      </c>
      <c r="R974" s="14">
        <v>6188262.5999999996</v>
      </c>
      <c r="S974" s="14" t="s">
        <v>11396</v>
      </c>
      <c r="T974" s="14" t="s">
        <v>11397</v>
      </c>
      <c r="U974" s="14">
        <v>416989.45</v>
      </c>
      <c r="V974" s="14">
        <v>6188256.0300000003</v>
      </c>
      <c r="W974" s="14">
        <v>359.68</v>
      </c>
      <c r="X974" s="14">
        <v>200.06</v>
      </c>
    </row>
    <row r="975" spans="1:24" s="14" customFormat="1" x14ac:dyDescent="0.25">
      <c r="A975" s="50">
        <v>45099</v>
      </c>
      <c r="B975" s="57">
        <v>173</v>
      </c>
      <c r="C975" s="36">
        <v>0.58501157407407411</v>
      </c>
      <c r="D975" s="16" t="s">
        <v>97</v>
      </c>
      <c r="E975" s="52" t="s">
        <v>70</v>
      </c>
      <c r="F975" s="16" t="s">
        <v>8759</v>
      </c>
      <c r="G975" s="16" t="s">
        <v>1665</v>
      </c>
      <c r="H975" s="14">
        <v>-1.9E-2</v>
      </c>
      <c r="I975" s="14" t="s">
        <v>11398</v>
      </c>
      <c r="J975" s="14" t="s">
        <v>11399</v>
      </c>
      <c r="K975" s="14" t="s">
        <v>11400</v>
      </c>
      <c r="L975" s="14" t="s">
        <v>11405</v>
      </c>
      <c r="O975" s="14" t="s">
        <v>11401</v>
      </c>
      <c r="P975" s="14" t="s">
        <v>11402</v>
      </c>
      <c r="Q975" s="14">
        <v>416964.65</v>
      </c>
      <c r="R975" s="14">
        <v>6188504.54</v>
      </c>
      <c r="S975" s="14" t="s">
        <v>11403</v>
      </c>
      <c r="T975" s="14" t="s">
        <v>11404</v>
      </c>
      <c r="U975" s="14">
        <v>416989.43</v>
      </c>
      <c r="V975" s="14">
        <v>6188495.7400000002</v>
      </c>
      <c r="W975" s="14">
        <v>359.41</v>
      </c>
      <c r="X975" s="14">
        <v>200.06</v>
      </c>
    </row>
    <row r="976" spans="1:24" s="14" customFormat="1" x14ac:dyDescent="0.25">
      <c r="A976" s="50">
        <v>45099</v>
      </c>
      <c r="B976" s="57">
        <v>173</v>
      </c>
      <c r="C976" s="36">
        <v>0.5883680555555556</v>
      </c>
      <c r="D976" s="16" t="s">
        <v>97</v>
      </c>
      <c r="E976" s="52" t="s">
        <v>65</v>
      </c>
      <c r="F976" s="16" t="s">
        <v>8759</v>
      </c>
      <c r="G976" s="16" t="s">
        <v>1666</v>
      </c>
      <c r="H976" s="14">
        <v>-1.4999999999999999E-2</v>
      </c>
      <c r="I976" s="14" t="s">
        <v>11410</v>
      </c>
      <c r="J976" s="14" t="s">
        <v>11411</v>
      </c>
      <c r="K976" s="14" t="s">
        <v>11412</v>
      </c>
      <c r="L976" s="14" t="s">
        <v>11405</v>
      </c>
      <c r="O976" s="14" t="s">
        <v>11406</v>
      </c>
      <c r="P976" s="14" t="s">
        <v>11407</v>
      </c>
      <c r="Q976" s="14">
        <v>416955.15</v>
      </c>
      <c r="R976" s="14">
        <v>6188509.3200000003</v>
      </c>
      <c r="S976" s="14" t="s">
        <v>11408</v>
      </c>
      <c r="T976" s="14" t="s">
        <v>11409</v>
      </c>
      <c r="U976" s="14">
        <v>416980.45</v>
      </c>
      <c r="V976" s="14">
        <v>6188502.96</v>
      </c>
      <c r="W976" s="14">
        <v>178.81</v>
      </c>
      <c r="X976" s="14">
        <v>200.06</v>
      </c>
    </row>
    <row r="977" spans="1:24" s="14" customFormat="1" x14ac:dyDescent="0.25">
      <c r="A977" s="50">
        <v>45099</v>
      </c>
      <c r="B977" s="57">
        <v>173</v>
      </c>
      <c r="C977" s="36">
        <v>0.59303240740740748</v>
      </c>
      <c r="D977" s="16" t="s">
        <v>97</v>
      </c>
      <c r="E977" s="52" t="s">
        <v>70</v>
      </c>
      <c r="F977" s="16" t="s">
        <v>8759</v>
      </c>
      <c r="G977" s="16" t="s">
        <v>1666</v>
      </c>
      <c r="H977" s="14">
        <v>0.23200000000000001</v>
      </c>
      <c r="I977" s="14" t="s">
        <v>11410</v>
      </c>
      <c r="J977" s="14" t="s">
        <v>11411</v>
      </c>
      <c r="K977" s="14" t="s">
        <v>11412</v>
      </c>
      <c r="L977" s="14" t="s">
        <v>11405</v>
      </c>
      <c r="O977" s="14" t="s">
        <v>11413</v>
      </c>
      <c r="P977" s="14" t="s">
        <v>11414</v>
      </c>
      <c r="Q977" s="14">
        <v>416955.86</v>
      </c>
      <c r="R977" s="14">
        <v>6188260.6299999999</v>
      </c>
      <c r="S977" s="14" t="s">
        <v>11415</v>
      </c>
      <c r="T977" s="14" t="s">
        <v>11416</v>
      </c>
      <c r="U977" s="14">
        <v>416980.37</v>
      </c>
      <c r="V977" s="14">
        <v>6188256.5499999998</v>
      </c>
      <c r="W977" s="14">
        <v>178.53</v>
      </c>
      <c r="X977" s="14">
        <v>200.06</v>
      </c>
    </row>
    <row r="978" spans="1:24" s="14" customFormat="1" x14ac:dyDescent="0.25">
      <c r="A978" s="50">
        <v>45099</v>
      </c>
      <c r="B978" s="57">
        <v>173</v>
      </c>
      <c r="C978" s="36">
        <v>0.59585648148148151</v>
      </c>
      <c r="D978" s="16" t="s">
        <v>97</v>
      </c>
      <c r="E978" s="14" t="s">
        <v>65</v>
      </c>
      <c r="F978" s="16" t="s">
        <v>8759</v>
      </c>
      <c r="G978" s="16" t="s">
        <v>1667</v>
      </c>
      <c r="H978" s="14">
        <v>0.22700000000000001</v>
      </c>
      <c r="I978" s="14" t="s">
        <v>11421</v>
      </c>
      <c r="J978" s="14" t="s">
        <v>11422</v>
      </c>
      <c r="K978" s="14" t="s">
        <v>11423</v>
      </c>
      <c r="L978" s="14" t="s">
        <v>11424</v>
      </c>
      <c r="O978" s="14" t="s">
        <v>11417</v>
      </c>
      <c r="P978" s="14" t="s">
        <v>11418</v>
      </c>
      <c r="Q978" s="14">
        <v>416946.86</v>
      </c>
      <c r="R978" s="14">
        <v>6188253.5700000003</v>
      </c>
      <c r="S978" s="14" t="s">
        <v>11419</v>
      </c>
      <c r="T978" s="14" t="s">
        <v>11420</v>
      </c>
      <c r="U978" s="14">
        <v>416971.48</v>
      </c>
      <c r="V978" s="14">
        <v>6188250.5800000001</v>
      </c>
      <c r="W978" s="14">
        <v>359.17</v>
      </c>
      <c r="X978" s="14">
        <v>200.06</v>
      </c>
    </row>
    <row r="979" spans="1:24" s="14" customFormat="1" x14ac:dyDescent="0.25">
      <c r="A979" s="50">
        <v>45099</v>
      </c>
      <c r="B979" s="57">
        <v>173</v>
      </c>
      <c r="C979" s="36">
        <v>0.60064814814814815</v>
      </c>
      <c r="D979" s="16" t="s">
        <v>97</v>
      </c>
      <c r="E979" s="14" t="s">
        <v>70</v>
      </c>
      <c r="F979" s="16" t="s">
        <v>8759</v>
      </c>
      <c r="G979" s="16" t="s">
        <v>1667</v>
      </c>
      <c r="H979" s="14">
        <v>-1.9E-2</v>
      </c>
      <c r="I979" s="14" t="s">
        <v>11421</v>
      </c>
      <c r="J979" s="14" t="s">
        <v>11422</v>
      </c>
      <c r="K979" s="14" t="s">
        <v>11423</v>
      </c>
      <c r="L979" s="14" t="s">
        <v>11424</v>
      </c>
      <c r="O979" s="14" t="s">
        <v>11425</v>
      </c>
      <c r="P979" s="14" t="s">
        <v>11426</v>
      </c>
      <c r="Q979" s="14">
        <v>416947.06</v>
      </c>
      <c r="R979" s="14">
        <v>6188500.3799999999</v>
      </c>
      <c r="S979" s="14" t="s">
        <v>11427</v>
      </c>
      <c r="T979" s="14" t="s">
        <v>11428</v>
      </c>
      <c r="U979" s="14">
        <v>416971.45</v>
      </c>
      <c r="V979" s="14">
        <v>6188495.9000000004</v>
      </c>
      <c r="W979" s="14">
        <v>359.05</v>
      </c>
      <c r="X979" s="14">
        <v>200.06</v>
      </c>
    </row>
    <row r="980" spans="1:24" s="14" customFormat="1" x14ac:dyDescent="0.25">
      <c r="A980" s="50">
        <v>45099</v>
      </c>
      <c r="B980" s="57">
        <v>173</v>
      </c>
      <c r="C980" s="36">
        <v>0.60375000000000001</v>
      </c>
      <c r="D980" s="16" t="s">
        <v>97</v>
      </c>
      <c r="E980" s="14" t="s">
        <v>65</v>
      </c>
      <c r="F980" s="16" t="s">
        <v>8759</v>
      </c>
      <c r="G980" s="16" t="s">
        <v>1668</v>
      </c>
      <c r="H980" s="14">
        <v>-1.4999999999999999E-2</v>
      </c>
      <c r="I980" s="14" t="s">
        <v>11433</v>
      </c>
      <c r="J980" s="14" t="s">
        <v>11434</v>
      </c>
      <c r="K980" s="14" t="s">
        <v>11435</v>
      </c>
      <c r="L980" s="14" t="s">
        <v>11436</v>
      </c>
      <c r="O980" s="14" t="s">
        <v>11429</v>
      </c>
      <c r="P980" s="14" t="s">
        <v>11430</v>
      </c>
      <c r="Q980" s="14">
        <v>416937.37</v>
      </c>
      <c r="R980" s="14">
        <v>6188509.2800000003</v>
      </c>
      <c r="S980" s="14" t="s">
        <v>11431</v>
      </c>
      <c r="T980" s="14" t="s">
        <v>11432</v>
      </c>
      <c r="U980" s="14">
        <v>416962.44</v>
      </c>
      <c r="V980" s="14">
        <v>6188502.8799999999</v>
      </c>
      <c r="W980" s="14">
        <v>179.54</v>
      </c>
      <c r="X980" s="14">
        <v>200.06</v>
      </c>
    </row>
    <row r="981" spans="1:24" s="14" customFormat="1" x14ac:dyDescent="0.25">
      <c r="A981" s="50">
        <v>45099</v>
      </c>
      <c r="B981" s="57">
        <v>173</v>
      </c>
      <c r="C981" s="36">
        <v>0.60917824074074078</v>
      </c>
      <c r="D981" s="16" t="s">
        <v>97</v>
      </c>
      <c r="E981" s="14" t="s">
        <v>70</v>
      </c>
      <c r="F981" s="16" t="s">
        <v>8759</v>
      </c>
      <c r="G981" s="16" t="s">
        <v>1668</v>
      </c>
      <c r="H981" s="14">
        <v>0.22500000000000001</v>
      </c>
      <c r="I981" s="14" t="s">
        <v>11433</v>
      </c>
      <c r="J981" s="14" t="s">
        <v>11434</v>
      </c>
      <c r="K981" s="14" t="s">
        <v>11435</v>
      </c>
      <c r="L981" s="14" t="s">
        <v>11436</v>
      </c>
      <c r="O981" s="14" t="s">
        <v>11437</v>
      </c>
      <c r="P981" s="14" t="s">
        <v>11438</v>
      </c>
      <c r="Q981" s="14">
        <v>416938.89</v>
      </c>
      <c r="R981" s="14">
        <v>6188267.3200000003</v>
      </c>
      <c r="S981" s="14" t="s">
        <v>11439</v>
      </c>
      <c r="T981" s="14" t="s">
        <v>11440</v>
      </c>
      <c r="U981" s="14">
        <v>416962.42</v>
      </c>
      <c r="V981" s="14">
        <v>6188263.0999999996</v>
      </c>
      <c r="W981" s="14">
        <v>178.54</v>
      </c>
      <c r="X981" s="14">
        <v>200.06</v>
      </c>
    </row>
    <row r="982" spans="1:24" s="81" customFormat="1" x14ac:dyDescent="0.25">
      <c r="A982" s="78">
        <v>45099</v>
      </c>
      <c r="B982" s="108">
        <v>173</v>
      </c>
      <c r="C982" s="80">
        <v>0.61657407407407405</v>
      </c>
      <c r="D982" s="79" t="s">
        <v>97</v>
      </c>
      <c r="E982" s="81" t="s">
        <v>9939</v>
      </c>
      <c r="F982" s="79" t="s">
        <v>8759</v>
      </c>
      <c r="G982" s="79" t="s">
        <v>1918</v>
      </c>
      <c r="H982" s="81">
        <v>0.82899999999999996</v>
      </c>
      <c r="O982" s="81" t="s">
        <v>11441</v>
      </c>
      <c r="P982" s="81" t="s">
        <v>11442</v>
      </c>
      <c r="Q982" s="81">
        <v>416938.01</v>
      </c>
      <c r="R982" s="81">
        <v>6188241.2000000002</v>
      </c>
      <c r="S982" s="81" t="s">
        <v>11443</v>
      </c>
      <c r="T982" s="81" t="s">
        <v>11444</v>
      </c>
      <c r="U982" s="81">
        <v>416947.83</v>
      </c>
      <c r="V982" s="81">
        <v>6188236.5199999996</v>
      </c>
      <c r="W982" s="81">
        <v>103.29</v>
      </c>
      <c r="X982" s="81">
        <v>150.05000000000001</v>
      </c>
    </row>
    <row r="983" spans="1:24" s="14" customFormat="1" x14ac:dyDescent="0.25">
      <c r="A983" s="50">
        <v>45099</v>
      </c>
      <c r="B983" s="57">
        <v>173</v>
      </c>
      <c r="C983" s="36">
        <v>0.616724537037037</v>
      </c>
      <c r="D983" s="16" t="s">
        <v>97</v>
      </c>
      <c r="E983" s="52" t="s">
        <v>11449</v>
      </c>
      <c r="F983" s="16" t="s">
        <v>8759</v>
      </c>
      <c r="G983" s="16" t="s">
        <v>1918</v>
      </c>
      <c r="H983" s="14">
        <v>0.83</v>
      </c>
      <c r="O983" s="14" t="s">
        <v>11445</v>
      </c>
      <c r="P983" s="14" t="s">
        <v>11446</v>
      </c>
      <c r="Q983" s="14">
        <v>416938.48</v>
      </c>
      <c r="R983" s="14">
        <v>6188241.25</v>
      </c>
      <c r="S983" s="14" t="s">
        <v>11447</v>
      </c>
      <c r="T983" s="14" t="s">
        <v>11448</v>
      </c>
      <c r="U983" s="14">
        <v>416948.05</v>
      </c>
      <c r="V983" s="14">
        <v>6188236.5</v>
      </c>
      <c r="W983" s="14">
        <v>105.16</v>
      </c>
      <c r="X983" s="14">
        <v>150.05000000000001</v>
      </c>
    </row>
    <row r="984" spans="1:24" s="14" customFormat="1" x14ac:dyDescent="0.25">
      <c r="A984" s="50">
        <v>45099</v>
      </c>
      <c r="B984" s="57">
        <v>173</v>
      </c>
      <c r="C984" s="36">
        <v>0.63193287037037038</v>
      </c>
      <c r="D984" s="16" t="s">
        <v>97</v>
      </c>
      <c r="E984" s="14" t="s">
        <v>6362</v>
      </c>
      <c r="F984" s="16" t="s">
        <v>8759</v>
      </c>
      <c r="G984" s="16" t="s">
        <v>1918</v>
      </c>
      <c r="H984" s="14">
        <v>0.185</v>
      </c>
      <c r="O984" s="14" t="s">
        <v>11450</v>
      </c>
      <c r="P984" s="14" t="s">
        <v>11451</v>
      </c>
      <c r="Q984" s="14">
        <v>415188.3</v>
      </c>
      <c r="R984" s="14">
        <v>6188877.1299999999</v>
      </c>
      <c r="S984" s="14" t="s">
        <v>11452</v>
      </c>
      <c r="T984" s="14" t="s">
        <v>11453</v>
      </c>
      <c r="U984" s="14">
        <v>415177.33</v>
      </c>
      <c r="V984" s="14">
        <v>6188879.0999999996</v>
      </c>
      <c r="W984" s="14">
        <v>267.63</v>
      </c>
      <c r="X984" s="14">
        <v>150.05000000000001</v>
      </c>
    </row>
    <row r="985" spans="1:24" s="77" customFormat="1" x14ac:dyDescent="0.25">
      <c r="A985" s="74">
        <v>45099</v>
      </c>
      <c r="B985" s="105">
        <v>173</v>
      </c>
      <c r="C985" s="76">
        <v>0.63332175925925926</v>
      </c>
      <c r="D985" s="75" t="s">
        <v>97</v>
      </c>
      <c r="E985" s="77" t="s">
        <v>11458</v>
      </c>
      <c r="F985" s="75" t="s">
        <v>8759</v>
      </c>
      <c r="G985" s="75" t="s">
        <v>1918</v>
      </c>
      <c r="H985" s="77">
        <v>0.185</v>
      </c>
      <c r="O985" s="77" t="s">
        <v>11454</v>
      </c>
      <c r="P985" s="77" t="s">
        <v>11455</v>
      </c>
      <c r="Q985" s="77">
        <v>415188.01</v>
      </c>
      <c r="R985" s="77">
        <v>6188877.3499999996</v>
      </c>
      <c r="S985" s="77" t="s">
        <v>11456</v>
      </c>
      <c r="T985" s="77" t="s">
        <v>11457</v>
      </c>
      <c r="U985" s="77">
        <v>415176.62</v>
      </c>
      <c r="V985" s="77">
        <v>6188879.4800000004</v>
      </c>
      <c r="W985" s="77">
        <v>267.83</v>
      </c>
      <c r="X985" s="77">
        <v>150.05000000000001</v>
      </c>
    </row>
    <row r="986" spans="1:24" s="68" customFormat="1" x14ac:dyDescent="0.25">
      <c r="A986" s="65">
        <v>45099</v>
      </c>
      <c r="B986" s="106">
        <v>173</v>
      </c>
      <c r="C986" s="67">
        <v>0.63719907407407406</v>
      </c>
      <c r="D986" s="66" t="s">
        <v>97</v>
      </c>
      <c r="E986" s="88" t="s">
        <v>11464</v>
      </c>
      <c r="F986" s="66" t="s">
        <v>8759</v>
      </c>
      <c r="G986" s="66" t="s">
        <v>1918</v>
      </c>
      <c r="H986" s="68">
        <v>0.17299999999999999</v>
      </c>
      <c r="M986" s="68" t="s">
        <v>11459</v>
      </c>
      <c r="O986" s="68" t="s">
        <v>11460</v>
      </c>
      <c r="P986" s="68" t="s">
        <v>11461</v>
      </c>
      <c r="Q986" s="68">
        <v>415188.04</v>
      </c>
      <c r="R986" s="68">
        <v>6188877.6699999999</v>
      </c>
      <c r="S986" s="68" t="s">
        <v>11462</v>
      </c>
      <c r="T986" s="68" t="s">
        <v>11463</v>
      </c>
      <c r="U986" s="68">
        <v>415172.07</v>
      </c>
      <c r="V986" s="68">
        <v>6188887.2599999998</v>
      </c>
      <c r="W986" s="68">
        <v>311.92</v>
      </c>
      <c r="X986" s="68">
        <v>150.05000000000001</v>
      </c>
    </row>
    <row r="987" spans="1:24" s="90" customFormat="1" x14ac:dyDescent="0.25">
      <c r="A987" s="93">
        <v>45099</v>
      </c>
      <c r="B987" s="92">
        <v>173</v>
      </c>
      <c r="C987" s="83">
        <v>0.64356481481481487</v>
      </c>
      <c r="D987" s="95" t="s">
        <v>97</v>
      </c>
      <c r="E987" s="91" t="s">
        <v>7456</v>
      </c>
      <c r="F987" s="95" t="s">
        <v>8759</v>
      </c>
      <c r="G987" s="95" t="s">
        <v>1918</v>
      </c>
      <c r="H987" s="90">
        <v>0.16500000000000001</v>
      </c>
      <c r="I987" s="90" t="s">
        <v>11469</v>
      </c>
      <c r="J987" s="90" t="s">
        <v>11470</v>
      </c>
      <c r="K987" s="90" t="s">
        <v>11471</v>
      </c>
      <c r="L987" s="90" t="s">
        <v>11472</v>
      </c>
      <c r="O987" s="90" t="s">
        <v>11465</v>
      </c>
      <c r="P987" s="90" t="s">
        <v>11466</v>
      </c>
      <c r="Q987" s="90">
        <v>415186.83</v>
      </c>
      <c r="R987" s="90">
        <v>6188888.0300000003</v>
      </c>
      <c r="S987" s="90" t="s">
        <v>11467</v>
      </c>
      <c r="T987" s="90" t="s">
        <v>11468</v>
      </c>
      <c r="U987" s="90">
        <v>415161.99</v>
      </c>
      <c r="V987" s="90">
        <v>6188894.1200000001</v>
      </c>
      <c r="W987" s="90">
        <v>1.53</v>
      </c>
      <c r="X987" s="90">
        <v>150.05000000000001</v>
      </c>
    </row>
    <row r="988" spans="1:24" s="90" customFormat="1" x14ac:dyDescent="0.25">
      <c r="A988" s="93">
        <v>45099</v>
      </c>
      <c r="B988" s="92">
        <v>173</v>
      </c>
      <c r="C988" s="83">
        <v>0.64495370370370375</v>
      </c>
      <c r="D988" s="95" t="s">
        <v>97</v>
      </c>
      <c r="E988" s="91" t="s">
        <v>7457</v>
      </c>
      <c r="F988" s="95" t="s">
        <v>8759</v>
      </c>
      <c r="G988" s="95" t="s">
        <v>1918</v>
      </c>
      <c r="H988" s="90">
        <v>0.108</v>
      </c>
      <c r="I988" s="90" t="s">
        <v>11469</v>
      </c>
      <c r="J988" s="90" t="s">
        <v>11470</v>
      </c>
      <c r="K988" s="90" t="s">
        <v>11471</v>
      </c>
      <c r="L988" s="90" t="s">
        <v>11472</v>
      </c>
      <c r="O988" s="90" t="s">
        <v>11473</v>
      </c>
      <c r="P988" s="90" t="s">
        <v>11474</v>
      </c>
      <c r="Q988" s="90">
        <v>415187.12</v>
      </c>
      <c r="R988" s="90">
        <v>6188944.4100000001</v>
      </c>
      <c r="S988" s="90" t="s">
        <v>11475</v>
      </c>
      <c r="T988" s="90" t="s">
        <v>11476</v>
      </c>
      <c r="U988" s="90">
        <v>415161.94</v>
      </c>
      <c r="V988" s="90">
        <v>6188950.9800000004</v>
      </c>
      <c r="W988" s="90">
        <v>359.9</v>
      </c>
      <c r="X988" s="90">
        <v>150.05000000000001</v>
      </c>
    </row>
    <row r="989" spans="1:24" s="14" customFormat="1" x14ac:dyDescent="0.25">
      <c r="A989" s="50">
        <v>45099</v>
      </c>
      <c r="B989" s="57">
        <v>173</v>
      </c>
      <c r="C989" s="36">
        <v>0.64515046296296297</v>
      </c>
      <c r="D989" s="16" t="s">
        <v>97</v>
      </c>
      <c r="E989" s="52" t="s">
        <v>11482</v>
      </c>
      <c r="F989" s="16" t="s">
        <v>8759</v>
      </c>
      <c r="G989" s="16" t="s">
        <v>1918</v>
      </c>
      <c r="H989" s="14">
        <v>0.108</v>
      </c>
      <c r="O989" s="14" t="s">
        <v>11478</v>
      </c>
      <c r="P989" s="14" t="s">
        <v>11479</v>
      </c>
      <c r="Q989" s="14">
        <v>415187.32</v>
      </c>
      <c r="R989" s="14">
        <v>6188946.3700000001</v>
      </c>
      <c r="S989" s="14" t="s">
        <v>11480</v>
      </c>
      <c r="T989" s="14" t="s">
        <v>11481</v>
      </c>
      <c r="U989" s="14">
        <v>415162.09</v>
      </c>
      <c r="V989" s="14">
        <v>6188959.0199999996</v>
      </c>
      <c r="W989" s="14">
        <v>240.48</v>
      </c>
      <c r="X989" s="14">
        <v>150.05000000000001</v>
      </c>
    </row>
    <row r="990" spans="1:24" s="167" customFormat="1" x14ac:dyDescent="0.25">
      <c r="A990" s="93">
        <v>45099</v>
      </c>
      <c r="B990" s="92">
        <v>173</v>
      </c>
      <c r="C990" s="83">
        <v>0.65109953703703705</v>
      </c>
      <c r="D990" s="177" t="s">
        <v>97</v>
      </c>
      <c r="E990" s="168" t="s">
        <v>7456</v>
      </c>
      <c r="F990" s="177" t="s">
        <v>8759</v>
      </c>
      <c r="G990" s="177" t="s">
        <v>1918</v>
      </c>
      <c r="H990" s="167">
        <v>0.16600000000000001</v>
      </c>
      <c r="I990" s="167" t="s">
        <v>11487</v>
      </c>
      <c r="J990" s="167" t="s">
        <v>11488</v>
      </c>
      <c r="K990" s="167" t="s">
        <v>11489</v>
      </c>
      <c r="L990" s="167" t="s">
        <v>11490</v>
      </c>
      <c r="O990" s="167" t="s">
        <v>11483</v>
      </c>
      <c r="P990" s="167" t="s">
        <v>11484</v>
      </c>
      <c r="Q990" s="167">
        <v>415187.23</v>
      </c>
      <c r="R990" s="167">
        <v>6188883.3899999997</v>
      </c>
      <c r="S990" s="167" t="s">
        <v>11485</v>
      </c>
      <c r="T990" s="167" t="s">
        <v>11486</v>
      </c>
      <c r="U990" s="167">
        <v>415161.62</v>
      </c>
      <c r="V990" s="167">
        <v>6188893.0499999998</v>
      </c>
      <c r="W990" s="167">
        <v>0.69</v>
      </c>
      <c r="X990" s="167">
        <v>150.05000000000001</v>
      </c>
    </row>
    <row r="991" spans="1:24" s="167" customFormat="1" x14ac:dyDescent="0.25">
      <c r="A991" s="93">
        <v>45099</v>
      </c>
      <c r="B991" s="92">
        <v>173</v>
      </c>
      <c r="C991" s="83">
        <v>0.65582175925925923</v>
      </c>
      <c r="D991" s="177" t="s">
        <v>97</v>
      </c>
      <c r="E991" s="168" t="s">
        <v>7457</v>
      </c>
      <c r="F991" s="177" t="s">
        <v>8759</v>
      </c>
      <c r="G991" s="177" t="s">
        <v>1918</v>
      </c>
      <c r="H991" s="167">
        <v>-2.4E-2</v>
      </c>
      <c r="I991" s="167" t="s">
        <v>11487</v>
      </c>
      <c r="J991" s="167" t="s">
        <v>11488</v>
      </c>
      <c r="K991" s="167" t="s">
        <v>11489</v>
      </c>
      <c r="L991" s="167" t="s">
        <v>11495</v>
      </c>
      <c r="O991" s="167" t="s">
        <v>11491</v>
      </c>
      <c r="P991" s="167" t="s">
        <v>11492</v>
      </c>
      <c r="Q991" s="167">
        <v>415188.44</v>
      </c>
      <c r="R991" s="167">
        <v>6189078.3099999996</v>
      </c>
      <c r="S991" s="167" t="s">
        <v>11493</v>
      </c>
      <c r="T991" s="167" t="s">
        <v>11494</v>
      </c>
      <c r="U991" s="167">
        <v>415161.86</v>
      </c>
      <c r="V991" s="167">
        <v>6189082.3899999997</v>
      </c>
      <c r="W991" s="167">
        <v>0.22</v>
      </c>
      <c r="X991" s="167">
        <v>150.05000000000001</v>
      </c>
    </row>
    <row r="992" spans="1:24" s="14" customFormat="1" x14ac:dyDescent="0.25">
      <c r="A992" s="50">
        <v>45099</v>
      </c>
      <c r="B992" s="57">
        <v>173</v>
      </c>
      <c r="C992" s="36">
        <v>0.65737268518518521</v>
      </c>
      <c r="D992" s="16" t="s">
        <v>97</v>
      </c>
      <c r="E992" s="52" t="s">
        <v>11507</v>
      </c>
      <c r="F992" s="16" t="s">
        <v>8759</v>
      </c>
      <c r="G992" s="16" t="s">
        <v>1918</v>
      </c>
      <c r="H992" s="14">
        <v>-5.2999999999999999E-2</v>
      </c>
      <c r="O992" s="14" t="s">
        <v>11496</v>
      </c>
      <c r="P992" s="14" t="s">
        <v>11497</v>
      </c>
      <c r="Q992" s="14">
        <v>415188.59</v>
      </c>
      <c r="R992" s="14">
        <v>6189103.7599999998</v>
      </c>
      <c r="S992" s="14" t="s">
        <v>11498</v>
      </c>
      <c r="T992" s="14" t="s">
        <v>11499</v>
      </c>
      <c r="U992" s="14">
        <v>415165.98</v>
      </c>
      <c r="V992" s="14">
        <v>6189121.6799999997</v>
      </c>
      <c r="W992" s="14">
        <v>221.61</v>
      </c>
      <c r="X992" s="14">
        <v>150.05000000000001</v>
      </c>
    </row>
    <row r="993" spans="1:24" s="14" customFormat="1" x14ac:dyDescent="0.25">
      <c r="A993" s="50">
        <v>45099</v>
      </c>
      <c r="B993" s="57">
        <v>173</v>
      </c>
      <c r="C993" s="36">
        <v>0.65949074074074077</v>
      </c>
      <c r="D993" s="16" t="s">
        <v>97</v>
      </c>
      <c r="E993" s="14" t="s">
        <v>65</v>
      </c>
      <c r="F993" s="16" t="s">
        <v>8759</v>
      </c>
      <c r="G993" s="16" t="s">
        <v>1918</v>
      </c>
      <c r="H993" s="14">
        <v>-1.4E-2</v>
      </c>
      <c r="I993" s="14" t="s">
        <v>11504</v>
      </c>
      <c r="J993" s="14" t="s">
        <v>11505</v>
      </c>
      <c r="K993" s="14" t="s">
        <v>11506</v>
      </c>
      <c r="L993" s="14" t="s">
        <v>11495</v>
      </c>
      <c r="O993" s="14" t="s">
        <v>11500</v>
      </c>
      <c r="P993" s="14" t="s">
        <v>11501</v>
      </c>
      <c r="Q993" s="14">
        <v>415187.59</v>
      </c>
      <c r="R993" s="14">
        <v>6189074.96</v>
      </c>
      <c r="S993" s="14" t="s">
        <v>11502</v>
      </c>
      <c r="T993" s="14" t="s">
        <v>11503</v>
      </c>
      <c r="U993" s="14">
        <v>415161.66</v>
      </c>
      <c r="V993" s="14">
        <v>6189083.8700000001</v>
      </c>
      <c r="W993" s="14">
        <v>179.75</v>
      </c>
      <c r="X993" s="14">
        <v>150.05000000000001</v>
      </c>
    </row>
    <row r="994" spans="1:24" s="14" customFormat="1" x14ac:dyDescent="0.25">
      <c r="A994" s="50">
        <v>45099</v>
      </c>
      <c r="B994" s="57">
        <v>173</v>
      </c>
      <c r="C994" s="36">
        <v>0.66361111111111104</v>
      </c>
      <c r="D994" s="16" t="s">
        <v>97</v>
      </c>
      <c r="E994" s="14" t="s">
        <v>70</v>
      </c>
      <c r="F994" s="16" t="s">
        <v>8759</v>
      </c>
      <c r="G994" s="16" t="s">
        <v>1918</v>
      </c>
      <c r="H994" s="14">
        <v>0.16500000000000001</v>
      </c>
      <c r="I994" s="14" t="s">
        <v>11504</v>
      </c>
      <c r="J994" s="14" t="s">
        <v>11505</v>
      </c>
      <c r="K994" s="14" t="s">
        <v>11506</v>
      </c>
      <c r="L994" s="14" t="s">
        <v>11495</v>
      </c>
      <c r="O994" s="14" t="s">
        <v>11508</v>
      </c>
      <c r="P994" s="14" t="s">
        <v>11509</v>
      </c>
      <c r="Q994" s="14">
        <v>415187.21</v>
      </c>
      <c r="R994" s="14">
        <v>6188893.2000000002</v>
      </c>
      <c r="S994" s="14" t="s">
        <v>11510</v>
      </c>
      <c r="T994" s="14" t="s">
        <v>11511</v>
      </c>
      <c r="U994" s="14">
        <v>415161.73</v>
      </c>
      <c r="V994" s="14">
        <v>6188904.6799999997</v>
      </c>
      <c r="W994" s="14">
        <v>180.51</v>
      </c>
      <c r="X994" s="14">
        <v>150.05000000000001</v>
      </c>
    </row>
    <row r="995" spans="1:24" s="14" customFormat="1" x14ac:dyDescent="0.25">
      <c r="A995" s="50">
        <v>45099</v>
      </c>
      <c r="B995" s="57">
        <v>173</v>
      </c>
      <c r="C995" s="36">
        <v>0.66658564814814814</v>
      </c>
      <c r="D995" s="16" t="s">
        <v>97</v>
      </c>
      <c r="E995" s="14" t="s">
        <v>65</v>
      </c>
      <c r="F995" s="16" t="s">
        <v>8759</v>
      </c>
      <c r="G995" s="16" t="s">
        <v>1917</v>
      </c>
      <c r="H995" s="14">
        <v>0.16200000000000001</v>
      </c>
      <c r="I995" s="14" t="s">
        <v>11516</v>
      </c>
      <c r="J995" s="14" t="s">
        <v>11517</v>
      </c>
      <c r="K995" s="14" t="s">
        <v>11518</v>
      </c>
      <c r="L995" s="14" t="s">
        <v>11519</v>
      </c>
      <c r="O995" s="14" t="s">
        <v>11512</v>
      </c>
      <c r="P995" s="14" t="s">
        <v>11513</v>
      </c>
      <c r="Q995" s="14">
        <v>415177.79</v>
      </c>
      <c r="R995" s="14">
        <v>6188890.71</v>
      </c>
      <c r="S995" s="14" t="s">
        <v>11514</v>
      </c>
      <c r="T995" s="14" t="s">
        <v>11515</v>
      </c>
      <c r="U995" s="14">
        <v>415152.71</v>
      </c>
      <c r="V995" s="14">
        <v>6188896.6299999999</v>
      </c>
      <c r="W995" s="14">
        <v>0.43</v>
      </c>
      <c r="X995" s="14">
        <v>150.05000000000001</v>
      </c>
    </row>
    <row r="996" spans="1:24" s="14" customFormat="1" x14ac:dyDescent="0.25">
      <c r="A996" s="50">
        <v>45099</v>
      </c>
      <c r="B996" s="57">
        <v>173</v>
      </c>
      <c r="C996" s="36">
        <v>0.67070601851851841</v>
      </c>
      <c r="D996" s="16" t="s">
        <v>7408</v>
      </c>
      <c r="E996" s="14" t="s">
        <v>70</v>
      </c>
      <c r="F996" s="16" t="s">
        <v>8759</v>
      </c>
      <c r="G996" s="16" t="s">
        <v>1917</v>
      </c>
      <c r="H996" s="14">
        <v>-0.02</v>
      </c>
      <c r="I996" s="14" t="s">
        <v>11516</v>
      </c>
      <c r="J996" s="14" t="s">
        <v>11517</v>
      </c>
      <c r="K996" s="14" t="s">
        <v>11518</v>
      </c>
      <c r="L996" s="14" t="s">
        <v>11519</v>
      </c>
      <c r="O996" s="14" t="s">
        <v>11520</v>
      </c>
      <c r="P996" s="14" t="s">
        <v>11521</v>
      </c>
      <c r="Q996" s="14">
        <v>415179.67</v>
      </c>
      <c r="R996" s="14">
        <v>6189071.7699999996</v>
      </c>
      <c r="S996" s="14" t="s">
        <v>11522</v>
      </c>
      <c r="T996" s="14" t="s">
        <v>11523</v>
      </c>
      <c r="U996" s="14">
        <v>415152.77</v>
      </c>
      <c r="V996" s="14">
        <v>6189079.0999999996</v>
      </c>
      <c r="W996" s="14">
        <v>359.18</v>
      </c>
      <c r="X996" s="14">
        <v>150.05000000000001</v>
      </c>
    </row>
    <row r="997" spans="1:24" s="14" customFormat="1" x14ac:dyDescent="0.25">
      <c r="A997" s="50">
        <v>45099</v>
      </c>
      <c r="B997" s="57">
        <v>173</v>
      </c>
      <c r="C997" s="36">
        <v>0.67501157407407408</v>
      </c>
      <c r="D997" s="16" t="s">
        <v>7408</v>
      </c>
      <c r="E997" s="14" t="s">
        <v>65</v>
      </c>
      <c r="F997" s="16" t="s">
        <v>8759</v>
      </c>
      <c r="G997" s="16" t="s">
        <v>1916</v>
      </c>
      <c r="H997" s="14">
        <v>-1.6E-2</v>
      </c>
      <c r="I997" s="14" t="s">
        <v>11528</v>
      </c>
      <c r="J997" s="14" t="s">
        <v>11529</v>
      </c>
      <c r="K997" s="14" t="s">
        <v>11530</v>
      </c>
      <c r="L997" s="14" t="s">
        <v>11519</v>
      </c>
      <c r="O997" s="14" t="s">
        <v>11524</v>
      </c>
      <c r="P997" s="14" t="s">
        <v>11525</v>
      </c>
      <c r="Q997" s="14">
        <v>415167.1</v>
      </c>
      <c r="R997" s="14">
        <v>6189083.7199999997</v>
      </c>
      <c r="S997" s="14" t="s">
        <v>11526</v>
      </c>
      <c r="T997" s="14" t="s">
        <v>11527</v>
      </c>
      <c r="U997" s="14">
        <v>415143.81</v>
      </c>
      <c r="V997" s="14">
        <v>6189085.5599999996</v>
      </c>
      <c r="W997" s="14">
        <v>179.56</v>
      </c>
      <c r="X997" s="14">
        <v>150.05000000000001</v>
      </c>
    </row>
    <row r="998" spans="1:24" s="14" customFormat="1" x14ac:dyDescent="0.25">
      <c r="A998" s="50">
        <v>45099</v>
      </c>
      <c r="B998" s="57">
        <v>173</v>
      </c>
      <c r="C998" s="36">
        <v>0.67920138888888892</v>
      </c>
      <c r="D998" s="16" t="s">
        <v>7408</v>
      </c>
      <c r="E998" s="52" t="s">
        <v>70</v>
      </c>
      <c r="F998" s="16" t="s">
        <v>8759</v>
      </c>
      <c r="G998" s="16" t="s">
        <v>1916</v>
      </c>
      <c r="H998" s="14">
        <v>0.16800000000000001</v>
      </c>
      <c r="I998" s="14" t="s">
        <v>11528</v>
      </c>
      <c r="J998" s="14" t="s">
        <v>11529</v>
      </c>
      <c r="K998" s="14" t="s">
        <v>11530</v>
      </c>
      <c r="L998" s="14" t="s">
        <v>11535</v>
      </c>
      <c r="O998" s="14" t="s">
        <v>11531</v>
      </c>
      <c r="P998" s="14" t="s">
        <v>11532</v>
      </c>
      <c r="Q998" s="14">
        <v>415167.49</v>
      </c>
      <c r="R998" s="14">
        <v>6188898.4699999997</v>
      </c>
      <c r="S998" s="14" t="s">
        <v>11533</v>
      </c>
      <c r="T998" s="14" t="s">
        <v>11534</v>
      </c>
      <c r="U998" s="14">
        <v>415143.81</v>
      </c>
      <c r="V998" s="14">
        <v>6188902.2800000003</v>
      </c>
      <c r="W998" s="14">
        <v>180.38</v>
      </c>
      <c r="X998" s="14">
        <v>150.05000000000001</v>
      </c>
    </row>
    <row r="999" spans="1:24" s="14" customFormat="1" x14ac:dyDescent="0.25">
      <c r="A999" s="50">
        <v>45099</v>
      </c>
      <c r="B999" s="57">
        <v>173</v>
      </c>
      <c r="C999" s="36">
        <v>0.68185185185185182</v>
      </c>
      <c r="D999" s="16" t="s">
        <v>7408</v>
      </c>
      <c r="E999" s="52" t="s">
        <v>65</v>
      </c>
      <c r="F999" s="16" t="s">
        <v>8759</v>
      </c>
      <c r="G999" s="16" t="s">
        <v>1915</v>
      </c>
      <c r="H999" s="14">
        <v>0.16300000000000001</v>
      </c>
      <c r="I999" s="14" t="s">
        <v>11540</v>
      </c>
      <c r="J999" s="14" t="s">
        <v>11541</v>
      </c>
      <c r="K999" s="14" t="s">
        <v>11542</v>
      </c>
      <c r="L999" s="14" t="s">
        <v>11535</v>
      </c>
      <c r="O999" s="14" t="s">
        <v>11536</v>
      </c>
      <c r="P999" s="14" t="s">
        <v>11537</v>
      </c>
      <c r="Q999" s="14">
        <v>415159.7</v>
      </c>
      <c r="R999" s="14">
        <v>6188891.2300000004</v>
      </c>
      <c r="S999" s="14" t="s">
        <v>11538</v>
      </c>
      <c r="T999" s="14" t="s">
        <v>11539</v>
      </c>
      <c r="U999" s="14">
        <v>415134.88</v>
      </c>
      <c r="V999" s="14">
        <v>6188896.1699999999</v>
      </c>
      <c r="W999" s="14">
        <v>0.15</v>
      </c>
      <c r="X999" s="14">
        <v>150.05000000000001</v>
      </c>
    </row>
    <row r="1000" spans="1:24" s="14" customFormat="1" x14ac:dyDescent="0.25">
      <c r="A1000" s="50">
        <v>45099</v>
      </c>
      <c r="B1000" s="57">
        <v>173</v>
      </c>
      <c r="C1000" s="36">
        <v>0.68604166666666666</v>
      </c>
      <c r="D1000" s="16" t="s">
        <v>7408</v>
      </c>
      <c r="E1000" s="52" t="s">
        <v>70</v>
      </c>
      <c r="F1000" s="16" t="s">
        <v>8759</v>
      </c>
      <c r="G1000" s="16" t="s">
        <v>1915</v>
      </c>
      <c r="H1000" s="14">
        <v>-2.1000000000000001E-2</v>
      </c>
      <c r="I1000" s="14" t="s">
        <v>11540</v>
      </c>
      <c r="J1000" s="14" t="s">
        <v>11541</v>
      </c>
      <c r="K1000" s="14" t="s">
        <v>11542</v>
      </c>
      <c r="L1000" s="14" t="s">
        <v>11535</v>
      </c>
      <c r="O1000" s="14" t="s">
        <v>11543</v>
      </c>
      <c r="P1000" s="14" t="s">
        <v>11544</v>
      </c>
      <c r="Q1000" s="14">
        <v>415159.77</v>
      </c>
      <c r="R1000" s="14">
        <v>6189074.2999999998</v>
      </c>
      <c r="S1000" s="14" t="s">
        <v>11545</v>
      </c>
      <c r="T1000" s="14" t="s">
        <v>11546</v>
      </c>
      <c r="U1000" s="14">
        <v>415135.03</v>
      </c>
      <c r="V1000" s="14">
        <v>6189079.6600000001</v>
      </c>
      <c r="W1000" s="14">
        <v>357.74</v>
      </c>
      <c r="X1000" s="14">
        <v>150.05000000000001</v>
      </c>
    </row>
    <row r="1001" spans="1:24" s="14" customFormat="1" x14ac:dyDescent="0.25">
      <c r="A1001" s="50">
        <v>45099</v>
      </c>
      <c r="B1001" s="57">
        <v>173</v>
      </c>
      <c r="C1001" s="36">
        <v>0.6896874999999999</v>
      </c>
      <c r="D1001" s="16" t="s">
        <v>7408</v>
      </c>
      <c r="E1001" s="52" t="s">
        <v>65</v>
      </c>
      <c r="F1001" s="16" t="s">
        <v>8759</v>
      </c>
      <c r="G1001" s="16" t="s">
        <v>1914</v>
      </c>
      <c r="H1001" s="14">
        <v>-1.7000000000000001E-2</v>
      </c>
      <c r="I1001" s="14" t="s">
        <v>11551</v>
      </c>
      <c r="J1001" s="14" t="s">
        <v>11552</v>
      </c>
      <c r="K1001" s="14" t="s">
        <v>11553</v>
      </c>
      <c r="L1001" s="14" t="s">
        <v>11554</v>
      </c>
      <c r="O1001" s="14" t="s">
        <v>11547</v>
      </c>
      <c r="P1001" s="14" t="s">
        <v>11548</v>
      </c>
      <c r="Q1001" s="14">
        <v>415149.81</v>
      </c>
      <c r="R1001" s="14">
        <v>6189081.21</v>
      </c>
      <c r="S1001" s="14" t="s">
        <v>11549</v>
      </c>
      <c r="T1001" s="14" t="s">
        <v>11550</v>
      </c>
      <c r="U1001" s="14">
        <v>415125.89</v>
      </c>
      <c r="V1001" s="14">
        <v>6189087.4100000001</v>
      </c>
      <c r="W1001" s="14">
        <v>180.55</v>
      </c>
      <c r="X1001" s="14">
        <v>150.05000000000001</v>
      </c>
    </row>
    <row r="1002" spans="1:24" s="14" customFormat="1" x14ac:dyDescent="0.25">
      <c r="A1002" s="50">
        <v>45099</v>
      </c>
      <c r="B1002" s="57">
        <v>173</v>
      </c>
      <c r="C1002" s="36">
        <v>0.69391203703703708</v>
      </c>
      <c r="D1002" s="16" t="s">
        <v>7408</v>
      </c>
      <c r="E1002" s="52" t="s">
        <v>70</v>
      </c>
      <c r="F1002" s="16" t="s">
        <v>8759</v>
      </c>
      <c r="G1002" s="16" t="s">
        <v>1914</v>
      </c>
      <c r="H1002" s="14">
        <v>0.16800000000000001</v>
      </c>
      <c r="I1002" s="14" t="s">
        <v>11551</v>
      </c>
      <c r="J1002" s="14" t="s">
        <v>11552</v>
      </c>
      <c r="K1002" s="14" t="s">
        <v>11553</v>
      </c>
      <c r="L1002" s="14" t="s">
        <v>11554</v>
      </c>
      <c r="O1002" s="14" t="s">
        <v>11555</v>
      </c>
      <c r="P1002" s="14" t="s">
        <v>11556</v>
      </c>
      <c r="Q1002" s="14">
        <v>415149.4</v>
      </c>
      <c r="R1002" s="14">
        <v>6188895.54</v>
      </c>
      <c r="S1002" s="14" t="s">
        <v>11557</v>
      </c>
      <c r="T1002" s="14" t="s">
        <v>11558</v>
      </c>
      <c r="U1002" s="14">
        <v>415125.8</v>
      </c>
      <c r="V1002" s="14">
        <v>6188902.1900000004</v>
      </c>
      <c r="W1002" s="14">
        <v>179.29</v>
      </c>
      <c r="X1002" s="14">
        <v>150.05000000000001</v>
      </c>
    </row>
    <row r="1003" spans="1:24" s="14" customFormat="1" x14ac:dyDescent="0.25">
      <c r="A1003" s="50">
        <v>45099</v>
      </c>
      <c r="B1003" s="57">
        <v>173</v>
      </c>
      <c r="C1003" s="36">
        <v>0.69728009259259249</v>
      </c>
      <c r="D1003" s="16" t="s">
        <v>7408</v>
      </c>
      <c r="E1003" s="52" t="s">
        <v>65</v>
      </c>
      <c r="F1003" s="16" t="s">
        <v>8759</v>
      </c>
      <c r="G1003" s="16" t="s">
        <v>1913</v>
      </c>
      <c r="H1003" s="14">
        <v>0.16200000000000001</v>
      </c>
      <c r="I1003" s="14" t="s">
        <v>11563</v>
      </c>
      <c r="J1003" s="14" t="s">
        <v>11564</v>
      </c>
      <c r="K1003" s="14" t="s">
        <v>11565</v>
      </c>
      <c r="L1003" s="14" t="s">
        <v>11554</v>
      </c>
      <c r="O1003" s="14" t="s">
        <v>11559</v>
      </c>
      <c r="P1003" s="14" t="s">
        <v>11560</v>
      </c>
      <c r="Q1003" s="14">
        <v>415141.3</v>
      </c>
      <c r="R1003" s="14">
        <v>6188889.8099999996</v>
      </c>
      <c r="S1003" s="14" t="s">
        <v>11561</v>
      </c>
      <c r="T1003" s="14" t="s">
        <v>11562</v>
      </c>
      <c r="U1003" s="14">
        <v>415116.86</v>
      </c>
      <c r="V1003" s="14">
        <v>6188896.5300000003</v>
      </c>
      <c r="W1003" s="14">
        <v>0.53</v>
      </c>
      <c r="X1003" s="14">
        <v>150.05000000000001</v>
      </c>
    </row>
    <row r="1004" spans="1:24" s="14" customFormat="1" x14ac:dyDescent="0.25">
      <c r="A1004" s="50">
        <v>45099</v>
      </c>
      <c r="B1004" s="57">
        <v>173</v>
      </c>
      <c r="C1004" s="36">
        <v>0.70152777777777775</v>
      </c>
      <c r="D1004" s="16" t="s">
        <v>7408</v>
      </c>
      <c r="E1004" s="52" t="s">
        <v>70</v>
      </c>
      <c r="F1004" s="16" t="s">
        <v>8759</v>
      </c>
      <c r="G1004" s="16" t="s">
        <v>1913</v>
      </c>
      <c r="H1004" s="14">
        <v>-2.1999999999999999E-2</v>
      </c>
      <c r="I1004" s="14" t="s">
        <v>11563</v>
      </c>
      <c r="J1004" s="14" t="s">
        <v>11564</v>
      </c>
      <c r="K1004" s="14" t="s">
        <v>11565</v>
      </c>
      <c r="L1004" s="14" t="s">
        <v>11570</v>
      </c>
      <c r="O1004" s="14" t="s">
        <v>11566</v>
      </c>
      <c r="P1004" s="14" t="s">
        <v>11567</v>
      </c>
      <c r="Q1004" s="14">
        <v>415141.8</v>
      </c>
      <c r="R1004" s="14">
        <v>6189076.4699999997</v>
      </c>
      <c r="S1004" s="14" t="s">
        <v>11568</v>
      </c>
      <c r="T1004" s="14" t="s">
        <v>11569</v>
      </c>
      <c r="U1004" s="14">
        <v>415116.93</v>
      </c>
      <c r="V1004" s="14">
        <v>6189080.7699999996</v>
      </c>
      <c r="W1004" s="14">
        <v>359.89</v>
      </c>
      <c r="X1004" s="14">
        <v>150.05000000000001</v>
      </c>
    </row>
    <row r="1005" spans="1:24" s="14" customFormat="1" x14ac:dyDescent="0.25">
      <c r="A1005" s="50">
        <v>45099</v>
      </c>
      <c r="B1005" s="57">
        <v>173</v>
      </c>
      <c r="C1005" s="36">
        <v>0.70456018518518526</v>
      </c>
      <c r="D1005" s="16" t="s">
        <v>7408</v>
      </c>
      <c r="E1005" s="52" t="s">
        <v>65</v>
      </c>
      <c r="F1005" s="16" t="s">
        <v>8759</v>
      </c>
      <c r="G1005" s="16" t="s">
        <v>1907</v>
      </c>
      <c r="H1005" s="14">
        <v>-1.7999999999999999E-2</v>
      </c>
      <c r="I1005" s="14" t="s">
        <v>11575</v>
      </c>
      <c r="J1005" s="14" t="s">
        <v>11576</v>
      </c>
      <c r="K1005" s="14" t="s">
        <v>11577</v>
      </c>
      <c r="L1005" s="14" t="s">
        <v>11570</v>
      </c>
      <c r="O1005" s="14" t="s">
        <v>11571</v>
      </c>
      <c r="P1005" s="14" t="s">
        <v>11572</v>
      </c>
      <c r="Q1005" s="14">
        <v>415132.64</v>
      </c>
      <c r="R1005" s="14">
        <v>6189089.2000000002</v>
      </c>
      <c r="S1005" s="14" t="s">
        <v>11573</v>
      </c>
      <c r="T1005" s="14" t="s">
        <v>11574</v>
      </c>
      <c r="U1005" s="14">
        <v>415107.96</v>
      </c>
      <c r="V1005" s="14">
        <v>6189087.4900000002</v>
      </c>
      <c r="W1005" s="14">
        <v>181.11</v>
      </c>
      <c r="X1005" s="14">
        <v>150.05000000000001</v>
      </c>
    </row>
    <row r="1006" spans="1:24" s="14" customFormat="1" x14ac:dyDescent="0.25">
      <c r="A1006" s="50">
        <v>45099</v>
      </c>
      <c r="B1006" s="57">
        <v>173</v>
      </c>
      <c r="C1006" s="36">
        <v>0.7088078703703703</v>
      </c>
      <c r="D1006" s="16" t="s">
        <v>7408</v>
      </c>
      <c r="E1006" s="52" t="s">
        <v>70</v>
      </c>
      <c r="F1006" s="16" t="s">
        <v>8759</v>
      </c>
      <c r="G1006" s="16" t="s">
        <v>1907</v>
      </c>
      <c r="H1006" s="14">
        <v>0.16700000000000001</v>
      </c>
      <c r="I1006" s="14" t="s">
        <v>11575</v>
      </c>
      <c r="J1006" s="14" t="s">
        <v>11576</v>
      </c>
      <c r="K1006" s="14" t="s">
        <v>11577</v>
      </c>
      <c r="L1006" s="14" t="s">
        <v>11582</v>
      </c>
      <c r="O1006" s="14" t="s">
        <v>11578</v>
      </c>
      <c r="P1006" s="14" t="s">
        <v>11579</v>
      </c>
      <c r="Q1006" s="14">
        <v>415131.56</v>
      </c>
      <c r="R1006" s="14">
        <v>6188902.4500000002</v>
      </c>
      <c r="S1006" s="14" t="s">
        <v>11580</v>
      </c>
      <c r="T1006" s="14" t="s">
        <v>11581</v>
      </c>
      <c r="U1006" s="14">
        <v>415107.84000000003</v>
      </c>
      <c r="V1006" s="14">
        <v>6188902.9900000002</v>
      </c>
      <c r="W1006" s="14">
        <v>180.44</v>
      </c>
      <c r="X1006" s="14">
        <v>150.05000000000001</v>
      </c>
    </row>
    <row r="1007" spans="1:24" s="14" customFormat="1" x14ac:dyDescent="0.25">
      <c r="A1007" s="50">
        <v>45099</v>
      </c>
      <c r="B1007" s="57">
        <v>173</v>
      </c>
      <c r="C1007" s="36">
        <v>0.71150462962962957</v>
      </c>
      <c r="D1007" s="16" t="s">
        <v>7408</v>
      </c>
      <c r="E1007" s="52" t="s">
        <v>65</v>
      </c>
      <c r="F1007" s="16" t="s">
        <v>8759</v>
      </c>
      <c r="G1007" s="16" t="s">
        <v>1908</v>
      </c>
      <c r="H1007" s="14">
        <v>0.16200000000000001</v>
      </c>
      <c r="I1007" s="14" t="s">
        <v>11587</v>
      </c>
      <c r="J1007" s="14" t="s">
        <v>11588</v>
      </c>
      <c r="K1007" s="14" t="s">
        <v>11589</v>
      </c>
      <c r="L1007" s="14" t="s">
        <v>11582</v>
      </c>
      <c r="O1007" s="14" t="s">
        <v>11583</v>
      </c>
      <c r="P1007" s="14" t="s">
        <v>11584</v>
      </c>
      <c r="Q1007" s="14">
        <v>415122.64</v>
      </c>
      <c r="R1007" s="14">
        <v>6188893.1600000001</v>
      </c>
      <c r="S1007" s="14" t="s">
        <v>11585</v>
      </c>
      <c r="T1007" s="14" t="s">
        <v>11586</v>
      </c>
      <c r="U1007" s="14">
        <v>415098.83</v>
      </c>
      <c r="V1007" s="14">
        <v>6188896.9699999997</v>
      </c>
      <c r="W1007" s="14">
        <v>0.86</v>
      </c>
      <c r="X1007" s="14">
        <v>150.05000000000001</v>
      </c>
    </row>
    <row r="1008" spans="1:24" s="14" customFormat="1" x14ac:dyDescent="0.25">
      <c r="A1008" s="50">
        <v>45099</v>
      </c>
      <c r="B1008" s="57">
        <v>173</v>
      </c>
      <c r="C1008" s="36">
        <v>0.71569444444444441</v>
      </c>
      <c r="D1008" s="16" t="s">
        <v>7408</v>
      </c>
      <c r="E1008" s="52" t="s">
        <v>70</v>
      </c>
      <c r="F1008" s="16" t="s">
        <v>8759</v>
      </c>
      <c r="G1008" s="16" t="s">
        <v>1908</v>
      </c>
      <c r="H1008" s="14">
        <v>-2.1999999999999999E-2</v>
      </c>
      <c r="I1008" s="14" t="s">
        <v>11587</v>
      </c>
      <c r="J1008" s="14" t="s">
        <v>11588</v>
      </c>
      <c r="K1008" s="14" t="s">
        <v>11589</v>
      </c>
      <c r="L1008" s="14" t="s">
        <v>11582</v>
      </c>
      <c r="O1008" s="14" t="s">
        <v>11590</v>
      </c>
      <c r="P1008" s="14" t="s">
        <v>11591</v>
      </c>
      <c r="Q1008" s="14">
        <v>415122.83</v>
      </c>
      <c r="R1008" s="14">
        <v>6189076.5300000003</v>
      </c>
      <c r="S1008" s="14" t="s">
        <v>11592</v>
      </c>
      <c r="T1008" s="14" t="s">
        <v>11593</v>
      </c>
      <c r="U1008" s="14">
        <v>415098.94</v>
      </c>
      <c r="V1008" s="14">
        <v>6189080.8899999997</v>
      </c>
      <c r="W1008" s="14">
        <v>359.1</v>
      </c>
      <c r="X1008" s="14">
        <v>150.05000000000001</v>
      </c>
    </row>
    <row r="1009" spans="1:24" s="14" customFormat="1" x14ac:dyDescent="0.25">
      <c r="A1009" s="50">
        <v>45099</v>
      </c>
      <c r="B1009" s="57">
        <v>173</v>
      </c>
      <c r="C1009" s="36">
        <v>0.71832175925925934</v>
      </c>
      <c r="D1009" s="16" t="s">
        <v>7408</v>
      </c>
      <c r="E1009" s="52" t="s">
        <v>65</v>
      </c>
      <c r="F1009" s="16" t="s">
        <v>8759</v>
      </c>
      <c r="G1009" s="16" t="s">
        <v>1909</v>
      </c>
      <c r="H1009" s="14">
        <v>-1.7999999999999999E-2</v>
      </c>
      <c r="I1009" s="14" t="s">
        <v>11598</v>
      </c>
      <c r="J1009" s="14" t="s">
        <v>11599</v>
      </c>
      <c r="K1009" s="14" t="s">
        <v>11600</v>
      </c>
      <c r="L1009" s="14" t="s">
        <v>11601</v>
      </c>
      <c r="O1009" s="14" t="s">
        <v>11594</v>
      </c>
      <c r="P1009" s="14" t="s">
        <v>11595</v>
      </c>
      <c r="Q1009" s="14">
        <v>415114.63</v>
      </c>
      <c r="R1009" s="14">
        <v>6189087.2699999996</v>
      </c>
      <c r="S1009" s="14" t="s">
        <v>11596</v>
      </c>
      <c r="T1009" s="14" t="s">
        <v>11597</v>
      </c>
      <c r="U1009" s="14">
        <v>415089.79</v>
      </c>
      <c r="V1009" s="14">
        <v>6189087.7699999996</v>
      </c>
      <c r="W1009" s="14">
        <v>179.91</v>
      </c>
      <c r="X1009" s="14">
        <v>150.05000000000001</v>
      </c>
    </row>
    <row r="1010" spans="1:24" s="14" customFormat="1" x14ac:dyDescent="0.25">
      <c r="A1010" s="50">
        <v>45099</v>
      </c>
      <c r="B1010" s="57">
        <v>173</v>
      </c>
      <c r="C1010" s="36">
        <v>0.72252314814814822</v>
      </c>
      <c r="D1010" s="16" t="s">
        <v>7408</v>
      </c>
      <c r="E1010" s="52" t="s">
        <v>70</v>
      </c>
      <c r="F1010" s="16" t="s">
        <v>8759</v>
      </c>
      <c r="G1010" s="16" t="s">
        <v>1909</v>
      </c>
      <c r="H1010" s="14">
        <v>0.16600000000000001</v>
      </c>
      <c r="I1010" s="14" t="s">
        <v>11598</v>
      </c>
      <c r="J1010" s="14" t="s">
        <v>11599</v>
      </c>
      <c r="K1010" s="14" t="s">
        <v>11600</v>
      </c>
      <c r="L1010" s="14" t="s">
        <v>11601</v>
      </c>
      <c r="O1010" s="14" t="s">
        <v>11602</v>
      </c>
      <c r="P1010" s="14" t="s">
        <v>11603</v>
      </c>
      <c r="Q1010" s="14">
        <v>415113.5</v>
      </c>
      <c r="R1010" s="14">
        <v>6188901.71</v>
      </c>
      <c r="S1010" s="14" t="s">
        <v>11604</v>
      </c>
      <c r="T1010" s="14" t="s">
        <v>11605</v>
      </c>
      <c r="U1010" s="14">
        <v>415089.8</v>
      </c>
      <c r="V1010" s="14">
        <v>6188903.79</v>
      </c>
      <c r="W1010" s="14">
        <v>180.96</v>
      </c>
      <c r="X1010" s="14">
        <v>150.05000000000001</v>
      </c>
    </row>
    <row r="1011" spans="1:24" s="14" customFormat="1" x14ac:dyDescent="0.25">
      <c r="A1011" s="50">
        <v>45099</v>
      </c>
      <c r="B1011" s="57">
        <v>173</v>
      </c>
      <c r="C1011" s="36">
        <v>0.72531249999999992</v>
      </c>
      <c r="D1011" s="16" t="s">
        <v>7408</v>
      </c>
      <c r="E1011" s="52" t="s">
        <v>65</v>
      </c>
      <c r="F1011" s="16" t="s">
        <v>8759</v>
      </c>
      <c r="G1011" s="16" t="s">
        <v>1910</v>
      </c>
      <c r="H1011" s="14">
        <v>0.16200000000000001</v>
      </c>
      <c r="I1011" s="14" t="s">
        <v>11610</v>
      </c>
      <c r="J1011" s="14" t="s">
        <v>11611</v>
      </c>
      <c r="K1011" s="14" t="s">
        <v>11612</v>
      </c>
      <c r="L1011" s="14" t="s">
        <v>11601</v>
      </c>
      <c r="O1011" s="14" t="s">
        <v>11606</v>
      </c>
      <c r="P1011" s="14" t="s">
        <v>11607</v>
      </c>
      <c r="Q1011" s="14">
        <v>415104.39</v>
      </c>
      <c r="R1011" s="14">
        <v>6188895.6100000003</v>
      </c>
      <c r="S1011" s="14" t="s">
        <v>11608</v>
      </c>
      <c r="T1011" s="14" t="s">
        <v>11609</v>
      </c>
      <c r="U1011" s="14">
        <v>415080.82</v>
      </c>
      <c r="V1011" s="14">
        <v>6188897.2999999998</v>
      </c>
      <c r="W1011" s="14">
        <v>0.71</v>
      </c>
      <c r="X1011" s="14">
        <v>150.05000000000001</v>
      </c>
    </row>
    <row r="1012" spans="1:24" s="14" customFormat="1" x14ac:dyDescent="0.25">
      <c r="A1012" s="50">
        <v>45099</v>
      </c>
      <c r="B1012" s="57">
        <v>173</v>
      </c>
      <c r="C1012" s="36">
        <v>0.72943287037037041</v>
      </c>
      <c r="D1012" s="16" t="s">
        <v>7408</v>
      </c>
      <c r="E1012" s="52" t="s">
        <v>70</v>
      </c>
      <c r="F1012" s="16" t="s">
        <v>8759</v>
      </c>
      <c r="G1012" s="16" t="s">
        <v>1910</v>
      </c>
      <c r="H1012" s="14">
        <v>-2.1999999999999999E-2</v>
      </c>
      <c r="I1012" s="14" t="s">
        <v>11610</v>
      </c>
      <c r="J1012" s="14" t="s">
        <v>11611</v>
      </c>
      <c r="K1012" s="14" t="s">
        <v>11612</v>
      </c>
      <c r="L1012" s="14" t="s">
        <v>11617</v>
      </c>
      <c r="O1012" s="14" t="s">
        <v>11613</v>
      </c>
      <c r="P1012" s="14" t="s">
        <v>11614</v>
      </c>
      <c r="Q1012" s="14">
        <v>415104.95</v>
      </c>
      <c r="R1012" s="14">
        <v>6189076.5800000001</v>
      </c>
      <c r="S1012" s="14" t="s">
        <v>11615</v>
      </c>
      <c r="T1012" s="14" t="s">
        <v>11616</v>
      </c>
      <c r="U1012" s="14">
        <v>415080.84</v>
      </c>
      <c r="V1012" s="14">
        <v>6189081.0599999996</v>
      </c>
      <c r="W1012" s="14">
        <v>0.23</v>
      </c>
      <c r="X1012" s="14">
        <v>150.05000000000001</v>
      </c>
    </row>
    <row r="1013" spans="1:24" s="14" customFormat="1" x14ac:dyDescent="0.25">
      <c r="A1013" s="50">
        <v>45099</v>
      </c>
      <c r="B1013" s="57">
        <v>173</v>
      </c>
      <c r="C1013" s="36">
        <v>0.73241898148148143</v>
      </c>
      <c r="D1013" s="16" t="s">
        <v>7408</v>
      </c>
      <c r="E1013" s="52" t="s">
        <v>65</v>
      </c>
      <c r="F1013" s="16" t="s">
        <v>8759</v>
      </c>
      <c r="G1013" s="16" t="s">
        <v>1911</v>
      </c>
      <c r="H1013" s="14">
        <v>-1.9E-2</v>
      </c>
      <c r="I1013" s="14" t="s">
        <v>11622</v>
      </c>
      <c r="J1013" s="14" t="s">
        <v>11623</v>
      </c>
      <c r="K1013" s="14" t="s">
        <v>11624</v>
      </c>
      <c r="L1013" s="14" t="s">
        <v>11617</v>
      </c>
      <c r="O1013" s="14" t="s">
        <v>11618</v>
      </c>
      <c r="P1013" s="14" t="s">
        <v>11619</v>
      </c>
      <c r="Q1013" s="14">
        <v>415096.53</v>
      </c>
      <c r="R1013" s="14">
        <v>6189083.7300000004</v>
      </c>
      <c r="S1013" s="14" t="s">
        <v>11620</v>
      </c>
      <c r="T1013" s="14" t="s">
        <v>11621</v>
      </c>
      <c r="U1013" s="14">
        <v>415071.88</v>
      </c>
      <c r="V1013" s="14">
        <v>6189088.4299999997</v>
      </c>
      <c r="W1013" s="14">
        <v>180.02</v>
      </c>
      <c r="X1013" s="14">
        <v>150.05000000000001</v>
      </c>
    </row>
    <row r="1014" spans="1:24" s="14" customFormat="1" x14ac:dyDescent="0.25">
      <c r="A1014" s="50">
        <v>45099</v>
      </c>
      <c r="B1014" s="57">
        <v>173</v>
      </c>
      <c r="C1014" s="36">
        <v>0.73664351851851861</v>
      </c>
      <c r="D1014" s="16" t="s">
        <v>7408</v>
      </c>
      <c r="E1014" s="52" t="s">
        <v>70</v>
      </c>
      <c r="F1014" s="16" t="s">
        <v>8759</v>
      </c>
      <c r="G1014" s="16" t="s">
        <v>1911</v>
      </c>
      <c r="H1014" s="14">
        <v>0.16600000000000001</v>
      </c>
      <c r="I1014" s="14" t="s">
        <v>11622</v>
      </c>
      <c r="J1014" s="14" t="s">
        <v>11623</v>
      </c>
      <c r="K1014" s="14" t="s">
        <v>11624</v>
      </c>
      <c r="L1014" s="14" t="s">
        <v>11617</v>
      </c>
      <c r="O1014" s="14" t="s">
        <v>11625</v>
      </c>
      <c r="P1014" s="14" t="s">
        <v>11626</v>
      </c>
      <c r="Q1014" s="14">
        <v>415095.36</v>
      </c>
      <c r="R1014" s="14">
        <v>6188897.4100000001</v>
      </c>
      <c r="S1014" s="14" t="s">
        <v>11627</v>
      </c>
      <c r="T1014" s="14" t="s">
        <v>11628</v>
      </c>
      <c r="U1014" s="14">
        <v>415071.82</v>
      </c>
      <c r="V1014" s="14">
        <v>6188903.8200000003</v>
      </c>
      <c r="W1014" s="14">
        <v>180.6</v>
      </c>
      <c r="X1014" s="14">
        <v>150.05000000000001</v>
      </c>
    </row>
    <row r="1015" spans="1:24" s="14" customFormat="1" x14ac:dyDescent="0.25">
      <c r="A1015" s="50">
        <v>45099</v>
      </c>
      <c r="B1015" s="57">
        <v>173</v>
      </c>
      <c r="C1015" s="36">
        <v>0.73922453703703705</v>
      </c>
      <c r="D1015" s="16" t="s">
        <v>7408</v>
      </c>
      <c r="E1015" s="14" t="s">
        <v>65</v>
      </c>
      <c r="F1015" s="16" t="s">
        <v>8759</v>
      </c>
      <c r="G1015" s="16" t="s">
        <v>1912</v>
      </c>
      <c r="H1015" s="14">
        <v>0.161</v>
      </c>
      <c r="I1015" s="14" t="s">
        <v>11633</v>
      </c>
      <c r="J1015" s="14" t="s">
        <v>11634</v>
      </c>
      <c r="K1015" s="14" t="s">
        <v>11635</v>
      </c>
      <c r="L1015" s="14" t="s">
        <v>11636</v>
      </c>
      <c r="O1015" s="14" t="s">
        <v>11629</v>
      </c>
      <c r="P1015" s="14" t="s">
        <v>11630</v>
      </c>
      <c r="Q1015" s="14">
        <v>415087.02</v>
      </c>
      <c r="R1015" s="14">
        <v>6188890.9800000004</v>
      </c>
      <c r="S1015" s="14" t="s">
        <v>11631</v>
      </c>
      <c r="T1015" s="14" t="s">
        <v>11632</v>
      </c>
      <c r="U1015" s="14">
        <v>415062.75</v>
      </c>
      <c r="V1015" s="14">
        <v>6188897.71</v>
      </c>
      <c r="W1015" s="14">
        <v>1.66</v>
      </c>
      <c r="X1015" s="14">
        <v>150.05000000000001</v>
      </c>
    </row>
    <row r="1016" spans="1:24" s="14" customFormat="1" x14ac:dyDescent="0.25">
      <c r="A1016" s="50">
        <v>45099</v>
      </c>
      <c r="B1016" s="57">
        <v>173</v>
      </c>
      <c r="C1016" s="36">
        <v>0.74342592592592593</v>
      </c>
      <c r="D1016" s="16" t="s">
        <v>7408</v>
      </c>
      <c r="E1016" s="52" t="s">
        <v>70</v>
      </c>
      <c r="F1016" s="16" t="s">
        <v>8759</v>
      </c>
      <c r="G1016" s="16" t="s">
        <v>1912</v>
      </c>
      <c r="H1016" s="14">
        <v>-2.4E-2</v>
      </c>
      <c r="I1016" s="14" t="s">
        <v>11633</v>
      </c>
      <c r="J1016" s="14" t="s">
        <v>11634</v>
      </c>
      <c r="K1016" s="14" t="s">
        <v>11635</v>
      </c>
      <c r="L1016" s="14" t="s">
        <v>11636</v>
      </c>
      <c r="O1016" s="14" t="s">
        <v>11637</v>
      </c>
      <c r="P1016" s="14" t="s">
        <v>11638</v>
      </c>
      <c r="Q1016" s="14">
        <v>415086.74</v>
      </c>
      <c r="R1016" s="14">
        <v>6189075.1699999999</v>
      </c>
      <c r="S1016" s="14" t="s">
        <v>11639</v>
      </c>
      <c r="T1016" s="14" t="s">
        <v>11640</v>
      </c>
      <c r="U1016" s="14">
        <v>415062.93</v>
      </c>
      <c r="V1016" s="14">
        <v>6189082.3499999996</v>
      </c>
      <c r="W1016" s="14">
        <v>359.51</v>
      </c>
      <c r="X1016" s="14">
        <v>150.05000000000001</v>
      </c>
    </row>
    <row r="1017" spans="1:24" s="14" customFormat="1" x14ac:dyDescent="0.25">
      <c r="A1017" s="50">
        <v>45099</v>
      </c>
      <c r="B1017" s="57">
        <v>173</v>
      </c>
      <c r="C1017" s="36">
        <v>0.74494212962962969</v>
      </c>
      <c r="D1017" s="16" t="s">
        <v>7408</v>
      </c>
      <c r="E1017" s="52" t="s">
        <v>11645</v>
      </c>
      <c r="F1017" s="16" t="s">
        <v>8759</v>
      </c>
      <c r="G1017" s="16" t="s">
        <v>1912</v>
      </c>
      <c r="H1017" s="14">
        <v>-2.9000000000000001E-2</v>
      </c>
      <c r="O1017" s="14" t="s">
        <v>11641</v>
      </c>
      <c r="P1017" s="14" t="s">
        <v>11642</v>
      </c>
      <c r="Q1017" s="14">
        <v>415087.91</v>
      </c>
      <c r="R1017" s="14">
        <v>6189091.9100000001</v>
      </c>
      <c r="S1017" s="14" t="s">
        <v>11643</v>
      </c>
      <c r="T1017" s="14" t="s">
        <v>11644</v>
      </c>
      <c r="U1017" s="14">
        <v>415068.84</v>
      </c>
      <c r="V1017" s="14">
        <v>6189094.3899999997</v>
      </c>
      <c r="W1017" s="14">
        <v>255.51</v>
      </c>
      <c r="X1017" s="14">
        <v>150.05000000000001</v>
      </c>
    </row>
    <row r="1018" spans="1:24" s="68" customFormat="1" x14ac:dyDescent="0.25">
      <c r="A1018" s="65">
        <v>45099</v>
      </c>
      <c r="B1018" s="106">
        <v>173</v>
      </c>
      <c r="C1018" s="67">
        <v>0.76211805555555545</v>
      </c>
      <c r="D1018" s="66" t="s">
        <v>7408</v>
      </c>
      <c r="E1018" s="88" t="s">
        <v>11651</v>
      </c>
      <c r="F1018" s="66" t="s">
        <v>8759</v>
      </c>
      <c r="G1018" s="66" t="s">
        <v>1642</v>
      </c>
      <c r="H1018" s="68">
        <v>-5.7000000000000002E-2</v>
      </c>
      <c r="M1018" s="68" t="s">
        <v>11646</v>
      </c>
      <c r="O1018" s="68" t="s">
        <v>11647</v>
      </c>
      <c r="P1018" s="68" t="s">
        <v>11648</v>
      </c>
      <c r="Q1018" s="68">
        <v>414230.8</v>
      </c>
      <c r="R1018" s="68">
        <v>6188927.7599999998</v>
      </c>
      <c r="S1018" s="68" t="s">
        <v>11649</v>
      </c>
      <c r="T1018" s="68" t="s">
        <v>11650</v>
      </c>
      <c r="U1018" s="68">
        <v>414206.48</v>
      </c>
      <c r="V1018" s="68">
        <v>6188939.5800000001</v>
      </c>
      <c r="W1018" s="68">
        <v>203.48</v>
      </c>
      <c r="X1018" s="68">
        <v>200.06</v>
      </c>
    </row>
    <row r="1019" spans="1:24" s="14" customFormat="1" x14ac:dyDescent="0.25">
      <c r="A1019" s="50">
        <v>45099</v>
      </c>
      <c r="B1019" s="57">
        <v>173</v>
      </c>
      <c r="C1019" s="36">
        <v>0.7654050925925926</v>
      </c>
      <c r="D1019" s="16" t="s">
        <v>7408</v>
      </c>
      <c r="E1019" s="14" t="s">
        <v>65</v>
      </c>
      <c r="F1019" s="16" t="s">
        <v>8759</v>
      </c>
      <c r="G1019" s="16" t="s">
        <v>1642</v>
      </c>
      <c r="H1019" s="14">
        <v>-1.2E-2</v>
      </c>
      <c r="I1019" s="14" t="s">
        <v>11656</v>
      </c>
      <c r="J1019" s="14" t="s">
        <v>11657</v>
      </c>
      <c r="K1019" s="14" t="s">
        <v>11658</v>
      </c>
      <c r="L1019" s="14" t="s">
        <v>11659</v>
      </c>
      <c r="O1019" s="14" t="s">
        <v>11652</v>
      </c>
      <c r="P1019" s="14" t="s">
        <v>11653</v>
      </c>
      <c r="Q1019" s="14">
        <v>414230.22</v>
      </c>
      <c r="R1019" s="14">
        <v>6188890.54</v>
      </c>
      <c r="S1019" s="14" t="s">
        <v>11654</v>
      </c>
      <c r="T1019" s="14" t="s">
        <v>11655</v>
      </c>
      <c r="U1019" s="14">
        <v>414207.01</v>
      </c>
      <c r="V1019" s="14">
        <v>6188894.7999999998</v>
      </c>
      <c r="W1019" s="14">
        <v>180.53</v>
      </c>
      <c r="X1019" s="14">
        <v>200.06</v>
      </c>
    </row>
    <row r="1020" spans="1:24" s="14" customFormat="1" x14ac:dyDescent="0.25">
      <c r="A1020" s="50">
        <v>45099</v>
      </c>
      <c r="B1020" s="57">
        <v>173</v>
      </c>
      <c r="C1020" s="36">
        <v>0.77069444444444446</v>
      </c>
      <c r="D1020" s="16" t="s">
        <v>7408</v>
      </c>
      <c r="E1020" s="14" t="s">
        <v>70</v>
      </c>
      <c r="F1020" s="16" t="s">
        <v>8759</v>
      </c>
      <c r="G1020" s="16" t="s">
        <v>1642</v>
      </c>
      <c r="H1020" s="14">
        <v>0.222</v>
      </c>
      <c r="I1020" s="14" t="s">
        <v>11656</v>
      </c>
      <c r="J1020" s="14" t="s">
        <v>11657</v>
      </c>
      <c r="K1020" s="14" t="s">
        <v>11658</v>
      </c>
      <c r="L1020" s="14" t="s">
        <v>11664</v>
      </c>
      <c r="O1020" s="14" t="s">
        <v>11660</v>
      </c>
      <c r="P1020" s="14" t="s">
        <v>11661</v>
      </c>
      <c r="Q1020" s="14">
        <v>414230.35</v>
      </c>
      <c r="R1020" s="14">
        <v>6188654.9299999997</v>
      </c>
      <c r="S1020" s="14" t="s">
        <v>11662</v>
      </c>
      <c r="T1020" s="14" t="s">
        <v>11663</v>
      </c>
      <c r="U1020" s="14">
        <v>414206.76</v>
      </c>
      <c r="V1020" s="14">
        <v>6188661.3899999997</v>
      </c>
      <c r="W1020" s="14">
        <v>182.25</v>
      </c>
      <c r="X1020" s="14">
        <v>200.06</v>
      </c>
    </row>
    <row r="1021" spans="1:24" s="14" customFormat="1" x14ac:dyDescent="0.25">
      <c r="A1021" s="50">
        <v>45099</v>
      </c>
      <c r="B1021" s="57">
        <v>173</v>
      </c>
      <c r="C1021" s="36">
        <v>0.77329861111111109</v>
      </c>
      <c r="D1021" s="16" t="s">
        <v>7408</v>
      </c>
      <c r="E1021" s="14" t="s">
        <v>65</v>
      </c>
      <c r="F1021" s="16" t="s">
        <v>8759</v>
      </c>
      <c r="G1021" s="16" t="s">
        <v>1641</v>
      </c>
      <c r="H1021" s="14">
        <v>0.217</v>
      </c>
      <c r="I1021" s="14" t="s">
        <v>11669</v>
      </c>
      <c r="J1021" s="14" t="s">
        <v>11670</v>
      </c>
      <c r="K1021" s="14" t="s">
        <v>11671</v>
      </c>
      <c r="L1021" s="14" t="s">
        <v>11664</v>
      </c>
      <c r="O1021" s="14" t="s">
        <v>11665</v>
      </c>
      <c r="P1021" s="14" t="s">
        <v>11666</v>
      </c>
      <c r="Q1021" s="14">
        <v>414222.7</v>
      </c>
      <c r="R1021" s="14">
        <v>6188653.2699999996</v>
      </c>
      <c r="S1021" s="14" t="s">
        <v>11667</v>
      </c>
      <c r="T1021" s="14" t="s">
        <v>11668</v>
      </c>
      <c r="U1021" s="14">
        <v>414197.99</v>
      </c>
      <c r="V1021" s="14">
        <v>6188655.4000000004</v>
      </c>
      <c r="W1021" s="14">
        <v>0.72</v>
      </c>
      <c r="X1021" s="14">
        <v>200.06</v>
      </c>
    </row>
    <row r="1022" spans="1:24" s="14" customFormat="1" x14ac:dyDescent="0.25">
      <c r="A1022" s="50">
        <v>45099</v>
      </c>
      <c r="B1022" s="57">
        <v>173</v>
      </c>
      <c r="C1022" s="36">
        <v>0.77862268518518529</v>
      </c>
      <c r="D1022" s="16" t="s">
        <v>7408</v>
      </c>
      <c r="E1022" s="14" t="s">
        <v>70</v>
      </c>
      <c r="F1022" s="16" t="s">
        <v>8759</v>
      </c>
      <c r="G1022" s="16" t="s">
        <v>1641</v>
      </c>
      <c r="H1022" s="14">
        <v>-1.7000000000000001E-2</v>
      </c>
      <c r="I1022" s="14" t="s">
        <v>11669</v>
      </c>
      <c r="J1022" s="14" t="s">
        <v>11670</v>
      </c>
      <c r="K1022" s="14" t="s">
        <v>11671</v>
      </c>
      <c r="L1022" s="14" t="s">
        <v>11664</v>
      </c>
      <c r="O1022" s="14" t="s">
        <v>11672</v>
      </c>
      <c r="P1022" s="14" t="s">
        <v>11673</v>
      </c>
      <c r="Q1022" s="14">
        <v>414222.47</v>
      </c>
      <c r="R1022" s="14">
        <v>6188887.4699999997</v>
      </c>
      <c r="S1022" s="14" t="s">
        <v>11674</v>
      </c>
      <c r="T1022" s="14" t="s">
        <v>11675</v>
      </c>
      <c r="U1022" s="14">
        <v>414198</v>
      </c>
      <c r="V1022" s="14">
        <v>6188889.46</v>
      </c>
      <c r="W1022" s="14">
        <v>0.17</v>
      </c>
      <c r="X1022" s="14">
        <v>200.06</v>
      </c>
    </row>
    <row r="1023" spans="1:24" s="14" customFormat="1" x14ac:dyDescent="0.25">
      <c r="A1023" s="50">
        <v>45099</v>
      </c>
      <c r="B1023" s="57">
        <v>173</v>
      </c>
      <c r="C1023" s="36">
        <v>0.78181712962962957</v>
      </c>
      <c r="D1023" s="16" t="s">
        <v>7408</v>
      </c>
      <c r="E1023" s="14" t="s">
        <v>65</v>
      </c>
      <c r="F1023" s="16" t="s">
        <v>8759</v>
      </c>
      <c r="G1023" s="16" t="s">
        <v>1640</v>
      </c>
      <c r="H1023" s="14">
        <v>-1.2E-2</v>
      </c>
      <c r="I1023" s="14" t="s">
        <v>11680</v>
      </c>
      <c r="J1023" s="14" t="s">
        <v>11681</v>
      </c>
      <c r="K1023" s="14" t="s">
        <v>11682</v>
      </c>
      <c r="L1023" s="14" t="s">
        <v>11683</v>
      </c>
      <c r="O1023" s="14" t="s">
        <v>11676</v>
      </c>
      <c r="P1023" s="14" t="s">
        <v>11677</v>
      </c>
      <c r="Q1023" s="14">
        <v>414212.79</v>
      </c>
      <c r="R1023" s="14">
        <v>6188887.1399999997</v>
      </c>
      <c r="S1023" s="14" t="s">
        <v>11678</v>
      </c>
      <c r="T1023" s="14" t="s">
        <v>11679</v>
      </c>
      <c r="U1023" s="14">
        <v>414189.07</v>
      </c>
      <c r="V1023" s="14">
        <v>6188895.4299999997</v>
      </c>
      <c r="W1023" s="14">
        <v>180.46</v>
      </c>
      <c r="X1023" s="14">
        <v>200.06</v>
      </c>
    </row>
    <row r="1024" spans="1:24" s="14" customFormat="1" x14ac:dyDescent="0.25">
      <c r="A1024" s="50">
        <v>45099</v>
      </c>
      <c r="B1024" s="57">
        <v>173</v>
      </c>
      <c r="C1024" s="36">
        <v>0.78709490740740751</v>
      </c>
      <c r="D1024" s="16" t="s">
        <v>7408</v>
      </c>
      <c r="E1024" s="14" t="s">
        <v>70</v>
      </c>
      <c r="F1024" s="16" t="s">
        <v>8759</v>
      </c>
      <c r="G1024" s="16" t="s">
        <v>1640</v>
      </c>
      <c r="H1024" s="14">
        <v>0.221</v>
      </c>
      <c r="I1024" s="14" t="s">
        <v>11680</v>
      </c>
      <c r="J1024" s="14" t="s">
        <v>11681</v>
      </c>
      <c r="K1024" s="14" t="s">
        <v>11682</v>
      </c>
      <c r="L1024" s="14" t="s">
        <v>11683</v>
      </c>
      <c r="O1024" s="14" t="s">
        <v>11684</v>
      </c>
      <c r="P1024" s="14" t="s">
        <v>11685</v>
      </c>
      <c r="Q1024" s="14">
        <v>414211.97</v>
      </c>
      <c r="R1024" s="14">
        <v>6188652.7199999997</v>
      </c>
      <c r="S1024" s="14" t="s">
        <v>11686</v>
      </c>
      <c r="T1024" s="14" t="s">
        <v>11687</v>
      </c>
      <c r="U1024" s="14">
        <v>414189</v>
      </c>
      <c r="V1024" s="14">
        <v>6188661.79</v>
      </c>
      <c r="W1024" s="14">
        <v>180.12</v>
      </c>
      <c r="X1024" s="14">
        <v>200.06</v>
      </c>
    </row>
    <row r="1025" spans="1:24" s="14" customFormat="1" x14ac:dyDescent="0.25">
      <c r="A1025" s="50">
        <v>45099</v>
      </c>
      <c r="B1025" s="57">
        <v>173</v>
      </c>
      <c r="C1025" s="36">
        <v>0.78980324074074071</v>
      </c>
      <c r="D1025" s="16" t="s">
        <v>7408</v>
      </c>
      <c r="E1025" s="14" t="s">
        <v>65</v>
      </c>
      <c r="F1025" s="16" t="s">
        <v>8759</v>
      </c>
      <c r="G1025" s="16" t="s">
        <v>1639</v>
      </c>
      <c r="H1025" s="14">
        <v>0.217</v>
      </c>
      <c r="I1025" s="14" t="s">
        <v>11692</v>
      </c>
      <c r="J1025" s="14" t="s">
        <v>11693</v>
      </c>
      <c r="K1025" s="14" t="s">
        <v>11694</v>
      </c>
      <c r="L1025" s="14" t="s">
        <v>11683</v>
      </c>
      <c r="O1025" s="14" t="s">
        <v>11688</v>
      </c>
      <c r="P1025" s="14" t="s">
        <v>11689</v>
      </c>
      <c r="Q1025" s="14">
        <v>414204.51</v>
      </c>
      <c r="R1025" s="14">
        <v>6188648.4699999997</v>
      </c>
      <c r="S1025" s="14" t="s">
        <v>11690</v>
      </c>
      <c r="T1025" s="14" t="s">
        <v>11691</v>
      </c>
      <c r="U1025" s="14">
        <v>414180</v>
      </c>
      <c r="V1025" s="14">
        <v>6188655.4699999997</v>
      </c>
      <c r="W1025" s="14">
        <v>359.96</v>
      </c>
      <c r="X1025" s="14">
        <v>200.06</v>
      </c>
    </row>
    <row r="1026" spans="1:24" s="14" customFormat="1" x14ac:dyDescent="0.25">
      <c r="A1026" s="50">
        <v>45099</v>
      </c>
      <c r="B1026" s="57">
        <v>173</v>
      </c>
      <c r="C1026" s="36">
        <v>0.79511574074074076</v>
      </c>
      <c r="D1026" s="16" t="s">
        <v>7408</v>
      </c>
      <c r="E1026" s="52" t="s">
        <v>70</v>
      </c>
      <c r="F1026" s="16" t="s">
        <v>8759</v>
      </c>
      <c r="G1026" s="16" t="s">
        <v>1639</v>
      </c>
      <c r="H1026" s="14">
        <v>-1.7000000000000001E-2</v>
      </c>
      <c r="I1026" s="14" t="s">
        <v>11692</v>
      </c>
      <c r="J1026" s="14" t="s">
        <v>11693</v>
      </c>
      <c r="K1026" s="14" t="s">
        <v>11694</v>
      </c>
      <c r="L1026" s="14" t="s">
        <v>11699</v>
      </c>
      <c r="O1026" s="14" t="s">
        <v>11695</v>
      </c>
      <c r="P1026" s="14" t="s">
        <v>11696</v>
      </c>
      <c r="Q1026" s="14">
        <v>414204.52</v>
      </c>
      <c r="R1026" s="14">
        <v>6188881.8399999999</v>
      </c>
      <c r="S1026" s="14" t="s">
        <v>11697</v>
      </c>
      <c r="T1026" s="14" t="s">
        <v>11698</v>
      </c>
      <c r="U1026" s="14">
        <v>414180.12</v>
      </c>
      <c r="V1026" s="14">
        <v>6188888.7300000004</v>
      </c>
      <c r="W1026" s="14">
        <v>359.36</v>
      </c>
      <c r="X1026" s="14">
        <v>200.06</v>
      </c>
    </row>
    <row r="1027" spans="1:24" s="14" customFormat="1" x14ac:dyDescent="0.25">
      <c r="A1027" s="50">
        <v>45099</v>
      </c>
      <c r="B1027" s="57">
        <v>173</v>
      </c>
      <c r="C1027" s="36">
        <v>0.79918981481481488</v>
      </c>
      <c r="D1027" s="16" t="s">
        <v>7408</v>
      </c>
      <c r="E1027" s="52" t="s">
        <v>65</v>
      </c>
      <c r="F1027" s="16" t="s">
        <v>8759</v>
      </c>
      <c r="G1027" s="16" t="s">
        <v>1638</v>
      </c>
      <c r="H1027" s="14">
        <v>-1.2E-2</v>
      </c>
      <c r="I1027" s="14" t="s">
        <v>11704</v>
      </c>
      <c r="J1027" s="14" t="s">
        <v>11705</v>
      </c>
      <c r="K1027" s="14" t="s">
        <v>11706</v>
      </c>
      <c r="L1027" s="14" t="s">
        <v>11699</v>
      </c>
      <c r="O1027" s="14" t="s">
        <v>11700</v>
      </c>
      <c r="P1027" s="14" t="s">
        <v>11701</v>
      </c>
      <c r="Q1027" s="14">
        <v>414195.19</v>
      </c>
      <c r="R1027" s="14">
        <v>6188896.1799999997</v>
      </c>
      <c r="S1027" s="14" t="s">
        <v>11702</v>
      </c>
      <c r="T1027" s="14" t="s">
        <v>11703</v>
      </c>
      <c r="U1027" s="14">
        <v>414171.01</v>
      </c>
      <c r="V1027" s="14">
        <v>6188895.3600000003</v>
      </c>
      <c r="W1027" s="14">
        <v>180.07</v>
      </c>
      <c r="X1027" s="14">
        <v>200.06</v>
      </c>
    </row>
    <row r="1028" spans="1:24" s="14" customFormat="1" x14ac:dyDescent="0.25">
      <c r="A1028" s="50">
        <v>45099</v>
      </c>
      <c r="B1028" s="57">
        <v>173</v>
      </c>
      <c r="C1028" s="36">
        <v>0.80452546296296301</v>
      </c>
      <c r="D1028" s="16" t="s">
        <v>7408</v>
      </c>
      <c r="E1028" s="52" t="s">
        <v>70</v>
      </c>
      <c r="F1028" s="16" t="s">
        <v>8759</v>
      </c>
      <c r="G1028" s="16" t="s">
        <v>1638</v>
      </c>
      <c r="H1028" s="14">
        <v>0.221</v>
      </c>
      <c r="I1028" s="14" t="s">
        <v>11704</v>
      </c>
      <c r="J1028" s="14" t="s">
        <v>11705</v>
      </c>
      <c r="K1028" s="14" t="s">
        <v>11706</v>
      </c>
      <c r="L1028" s="14" t="s">
        <v>11711</v>
      </c>
      <c r="O1028" s="14" t="s">
        <v>11707</v>
      </c>
      <c r="P1028" s="14" t="s">
        <v>11708</v>
      </c>
      <c r="Q1028" s="14">
        <v>414193.87</v>
      </c>
      <c r="R1028" s="14">
        <v>6188660.4000000004</v>
      </c>
      <c r="S1028" s="14" t="s">
        <v>11709</v>
      </c>
      <c r="T1028" s="14" t="s">
        <v>11710</v>
      </c>
      <c r="U1028" s="14">
        <v>414170.97</v>
      </c>
      <c r="V1028" s="14">
        <v>6188661.96</v>
      </c>
      <c r="W1028" s="14">
        <v>179.77</v>
      </c>
      <c r="X1028" s="14">
        <v>200.06</v>
      </c>
    </row>
    <row r="1029" spans="1:24" s="14" customFormat="1" x14ac:dyDescent="0.25">
      <c r="A1029" s="50">
        <v>45099</v>
      </c>
      <c r="B1029" s="57">
        <v>173</v>
      </c>
      <c r="C1029" s="36">
        <v>0.80754629629629626</v>
      </c>
      <c r="D1029" s="16" t="s">
        <v>7408</v>
      </c>
      <c r="E1029" s="52" t="s">
        <v>65</v>
      </c>
      <c r="F1029" s="16" t="s">
        <v>8759</v>
      </c>
      <c r="G1029" s="16" t="s">
        <v>1637</v>
      </c>
      <c r="H1029" s="14">
        <v>0.216</v>
      </c>
      <c r="I1029" s="14" t="s">
        <v>11716</v>
      </c>
      <c r="J1029" s="14" t="s">
        <v>11717</v>
      </c>
      <c r="K1029" s="14" t="s">
        <v>11718</v>
      </c>
      <c r="L1029" s="14" t="s">
        <v>11711</v>
      </c>
      <c r="O1029" s="14" t="s">
        <v>11712</v>
      </c>
      <c r="P1029" s="14" t="s">
        <v>11713</v>
      </c>
      <c r="Q1029" s="14">
        <v>414186.08</v>
      </c>
      <c r="R1029" s="14">
        <v>6188659.9500000002</v>
      </c>
      <c r="S1029" s="14" t="s">
        <v>11714</v>
      </c>
      <c r="T1029" s="14" t="s">
        <v>11715</v>
      </c>
      <c r="U1029" s="14">
        <v>414161.97</v>
      </c>
      <c r="V1029" s="14">
        <v>6188656.0899999999</v>
      </c>
      <c r="W1029" s="14">
        <v>1.74</v>
      </c>
      <c r="X1029" s="14">
        <v>200.06</v>
      </c>
    </row>
    <row r="1030" spans="1:24" s="14" customFormat="1" x14ac:dyDescent="0.25">
      <c r="A1030" s="50">
        <v>45099</v>
      </c>
      <c r="B1030" s="57">
        <v>173</v>
      </c>
      <c r="C1030" s="36">
        <v>0.81284722222222217</v>
      </c>
      <c r="D1030" s="16" t="s">
        <v>7408</v>
      </c>
      <c r="E1030" s="52" t="s">
        <v>70</v>
      </c>
      <c r="F1030" s="16" t="s">
        <v>8759</v>
      </c>
      <c r="G1030" s="16" t="s">
        <v>1637</v>
      </c>
      <c r="H1030" s="14">
        <v>-1.7999999999999999E-2</v>
      </c>
      <c r="I1030" s="14" t="s">
        <v>11716</v>
      </c>
      <c r="J1030" s="14" t="s">
        <v>11717</v>
      </c>
      <c r="K1030" s="14" t="s">
        <v>11718</v>
      </c>
      <c r="L1030" s="14" t="s">
        <v>11723</v>
      </c>
      <c r="O1030" s="14" t="s">
        <v>11719</v>
      </c>
      <c r="P1030" s="14" t="s">
        <v>11720</v>
      </c>
      <c r="Q1030" s="14">
        <v>414186.01</v>
      </c>
      <c r="R1030" s="14">
        <v>6188894.3799999999</v>
      </c>
      <c r="S1030" s="14" t="s">
        <v>11721</v>
      </c>
      <c r="T1030" s="14" t="s">
        <v>11722</v>
      </c>
      <c r="U1030" s="14">
        <v>414162.17</v>
      </c>
      <c r="V1030" s="14">
        <v>6188889.5700000003</v>
      </c>
      <c r="W1030" s="14">
        <v>359.43</v>
      </c>
      <c r="X1030" s="14">
        <v>200.06</v>
      </c>
    </row>
    <row r="1031" spans="1:24" s="14" customFormat="1" x14ac:dyDescent="0.25">
      <c r="A1031" s="50">
        <v>45099</v>
      </c>
      <c r="B1031" s="57">
        <v>173</v>
      </c>
      <c r="C1031" s="36">
        <v>0.81679398148148152</v>
      </c>
      <c r="D1031" s="16" t="s">
        <v>7408</v>
      </c>
      <c r="E1031" s="52" t="s">
        <v>65</v>
      </c>
      <c r="F1031" s="16" t="s">
        <v>8759</v>
      </c>
      <c r="G1031" s="16" t="s">
        <v>1636</v>
      </c>
      <c r="H1031" s="14">
        <v>-1.2E-2</v>
      </c>
      <c r="I1031" s="14" t="s">
        <v>11728</v>
      </c>
      <c r="J1031" s="14" t="s">
        <v>11729</v>
      </c>
      <c r="K1031" s="14" t="s">
        <v>11730</v>
      </c>
      <c r="L1031" s="14" t="s">
        <v>11723</v>
      </c>
      <c r="O1031" s="14" t="s">
        <v>11724</v>
      </c>
      <c r="P1031" s="14" t="s">
        <v>11725</v>
      </c>
      <c r="Q1031" s="14">
        <v>414177.77</v>
      </c>
      <c r="R1031" s="14">
        <v>6188888.7000000002</v>
      </c>
      <c r="S1031" s="14" t="s">
        <v>11726</v>
      </c>
      <c r="T1031" s="14" t="s">
        <v>11727</v>
      </c>
      <c r="U1031" s="14">
        <v>414152.91</v>
      </c>
      <c r="V1031" s="14">
        <v>6188895.5499999998</v>
      </c>
      <c r="W1031" s="14">
        <v>179.83</v>
      </c>
      <c r="X1031" s="14">
        <v>200.06</v>
      </c>
    </row>
    <row r="1032" spans="1:24" s="14" customFormat="1" x14ac:dyDescent="0.25">
      <c r="A1032" s="50">
        <v>45099</v>
      </c>
      <c r="B1032" s="57">
        <v>173</v>
      </c>
      <c r="C1032" s="36">
        <v>0.82209490740740743</v>
      </c>
      <c r="D1032" s="16" t="s">
        <v>7408</v>
      </c>
      <c r="E1032" s="14" t="s">
        <v>70</v>
      </c>
      <c r="F1032" s="16" t="s">
        <v>8759</v>
      </c>
      <c r="G1032" s="16" t="s">
        <v>1636</v>
      </c>
      <c r="H1032" s="14">
        <v>0.221</v>
      </c>
      <c r="I1032" s="14" t="s">
        <v>11728</v>
      </c>
      <c r="J1032" s="14" t="s">
        <v>11729</v>
      </c>
      <c r="K1032" s="14" t="s">
        <v>11730</v>
      </c>
      <c r="L1032" s="14" t="s">
        <v>11723</v>
      </c>
      <c r="O1032" s="14" t="s">
        <v>11731</v>
      </c>
      <c r="P1032" s="14" t="s">
        <v>11732</v>
      </c>
      <c r="Q1032" s="14">
        <v>414176.73</v>
      </c>
      <c r="R1032" s="14">
        <v>6188653.2699999996</v>
      </c>
      <c r="S1032" s="14" t="s">
        <v>11733</v>
      </c>
      <c r="T1032" s="14" t="s">
        <v>11734</v>
      </c>
      <c r="U1032" s="14">
        <v>414152.98</v>
      </c>
      <c r="V1032" s="14">
        <v>6188662.2800000003</v>
      </c>
      <c r="W1032" s="14">
        <v>179.84</v>
      </c>
      <c r="X1032" s="14">
        <v>200.06</v>
      </c>
    </row>
    <row r="1033" spans="1:24" s="14" customFormat="1" x14ac:dyDescent="0.25">
      <c r="A1033" s="50">
        <v>45099</v>
      </c>
      <c r="B1033" s="57">
        <v>173</v>
      </c>
      <c r="C1033" s="36">
        <v>0.82520833333333332</v>
      </c>
      <c r="D1033" s="16" t="s">
        <v>7408</v>
      </c>
      <c r="E1033" s="14" t="s">
        <v>65</v>
      </c>
      <c r="F1033" s="16" t="s">
        <v>8759</v>
      </c>
      <c r="G1033" s="16" t="s">
        <v>1635</v>
      </c>
      <c r="H1033" s="14">
        <v>0.214</v>
      </c>
      <c r="I1033" s="14" t="s">
        <v>11739</v>
      </c>
      <c r="J1033" s="14" t="s">
        <v>11740</v>
      </c>
      <c r="K1033" s="14" t="s">
        <v>11741</v>
      </c>
      <c r="L1033" s="14" t="s">
        <v>11742</v>
      </c>
      <c r="O1033" s="14" t="s">
        <v>11735</v>
      </c>
      <c r="P1033" s="14" t="s">
        <v>11736</v>
      </c>
      <c r="Q1033" s="14">
        <v>414168.69</v>
      </c>
      <c r="R1033" s="14">
        <v>6188650.8300000001</v>
      </c>
      <c r="S1033" s="14" t="s">
        <v>11737</v>
      </c>
      <c r="T1033" s="14" t="s">
        <v>11738</v>
      </c>
      <c r="U1033" s="14">
        <v>414144.07</v>
      </c>
      <c r="V1033" s="14">
        <v>6188657.7999999998</v>
      </c>
      <c r="W1033" s="14">
        <v>0.13</v>
      </c>
      <c r="X1033" s="14">
        <v>200.06</v>
      </c>
    </row>
    <row r="1034" spans="1:24" s="14" customFormat="1" x14ac:dyDescent="0.25">
      <c r="A1034" s="50">
        <v>45099</v>
      </c>
      <c r="B1034" s="57">
        <v>173</v>
      </c>
      <c r="C1034" s="36">
        <v>0.83048611111111104</v>
      </c>
      <c r="D1034" s="16" t="s">
        <v>7408</v>
      </c>
      <c r="E1034" s="14" t="s">
        <v>70</v>
      </c>
      <c r="F1034" s="16" t="s">
        <v>8759</v>
      </c>
      <c r="G1034" s="16" t="s">
        <v>1635</v>
      </c>
      <c r="H1034" s="14">
        <v>-1.7999999999999999E-2</v>
      </c>
      <c r="I1034" s="14" t="s">
        <v>11739</v>
      </c>
      <c r="J1034" s="14" t="s">
        <v>11740</v>
      </c>
      <c r="K1034" s="14" t="s">
        <v>11741</v>
      </c>
      <c r="L1034" s="14" t="s">
        <v>11742</v>
      </c>
      <c r="O1034" s="14" t="s">
        <v>11743</v>
      </c>
      <c r="P1034" s="14" t="s">
        <v>11744</v>
      </c>
      <c r="Q1034" s="14">
        <v>414168.16</v>
      </c>
      <c r="R1034" s="14">
        <v>6188883.2599999998</v>
      </c>
      <c r="S1034" s="14" t="s">
        <v>11745</v>
      </c>
      <c r="T1034" s="14" t="s">
        <v>11746</v>
      </c>
      <c r="U1034" s="14">
        <v>414144.2</v>
      </c>
      <c r="V1034" s="14">
        <v>6188889.8499999996</v>
      </c>
      <c r="W1034" s="14">
        <v>357.58</v>
      </c>
      <c r="X1034" s="14">
        <v>200.06</v>
      </c>
    </row>
    <row r="1035" spans="1:24" s="14" customFormat="1" x14ac:dyDescent="0.25">
      <c r="A1035" s="50">
        <v>45099</v>
      </c>
      <c r="B1035" s="57">
        <v>173</v>
      </c>
      <c r="C1035" s="36">
        <v>0.8338078703703703</v>
      </c>
      <c r="D1035" s="16" t="s">
        <v>7408</v>
      </c>
      <c r="E1035" s="14" t="s">
        <v>65</v>
      </c>
      <c r="F1035" s="16" t="s">
        <v>8759</v>
      </c>
      <c r="G1035" s="16" t="s">
        <v>1626</v>
      </c>
      <c r="H1035" s="14">
        <v>-1.2999999999999999E-2</v>
      </c>
      <c r="I1035" s="14" t="s">
        <v>11751</v>
      </c>
      <c r="J1035" s="14" t="s">
        <v>11752</v>
      </c>
      <c r="K1035" s="14" t="s">
        <v>11753</v>
      </c>
      <c r="L1035" s="14" t="s">
        <v>11754</v>
      </c>
      <c r="O1035" s="14" t="s">
        <v>11747</v>
      </c>
      <c r="P1035" s="14" t="s">
        <v>11748</v>
      </c>
      <c r="Q1035" s="14">
        <v>414160.18</v>
      </c>
      <c r="R1035" s="14">
        <v>6188890.79</v>
      </c>
      <c r="S1035" s="14" t="s">
        <v>11749</v>
      </c>
      <c r="T1035" s="14" t="s">
        <v>11750</v>
      </c>
      <c r="U1035" s="14">
        <v>414135.06</v>
      </c>
      <c r="V1035" s="14">
        <v>6188896.2800000003</v>
      </c>
      <c r="W1035" s="14">
        <v>180.74</v>
      </c>
      <c r="X1035" s="14">
        <v>200.06</v>
      </c>
    </row>
    <row r="1036" spans="1:24" s="14" customFormat="1" x14ac:dyDescent="0.25">
      <c r="A1036" s="50">
        <v>45099</v>
      </c>
      <c r="B1036" s="57">
        <v>173</v>
      </c>
      <c r="C1036" s="36">
        <v>0.8391319444444445</v>
      </c>
      <c r="D1036" s="16" t="s">
        <v>7408</v>
      </c>
      <c r="E1036" s="14" t="s">
        <v>70</v>
      </c>
      <c r="F1036" s="16" t="s">
        <v>8759</v>
      </c>
      <c r="G1036" s="16" t="s">
        <v>1626</v>
      </c>
      <c r="H1036" s="14">
        <v>0.221</v>
      </c>
      <c r="I1036" s="14" t="s">
        <v>11751</v>
      </c>
      <c r="J1036" s="14" t="s">
        <v>11752</v>
      </c>
      <c r="K1036" s="14" t="s">
        <v>11753</v>
      </c>
      <c r="L1036" s="14" t="s">
        <v>11754</v>
      </c>
      <c r="O1036" s="14" t="s">
        <v>11755</v>
      </c>
      <c r="P1036" s="14" t="s">
        <v>11756</v>
      </c>
      <c r="Q1036" s="14">
        <v>414158.71</v>
      </c>
      <c r="R1036" s="14">
        <v>6188655.9100000001</v>
      </c>
      <c r="S1036" s="14" t="s">
        <v>11757</v>
      </c>
      <c r="T1036" s="14" t="s">
        <v>11758</v>
      </c>
      <c r="U1036" s="14">
        <v>414135.02</v>
      </c>
      <c r="V1036" s="14">
        <v>6188662.6100000003</v>
      </c>
      <c r="W1036" s="14">
        <v>180.03</v>
      </c>
      <c r="X1036" s="14">
        <v>200.06</v>
      </c>
    </row>
    <row r="1037" spans="1:24" s="14" customFormat="1" x14ac:dyDescent="0.25">
      <c r="A1037" s="50">
        <v>45099</v>
      </c>
      <c r="B1037" s="57">
        <v>173</v>
      </c>
      <c r="C1037" s="36">
        <v>0.84232638888888889</v>
      </c>
      <c r="D1037" s="16" t="s">
        <v>7408</v>
      </c>
      <c r="E1037" s="14" t="s">
        <v>65</v>
      </c>
      <c r="F1037" s="16" t="s">
        <v>8759</v>
      </c>
      <c r="G1037" s="16" t="s">
        <v>1627</v>
      </c>
      <c r="H1037" s="14">
        <v>0.215</v>
      </c>
      <c r="I1037" s="14" t="s">
        <v>11763</v>
      </c>
      <c r="J1037" s="14" t="s">
        <v>11764</v>
      </c>
      <c r="K1037" s="14" t="s">
        <v>11765</v>
      </c>
      <c r="L1037" s="14" t="s">
        <v>11754</v>
      </c>
      <c r="O1037" s="14" t="s">
        <v>11759</v>
      </c>
      <c r="P1037" s="14" t="s">
        <v>11760</v>
      </c>
      <c r="Q1037" s="14">
        <v>414151.29</v>
      </c>
      <c r="R1037" s="14">
        <v>6188652.7300000004</v>
      </c>
      <c r="S1037" s="14" t="s">
        <v>11761</v>
      </c>
      <c r="T1037" s="14" t="s">
        <v>11762</v>
      </c>
      <c r="U1037" s="14">
        <v>414126.03</v>
      </c>
      <c r="V1037" s="14">
        <v>6188656.5899999999</v>
      </c>
      <c r="W1037" s="14">
        <v>0.22</v>
      </c>
      <c r="X1037" s="14">
        <v>200.06</v>
      </c>
    </row>
    <row r="1038" spans="1:24" s="14" customFormat="1" x14ac:dyDescent="0.25">
      <c r="A1038" s="50">
        <v>45099</v>
      </c>
      <c r="B1038" s="57">
        <v>173</v>
      </c>
      <c r="C1038" s="36">
        <v>0.84762731481481479</v>
      </c>
      <c r="D1038" s="16" t="s">
        <v>7408</v>
      </c>
      <c r="E1038" s="52" t="s">
        <v>70</v>
      </c>
      <c r="F1038" s="16" t="s">
        <v>8759</v>
      </c>
      <c r="G1038" s="16" t="s">
        <v>1627</v>
      </c>
      <c r="H1038" s="14">
        <v>-1.7999999999999999E-2</v>
      </c>
      <c r="I1038" s="14" t="s">
        <v>11763</v>
      </c>
      <c r="J1038" s="14" t="s">
        <v>11764</v>
      </c>
      <c r="K1038" s="14" t="s">
        <v>11765</v>
      </c>
      <c r="L1038" s="14" t="s">
        <v>11770</v>
      </c>
      <c r="O1038" s="14" t="s">
        <v>11766</v>
      </c>
      <c r="P1038" s="14" t="s">
        <v>11767</v>
      </c>
      <c r="Q1038" s="14">
        <v>414151.43</v>
      </c>
      <c r="R1038" s="14">
        <v>6188886.1299999999</v>
      </c>
      <c r="S1038" s="14" t="s">
        <v>11768</v>
      </c>
      <c r="T1038" s="14" t="s">
        <v>11769</v>
      </c>
      <c r="U1038" s="14">
        <v>414126.08000000002</v>
      </c>
      <c r="V1038" s="14">
        <v>6188889.6600000001</v>
      </c>
      <c r="W1038" s="14">
        <v>359.74</v>
      </c>
      <c r="X1038" s="14">
        <v>200.06</v>
      </c>
    </row>
    <row r="1039" spans="1:24" s="14" customFormat="1" x14ac:dyDescent="0.25">
      <c r="A1039" s="50">
        <v>45099</v>
      </c>
      <c r="B1039" s="57">
        <v>173</v>
      </c>
      <c r="C1039" s="36">
        <v>0.85078703703703706</v>
      </c>
      <c r="D1039" s="16" t="s">
        <v>7408</v>
      </c>
      <c r="E1039" s="52" t="s">
        <v>65</v>
      </c>
      <c r="F1039" s="16" t="s">
        <v>8759</v>
      </c>
      <c r="G1039" s="16" t="s">
        <v>1628</v>
      </c>
      <c r="H1039" s="14">
        <v>-1.2999999999999999E-2</v>
      </c>
      <c r="I1039" s="14" t="s">
        <v>11775</v>
      </c>
      <c r="J1039" s="14" t="s">
        <v>11776</v>
      </c>
      <c r="K1039" s="14" t="s">
        <v>11777</v>
      </c>
      <c r="L1039" s="14" t="s">
        <v>11770</v>
      </c>
      <c r="O1039" s="14" t="s">
        <v>11771</v>
      </c>
      <c r="P1039" s="14" t="s">
        <v>11772</v>
      </c>
      <c r="Q1039" s="14">
        <v>414141.79</v>
      </c>
      <c r="R1039" s="14">
        <v>6188896.0999999996</v>
      </c>
      <c r="S1039" s="14" t="s">
        <v>11773</v>
      </c>
      <c r="T1039" s="14" t="s">
        <v>11774</v>
      </c>
      <c r="U1039" s="14">
        <v>414117</v>
      </c>
      <c r="V1039" s="14">
        <v>6188896.1500000004</v>
      </c>
      <c r="W1039" s="14">
        <v>180.8</v>
      </c>
      <c r="X1039" s="14">
        <v>200.06</v>
      </c>
    </row>
    <row r="1040" spans="1:24" s="14" customFormat="1" x14ac:dyDescent="0.25">
      <c r="A1040" s="50">
        <v>45099</v>
      </c>
      <c r="B1040" s="57">
        <v>173</v>
      </c>
      <c r="C1040" s="36">
        <v>0.85606481481481478</v>
      </c>
      <c r="D1040" s="16" t="s">
        <v>7408</v>
      </c>
      <c r="E1040" s="52" t="s">
        <v>70</v>
      </c>
      <c r="F1040" s="16" t="s">
        <v>8759</v>
      </c>
      <c r="G1040" s="16" t="s">
        <v>1628</v>
      </c>
      <c r="H1040" s="14">
        <v>0.22</v>
      </c>
      <c r="I1040" s="14" t="s">
        <v>11775</v>
      </c>
      <c r="J1040" s="14" t="s">
        <v>11776</v>
      </c>
      <c r="K1040" s="14" t="s">
        <v>11777</v>
      </c>
      <c r="L1040" s="14" t="s">
        <v>11782</v>
      </c>
      <c r="O1040" s="14" t="s">
        <v>11778</v>
      </c>
      <c r="P1040" s="14" t="s">
        <v>11779</v>
      </c>
      <c r="Q1040" s="14">
        <v>414140.81</v>
      </c>
      <c r="R1040" s="14">
        <v>6188663.5999999996</v>
      </c>
      <c r="S1040" s="14" t="s">
        <v>11780</v>
      </c>
      <c r="T1040" s="14" t="s">
        <v>11781</v>
      </c>
      <c r="U1040" s="14">
        <v>414116.96</v>
      </c>
      <c r="V1040" s="14">
        <v>6188662.96</v>
      </c>
      <c r="W1040" s="14">
        <v>179.51</v>
      </c>
      <c r="X1040" s="14">
        <v>200.06</v>
      </c>
    </row>
    <row r="1041" spans="1:24" s="14" customFormat="1" x14ac:dyDescent="0.25">
      <c r="A1041" s="50">
        <v>45099</v>
      </c>
      <c r="B1041" s="57">
        <v>173</v>
      </c>
      <c r="C1041" s="36">
        <v>0.85896990740740742</v>
      </c>
      <c r="D1041" s="16" t="s">
        <v>7408</v>
      </c>
      <c r="E1041" s="52" t="s">
        <v>65</v>
      </c>
      <c r="F1041" s="16" t="s">
        <v>8759</v>
      </c>
      <c r="G1041" s="16" t="s">
        <v>1629</v>
      </c>
      <c r="H1041" s="14">
        <v>0.215</v>
      </c>
      <c r="I1041" s="14" t="s">
        <v>11787</v>
      </c>
      <c r="J1041" s="14" t="s">
        <v>11788</v>
      </c>
      <c r="K1041" s="14" t="s">
        <v>11789</v>
      </c>
      <c r="L1041" s="14" t="s">
        <v>11782</v>
      </c>
      <c r="O1041" s="14" t="s">
        <v>11783</v>
      </c>
      <c r="P1041" s="14" t="s">
        <v>11784</v>
      </c>
      <c r="Q1041" s="14">
        <v>414133.17</v>
      </c>
      <c r="R1041" s="14">
        <v>6188654.6600000001</v>
      </c>
      <c r="S1041" s="14" t="s">
        <v>11785</v>
      </c>
      <c r="T1041" s="14" t="s">
        <v>11786</v>
      </c>
      <c r="U1041" s="14">
        <v>414108.03</v>
      </c>
      <c r="V1041" s="14">
        <v>6188657.0499999998</v>
      </c>
      <c r="W1041" s="14">
        <v>0.38</v>
      </c>
      <c r="X1041" s="14">
        <v>200.06</v>
      </c>
    </row>
    <row r="1042" spans="1:24" s="14" customFormat="1" x14ac:dyDescent="0.25">
      <c r="A1042" s="50">
        <v>45099</v>
      </c>
      <c r="B1042" s="57">
        <v>173</v>
      </c>
      <c r="C1042" s="36">
        <v>0.86423611111111109</v>
      </c>
      <c r="D1042" s="16" t="s">
        <v>7408</v>
      </c>
      <c r="E1042" s="52" t="s">
        <v>70</v>
      </c>
      <c r="F1042" s="16" t="s">
        <v>8759</v>
      </c>
      <c r="G1042" s="16" t="s">
        <v>1629</v>
      </c>
      <c r="H1042" s="14">
        <v>-1.7999999999999999E-2</v>
      </c>
      <c r="I1042" s="14" t="s">
        <v>11787</v>
      </c>
      <c r="J1042" s="14" t="s">
        <v>11788</v>
      </c>
      <c r="K1042" s="14" t="s">
        <v>11789</v>
      </c>
      <c r="L1042" s="14" t="s">
        <v>11794</v>
      </c>
      <c r="O1042" s="14" t="s">
        <v>11790</v>
      </c>
      <c r="P1042" s="14" t="s">
        <v>11791</v>
      </c>
      <c r="Q1042" s="14">
        <v>414133.57</v>
      </c>
      <c r="R1042" s="14">
        <v>6188885.79</v>
      </c>
      <c r="S1042" s="14" t="s">
        <v>11792</v>
      </c>
      <c r="T1042" s="14" t="s">
        <v>11793</v>
      </c>
      <c r="U1042" s="14">
        <v>414108.17</v>
      </c>
      <c r="V1042" s="14">
        <v>6188889.8799999999</v>
      </c>
      <c r="W1042" s="14">
        <v>359.59</v>
      </c>
      <c r="X1042" s="14">
        <v>200.06</v>
      </c>
    </row>
    <row r="1043" spans="1:24" s="14" customFormat="1" x14ac:dyDescent="0.25">
      <c r="A1043" s="50">
        <v>45099</v>
      </c>
      <c r="B1043" s="57">
        <v>173</v>
      </c>
      <c r="C1043" s="36">
        <v>0.86715277777777777</v>
      </c>
      <c r="D1043" s="16" t="s">
        <v>7408</v>
      </c>
      <c r="E1043" s="52" t="s">
        <v>65</v>
      </c>
      <c r="F1043" s="16" t="s">
        <v>8759</v>
      </c>
      <c r="G1043" s="16" t="s">
        <v>1630</v>
      </c>
      <c r="H1043" s="14">
        <v>-1.2999999999999999E-2</v>
      </c>
      <c r="I1043" s="14" t="s">
        <v>11799</v>
      </c>
      <c r="J1043" s="14" t="s">
        <v>11800</v>
      </c>
      <c r="K1043" s="14" t="s">
        <v>11801</v>
      </c>
      <c r="L1043" s="14" t="s">
        <v>11794</v>
      </c>
      <c r="O1043" s="14" t="s">
        <v>11795</v>
      </c>
      <c r="P1043" s="14" t="s">
        <v>11796</v>
      </c>
      <c r="Q1043" s="14">
        <v>414123.64</v>
      </c>
      <c r="R1043" s="14">
        <v>6188896.1299999999</v>
      </c>
      <c r="S1043" s="14" t="s">
        <v>11797</v>
      </c>
      <c r="T1043" s="14" t="s">
        <v>11798</v>
      </c>
      <c r="U1043" s="14">
        <v>414099.23</v>
      </c>
      <c r="V1043" s="14">
        <v>6188895.6100000003</v>
      </c>
      <c r="W1043" s="14">
        <v>181.23</v>
      </c>
      <c r="X1043" s="14">
        <v>200.06</v>
      </c>
    </row>
    <row r="1044" spans="1:24" s="14" customFormat="1" x14ac:dyDescent="0.25">
      <c r="A1044" s="50">
        <v>45099</v>
      </c>
      <c r="B1044" s="57">
        <v>173</v>
      </c>
      <c r="C1044" s="36">
        <v>0.87241898148148145</v>
      </c>
      <c r="D1044" s="16" t="s">
        <v>7408</v>
      </c>
      <c r="E1044" s="52" t="s">
        <v>70</v>
      </c>
      <c r="F1044" s="16" t="s">
        <v>8759</v>
      </c>
      <c r="G1044" s="16" t="s">
        <v>1630</v>
      </c>
      <c r="H1044" s="14">
        <v>0.22</v>
      </c>
      <c r="I1044" s="14" t="s">
        <v>11799</v>
      </c>
      <c r="J1044" s="14" t="s">
        <v>11800</v>
      </c>
      <c r="K1044" s="14" t="s">
        <v>11801</v>
      </c>
      <c r="L1044" s="14" t="s">
        <v>11794</v>
      </c>
      <c r="O1044" s="14" t="s">
        <v>11802</v>
      </c>
      <c r="P1044" s="14" t="s">
        <v>11803</v>
      </c>
      <c r="Q1044" s="14">
        <v>414122.57</v>
      </c>
      <c r="R1044" s="14">
        <v>6188664.5999999996</v>
      </c>
      <c r="S1044" s="14" t="s">
        <v>11804</v>
      </c>
      <c r="T1044" s="14" t="s">
        <v>11805</v>
      </c>
      <c r="U1044" s="14">
        <v>414099.03</v>
      </c>
      <c r="V1044" s="14">
        <v>6188663.2400000002</v>
      </c>
      <c r="W1044" s="14">
        <v>178.86</v>
      </c>
      <c r="X1044" s="14">
        <v>200.06</v>
      </c>
    </row>
    <row r="1045" spans="1:24" s="14" customFormat="1" x14ac:dyDescent="0.25">
      <c r="A1045" s="50">
        <v>45099</v>
      </c>
      <c r="B1045" s="57">
        <v>173</v>
      </c>
      <c r="C1045" s="36">
        <v>0.87549768518518523</v>
      </c>
      <c r="D1045" s="16" t="s">
        <v>7408</v>
      </c>
      <c r="E1045" s="14" t="s">
        <v>65</v>
      </c>
      <c r="F1045" s="16" t="s">
        <v>8759</v>
      </c>
      <c r="G1045" s="16" t="s">
        <v>1631</v>
      </c>
      <c r="H1045" s="14">
        <v>0.215</v>
      </c>
      <c r="I1045" s="14" t="s">
        <v>11810</v>
      </c>
      <c r="J1045" s="14" t="s">
        <v>11811</v>
      </c>
      <c r="K1045" s="14" t="s">
        <v>11812</v>
      </c>
      <c r="L1045" s="14" t="s">
        <v>11813</v>
      </c>
      <c r="O1045" s="14" t="s">
        <v>11806</v>
      </c>
      <c r="P1045" s="14" t="s">
        <v>11807</v>
      </c>
      <c r="Q1045" s="14">
        <v>414114.08</v>
      </c>
      <c r="R1045" s="14">
        <v>6188652.4699999997</v>
      </c>
      <c r="S1045" s="14" t="s">
        <v>11808</v>
      </c>
      <c r="T1045" s="14" t="s">
        <v>11809</v>
      </c>
      <c r="U1045" s="14">
        <v>414090.02</v>
      </c>
      <c r="V1045" s="14">
        <v>6188657.4900000002</v>
      </c>
      <c r="W1045" s="14">
        <v>0.52</v>
      </c>
      <c r="X1045" s="14">
        <v>200.06</v>
      </c>
    </row>
    <row r="1046" spans="1:24" s="14" customFormat="1" x14ac:dyDescent="0.25">
      <c r="A1046" s="50">
        <v>45099</v>
      </c>
      <c r="B1046" s="57">
        <v>173</v>
      </c>
      <c r="C1046" s="36">
        <v>0.88074074074074071</v>
      </c>
      <c r="D1046" s="16" t="s">
        <v>7408</v>
      </c>
      <c r="E1046" s="14" t="s">
        <v>70</v>
      </c>
      <c r="F1046" s="16" t="s">
        <v>8759</v>
      </c>
      <c r="G1046" s="16" t="s">
        <v>1631</v>
      </c>
      <c r="H1046" s="14">
        <v>-1.7000000000000001E-2</v>
      </c>
      <c r="I1046" s="14" t="s">
        <v>11810</v>
      </c>
      <c r="J1046" s="14" t="s">
        <v>11811</v>
      </c>
      <c r="K1046" s="14" t="s">
        <v>11812</v>
      </c>
      <c r="L1046" s="14" t="s">
        <v>11813</v>
      </c>
      <c r="O1046" s="14" t="s">
        <v>11814</v>
      </c>
      <c r="P1046" s="14" t="s">
        <v>11815</v>
      </c>
      <c r="Q1046" s="14">
        <v>414114.69</v>
      </c>
      <c r="R1046" s="14">
        <v>6188882.7400000002</v>
      </c>
      <c r="S1046" s="14" t="s">
        <v>11816</v>
      </c>
      <c r="T1046" s="14" t="s">
        <v>11817</v>
      </c>
      <c r="U1046" s="14">
        <v>414090.26</v>
      </c>
      <c r="V1046" s="14">
        <v>6188889.3499999996</v>
      </c>
      <c r="W1046" s="14">
        <v>358.36</v>
      </c>
      <c r="X1046" s="14">
        <v>200.06</v>
      </c>
    </row>
    <row r="1047" spans="1:24" s="14" customFormat="1" x14ac:dyDescent="0.25">
      <c r="A1047" s="50">
        <v>45099</v>
      </c>
      <c r="B1047" s="57">
        <v>173</v>
      </c>
      <c r="C1047" s="36">
        <v>0.88366898148148154</v>
      </c>
      <c r="D1047" s="16" t="s">
        <v>7408</v>
      </c>
      <c r="E1047" s="14" t="s">
        <v>65</v>
      </c>
      <c r="F1047" s="16" t="s">
        <v>8759</v>
      </c>
      <c r="G1047" s="16" t="s">
        <v>1632</v>
      </c>
      <c r="H1047" s="14">
        <v>-1.2E-2</v>
      </c>
      <c r="I1047" s="14" t="s">
        <v>11822</v>
      </c>
      <c r="J1047" s="14" t="s">
        <v>11823</v>
      </c>
      <c r="K1047" s="14" t="s">
        <v>11824</v>
      </c>
      <c r="L1047" s="14" t="s">
        <v>11813</v>
      </c>
      <c r="O1047" s="14" t="s">
        <v>11818</v>
      </c>
      <c r="P1047" s="14" t="s">
        <v>11819</v>
      </c>
      <c r="Q1047" s="14">
        <v>414105.29</v>
      </c>
      <c r="R1047" s="14">
        <v>6188894.7199999997</v>
      </c>
      <c r="S1047" s="14" t="s">
        <v>11820</v>
      </c>
      <c r="T1047" s="14" t="s">
        <v>11821</v>
      </c>
      <c r="U1047" s="14">
        <v>414081.05</v>
      </c>
      <c r="V1047" s="14">
        <v>6188895.4400000004</v>
      </c>
      <c r="W1047" s="14">
        <v>180.89</v>
      </c>
      <c r="X1047" s="14">
        <v>200.06</v>
      </c>
    </row>
    <row r="1048" spans="1:24" s="14" customFormat="1" x14ac:dyDescent="0.25">
      <c r="A1048" s="50">
        <v>45099</v>
      </c>
      <c r="B1048" s="57">
        <v>173</v>
      </c>
      <c r="C1048" s="36">
        <v>0.88890046296296299</v>
      </c>
      <c r="D1048" s="16" t="s">
        <v>7408</v>
      </c>
      <c r="E1048" s="14" t="s">
        <v>70</v>
      </c>
      <c r="F1048" s="16" t="s">
        <v>8759</v>
      </c>
      <c r="G1048" s="16" t="s">
        <v>1632</v>
      </c>
      <c r="H1048" s="14">
        <v>0.219</v>
      </c>
      <c r="I1048" s="14" t="s">
        <v>11822</v>
      </c>
      <c r="J1048" s="14" t="s">
        <v>11823</v>
      </c>
      <c r="K1048" s="14" t="s">
        <v>11824</v>
      </c>
      <c r="L1048" s="14" t="s">
        <v>11829</v>
      </c>
      <c r="O1048" s="14" t="s">
        <v>11825</v>
      </c>
      <c r="P1048" s="14" t="s">
        <v>11826</v>
      </c>
      <c r="Q1048" s="14">
        <v>414104.71</v>
      </c>
      <c r="R1048" s="14">
        <v>6188664.9000000004</v>
      </c>
      <c r="S1048" s="14" t="s">
        <v>11827</v>
      </c>
      <c r="T1048" s="14" t="s">
        <v>11828</v>
      </c>
      <c r="U1048" s="14">
        <v>414081.01</v>
      </c>
      <c r="V1048" s="14">
        <v>6188664.2699999996</v>
      </c>
      <c r="W1048" s="14">
        <v>180.04</v>
      </c>
      <c r="X1048" s="14">
        <v>200.06</v>
      </c>
    </row>
    <row r="1049" spans="1:24" s="14" customFormat="1" x14ac:dyDescent="0.25">
      <c r="A1049" s="50">
        <v>45099</v>
      </c>
      <c r="B1049" s="57">
        <v>173</v>
      </c>
      <c r="C1049" s="36">
        <v>0.89166666666666661</v>
      </c>
      <c r="D1049" s="16" t="s">
        <v>7408</v>
      </c>
      <c r="E1049" s="14" t="s">
        <v>65</v>
      </c>
      <c r="F1049" s="16" t="s">
        <v>8759</v>
      </c>
      <c r="G1049" s="16" t="s">
        <v>1633</v>
      </c>
      <c r="H1049" s="14">
        <v>0.21299999999999999</v>
      </c>
      <c r="I1049" s="14" t="s">
        <v>11834</v>
      </c>
      <c r="J1049" s="14" t="s">
        <v>11835</v>
      </c>
      <c r="K1049" s="14" t="s">
        <v>11836</v>
      </c>
      <c r="L1049" s="14" t="s">
        <v>11829</v>
      </c>
      <c r="O1049" s="14" t="s">
        <v>11830</v>
      </c>
      <c r="P1049" s="14" t="s">
        <v>11831</v>
      </c>
      <c r="Q1049" s="14">
        <v>414096.41</v>
      </c>
      <c r="R1049" s="14">
        <v>6188655.0099999998</v>
      </c>
      <c r="S1049" s="14" t="s">
        <v>11832</v>
      </c>
      <c r="T1049" s="14" t="s">
        <v>11833</v>
      </c>
      <c r="U1049" s="14">
        <v>414072.07</v>
      </c>
      <c r="V1049" s="14">
        <v>6188658.5999999996</v>
      </c>
      <c r="W1049" s="14">
        <v>0.32</v>
      </c>
      <c r="X1049" s="14">
        <v>200.06</v>
      </c>
    </row>
    <row r="1050" spans="1:24" s="14" customFormat="1" x14ac:dyDescent="0.25">
      <c r="A1050" s="50">
        <v>45099</v>
      </c>
      <c r="B1050" s="57">
        <v>173</v>
      </c>
      <c r="C1050" s="36">
        <v>0.89692129629629624</v>
      </c>
      <c r="D1050" s="16" t="s">
        <v>7408</v>
      </c>
      <c r="E1050" s="14" t="s">
        <v>70</v>
      </c>
      <c r="F1050" s="16" t="s">
        <v>8759</v>
      </c>
      <c r="G1050" s="16" t="s">
        <v>1633</v>
      </c>
      <c r="H1050" s="14">
        <v>-1.7999999999999999E-2</v>
      </c>
      <c r="I1050" s="14" t="s">
        <v>11834</v>
      </c>
      <c r="J1050" s="14" t="s">
        <v>11835</v>
      </c>
      <c r="K1050" s="14" t="s">
        <v>11836</v>
      </c>
      <c r="L1050" s="14" t="s">
        <v>11841</v>
      </c>
      <c r="O1050" s="14" t="s">
        <v>11837</v>
      </c>
      <c r="P1050" s="14" t="s">
        <v>11838</v>
      </c>
      <c r="Q1050" s="14">
        <v>414096.29</v>
      </c>
      <c r="R1050" s="14">
        <v>6188886.0899999999</v>
      </c>
      <c r="S1050" s="14" t="s">
        <v>11839</v>
      </c>
      <c r="T1050" s="14" t="s">
        <v>11840</v>
      </c>
      <c r="U1050" s="14">
        <v>414072.17</v>
      </c>
      <c r="V1050" s="14">
        <v>6188889.9900000002</v>
      </c>
      <c r="W1050" s="14">
        <v>359.72</v>
      </c>
      <c r="X1050" s="14">
        <v>200.06</v>
      </c>
    </row>
    <row r="1051" spans="1:24" s="14" customFormat="1" x14ac:dyDescent="0.25">
      <c r="A1051" s="50">
        <v>45099</v>
      </c>
      <c r="B1051" s="57">
        <v>173</v>
      </c>
      <c r="C1051" s="36">
        <v>0.8995023148148148</v>
      </c>
      <c r="D1051" s="16" t="s">
        <v>7408</v>
      </c>
      <c r="E1051" s="52" t="s">
        <v>65</v>
      </c>
      <c r="F1051" s="16" t="s">
        <v>8759</v>
      </c>
      <c r="G1051" s="16" t="s">
        <v>1634</v>
      </c>
      <c r="H1051" s="14">
        <v>-1.2999999999999999E-2</v>
      </c>
      <c r="I1051" s="14" t="s">
        <v>11846</v>
      </c>
      <c r="J1051" s="14" t="s">
        <v>11847</v>
      </c>
      <c r="K1051" s="14" t="s">
        <v>11848</v>
      </c>
      <c r="L1051" s="14" t="s">
        <v>11841</v>
      </c>
      <c r="O1051" s="14" t="s">
        <v>11842</v>
      </c>
      <c r="P1051" s="14" t="s">
        <v>11843</v>
      </c>
      <c r="Q1051" s="14">
        <v>414087.75</v>
      </c>
      <c r="R1051" s="14">
        <v>6188897.6799999997</v>
      </c>
      <c r="S1051" s="14" t="s">
        <v>11844</v>
      </c>
      <c r="T1051" s="14" t="s">
        <v>11845</v>
      </c>
      <c r="U1051" s="14">
        <v>414063.24</v>
      </c>
      <c r="V1051" s="14">
        <v>6188896.29</v>
      </c>
      <c r="W1051" s="14">
        <v>179.91</v>
      </c>
      <c r="X1051" s="14">
        <v>200.06</v>
      </c>
    </row>
    <row r="1052" spans="1:24" s="14" customFormat="1" x14ac:dyDescent="0.25">
      <c r="A1052" s="50">
        <v>45099</v>
      </c>
      <c r="B1052" s="57">
        <v>173</v>
      </c>
      <c r="C1052" s="36">
        <v>0.90479166666666666</v>
      </c>
      <c r="D1052" s="16" t="s">
        <v>7408</v>
      </c>
      <c r="E1052" s="52" t="s">
        <v>70</v>
      </c>
      <c r="F1052" s="16" t="s">
        <v>8759</v>
      </c>
      <c r="G1052" s="16" t="s">
        <v>1634</v>
      </c>
      <c r="H1052" s="14">
        <v>0.219</v>
      </c>
      <c r="I1052" s="14" t="s">
        <v>11846</v>
      </c>
      <c r="J1052" s="14" t="s">
        <v>11847</v>
      </c>
      <c r="K1052" s="14" t="s">
        <v>11848</v>
      </c>
      <c r="L1052" s="14" t="s">
        <v>11841</v>
      </c>
      <c r="O1052" s="14" t="s">
        <v>11849</v>
      </c>
      <c r="P1052" s="14" t="s">
        <v>11850</v>
      </c>
      <c r="Q1052" s="14">
        <v>414086.88</v>
      </c>
      <c r="R1052" s="14">
        <v>6188665.8399999999</v>
      </c>
      <c r="S1052" s="14" t="s">
        <v>11851</v>
      </c>
      <c r="T1052" s="14" t="s">
        <v>11852</v>
      </c>
      <c r="U1052" s="14">
        <v>414063.1</v>
      </c>
      <c r="V1052" s="14">
        <v>6188663.96</v>
      </c>
      <c r="W1052" s="14">
        <v>179.59</v>
      </c>
      <c r="X1052" s="14">
        <v>200.06</v>
      </c>
    </row>
    <row r="1053" spans="1:24" s="14" customFormat="1" x14ac:dyDescent="0.25">
      <c r="A1053" s="50">
        <v>45099</v>
      </c>
      <c r="B1053" s="57">
        <v>173</v>
      </c>
      <c r="C1053" s="36">
        <v>0.9060300925925926</v>
      </c>
      <c r="D1053" s="16" t="s">
        <v>7408</v>
      </c>
      <c r="E1053" s="52" t="s">
        <v>11877</v>
      </c>
      <c r="F1053" s="16" t="s">
        <v>8759</v>
      </c>
      <c r="G1053" s="16" t="s">
        <v>1634</v>
      </c>
      <c r="H1053" s="14">
        <v>0.22700000000000001</v>
      </c>
      <c r="O1053" s="14" t="s">
        <v>11853</v>
      </c>
      <c r="P1053" s="14" t="s">
        <v>11854</v>
      </c>
      <c r="Q1053" s="14">
        <v>414087.13</v>
      </c>
      <c r="R1053" s="14">
        <v>6188645.3700000001</v>
      </c>
      <c r="S1053" s="14" t="s">
        <v>11855</v>
      </c>
      <c r="T1053" s="14" t="s">
        <v>11856</v>
      </c>
      <c r="U1053" s="14">
        <v>414073.83</v>
      </c>
      <c r="V1053" s="14">
        <v>6188650.21</v>
      </c>
      <c r="W1053" s="14">
        <v>268.19</v>
      </c>
      <c r="X1053" s="14">
        <v>200.06</v>
      </c>
    </row>
    <row r="1054" spans="1:24" s="14" customFormat="1" x14ac:dyDescent="0.25">
      <c r="A1054" s="50">
        <v>45099</v>
      </c>
      <c r="B1054" s="57">
        <v>173</v>
      </c>
      <c r="C1054" s="36">
        <v>0.90725694444444438</v>
      </c>
      <c r="D1054" s="16" t="s">
        <v>7408</v>
      </c>
      <c r="E1054" s="52" t="s">
        <v>11861</v>
      </c>
      <c r="F1054" s="16" t="s">
        <v>11862</v>
      </c>
      <c r="G1054" s="16" t="s">
        <v>2257</v>
      </c>
      <c r="H1054" s="14">
        <v>-0.77300000000000002</v>
      </c>
      <c r="O1054" s="14" t="s">
        <v>11857</v>
      </c>
      <c r="P1054" s="14" t="s">
        <v>11858</v>
      </c>
      <c r="Q1054" s="14">
        <v>414343.61</v>
      </c>
      <c r="R1054" s="14">
        <v>6187618.5</v>
      </c>
      <c r="S1054" s="14" t="s">
        <v>11859</v>
      </c>
      <c r="T1054" s="14" t="s">
        <v>11860</v>
      </c>
      <c r="U1054" s="14">
        <v>414332.43</v>
      </c>
      <c r="V1054" s="14">
        <v>6187618.9199999999</v>
      </c>
      <c r="W1054" s="14">
        <v>258.26</v>
      </c>
      <c r="X1054" s="14">
        <v>150.05000000000001</v>
      </c>
    </row>
    <row r="1055" spans="1:24" s="68" customFormat="1" x14ac:dyDescent="0.25">
      <c r="A1055" s="65">
        <v>45099</v>
      </c>
      <c r="B1055" s="106">
        <v>173</v>
      </c>
      <c r="C1055" s="67">
        <v>0.92962962962962958</v>
      </c>
      <c r="D1055" s="66" t="s">
        <v>175</v>
      </c>
      <c r="E1055" s="88" t="s">
        <v>11868</v>
      </c>
      <c r="F1055" s="66" t="s">
        <v>11862</v>
      </c>
      <c r="G1055" s="66" t="s">
        <v>2257</v>
      </c>
      <c r="H1055" s="68">
        <v>-4.2000000000000003E-2</v>
      </c>
      <c r="M1055" s="68" t="s">
        <v>11863</v>
      </c>
      <c r="O1055" s="68" t="s">
        <v>11864</v>
      </c>
      <c r="P1055" s="68" t="s">
        <v>11865</v>
      </c>
      <c r="Q1055" s="68">
        <v>414389.23</v>
      </c>
      <c r="R1055" s="68">
        <v>6186892.6299999999</v>
      </c>
      <c r="S1055" s="68" t="s">
        <v>11866</v>
      </c>
      <c r="T1055" s="68" t="s">
        <v>11867</v>
      </c>
      <c r="U1055" s="68">
        <v>414373.16</v>
      </c>
      <c r="V1055" s="68">
        <v>6186890.6399999997</v>
      </c>
      <c r="W1055" s="68">
        <v>230.83</v>
      </c>
      <c r="X1055" s="68">
        <v>150.05000000000001</v>
      </c>
    </row>
    <row r="1056" spans="1:24" s="14" customFormat="1" x14ac:dyDescent="0.25">
      <c r="A1056" s="50">
        <v>45099</v>
      </c>
      <c r="B1056" s="57">
        <v>173</v>
      </c>
      <c r="C1056" s="36">
        <v>0.93346064814814822</v>
      </c>
      <c r="D1056" s="16" t="s">
        <v>175</v>
      </c>
      <c r="E1056" s="52" t="s">
        <v>65</v>
      </c>
      <c r="F1056" s="16" t="s">
        <v>11862</v>
      </c>
      <c r="G1056" s="16" t="s">
        <v>2257</v>
      </c>
      <c r="H1056" s="14">
        <v>-1.4E-2</v>
      </c>
      <c r="I1056" s="14" t="s">
        <v>11873</v>
      </c>
      <c r="J1056" s="14" t="s">
        <v>11874</v>
      </c>
      <c r="K1056" s="14" t="s">
        <v>11875</v>
      </c>
      <c r="L1056" s="14" t="s">
        <v>11876</v>
      </c>
      <c r="O1056" s="14" t="s">
        <v>11869</v>
      </c>
      <c r="P1056" s="14" t="s">
        <v>11870</v>
      </c>
      <c r="Q1056" s="14">
        <v>414388.35</v>
      </c>
      <c r="R1056" s="14">
        <v>6186865.0099999998</v>
      </c>
      <c r="S1056" s="14" t="s">
        <v>11871</v>
      </c>
      <c r="T1056" s="14" t="s">
        <v>11872</v>
      </c>
      <c r="U1056" s="14">
        <v>414363.93</v>
      </c>
      <c r="V1056" s="14">
        <v>6186864.71</v>
      </c>
      <c r="W1056" s="14">
        <v>180.53</v>
      </c>
      <c r="X1056" s="14">
        <v>150.05000000000001</v>
      </c>
    </row>
    <row r="1057" spans="1:24" s="14" customFormat="1" x14ac:dyDescent="0.25">
      <c r="A1057" s="50">
        <v>45099</v>
      </c>
      <c r="B1057" s="57">
        <v>173</v>
      </c>
      <c r="C1057" s="36">
        <v>0.93768518518518518</v>
      </c>
      <c r="D1057" s="16" t="s">
        <v>175</v>
      </c>
      <c r="E1057" s="52" t="s">
        <v>70</v>
      </c>
      <c r="F1057" s="16" t="s">
        <v>11862</v>
      </c>
      <c r="G1057" s="16" t="s">
        <v>2257</v>
      </c>
      <c r="H1057" s="14">
        <v>0.17199999999999999</v>
      </c>
      <c r="I1057" s="14" t="s">
        <v>11873</v>
      </c>
      <c r="J1057" s="14" t="s">
        <v>11874</v>
      </c>
      <c r="K1057" s="14" t="s">
        <v>11875</v>
      </c>
      <c r="L1057" s="14" t="s">
        <v>11882</v>
      </c>
      <c r="O1057" s="14" t="s">
        <v>11878</v>
      </c>
      <c r="P1057" s="14" t="s">
        <v>11879</v>
      </c>
      <c r="Q1057" s="14">
        <v>414387.38</v>
      </c>
      <c r="R1057" s="14">
        <v>6186679.3600000003</v>
      </c>
      <c r="S1057" s="14" t="s">
        <v>11880</v>
      </c>
      <c r="T1057" s="14" t="s">
        <v>11881</v>
      </c>
      <c r="U1057" s="14">
        <v>414363.95</v>
      </c>
      <c r="V1057" s="14">
        <v>6186678.0800000001</v>
      </c>
      <c r="W1057" s="14">
        <v>180.35</v>
      </c>
      <c r="X1057" s="14">
        <v>150.05000000000001</v>
      </c>
    </row>
    <row r="1058" spans="1:24" s="14" customFormat="1" x14ac:dyDescent="0.25">
      <c r="A1058" s="50">
        <v>45099</v>
      </c>
      <c r="B1058" s="57">
        <v>173</v>
      </c>
      <c r="C1058" s="36">
        <v>0.9405324074074074</v>
      </c>
      <c r="D1058" s="16" t="s">
        <v>175</v>
      </c>
      <c r="E1058" s="52" t="s">
        <v>65</v>
      </c>
      <c r="F1058" s="16" t="s">
        <v>11862</v>
      </c>
      <c r="G1058" s="16" t="s">
        <v>2256</v>
      </c>
      <c r="H1058" s="14">
        <v>0.16800000000000001</v>
      </c>
      <c r="I1058" s="14" t="s">
        <v>11887</v>
      </c>
      <c r="J1058" s="14" t="s">
        <v>11888</v>
      </c>
      <c r="K1058" s="14" t="s">
        <v>11889</v>
      </c>
      <c r="L1058" s="14" t="s">
        <v>11882</v>
      </c>
      <c r="O1058" s="14" t="s">
        <v>11883</v>
      </c>
      <c r="P1058" s="14" t="s">
        <v>11884</v>
      </c>
      <c r="Q1058" s="14">
        <v>414379.37</v>
      </c>
      <c r="R1058" s="14">
        <v>6186667</v>
      </c>
      <c r="S1058" s="14" t="s">
        <v>11885</v>
      </c>
      <c r="T1058" s="14" t="s">
        <v>11886</v>
      </c>
      <c r="U1058" s="14">
        <v>414354.76</v>
      </c>
      <c r="V1058" s="14">
        <v>6186671.6699999999</v>
      </c>
      <c r="W1058" s="14">
        <v>0.61</v>
      </c>
      <c r="X1058" s="14">
        <v>150.05000000000001</v>
      </c>
    </row>
    <row r="1059" spans="1:24" s="14" customFormat="1" x14ac:dyDescent="0.25">
      <c r="A1059" s="50">
        <v>45099</v>
      </c>
      <c r="B1059" s="57">
        <v>173</v>
      </c>
      <c r="C1059" s="36">
        <v>0.94481481481481477</v>
      </c>
      <c r="D1059" s="16" t="s">
        <v>175</v>
      </c>
      <c r="E1059" s="52" t="s">
        <v>70</v>
      </c>
      <c r="F1059" s="16" t="s">
        <v>11862</v>
      </c>
      <c r="G1059" s="16" t="s">
        <v>2256</v>
      </c>
      <c r="H1059" s="14">
        <v>-2.1000000000000001E-2</v>
      </c>
      <c r="I1059" s="14" t="s">
        <v>11887</v>
      </c>
      <c r="J1059" s="14" t="s">
        <v>11888</v>
      </c>
      <c r="K1059" s="14" t="s">
        <v>11889</v>
      </c>
      <c r="L1059" s="14" t="s">
        <v>11882</v>
      </c>
      <c r="O1059" s="14" t="s">
        <v>11890</v>
      </c>
      <c r="P1059" s="14" t="s">
        <v>11891</v>
      </c>
      <c r="Q1059" s="14">
        <v>414379.3</v>
      </c>
      <c r="R1059" s="14">
        <v>6186856.3799999999</v>
      </c>
      <c r="S1059" s="14" t="s">
        <v>11892</v>
      </c>
      <c r="T1059" s="14" t="s">
        <v>11893</v>
      </c>
      <c r="U1059" s="14">
        <v>414354.83</v>
      </c>
      <c r="V1059" s="14">
        <v>6186859.9000000004</v>
      </c>
      <c r="W1059" s="14">
        <v>359.86</v>
      </c>
      <c r="X1059" s="14">
        <v>150.05000000000001</v>
      </c>
    </row>
    <row r="1060" spans="1:24" s="14" customFormat="1" x14ac:dyDescent="0.25">
      <c r="A1060" s="50">
        <v>45099</v>
      </c>
      <c r="B1060" s="57">
        <v>173</v>
      </c>
      <c r="C1060" s="36">
        <v>0.94755787037037031</v>
      </c>
      <c r="D1060" s="16" t="s">
        <v>175</v>
      </c>
      <c r="E1060" s="14" t="s">
        <v>65</v>
      </c>
      <c r="F1060" s="16" t="s">
        <v>11862</v>
      </c>
      <c r="G1060" s="16" t="s">
        <v>2255</v>
      </c>
      <c r="H1060" s="14">
        <v>-1.6E-2</v>
      </c>
      <c r="I1060" s="14" t="s">
        <v>11898</v>
      </c>
      <c r="J1060" s="14" t="s">
        <v>11899</v>
      </c>
      <c r="K1060" s="14" t="s">
        <v>11900</v>
      </c>
      <c r="L1060" s="14" t="s">
        <v>11901</v>
      </c>
      <c r="O1060" s="14" t="s">
        <v>11894</v>
      </c>
      <c r="P1060" s="14" t="s">
        <v>11895</v>
      </c>
      <c r="Q1060" s="14">
        <v>414370.31</v>
      </c>
      <c r="R1060" s="14">
        <v>6186865.1600000001</v>
      </c>
      <c r="S1060" s="14" t="s">
        <v>11896</v>
      </c>
      <c r="T1060" s="14" t="s">
        <v>11897</v>
      </c>
      <c r="U1060" s="14">
        <v>414345.98</v>
      </c>
      <c r="V1060" s="14">
        <v>6186866.6900000004</v>
      </c>
      <c r="W1060" s="14">
        <v>181.47</v>
      </c>
      <c r="X1060" s="14">
        <v>150.05000000000001</v>
      </c>
    </row>
    <row r="1061" spans="1:24" s="14" customFormat="1" x14ac:dyDescent="0.25">
      <c r="A1061" s="50">
        <v>45099</v>
      </c>
      <c r="B1061" s="57">
        <v>173</v>
      </c>
      <c r="C1061" s="36">
        <v>0.95188657407407407</v>
      </c>
      <c r="D1061" s="16" t="s">
        <v>175</v>
      </c>
      <c r="E1061" s="14" t="s">
        <v>70</v>
      </c>
      <c r="F1061" s="16" t="s">
        <v>11862</v>
      </c>
      <c r="G1061" s="16" t="s">
        <v>2255</v>
      </c>
      <c r="H1061" s="14">
        <v>0.17499999999999999</v>
      </c>
      <c r="I1061" s="14" t="s">
        <v>11898</v>
      </c>
      <c r="J1061" s="14" t="s">
        <v>11899</v>
      </c>
      <c r="K1061" s="14" t="s">
        <v>11900</v>
      </c>
      <c r="L1061" s="14" t="s">
        <v>11901</v>
      </c>
      <c r="O1061" s="14" t="s">
        <v>11902</v>
      </c>
      <c r="P1061" s="14" t="s">
        <v>11903</v>
      </c>
      <c r="Q1061" s="14">
        <v>414369.27</v>
      </c>
      <c r="R1061" s="14">
        <v>6186674.8300000001</v>
      </c>
      <c r="S1061" s="14" t="s">
        <v>11904</v>
      </c>
      <c r="T1061" s="14" t="s">
        <v>11905</v>
      </c>
      <c r="U1061" s="14">
        <v>414345.86</v>
      </c>
      <c r="V1061" s="14">
        <v>6186675.8499999996</v>
      </c>
      <c r="W1061" s="14">
        <v>180.26</v>
      </c>
      <c r="X1061" s="14">
        <v>150.05000000000001</v>
      </c>
    </row>
    <row r="1062" spans="1:24" s="14" customFormat="1" x14ac:dyDescent="0.25">
      <c r="A1062" s="50">
        <v>45099</v>
      </c>
      <c r="B1062" s="57">
        <v>173</v>
      </c>
      <c r="C1062" s="36">
        <v>0.95472222222222225</v>
      </c>
      <c r="D1062" s="16" t="s">
        <v>175</v>
      </c>
      <c r="E1062" s="14" t="s">
        <v>65</v>
      </c>
      <c r="F1062" s="16" t="s">
        <v>11862</v>
      </c>
      <c r="G1062" s="16" t="s">
        <v>2254</v>
      </c>
      <c r="H1062" s="14">
        <v>0.17100000000000001</v>
      </c>
      <c r="I1062" s="14" t="s">
        <v>11910</v>
      </c>
      <c r="J1062" s="14" t="s">
        <v>11911</v>
      </c>
      <c r="K1062" s="14" t="s">
        <v>11912</v>
      </c>
      <c r="L1062" s="14" t="s">
        <v>11901</v>
      </c>
      <c r="O1062" s="14" t="s">
        <v>11906</v>
      </c>
      <c r="P1062" s="14" t="s">
        <v>11907</v>
      </c>
      <c r="Q1062" s="14">
        <v>414361.49</v>
      </c>
      <c r="R1062" s="14">
        <v>6186669.21</v>
      </c>
      <c r="S1062" s="14" t="s">
        <v>11908</v>
      </c>
      <c r="T1062" s="14" t="s">
        <v>11909</v>
      </c>
      <c r="U1062" s="14">
        <v>414336.81</v>
      </c>
      <c r="V1062" s="14">
        <v>6186667.9800000004</v>
      </c>
      <c r="W1062" s="14">
        <v>0.86</v>
      </c>
      <c r="X1062" s="14">
        <v>150.05000000000001</v>
      </c>
    </row>
    <row r="1063" spans="1:24" s="14" customFormat="1" x14ac:dyDescent="0.25">
      <c r="A1063" s="50">
        <v>45099</v>
      </c>
      <c r="B1063" s="57">
        <v>173</v>
      </c>
      <c r="C1063" s="36">
        <v>0.95906249999999993</v>
      </c>
      <c r="D1063" s="16" t="s">
        <v>175</v>
      </c>
      <c r="E1063" s="14" t="s">
        <v>70</v>
      </c>
      <c r="F1063" s="16" t="s">
        <v>11862</v>
      </c>
      <c r="G1063" s="16" t="s">
        <v>2254</v>
      </c>
      <c r="H1063" s="14">
        <v>-2.1999999999999999E-2</v>
      </c>
      <c r="I1063" s="14" t="s">
        <v>11910</v>
      </c>
      <c r="J1063" s="14" t="s">
        <v>11911</v>
      </c>
      <c r="K1063" s="14" t="s">
        <v>11912</v>
      </c>
      <c r="L1063" s="14" t="s">
        <v>11917</v>
      </c>
      <c r="O1063" s="14" t="s">
        <v>11913</v>
      </c>
      <c r="P1063" s="14" t="s">
        <v>11914</v>
      </c>
      <c r="Q1063" s="14">
        <v>414361.16</v>
      </c>
      <c r="R1063" s="14">
        <v>6186861.21</v>
      </c>
      <c r="S1063" s="14" t="s">
        <v>11915</v>
      </c>
      <c r="T1063" s="14" t="s">
        <v>11916</v>
      </c>
      <c r="U1063" s="14">
        <v>414336.86</v>
      </c>
      <c r="V1063" s="14">
        <v>6186860.9299999997</v>
      </c>
      <c r="W1063" s="14">
        <v>359.76</v>
      </c>
      <c r="X1063" s="14">
        <v>150.05000000000001</v>
      </c>
    </row>
    <row r="1064" spans="1:24" s="14" customFormat="1" x14ac:dyDescent="0.25">
      <c r="A1064" s="50">
        <v>45099</v>
      </c>
      <c r="B1064" s="57">
        <v>173</v>
      </c>
      <c r="C1064" s="36">
        <v>0.9617013888888889</v>
      </c>
      <c r="D1064" s="16" t="s">
        <v>175</v>
      </c>
      <c r="E1064" s="14" t="s">
        <v>65</v>
      </c>
      <c r="F1064" s="16" t="s">
        <v>11862</v>
      </c>
      <c r="G1064" s="16" t="s">
        <v>2253</v>
      </c>
      <c r="H1064" s="14">
        <v>-1.7999999999999999E-2</v>
      </c>
      <c r="I1064" s="14" t="s">
        <v>11922</v>
      </c>
      <c r="J1064" s="14" t="s">
        <v>11923</v>
      </c>
      <c r="K1064" s="14" t="s">
        <v>11924</v>
      </c>
      <c r="L1064" s="14" t="s">
        <v>11917</v>
      </c>
      <c r="O1064" s="14" t="s">
        <v>11918</v>
      </c>
      <c r="P1064" s="14" t="s">
        <v>11919</v>
      </c>
      <c r="Q1064" s="14">
        <v>414352.66</v>
      </c>
      <c r="R1064" s="14">
        <v>6186870.04</v>
      </c>
      <c r="S1064" s="14" t="s">
        <v>11920</v>
      </c>
      <c r="T1064" s="14" t="s">
        <v>11921</v>
      </c>
      <c r="U1064" s="14">
        <v>414327.84</v>
      </c>
      <c r="V1064" s="14">
        <v>6186868.6299999999</v>
      </c>
      <c r="W1064" s="14">
        <v>179.75</v>
      </c>
      <c r="X1064" s="14">
        <v>150.05000000000001</v>
      </c>
    </row>
    <row r="1065" spans="1:24" s="14" customFormat="1" x14ac:dyDescent="0.25">
      <c r="A1065" s="50">
        <v>45099</v>
      </c>
      <c r="B1065" s="57">
        <v>173</v>
      </c>
      <c r="C1065" s="36">
        <v>0.96608796296296295</v>
      </c>
      <c r="D1065" s="16" t="s">
        <v>175</v>
      </c>
      <c r="E1065" s="14" t="s">
        <v>70</v>
      </c>
      <c r="F1065" s="16" t="s">
        <v>11862</v>
      </c>
      <c r="G1065" s="16" t="s">
        <v>2253</v>
      </c>
      <c r="H1065" s="14">
        <v>0.17499999999999999</v>
      </c>
      <c r="I1065" s="14" t="s">
        <v>11922</v>
      </c>
      <c r="J1065" s="14" t="s">
        <v>11923</v>
      </c>
      <c r="K1065" s="14" t="s">
        <v>11924</v>
      </c>
      <c r="L1065" s="14" t="s">
        <v>11917</v>
      </c>
      <c r="O1065" s="14" t="s">
        <v>11925</v>
      </c>
      <c r="P1065" s="14" t="s">
        <v>11926</v>
      </c>
      <c r="Q1065" s="14">
        <v>414351.4</v>
      </c>
      <c r="R1065" s="14">
        <v>6186676.7999999998</v>
      </c>
      <c r="S1065" s="14" t="s">
        <v>11927</v>
      </c>
      <c r="T1065" s="14" t="s">
        <v>11928</v>
      </c>
      <c r="U1065" s="14">
        <v>414327.9</v>
      </c>
      <c r="V1065" s="14">
        <v>6186675.6900000004</v>
      </c>
      <c r="W1065" s="14">
        <v>180.14</v>
      </c>
      <c r="X1065" s="14">
        <v>150.05000000000001</v>
      </c>
    </row>
    <row r="1066" spans="1:24" s="14" customFormat="1" x14ac:dyDescent="0.25">
      <c r="A1066" s="50">
        <v>45099</v>
      </c>
      <c r="B1066" s="57">
        <v>173</v>
      </c>
      <c r="C1066" s="36">
        <v>0.96843749999999995</v>
      </c>
      <c r="D1066" s="16" t="s">
        <v>175</v>
      </c>
      <c r="E1066" s="52" t="s">
        <v>65</v>
      </c>
      <c r="F1066" s="16" t="s">
        <v>11862</v>
      </c>
      <c r="G1066" s="16" t="s">
        <v>2252</v>
      </c>
      <c r="H1066" s="14">
        <v>0.17</v>
      </c>
      <c r="I1066" s="14" t="s">
        <v>11933</v>
      </c>
      <c r="J1066" s="14" t="s">
        <v>11934</v>
      </c>
      <c r="K1066" s="14" t="s">
        <v>11935</v>
      </c>
      <c r="L1066" s="14" t="s">
        <v>11936</v>
      </c>
      <c r="O1066" s="14" t="s">
        <v>11929</v>
      </c>
      <c r="P1066" s="14" t="s">
        <v>11930</v>
      </c>
      <c r="Q1066" s="14">
        <v>414343.9</v>
      </c>
      <c r="R1066" s="14">
        <v>6186668.5599999996</v>
      </c>
      <c r="S1066" s="14" t="s">
        <v>11931</v>
      </c>
      <c r="T1066" s="14" t="s">
        <v>11932</v>
      </c>
      <c r="U1066" s="14">
        <v>414318.81</v>
      </c>
      <c r="V1066" s="14">
        <v>6186669.3099999996</v>
      </c>
      <c r="W1066" s="14">
        <v>1.0900000000000001</v>
      </c>
      <c r="X1066" s="14">
        <v>150.05000000000001</v>
      </c>
    </row>
    <row r="1067" spans="1:24" s="14" customFormat="1" x14ac:dyDescent="0.25">
      <c r="A1067" s="50">
        <v>45099</v>
      </c>
      <c r="B1067" s="57">
        <v>173</v>
      </c>
      <c r="C1067" s="36">
        <v>0.97275462962962955</v>
      </c>
      <c r="D1067" s="16" t="s">
        <v>175</v>
      </c>
      <c r="E1067" s="52" t="s">
        <v>70</v>
      </c>
      <c r="F1067" s="16" t="s">
        <v>11862</v>
      </c>
      <c r="G1067" s="16" t="s">
        <v>2252</v>
      </c>
      <c r="H1067" s="14">
        <v>-2.1999999999999999E-2</v>
      </c>
      <c r="I1067" s="14" t="s">
        <v>11933</v>
      </c>
      <c r="J1067" s="14" t="s">
        <v>11934</v>
      </c>
      <c r="K1067" s="14" t="s">
        <v>11935</v>
      </c>
      <c r="L1067" s="14" t="s">
        <v>11936</v>
      </c>
      <c r="O1067" s="14" t="s">
        <v>11937</v>
      </c>
      <c r="P1067" s="14" t="s">
        <v>11938</v>
      </c>
      <c r="Q1067" s="14">
        <v>414344.58</v>
      </c>
      <c r="R1067" s="14">
        <v>6186859.1799999997</v>
      </c>
      <c r="S1067" s="14" t="s">
        <v>11939</v>
      </c>
      <c r="T1067" s="14" t="s">
        <v>11940</v>
      </c>
      <c r="U1067" s="14">
        <v>414318.95</v>
      </c>
      <c r="V1067" s="14">
        <v>6186861.1600000001</v>
      </c>
      <c r="W1067" s="14">
        <v>359.75</v>
      </c>
      <c r="X1067" s="14">
        <v>150.05000000000001</v>
      </c>
    </row>
    <row r="1068" spans="1:24" s="14" customFormat="1" x14ac:dyDescent="0.25">
      <c r="A1068" s="50">
        <v>45099</v>
      </c>
      <c r="B1068" s="57">
        <v>173</v>
      </c>
      <c r="C1068" s="36">
        <v>0.97534722222222225</v>
      </c>
      <c r="D1068" s="16" t="s">
        <v>175</v>
      </c>
      <c r="E1068" s="52" t="s">
        <v>65</v>
      </c>
      <c r="F1068" s="16" t="s">
        <v>11862</v>
      </c>
      <c r="G1068" s="16" t="s">
        <v>2246</v>
      </c>
      <c r="H1068" s="14">
        <v>-1.7000000000000001E-2</v>
      </c>
      <c r="I1068" s="14" t="s">
        <v>11945</v>
      </c>
      <c r="J1068" s="14" t="s">
        <v>11946</v>
      </c>
      <c r="K1068" s="14" t="s">
        <v>11947</v>
      </c>
      <c r="L1068" s="14" t="s">
        <v>11936</v>
      </c>
      <c r="O1068" s="14" t="s">
        <v>11941</v>
      </c>
      <c r="P1068" s="14" t="s">
        <v>11942</v>
      </c>
      <c r="Q1068" s="14">
        <v>414334.64</v>
      </c>
      <c r="R1068" s="14">
        <v>6186870.7199999997</v>
      </c>
      <c r="S1068" s="14" t="s">
        <v>11943</v>
      </c>
      <c r="T1068" s="14" t="s">
        <v>11944</v>
      </c>
      <c r="U1068" s="14">
        <v>414309.86</v>
      </c>
      <c r="V1068" s="14">
        <v>6186867.5499999998</v>
      </c>
      <c r="W1068" s="14">
        <v>180.3</v>
      </c>
      <c r="X1068" s="14">
        <v>150.05000000000001</v>
      </c>
    </row>
    <row r="1069" spans="1:24" s="14" customFormat="1" x14ac:dyDescent="0.25">
      <c r="A1069" s="50">
        <v>45099</v>
      </c>
      <c r="B1069" s="57">
        <v>173</v>
      </c>
      <c r="C1069" s="36">
        <v>0.97974537037037035</v>
      </c>
      <c r="D1069" s="16" t="s">
        <v>175</v>
      </c>
      <c r="E1069" s="52" t="s">
        <v>70</v>
      </c>
      <c r="F1069" s="16" t="s">
        <v>11862</v>
      </c>
      <c r="G1069" s="16" t="s">
        <v>2246</v>
      </c>
      <c r="H1069" s="14">
        <v>0.17499999999999999</v>
      </c>
      <c r="I1069" s="14" t="s">
        <v>11945</v>
      </c>
      <c r="J1069" s="14" t="s">
        <v>11946</v>
      </c>
      <c r="K1069" s="14" t="s">
        <v>11947</v>
      </c>
      <c r="L1069" s="14" t="s">
        <v>11951</v>
      </c>
      <c r="O1069" s="14" t="s">
        <v>11948</v>
      </c>
      <c r="P1069" s="14" t="s">
        <v>11916</v>
      </c>
      <c r="Q1069" s="14">
        <v>414333.23</v>
      </c>
      <c r="R1069" s="14">
        <v>6186677.4100000001</v>
      </c>
      <c r="S1069" s="14" t="s">
        <v>11949</v>
      </c>
      <c r="T1069" s="14" t="s">
        <v>11950</v>
      </c>
      <c r="U1069" s="14">
        <v>414309.91</v>
      </c>
      <c r="V1069" s="14">
        <v>6186675.4100000001</v>
      </c>
      <c r="W1069" s="14">
        <v>179.87</v>
      </c>
      <c r="X1069" s="14">
        <v>150.05000000000001</v>
      </c>
    </row>
    <row r="1070" spans="1:24" s="14" customFormat="1" x14ac:dyDescent="0.25">
      <c r="A1070" s="50">
        <v>45099</v>
      </c>
      <c r="B1070" s="57">
        <v>173</v>
      </c>
      <c r="C1070" s="36">
        <v>0.98238425925925921</v>
      </c>
      <c r="D1070" s="16" t="s">
        <v>175</v>
      </c>
      <c r="E1070" s="52" t="s">
        <v>65</v>
      </c>
      <c r="F1070" s="16" t="s">
        <v>11862</v>
      </c>
      <c r="G1070" s="16" t="s">
        <v>2247</v>
      </c>
      <c r="H1070" s="14">
        <v>0.17</v>
      </c>
      <c r="I1070" s="14" t="s">
        <v>11956</v>
      </c>
      <c r="J1070" s="14" t="s">
        <v>11957</v>
      </c>
      <c r="K1070" s="14" t="s">
        <v>11958</v>
      </c>
      <c r="L1070" s="14" t="s">
        <v>11951</v>
      </c>
      <c r="O1070" s="14" t="s">
        <v>11952</v>
      </c>
      <c r="P1070" s="14" t="s">
        <v>11953</v>
      </c>
      <c r="Q1070" s="14">
        <v>414326.09</v>
      </c>
      <c r="R1070" s="14">
        <v>6186666.5999999996</v>
      </c>
      <c r="S1070" s="14" t="s">
        <v>11954</v>
      </c>
      <c r="T1070" s="14" t="s">
        <v>11955</v>
      </c>
      <c r="U1070" s="14">
        <v>414300.9</v>
      </c>
      <c r="V1070" s="14">
        <v>6186669.4699999997</v>
      </c>
      <c r="W1070" s="14">
        <v>0.81</v>
      </c>
      <c r="X1070" s="14">
        <v>150.05000000000001</v>
      </c>
    </row>
    <row r="1071" spans="1:24" s="14" customFormat="1" x14ac:dyDescent="0.25">
      <c r="A1071" s="50">
        <v>45099</v>
      </c>
      <c r="B1071" s="57">
        <v>173</v>
      </c>
      <c r="C1071" s="36">
        <v>0.98675925925925922</v>
      </c>
      <c r="D1071" s="16" t="s">
        <v>175</v>
      </c>
      <c r="E1071" s="52" t="s">
        <v>70</v>
      </c>
      <c r="F1071" s="16" t="s">
        <v>11862</v>
      </c>
      <c r="G1071" s="16" t="s">
        <v>2247</v>
      </c>
      <c r="H1071" s="14">
        <v>-2.3E-2</v>
      </c>
      <c r="I1071" s="14" t="s">
        <v>11956</v>
      </c>
      <c r="J1071" s="14" t="s">
        <v>11957</v>
      </c>
      <c r="K1071" s="14" t="s">
        <v>11958</v>
      </c>
      <c r="L1071" s="14" t="s">
        <v>11951</v>
      </c>
      <c r="O1071" s="14" t="s">
        <v>11959</v>
      </c>
      <c r="P1071" s="14" t="s">
        <v>11960</v>
      </c>
      <c r="Q1071" s="14">
        <v>414326.27</v>
      </c>
      <c r="R1071" s="14">
        <v>6186860.2599999998</v>
      </c>
      <c r="S1071" s="14" t="s">
        <v>11961</v>
      </c>
      <c r="T1071" s="14" t="s">
        <v>11962</v>
      </c>
      <c r="U1071" s="14">
        <v>414300.98</v>
      </c>
      <c r="V1071" s="14">
        <v>6186861.9900000002</v>
      </c>
      <c r="W1071" s="14">
        <v>359.76</v>
      </c>
      <c r="X1071" s="14">
        <v>150.05000000000001</v>
      </c>
    </row>
    <row r="1072" spans="1:24" s="14" customFormat="1" x14ac:dyDescent="0.25">
      <c r="A1072" s="50">
        <v>45099</v>
      </c>
      <c r="B1072" s="57">
        <v>173</v>
      </c>
      <c r="C1072" s="36">
        <v>0.98957175925925922</v>
      </c>
      <c r="D1072" s="16" t="s">
        <v>175</v>
      </c>
      <c r="E1072" s="14" t="s">
        <v>65</v>
      </c>
      <c r="F1072" s="16" t="s">
        <v>11862</v>
      </c>
      <c r="G1072" s="16" t="s">
        <v>2248</v>
      </c>
      <c r="H1072" s="14">
        <v>-1.7000000000000001E-2</v>
      </c>
      <c r="I1072" s="14" t="s">
        <v>11967</v>
      </c>
      <c r="J1072" s="14" t="s">
        <v>11968</v>
      </c>
      <c r="K1072" s="14" t="s">
        <v>11969</v>
      </c>
      <c r="L1072" s="14" t="s">
        <v>11970</v>
      </c>
      <c r="O1072" s="14" t="s">
        <v>11963</v>
      </c>
      <c r="P1072" s="14" t="s">
        <v>11964</v>
      </c>
      <c r="Q1072" s="14">
        <v>414316.49</v>
      </c>
      <c r="R1072" s="14">
        <v>6186866</v>
      </c>
      <c r="S1072" s="14" t="s">
        <v>11965</v>
      </c>
      <c r="T1072" s="14" t="s">
        <v>11966</v>
      </c>
      <c r="U1072" s="14">
        <v>414291.91</v>
      </c>
      <c r="V1072" s="14">
        <v>6186867.8099999996</v>
      </c>
      <c r="W1072" s="14">
        <v>179.29</v>
      </c>
      <c r="X1072" s="14">
        <v>150.05000000000001</v>
      </c>
    </row>
    <row r="1073" spans="1:24" s="14" customFormat="1" x14ac:dyDescent="0.25">
      <c r="A1073" s="50">
        <v>45099</v>
      </c>
      <c r="B1073" s="57">
        <v>173</v>
      </c>
      <c r="C1073" s="36">
        <v>0.99391203703703701</v>
      </c>
      <c r="D1073" s="16" t="s">
        <v>175</v>
      </c>
      <c r="E1073" s="14" t="s">
        <v>70</v>
      </c>
      <c r="F1073" s="16" t="s">
        <v>11862</v>
      </c>
      <c r="G1073" s="16" t="s">
        <v>2248</v>
      </c>
      <c r="H1073" s="14">
        <v>0.17399999999999999</v>
      </c>
      <c r="I1073" s="14" t="s">
        <v>11967</v>
      </c>
      <c r="J1073" s="14" t="s">
        <v>11968</v>
      </c>
      <c r="K1073" s="14" t="s">
        <v>11969</v>
      </c>
      <c r="L1073" s="14" t="s">
        <v>11970</v>
      </c>
      <c r="O1073" s="14" t="s">
        <v>11971</v>
      </c>
      <c r="P1073" s="14" t="s">
        <v>11972</v>
      </c>
      <c r="Q1073" s="14">
        <v>414315.23</v>
      </c>
      <c r="R1073" s="14">
        <v>6186674.7599999998</v>
      </c>
      <c r="S1073" s="14" t="s">
        <v>11973</v>
      </c>
      <c r="T1073" s="14" t="s">
        <v>11974</v>
      </c>
      <c r="U1073" s="14">
        <v>414291.81</v>
      </c>
      <c r="V1073" s="14">
        <v>6186676.6600000001</v>
      </c>
      <c r="W1073" s="14">
        <v>179.01</v>
      </c>
      <c r="X1073" s="14">
        <v>150.05000000000001</v>
      </c>
    </row>
    <row r="1074" spans="1:24" s="14" customFormat="1" x14ac:dyDescent="0.25">
      <c r="A1074" s="50">
        <v>45099</v>
      </c>
      <c r="B1074" s="57">
        <v>173</v>
      </c>
      <c r="C1074" s="36">
        <v>0.99641203703703696</v>
      </c>
      <c r="D1074" s="16" t="s">
        <v>175</v>
      </c>
      <c r="E1074" s="14" t="s">
        <v>65</v>
      </c>
      <c r="F1074" s="16" t="s">
        <v>11862</v>
      </c>
      <c r="G1074" s="16" t="s">
        <v>2249</v>
      </c>
      <c r="H1074" s="14">
        <v>0.16900000000000001</v>
      </c>
      <c r="I1074" s="14" t="s">
        <v>11979</v>
      </c>
      <c r="J1074" s="14" t="s">
        <v>11980</v>
      </c>
      <c r="K1074" s="14" t="s">
        <v>11981</v>
      </c>
      <c r="L1074" s="14" t="s">
        <v>11970</v>
      </c>
      <c r="O1074" s="14" t="s">
        <v>11975</v>
      </c>
      <c r="P1074" s="14" t="s">
        <v>11976</v>
      </c>
      <c r="Q1074" s="14">
        <v>414308.02</v>
      </c>
      <c r="R1074" s="14">
        <v>6186666.9000000004</v>
      </c>
      <c r="S1074" s="14" t="s">
        <v>11977</v>
      </c>
      <c r="T1074" s="14" t="s">
        <v>11978</v>
      </c>
      <c r="U1074" s="14">
        <v>414282.83</v>
      </c>
      <c r="V1074" s="14">
        <v>6186670.8899999997</v>
      </c>
      <c r="W1074" s="14">
        <v>0.91</v>
      </c>
      <c r="X1074" s="14">
        <v>150.05000000000001</v>
      </c>
    </row>
    <row r="1075" spans="1:24" s="72" customFormat="1" x14ac:dyDescent="0.25">
      <c r="A1075" s="69">
        <v>45100</v>
      </c>
      <c r="B1075" s="103">
        <v>174</v>
      </c>
      <c r="C1075" s="71">
        <v>0</v>
      </c>
      <c r="D1075" s="70" t="s">
        <v>175</v>
      </c>
      <c r="E1075" s="72" t="s">
        <v>77</v>
      </c>
      <c r="F1075" s="70" t="s">
        <v>11862</v>
      </c>
      <c r="G1075" s="70" t="s">
        <v>2249</v>
      </c>
      <c r="H1075" s="72">
        <v>0.01</v>
      </c>
      <c r="O1075" s="72" t="s">
        <v>11982</v>
      </c>
      <c r="P1075" s="72" t="s">
        <v>11983</v>
      </c>
      <c r="Q1075" s="72">
        <v>414307.88</v>
      </c>
      <c r="R1075" s="72">
        <v>6186826.3300000001</v>
      </c>
      <c r="S1075" s="72" t="s">
        <v>11984</v>
      </c>
      <c r="T1075" s="72" t="s">
        <v>11985</v>
      </c>
      <c r="U1075" s="72">
        <v>414282.88</v>
      </c>
      <c r="V1075" s="72">
        <v>6186829.7800000003</v>
      </c>
      <c r="W1075" s="72">
        <v>359.97</v>
      </c>
      <c r="X1075" s="72">
        <v>150.05000000000001</v>
      </c>
    </row>
    <row r="1076" spans="1:24" s="14" customFormat="1" x14ac:dyDescent="0.25">
      <c r="A1076" s="50">
        <v>45100</v>
      </c>
      <c r="B1076" s="57">
        <v>174</v>
      </c>
      <c r="C1076" s="36">
        <v>9.1435185185185185E-4</v>
      </c>
      <c r="D1076" s="16" t="s">
        <v>175</v>
      </c>
      <c r="E1076" s="14" t="s">
        <v>70</v>
      </c>
      <c r="F1076" s="16" t="s">
        <v>11862</v>
      </c>
      <c r="G1076" s="16" t="s">
        <v>2249</v>
      </c>
      <c r="H1076" s="14">
        <v>-0.03</v>
      </c>
      <c r="I1076" s="14" t="s">
        <v>11979</v>
      </c>
      <c r="J1076" s="14" t="s">
        <v>11980</v>
      </c>
      <c r="K1076" s="14" t="s">
        <v>11981</v>
      </c>
      <c r="L1076" s="14" t="s">
        <v>11990</v>
      </c>
      <c r="O1076" s="14" t="s">
        <v>11986</v>
      </c>
      <c r="P1076" s="14" t="s">
        <v>11987</v>
      </c>
      <c r="Q1076" s="14">
        <v>414307.94</v>
      </c>
      <c r="R1076" s="14">
        <v>6186866.5</v>
      </c>
      <c r="S1076" s="14" t="s">
        <v>11988</v>
      </c>
      <c r="T1076" s="14" t="s">
        <v>11989</v>
      </c>
      <c r="U1076" s="14">
        <v>414282.92</v>
      </c>
      <c r="V1076" s="14">
        <v>6186869.4299999997</v>
      </c>
      <c r="W1076" s="14">
        <v>359.79</v>
      </c>
      <c r="X1076" s="14">
        <v>150.05000000000001</v>
      </c>
    </row>
    <row r="1077" spans="1:24" s="14" customFormat="1" x14ac:dyDescent="0.25">
      <c r="A1077" s="50">
        <v>45100</v>
      </c>
      <c r="B1077" s="57">
        <v>174</v>
      </c>
      <c r="C1077" s="36">
        <v>3.483796296296296E-3</v>
      </c>
      <c r="D1077" s="16" t="s">
        <v>175</v>
      </c>
      <c r="E1077" s="14" t="s">
        <v>65</v>
      </c>
      <c r="F1077" s="16" t="s">
        <v>11862</v>
      </c>
      <c r="G1077" s="16" t="s">
        <v>2250</v>
      </c>
      <c r="H1077" s="14">
        <v>-1.7999999999999999E-2</v>
      </c>
      <c r="I1077" s="14" t="s">
        <v>11995</v>
      </c>
      <c r="J1077" s="14" t="s">
        <v>11996</v>
      </c>
      <c r="K1077" s="14" t="s">
        <v>11997</v>
      </c>
      <c r="L1077" s="14" t="s">
        <v>11990</v>
      </c>
      <c r="O1077" s="14" t="s">
        <v>11991</v>
      </c>
      <c r="P1077" s="14" t="s">
        <v>11992</v>
      </c>
      <c r="Q1077" s="14">
        <v>414298.92</v>
      </c>
      <c r="R1077" s="14">
        <v>6186859.0499999998</v>
      </c>
      <c r="S1077" s="14" t="s">
        <v>11993</v>
      </c>
      <c r="T1077" s="14" t="s">
        <v>11994</v>
      </c>
      <c r="U1077" s="14">
        <v>414274.03</v>
      </c>
      <c r="V1077" s="14">
        <v>6186868.8799999999</v>
      </c>
      <c r="W1077" s="14">
        <v>180.54</v>
      </c>
      <c r="X1077" s="14">
        <v>150.05000000000001</v>
      </c>
    </row>
    <row r="1078" spans="1:24" s="14" customFormat="1" x14ac:dyDescent="0.25">
      <c r="A1078" s="50">
        <v>45100</v>
      </c>
      <c r="B1078" s="57">
        <v>174</v>
      </c>
      <c r="C1078" s="36">
        <v>7.743055555555556E-3</v>
      </c>
      <c r="D1078" s="16" t="s">
        <v>175</v>
      </c>
      <c r="E1078" s="14" t="s">
        <v>70</v>
      </c>
      <c r="F1078" s="16" t="s">
        <v>11862</v>
      </c>
      <c r="G1078" s="16" t="s">
        <v>2250</v>
      </c>
      <c r="H1078" s="14">
        <v>0.17</v>
      </c>
      <c r="I1078" s="14" t="s">
        <v>11995</v>
      </c>
      <c r="J1078" s="14" t="s">
        <v>11996</v>
      </c>
      <c r="K1078" s="14" t="s">
        <v>11997</v>
      </c>
      <c r="L1078" s="14" t="s">
        <v>11990</v>
      </c>
      <c r="O1078" s="14" t="s">
        <v>11998</v>
      </c>
      <c r="P1078" s="14" t="s">
        <v>11999</v>
      </c>
      <c r="Q1078" s="14">
        <v>414297.08</v>
      </c>
      <c r="R1078" s="14">
        <v>6186671.3899999997</v>
      </c>
      <c r="S1078" s="14" t="s">
        <v>12000</v>
      </c>
      <c r="T1078" s="14" t="s">
        <v>12001</v>
      </c>
      <c r="U1078" s="14">
        <v>414273.93</v>
      </c>
      <c r="V1078" s="14">
        <v>6186680.7199999997</v>
      </c>
      <c r="W1078" s="14">
        <v>179.79</v>
      </c>
      <c r="X1078" s="14">
        <v>150.05000000000001</v>
      </c>
    </row>
    <row r="1079" spans="1:24" s="14" customFormat="1" x14ac:dyDescent="0.25">
      <c r="A1079" s="50">
        <v>45100</v>
      </c>
      <c r="B1079" s="57">
        <v>174</v>
      </c>
      <c r="C1079" s="36">
        <v>1.0347222222222223E-2</v>
      </c>
      <c r="D1079" s="16" t="s">
        <v>175</v>
      </c>
      <c r="E1079" s="14" t="s">
        <v>65</v>
      </c>
      <c r="F1079" s="16" t="s">
        <v>11862</v>
      </c>
      <c r="G1079" s="16" t="s">
        <v>2251</v>
      </c>
      <c r="H1079" s="14">
        <v>0.16700000000000001</v>
      </c>
      <c r="I1079" s="14" t="s">
        <v>12006</v>
      </c>
      <c r="J1079" s="14" t="s">
        <v>12007</v>
      </c>
      <c r="K1079" s="14" t="s">
        <v>12008</v>
      </c>
      <c r="L1079" s="14" t="s">
        <v>12009</v>
      </c>
      <c r="O1079" s="14" t="s">
        <v>12002</v>
      </c>
      <c r="P1079" s="14" t="s">
        <v>12003</v>
      </c>
      <c r="Q1079" s="14">
        <v>414288.25</v>
      </c>
      <c r="R1079" s="14">
        <v>6186666.3499999996</v>
      </c>
      <c r="S1079" s="14" t="s">
        <v>12004</v>
      </c>
      <c r="T1079" s="14" t="s">
        <v>12005</v>
      </c>
      <c r="U1079" s="14">
        <v>414264.89</v>
      </c>
      <c r="V1079" s="14">
        <v>6186672.3600000003</v>
      </c>
      <c r="W1079" s="14">
        <v>0.37</v>
      </c>
      <c r="X1079" s="14">
        <v>150.05000000000001</v>
      </c>
    </row>
    <row r="1080" spans="1:24" s="14" customFormat="1" x14ac:dyDescent="0.25">
      <c r="A1080" s="50">
        <v>45100</v>
      </c>
      <c r="B1080" s="57">
        <v>174</v>
      </c>
      <c r="C1080" s="36">
        <v>1.4583333333333332E-2</v>
      </c>
      <c r="D1080" s="16" t="s">
        <v>175</v>
      </c>
      <c r="E1080" s="52" t="s">
        <v>70</v>
      </c>
      <c r="F1080" s="16" t="s">
        <v>11862</v>
      </c>
      <c r="G1080" s="16" t="s">
        <v>2251</v>
      </c>
      <c r="H1080" s="14">
        <v>-0.02</v>
      </c>
      <c r="I1080" s="14" t="s">
        <v>12006</v>
      </c>
      <c r="J1080" s="14" t="s">
        <v>12007</v>
      </c>
      <c r="K1080" s="14" t="s">
        <v>12008</v>
      </c>
      <c r="L1080" s="14" t="s">
        <v>12009</v>
      </c>
      <c r="O1080" s="14" t="s">
        <v>12010</v>
      </c>
      <c r="P1080" s="14" t="s">
        <v>12011</v>
      </c>
      <c r="Q1080" s="14">
        <v>414289.04</v>
      </c>
      <c r="R1080" s="14">
        <v>6186854.4000000004</v>
      </c>
      <c r="S1080" s="14" t="s">
        <v>12012</v>
      </c>
      <c r="T1080" s="14" t="s">
        <v>12013</v>
      </c>
      <c r="U1080" s="14">
        <v>414265.04</v>
      </c>
      <c r="V1080" s="14">
        <v>6186859.5</v>
      </c>
      <c r="W1080" s="14">
        <v>0.17</v>
      </c>
      <c r="X1080" s="14">
        <v>150.05000000000001</v>
      </c>
    </row>
    <row r="1081" spans="1:24" s="14" customFormat="1" x14ac:dyDescent="0.25">
      <c r="A1081" s="50">
        <v>45100</v>
      </c>
      <c r="B1081" s="57">
        <v>174</v>
      </c>
      <c r="C1081" s="36">
        <v>1.9560185185185184E-2</v>
      </c>
      <c r="D1081" s="16" t="s">
        <v>175</v>
      </c>
      <c r="E1081" s="52" t="s">
        <v>12020</v>
      </c>
      <c r="F1081" s="16" t="s">
        <v>11862</v>
      </c>
      <c r="G1081" s="16" t="s">
        <v>12014</v>
      </c>
      <c r="H1081" s="14">
        <v>-2.4E-2</v>
      </c>
      <c r="I1081" s="14" t="s">
        <v>12019</v>
      </c>
      <c r="L1081" s="14" t="s">
        <v>12009</v>
      </c>
      <c r="O1081" s="14" t="s">
        <v>12015</v>
      </c>
      <c r="P1081" s="14" t="s">
        <v>12016</v>
      </c>
      <c r="Q1081" s="14">
        <v>414307.49</v>
      </c>
      <c r="R1081" s="14">
        <v>6186875.7999999998</v>
      </c>
      <c r="S1081" s="14" t="s">
        <v>12017</v>
      </c>
      <c r="T1081" s="14" t="s">
        <v>12018</v>
      </c>
      <c r="U1081" s="14">
        <v>414282.95</v>
      </c>
      <c r="V1081" s="14">
        <v>6186874.4100000001</v>
      </c>
      <c r="W1081" s="14">
        <v>180.45</v>
      </c>
      <c r="X1081" s="14">
        <v>150.05000000000001</v>
      </c>
    </row>
    <row r="1082" spans="1:24" s="14" customFormat="1" x14ac:dyDescent="0.25">
      <c r="A1082" s="50">
        <v>45100</v>
      </c>
      <c r="B1082" s="57">
        <v>174</v>
      </c>
      <c r="C1082" s="36">
        <v>2.2060185185185183E-2</v>
      </c>
      <c r="D1082" s="16" t="s">
        <v>175</v>
      </c>
      <c r="E1082" s="52" t="s">
        <v>70</v>
      </c>
      <c r="F1082" s="16" t="s">
        <v>11862</v>
      </c>
      <c r="G1082" s="16" t="s">
        <v>12014</v>
      </c>
      <c r="H1082" s="14">
        <v>8.5999999999999993E-2</v>
      </c>
      <c r="I1082" s="14" t="s">
        <v>12019</v>
      </c>
      <c r="J1082" s="14" t="s">
        <v>12007</v>
      </c>
      <c r="K1082" s="14" t="s">
        <v>12008</v>
      </c>
      <c r="L1082" s="14" t="s">
        <v>12025</v>
      </c>
      <c r="O1082" s="14" t="s">
        <v>12021</v>
      </c>
      <c r="P1082" s="14" t="s">
        <v>12022</v>
      </c>
      <c r="Q1082" s="14">
        <v>414307.23</v>
      </c>
      <c r="R1082" s="14">
        <v>6186765.79</v>
      </c>
      <c r="S1082" s="14" t="s">
        <v>12023</v>
      </c>
      <c r="T1082" s="14" t="s">
        <v>12024</v>
      </c>
      <c r="U1082" s="14">
        <v>414282.92</v>
      </c>
      <c r="V1082" s="14">
        <v>6186764.1500000004</v>
      </c>
      <c r="W1082" s="14">
        <v>180.17</v>
      </c>
      <c r="X1082" s="14">
        <v>150.05000000000001</v>
      </c>
    </row>
    <row r="1083" spans="1:24" s="14" customFormat="1" x14ac:dyDescent="0.25">
      <c r="A1083" s="50">
        <v>45100</v>
      </c>
      <c r="B1083" s="57">
        <v>174</v>
      </c>
      <c r="C1083" s="36">
        <v>2.3842592592592596E-2</v>
      </c>
      <c r="D1083" s="16" t="s">
        <v>175</v>
      </c>
      <c r="E1083" s="52" t="s">
        <v>165</v>
      </c>
      <c r="F1083" s="16" t="s">
        <v>11862</v>
      </c>
      <c r="G1083" s="16" t="s">
        <v>12014</v>
      </c>
      <c r="H1083" s="14">
        <v>8.7999999999999995E-2</v>
      </c>
      <c r="O1083" s="14" t="s">
        <v>12026</v>
      </c>
      <c r="P1083" s="14" t="s">
        <v>12027</v>
      </c>
      <c r="Q1083" s="14">
        <v>414306.62</v>
      </c>
      <c r="R1083" s="14">
        <v>6186755.21</v>
      </c>
      <c r="S1083" s="14" t="s">
        <v>12028</v>
      </c>
      <c r="T1083" s="14" t="s">
        <v>12029</v>
      </c>
      <c r="U1083" s="14">
        <v>414295.51</v>
      </c>
      <c r="V1083" s="14">
        <v>6186758.3700000001</v>
      </c>
      <c r="W1083" s="14">
        <v>251.59</v>
      </c>
      <c r="X1083" s="14">
        <v>150.05000000000001</v>
      </c>
    </row>
    <row r="1084" spans="1:24" s="81" customFormat="1" x14ac:dyDescent="0.25">
      <c r="A1084" s="78">
        <v>45100</v>
      </c>
      <c r="B1084" s="108">
        <v>174</v>
      </c>
      <c r="C1084" s="80">
        <v>2.9085648148148149E-2</v>
      </c>
      <c r="D1084" s="79" t="s">
        <v>175</v>
      </c>
      <c r="E1084" s="101" t="s">
        <v>12035</v>
      </c>
      <c r="F1084" s="79" t="s">
        <v>11862</v>
      </c>
      <c r="G1084" s="79" t="s">
        <v>12030</v>
      </c>
      <c r="H1084" s="81">
        <v>-1.6559999999999999</v>
      </c>
      <c r="O1084" s="81" t="s">
        <v>12031</v>
      </c>
      <c r="P1084" s="81" t="s">
        <v>12032</v>
      </c>
      <c r="Q1084" s="81">
        <v>414306.63</v>
      </c>
      <c r="R1084" s="81">
        <v>6186755.6500000004</v>
      </c>
      <c r="S1084" s="81" t="s">
        <v>12033</v>
      </c>
      <c r="T1084" s="81" t="s">
        <v>12034</v>
      </c>
      <c r="U1084" s="81">
        <v>414295.66</v>
      </c>
      <c r="V1084" s="81">
        <v>6186758</v>
      </c>
      <c r="W1084" s="81">
        <v>265.81</v>
      </c>
      <c r="X1084" s="81">
        <v>150.05000000000001</v>
      </c>
    </row>
    <row r="1085" spans="1:24" s="14" customFormat="1" x14ac:dyDescent="0.25">
      <c r="A1085" s="50">
        <v>45100</v>
      </c>
      <c r="B1085" s="57">
        <v>174</v>
      </c>
      <c r="C1085" s="36">
        <v>2.9317129629629634E-2</v>
      </c>
      <c r="D1085" s="16" t="s">
        <v>175</v>
      </c>
      <c r="E1085" s="52" t="s">
        <v>12045</v>
      </c>
      <c r="F1085" s="16" t="s">
        <v>11862</v>
      </c>
      <c r="G1085" s="16" t="s">
        <v>12030</v>
      </c>
      <c r="H1085" s="14">
        <v>-1.6559999999999999</v>
      </c>
      <c r="O1085" s="14" t="s">
        <v>12036</v>
      </c>
      <c r="P1085" s="14" t="s">
        <v>12037</v>
      </c>
      <c r="Q1085" s="14">
        <v>414306.49</v>
      </c>
      <c r="R1085" s="14">
        <v>6186755.5</v>
      </c>
      <c r="S1085" s="14" t="s">
        <v>12038</v>
      </c>
      <c r="T1085" s="14" t="s">
        <v>12039</v>
      </c>
      <c r="U1085" s="14">
        <v>414295.73</v>
      </c>
      <c r="V1085" s="14">
        <v>6186757.79</v>
      </c>
      <c r="W1085" s="14">
        <v>266.11</v>
      </c>
      <c r="X1085" s="14">
        <v>150.05000000000001</v>
      </c>
    </row>
    <row r="1086" spans="1:24" s="14" customFormat="1" x14ac:dyDescent="0.25">
      <c r="A1086" s="50">
        <v>45100</v>
      </c>
      <c r="B1086" s="57">
        <v>174</v>
      </c>
      <c r="C1086" s="36">
        <v>3.0335648148148143E-2</v>
      </c>
      <c r="D1086" s="16" t="s">
        <v>175</v>
      </c>
      <c r="E1086" s="52" t="s">
        <v>12044</v>
      </c>
      <c r="F1086" s="16" t="s">
        <v>11862</v>
      </c>
      <c r="G1086" s="16" t="s">
        <v>12030</v>
      </c>
      <c r="H1086" s="14">
        <v>-1.68</v>
      </c>
      <c r="O1086" s="14" t="s">
        <v>12040</v>
      </c>
      <c r="P1086" s="14" t="s">
        <v>12041</v>
      </c>
      <c r="Q1086" s="14">
        <v>414311.22</v>
      </c>
      <c r="R1086" s="14">
        <v>6186765.1600000001</v>
      </c>
      <c r="S1086" s="14" t="s">
        <v>12042</v>
      </c>
      <c r="T1086" s="14" t="s">
        <v>12043</v>
      </c>
      <c r="U1086" s="14">
        <v>414314.96</v>
      </c>
      <c r="V1086" s="14">
        <v>6186776.0099999998</v>
      </c>
      <c r="W1086" s="14">
        <v>17.41</v>
      </c>
      <c r="X1086" s="14">
        <v>150.05000000000001</v>
      </c>
    </row>
    <row r="1087" spans="1:24" s="14" customFormat="1" x14ac:dyDescent="0.25">
      <c r="A1087" s="50">
        <v>45100</v>
      </c>
      <c r="B1087" s="57">
        <v>174</v>
      </c>
      <c r="C1087" s="36">
        <v>3.0335648148148143E-2</v>
      </c>
      <c r="D1087" s="16" t="s">
        <v>175</v>
      </c>
      <c r="E1087" s="52" t="s">
        <v>12050</v>
      </c>
      <c r="F1087" s="16" t="s">
        <v>8759</v>
      </c>
      <c r="G1087" s="16" t="s">
        <v>12030</v>
      </c>
      <c r="H1087" s="14">
        <v>0.27400000000000002</v>
      </c>
      <c r="O1087" s="14" t="s">
        <v>12046</v>
      </c>
      <c r="P1087" s="14" t="s">
        <v>12047</v>
      </c>
      <c r="Q1087" s="14">
        <v>415741.93</v>
      </c>
      <c r="R1087" s="14">
        <v>6184833.6699999999</v>
      </c>
      <c r="S1087" s="14" t="s">
        <v>12048</v>
      </c>
      <c r="T1087" s="14" t="s">
        <v>12049</v>
      </c>
      <c r="U1087" s="14">
        <v>415731.43</v>
      </c>
      <c r="V1087" s="14">
        <v>6184831.0800000001</v>
      </c>
      <c r="W1087" s="14">
        <v>244.34</v>
      </c>
      <c r="X1087" s="14">
        <v>150.05000000000001</v>
      </c>
    </row>
    <row r="1088" spans="1:24" s="77" customFormat="1" x14ac:dyDescent="0.25">
      <c r="A1088" s="74">
        <v>45100</v>
      </c>
      <c r="B1088" s="105">
        <v>174</v>
      </c>
      <c r="C1088" s="76">
        <v>6.9710648148148147E-2</v>
      </c>
      <c r="D1088" s="75" t="s">
        <v>175</v>
      </c>
      <c r="E1088" s="99" t="s">
        <v>12055</v>
      </c>
      <c r="F1088" s="75" t="s">
        <v>8759</v>
      </c>
      <c r="G1088" s="75" t="s">
        <v>12030</v>
      </c>
      <c r="H1088" s="77">
        <v>0.19900000000000001</v>
      </c>
      <c r="O1088" s="77" t="s">
        <v>12051</v>
      </c>
      <c r="P1088" s="77" t="s">
        <v>12052</v>
      </c>
      <c r="Q1088" s="77">
        <v>415707.71</v>
      </c>
      <c r="R1088" s="77">
        <v>6184901.6399999997</v>
      </c>
      <c r="S1088" s="77" t="s">
        <v>12053</v>
      </c>
      <c r="T1088" s="77" t="s">
        <v>12054</v>
      </c>
      <c r="U1088" s="77">
        <v>415696.32</v>
      </c>
      <c r="V1088" s="77">
        <v>6184903.2000000002</v>
      </c>
      <c r="W1088" s="77">
        <v>265.95</v>
      </c>
      <c r="X1088" s="77">
        <v>150.05000000000001</v>
      </c>
    </row>
    <row r="1089" spans="1:24" s="68" customFormat="1" x14ac:dyDescent="0.25">
      <c r="A1089" s="65">
        <v>45100</v>
      </c>
      <c r="B1089" s="106">
        <v>174</v>
      </c>
      <c r="C1089" s="67">
        <v>7.3530092592592591E-2</v>
      </c>
      <c r="D1089" s="66" t="s">
        <v>175</v>
      </c>
      <c r="E1089" s="88" t="s">
        <v>12061</v>
      </c>
      <c r="F1089" s="66" t="s">
        <v>8759</v>
      </c>
      <c r="G1089" s="66" t="s">
        <v>12030</v>
      </c>
      <c r="H1089" s="68">
        <v>0.20399999999999999</v>
      </c>
      <c r="M1089" s="68" t="s">
        <v>12056</v>
      </c>
      <c r="O1089" s="68" t="s">
        <v>12057</v>
      </c>
      <c r="P1089" s="68" t="s">
        <v>12058</v>
      </c>
      <c r="Q1089" s="68">
        <v>415707.12</v>
      </c>
      <c r="R1089" s="68">
        <v>6184901.6299999999</v>
      </c>
      <c r="S1089" s="68" t="s">
        <v>12059</v>
      </c>
      <c r="T1089" s="68" t="s">
        <v>12060</v>
      </c>
      <c r="U1089" s="68">
        <v>415693.43</v>
      </c>
      <c r="V1089" s="68">
        <v>6184899.71</v>
      </c>
      <c r="W1089" s="68">
        <v>250.09</v>
      </c>
      <c r="X1089" s="68">
        <v>150.05000000000001</v>
      </c>
    </row>
    <row r="1090" spans="1:24" s="14" customFormat="1" x14ac:dyDescent="0.25">
      <c r="A1090" s="50">
        <v>45100</v>
      </c>
      <c r="B1090" s="57">
        <v>174</v>
      </c>
      <c r="C1090" s="36">
        <v>7.7905092592592595E-2</v>
      </c>
      <c r="D1090" s="16" t="s">
        <v>175</v>
      </c>
      <c r="E1090" s="52" t="s">
        <v>12066</v>
      </c>
      <c r="F1090" s="16" t="s">
        <v>8759</v>
      </c>
      <c r="G1090" s="16" t="s">
        <v>12030</v>
      </c>
      <c r="H1090" s="14">
        <v>0.192</v>
      </c>
      <c r="O1090" s="14" t="s">
        <v>12062</v>
      </c>
      <c r="P1090" s="14" t="s">
        <v>12063</v>
      </c>
      <c r="Q1090" s="14">
        <v>415707.2</v>
      </c>
      <c r="R1090" s="14">
        <v>6184901.8200000003</v>
      </c>
      <c r="S1090" s="14" t="s">
        <v>12064</v>
      </c>
      <c r="T1090" s="14" t="s">
        <v>12065</v>
      </c>
      <c r="U1090" s="14">
        <v>415683.94</v>
      </c>
      <c r="V1090" s="14">
        <v>6184904.6699999999</v>
      </c>
      <c r="W1090" s="14">
        <v>0.4</v>
      </c>
      <c r="X1090" s="14">
        <v>150.05000000000001</v>
      </c>
    </row>
    <row r="1091" spans="1:24" s="81" customFormat="1" x14ac:dyDescent="0.25">
      <c r="A1091" s="78">
        <v>45100</v>
      </c>
      <c r="B1091" s="108">
        <v>174</v>
      </c>
      <c r="C1091" s="80">
        <v>8.638888888888889E-2</v>
      </c>
      <c r="D1091" s="79" t="s">
        <v>175</v>
      </c>
      <c r="E1091" s="101" t="s">
        <v>12071</v>
      </c>
      <c r="F1091" s="79" t="s">
        <v>8759</v>
      </c>
      <c r="G1091" s="79" t="s">
        <v>12030</v>
      </c>
      <c r="H1091" s="81">
        <v>0.19900000000000001</v>
      </c>
      <c r="O1091" s="81" t="s">
        <v>12067</v>
      </c>
      <c r="P1091" s="81" t="s">
        <v>12068</v>
      </c>
      <c r="Q1091" s="81">
        <v>415707.16</v>
      </c>
      <c r="R1091" s="81">
        <v>6184901.9800000004</v>
      </c>
      <c r="S1091" s="81" t="s">
        <v>12069</v>
      </c>
      <c r="T1091" s="81" t="s">
        <v>12070</v>
      </c>
      <c r="U1091" s="81">
        <v>415696.26</v>
      </c>
      <c r="V1091" s="81">
        <v>6184903.8600000003</v>
      </c>
      <c r="W1091" s="81">
        <v>265.58</v>
      </c>
      <c r="X1091" s="81">
        <v>150.05000000000001</v>
      </c>
    </row>
    <row r="1092" spans="1:24" s="14" customFormat="1" x14ac:dyDescent="0.25">
      <c r="A1092" s="50">
        <v>45100</v>
      </c>
      <c r="B1092" s="57">
        <v>174</v>
      </c>
      <c r="C1092" s="36">
        <v>8.6458333333333345E-2</v>
      </c>
      <c r="D1092" s="16" t="s">
        <v>175</v>
      </c>
      <c r="E1092" s="14" t="s">
        <v>12078</v>
      </c>
      <c r="F1092" s="16" t="s">
        <v>8759</v>
      </c>
      <c r="G1092" s="16" t="s">
        <v>12030</v>
      </c>
      <c r="H1092" s="14">
        <v>0.19900000000000001</v>
      </c>
      <c r="O1092" s="14" t="s">
        <v>12072</v>
      </c>
      <c r="P1092" s="14" t="s">
        <v>12073</v>
      </c>
      <c r="Q1092" s="14">
        <v>415707.38</v>
      </c>
      <c r="R1092" s="14">
        <v>6184902.04</v>
      </c>
      <c r="S1092" s="14" t="s">
        <v>12074</v>
      </c>
      <c r="T1092" s="14" t="s">
        <v>12075</v>
      </c>
      <c r="U1092" s="14">
        <v>415696.38</v>
      </c>
      <c r="V1092" s="14">
        <v>6184903.8700000001</v>
      </c>
      <c r="W1092" s="14">
        <v>265.29000000000002</v>
      </c>
      <c r="X1092" s="14">
        <v>150.05000000000001</v>
      </c>
    </row>
    <row r="1093" spans="1:24" s="77" customFormat="1" x14ac:dyDescent="0.25">
      <c r="A1093" s="74">
        <v>45100</v>
      </c>
      <c r="B1093" s="105">
        <v>174</v>
      </c>
      <c r="C1093" s="76">
        <v>9.3206018518518521E-2</v>
      </c>
      <c r="D1093" s="75" t="s">
        <v>175</v>
      </c>
      <c r="E1093" s="77" t="s">
        <v>12079</v>
      </c>
      <c r="F1093" s="75" t="s">
        <v>8759</v>
      </c>
      <c r="G1093" s="75" t="s">
        <v>12030</v>
      </c>
      <c r="H1093" s="77">
        <v>0.19900000000000001</v>
      </c>
      <c r="O1093" s="77" t="s">
        <v>12076</v>
      </c>
      <c r="P1093" s="77" t="s">
        <v>12077</v>
      </c>
      <c r="Q1093" s="77">
        <v>415707.38</v>
      </c>
      <c r="R1093" s="77">
        <v>6184902.04</v>
      </c>
      <c r="S1093" s="77" t="s">
        <v>12074</v>
      </c>
      <c r="T1093" s="77" t="s">
        <v>12075</v>
      </c>
      <c r="U1093" s="77">
        <v>415696.38</v>
      </c>
      <c r="V1093" s="77">
        <v>6184903.8700000001</v>
      </c>
      <c r="W1093" s="77">
        <v>265.29000000000002</v>
      </c>
      <c r="X1093" s="77">
        <v>150.05000000000001</v>
      </c>
    </row>
    <row r="1094" spans="1:24" s="14" customFormat="1" x14ac:dyDescent="0.25">
      <c r="A1094" s="50">
        <v>45100</v>
      </c>
      <c r="B1094" s="57">
        <v>174</v>
      </c>
      <c r="C1094" s="36">
        <v>9.9849537037037028E-2</v>
      </c>
      <c r="D1094" s="16" t="s">
        <v>175</v>
      </c>
      <c r="E1094" s="14" t="s">
        <v>65</v>
      </c>
      <c r="F1094" s="16" t="s">
        <v>8759</v>
      </c>
      <c r="G1094" s="16" t="s">
        <v>12030</v>
      </c>
      <c r="H1094" s="14">
        <v>0.16800000000000001</v>
      </c>
      <c r="I1094" s="14" t="s">
        <v>12084</v>
      </c>
      <c r="L1094" s="14" t="s">
        <v>12085</v>
      </c>
      <c r="O1094" s="14" t="s">
        <v>12080</v>
      </c>
      <c r="P1094" s="14" t="s">
        <v>12081</v>
      </c>
      <c r="Q1094" s="14">
        <v>415706.99</v>
      </c>
      <c r="R1094" s="14">
        <v>6184926.3200000003</v>
      </c>
      <c r="S1094" s="14" t="s">
        <v>12082</v>
      </c>
      <c r="T1094" s="14" t="s">
        <v>12083</v>
      </c>
      <c r="U1094" s="14">
        <v>415683.89</v>
      </c>
      <c r="V1094" s="14">
        <v>6184928.8799999999</v>
      </c>
      <c r="W1094" s="14">
        <v>0.46</v>
      </c>
      <c r="X1094" s="14">
        <v>150.05000000000001</v>
      </c>
    </row>
    <row r="1095" spans="1:24" s="14" customFormat="1" x14ac:dyDescent="0.25">
      <c r="A1095" s="50">
        <v>45100</v>
      </c>
      <c r="B1095" s="57">
        <v>174</v>
      </c>
      <c r="C1095" s="36">
        <v>0.10422453703703705</v>
      </c>
      <c r="D1095" s="16" t="s">
        <v>175</v>
      </c>
      <c r="E1095" s="14" t="s">
        <v>70</v>
      </c>
      <c r="F1095" s="16" t="s">
        <v>8759</v>
      </c>
      <c r="G1095" s="16" t="s">
        <v>12030</v>
      </c>
      <c r="H1095" s="14">
        <v>-2.5000000000000001E-2</v>
      </c>
      <c r="I1095" s="14" t="s">
        <v>12084</v>
      </c>
      <c r="L1095" s="14" t="s">
        <v>12090</v>
      </c>
      <c r="O1095" s="14" t="s">
        <v>12086</v>
      </c>
      <c r="P1095" s="14" t="s">
        <v>12087</v>
      </c>
      <c r="Q1095" s="14">
        <v>415707.5</v>
      </c>
      <c r="R1095" s="14">
        <v>6185119.71</v>
      </c>
      <c r="S1095" s="14" t="s">
        <v>12088</v>
      </c>
      <c r="T1095" s="14" t="s">
        <v>12089</v>
      </c>
      <c r="U1095" s="14">
        <v>415684.04</v>
      </c>
      <c r="V1095" s="14">
        <v>6185121.4699999997</v>
      </c>
      <c r="W1095" s="14">
        <v>359.4</v>
      </c>
      <c r="X1095" s="14">
        <v>150.05000000000001</v>
      </c>
    </row>
    <row r="1096" spans="1:24" s="14" customFormat="1" x14ac:dyDescent="0.25">
      <c r="A1096" s="50">
        <v>45100</v>
      </c>
      <c r="B1096" s="57">
        <v>174</v>
      </c>
      <c r="C1096" s="36">
        <v>0.10784722222222222</v>
      </c>
      <c r="D1096" s="16" t="s">
        <v>175</v>
      </c>
      <c r="E1096" s="14" t="s">
        <v>65</v>
      </c>
      <c r="F1096" s="16" t="s">
        <v>8759</v>
      </c>
      <c r="G1096" s="16" t="s">
        <v>12091</v>
      </c>
      <c r="H1096" s="14">
        <v>-1.9E-2</v>
      </c>
      <c r="I1096" s="14" t="s">
        <v>12096</v>
      </c>
      <c r="L1096" s="14" t="s">
        <v>12090</v>
      </c>
      <c r="O1096" s="14" t="s">
        <v>12092</v>
      </c>
      <c r="P1096" s="14" t="s">
        <v>12093</v>
      </c>
      <c r="Q1096" s="14">
        <v>415725.39</v>
      </c>
      <c r="R1096" s="14">
        <v>6185125.3499999996</v>
      </c>
      <c r="S1096" s="14" t="s">
        <v>12094</v>
      </c>
      <c r="T1096" s="14" t="s">
        <v>12095</v>
      </c>
      <c r="U1096" s="14">
        <v>415702.09</v>
      </c>
      <c r="V1096" s="14">
        <v>6185126.8600000003</v>
      </c>
      <c r="W1096" s="14">
        <v>180.85</v>
      </c>
      <c r="X1096" s="14">
        <v>150.05000000000001</v>
      </c>
    </row>
    <row r="1097" spans="1:24" s="14" customFormat="1" x14ac:dyDescent="0.25">
      <c r="A1097" s="50">
        <v>45100</v>
      </c>
      <c r="B1097" s="57">
        <v>174</v>
      </c>
      <c r="C1097" s="36">
        <v>0.11222222222222222</v>
      </c>
      <c r="D1097" s="16" t="s">
        <v>175</v>
      </c>
      <c r="E1097" s="14" t="s">
        <v>70</v>
      </c>
      <c r="F1097" s="16" t="s">
        <v>8759</v>
      </c>
      <c r="G1097" s="16" t="s">
        <v>12091</v>
      </c>
      <c r="H1097" s="14">
        <v>0.17299999999999999</v>
      </c>
      <c r="I1097" s="14" t="s">
        <v>12096</v>
      </c>
      <c r="L1097" s="14" t="s">
        <v>12090</v>
      </c>
      <c r="O1097" s="14" t="s">
        <v>12097</v>
      </c>
      <c r="P1097" s="14" t="s">
        <v>12098</v>
      </c>
      <c r="Q1097" s="14">
        <v>415724.28</v>
      </c>
      <c r="R1097" s="14">
        <v>6184933.0099999998</v>
      </c>
      <c r="S1097" s="14" t="s">
        <v>12099</v>
      </c>
      <c r="T1097" s="14" t="s">
        <v>12100</v>
      </c>
      <c r="U1097" s="14">
        <v>415701.9</v>
      </c>
      <c r="V1097" s="14">
        <v>6184934.6600000001</v>
      </c>
      <c r="W1097" s="14">
        <v>180.35</v>
      </c>
      <c r="X1097" s="14">
        <v>150.05000000000001</v>
      </c>
    </row>
    <row r="1098" spans="1:24" s="14" customFormat="1" x14ac:dyDescent="0.25">
      <c r="A1098" s="50">
        <v>45100</v>
      </c>
      <c r="B1098" s="57">
        <v>174</v>
      </c>
      <c r="C1098" s="36">
        <v>0.11571759259259258</v>
      </c>
      <c r="D1098" s="16" t="s">
        <v>175</v>
      </c>
      <c r="E1098" s="52" t="s">
        <v>65</v>
      </c>
      <c r="F1098" s="16" t="s">
        <v>8759</v>
      </c>
      <c r="G1098" s="16" t="s">
        <v>12101</v>
      </c>
      <c r="H1098" s="14">
        <v>0.16500000000000001</v>
      </c>
      <c r="I1098" s="14" t="s">
        <v>12106</v>
      </c>
      <c r="L1098" s="14" t="s">
        <v>12107</v>
      </c>
      <c r="O1098" s="14" t="s">
        <v>12102</v>
      </c>
      <c r="P1098" s="14" t="s">
        <v>12103</v>
      </c>
      <c r="Q1098" s="14">
        <v>415742.62</v>
      </c>
      <c r="R1098" s="14">
        <v>6184925.6900000004</v>
      </c>
      <c r="S1098" s="14" t="s">
        <v>12104</v>
      </c>
      <c r="T1098" s="14" t="s">
        <v>12105</v>
      </c>
      <c r="U1098" s="14">
        <v>415719.89</v>
      </c>
      <c r="V1098" s="14">
        <v>6184931.4699999997</v>
      </c>
      <c r="W1098" s="14">
        <v>0.41</v>
      </c>
      <c r="X1098" s="14">
        <v>150.05000000000001</v>
      </c>
    </row>
    <row r="1099" spans="1:24" s="14" customFormat="1" x14ac:dyDescent="0.25">
      <c r="A1099" s="50">
        <v>45100</v>
      </c>
      <c r="B1099" s="57">
        <v>174</v>
      </c>
      <c r="C1099" s="36">
        <v>0.12003472222222222</v>
      </c>
      <c r="D1099" s="16" t="s">
        <v>175</v>
      </c>
      <c r="E1099" s="52" t="s">
        <v>70</v>
      </c>
      <c r="F1099" s="16" t="s">
        <v>8759</v>
      </c>
      <c r="G1099" s="16" t="s">
        <v>12101</v>
      </c>
      <c r="H1099" s="14">
        <v>-2.5000000000000001E-2</v>
      </c>
      <c r="I1099" s="14" t="s">
        <v>12106</v>
      </c>
      <c r="L1099" s="14" t="s">
        <v>12107</v>
      </c>
      <c r="O1099" s="14" t="s">
        <v>12108</v>
      </c>
      <c r="P1099" s="14" t="s">
        <v>12109</v>
      </c>
      <c r="Q1099" s="14">
        <v>415742.04</v>
      </c>
      <c r="R1099" s="14">
        <v>6185116.5800000001</v>
      </c>
      <c r="S1099" s="14" t="s">
        <v>12110</v>
      </c>
      <c r="T1099" s="14" t="s">
        <v>12111</v>
      </c>
      <c r="U1099" s="14">
        <v>415720.03</v>
      </c>
      <c r="V1099" s="14">
        <v>6185121.5099999998</v>
      </c>
      <c r="W1099" s="14">
        <v>358.81</v>
      </c>
      <c r="X1099" s="14">
        <v>150.05000000000001</v>
      </c>
    </row>
    <row r="1100" spans="1:24" s="14" customFormat="1" x14ac:dyDescent="0.25">
      <c r="A1100" s="50">
        <v>45100</v>
      </c>
      <c r="B1100" s="57">
        <v>174</v>
      </c>
      <c r="C1100" s="36">
        <v>0.12322916666666667</v>
      </c>
      <c r="D1100" s="16" t="s">
        <v>175</v>
      </c>
      <c r="E1100" s="52" t="s">
        <v>65</v>
      </c>
      <c r="F1100" s="16" t="s">
        <v>8759</v>
      </c>
      <c r="G1100" s="16" t="s">
        <v>12112</v>
      </c>
      <c r="H1100" s="14">
        <v>-1.7999999999999999E-2</v>
      </c>
      <c r="I1100" s="14" t="s">
        <v>12117</v>
      </c>
      <c r="L1100" s="14" t="s">
        <v>12107</v>
      </c>
      <c r="O1100" s="14" t="s">
        <v>12113</v>
      </c>
      <c r="P1100" s="14" t="s">
        <v>12114</v>
      </c>
      <c r="Q1100" s="14">
        <v>415760.36</v>
      </c>
      <c r="R1100" s="14">
        <v>6185121.0999999996</v>
      </c>
      <c r="S1100" s="14" t="s">
        <v>12115</v>
      </c>
      <c r="T1100" s="14" t="s">
        <v>12116</v>
      </c>
      <c r="U1100" s="14">
        <v>415737.97</v>
      </c>
      <c r="V1100" s="14">
        <v>6185125.6500000004</v>
      </c>
      <c r="W1100" s="14">
        <v>180.31</v>
      </c>
      <c r="X1100" s="14">
        <v>150.05000000000001</v>
      </c>
    </row>
    <row r="1101" spans="1:24" s="14" customFormat="1" x14ac:dyDescent="0.25">
      <c r="A1101" s="50">
        <v>45100</v>
      </c>
      <c r="B1101" s="57">
        <v>174</v>
      </c>
      <c r="C1101" s="36">
        <v>0.12752314814814816</v>
      </c>
      <c r="D1101" s="16" t="s">
        <v>175</v>
      </c>
      <c r="E1101" s="52" t="s">
        <v>70</v>
      </c>
      <c r="F1101" s="16" t="s">
        <v>8759</v>
      </c>
      <c r="G1101" s="16" t="s">
        <v>12112</v>
      </c>
      <c r="H1101" s="14">
        <v>0.17100000000000001</v>
      </c>
      <c r="I1101" s="14" t="s">
        <v>12117</v>
      </c>
      <c r="L1101" s="14" t="s">
        <v>12122</v>
      </c>
      <c r="O1101" s="14" t="s">
        <v>12118</v>
      </c>
      <c r="P1101" s="14" t="s">
        <v>12119</v>
      </c>
      <c r="Q1101" s="14">
        <v>415760.31</v>
      </c>
      <c r="R1101" s="14">
        <v>6184931.75</v>
      </c>
      <c r="S1101" s="14" t="s">
        <v>12120</v>
      </c>
      <c r="T1101" s="14" t="s">
        <v>12121</v>
      </c>
      <c r="U1101" s="14">
        <v>415737.89</v>
      </c>
      <c r="V1101" s="14">
        <v>6184936.7400000002</v>
      </c>
      <c r="W1101" s="14">
        <v>180.35</v>
      </c>
      <c r="X1101" s="14">
        <v>150.05000000000001</v>
      </c>
    </row>
    <row r="1102" spans="1:24" s="14" customFormat="1" x14ac:dyDescent="0.25">
      <c r="A1102" s="50">
        <v>45100</v>
      </c>
      <c r="B1102" s="57">
        <v>174</v>
      </c>
      <c r="C1102" s="36">
        <v>0.13171296296296295</v>
      </c>
      <c r="D1102" s="16" t="s">
        <v>175</v>
      </c>
      <c r="E1102" s="52" t="s">
        <v>65</v>
      </c>
      <c r="F1102" s="16" t="s">
        <v>8759</v>
      </c>
      <c r="G1102" s="16" t="s">
        <v>12123</v>
      </c>
      <c r="H1102" s="14">
        <v>0.16500000000000001</v>
      </c>
      <c r="I1102" s="14" t="s">
        <v>12128</v>
      </c>
      <c r="L1102" s="14" t="s">
        <v>12122</v>
      </c>
      <c r="O1102" s="14" t="s">
        <v>12124</v>
      </c>
      <c r="P1102" s="14" t="s">
        <v>12125</v>
      </c>
      <c r="Q1102" s="14">
        <v>415779.24</v>
      </c>
      <c r="R1102" s="14">
        <v>6184924.6399999997</v>
      </c>
      <c r="S1102" s="14" t="s">
        <v>12126</v>
      </c>
      <c r="T1102" s="14" t="s">
        <v>12127</v>
      </c>
      <c r="U1102" s="14">
        <v>415755.9</v>
      </c>
      <c r="V1102" s="14">
        <v>6184931.5</v>
      </c>
      <c r="W1102" s="14">
        <v>0.8</v>
      </c>
      <c r="X1102" s="14">
        <v>150.05000000000001</v>
      </c>
    </row>
    <row r="1103" spans="1:24" s="14" customFormat="1" x14ac:dyDescent="0.25">
      <c r="A1103" s="50">
        <v>45100</v>
      </c>
      <c r="B1103" s="57">
        <v>174</v>
      </c>
      <c r="C1103" s="36">
        <v>0.13594907407407408</v>
      </c>
      <c r="D1103" s="16" t="s">
        <v>175</v>
      </c>
      <c r="E1103" s="52" t="s">
        <v>70</v>
      </c>
      <c r="F1103" s="16" t="s">
        <v>8759</v>
      </c>
      <c r="G1103" s="16" t="s">
        <v>12123</v>
      </c>
      <c r="H1103" s="14">
        <v>-2.1000000000000001E-2</v>
      </c>
      <c r="I1103" s="14" t="s">
        <v>12128</v>
      </c>
      <c r="L1103" s="14" t="s">
        <v>12133</v>
      </c>
      <c r="O1103" s="14" t="s">
        <v>12129</v>
      </c>
      <c r="P1103" s="14" t="s">
        <v>12130</v>
      </c>
      <c r="Q1103" s="14">
        <v>415779.33</v>
      </c>
      <c r="R1103" s="14">
        <v>6185111</v>
      </c>
      <c r="S1103" s="14" t="s">
        <v>12131</v>
      </c>
      <c r="T1103" s="14" t="s">
        <v>12132</v>
      </c>
      <c r="U1103" s="14">
        <v>415756.04</v>
      </c>
      <c r="V1103" s="14">
        <v>6185117.9400000004</v>
      </c>
      <c r="W1103" s="14">
        <v>358.78</v>
      </c>
      <c r="X1103" s="14">
        <v>150.05000000000001</v>
      </c>
    </row>
    <row r="1104" spans="1:24" s="14" customFormat="1" x14ac:dyDescent="0.25">
      <c r="A1104" s="50">
        <v>45100</v>
      </c>
      <c r="B1104" s="57">
        <v>174</v>
      </c>
      <c r="C1104" s="36">
        <v>0.13717592592592592</v>
      </c>
      <c r="D1104" s="16" t="s">
        <v>175</v>
      </c>
      <c r="E1104" s="52" t="s">
        <v>165</v>
      </c>
      <c r="F1104" s="16" t="s">
        <v>8759</v>
      </c>
      <c r="G1104" s="16" t="s">
        <v>2209</v>
      </c>
      <c r="H1104" s="14">
        <v>0.314</v>
      </c>
      <c r="O1104" s="14" t="s">
        <v>12134</v>
      </c>
      <c r="P1104" s="14" t="s">
        <v>12135</v>
      </c>
      <c r="Q1104" s="14">
        <v>415779.41</v>
      </c>
      <c r="R1104" s="14">
        <v>6185126.4500000002</v>
      </c>
      <c r="S1104" s="14" t="s">
        <v>12136</v>
      </c>
      <c r="T1104" s="14" t="s">
        <v>12137</v>
      </c>
      <c r="U1104" s="14">
        <v>415767.53</v>
      </c>
      <c r="V1104" s="14">
        <v>6185129.5999999996</v>
      </c>
      <c r="W1104" s="14">
        <v>276.41000000000003</v>
      </c>
      <c r="X1104" s="14">
        <v>150.05000000000001</v>
      </c>
    </row>
    <row r="1105" spans="1:24" s="14" customFormat="1" x14ac:dyDescent="0.25">
      <c r="A1105" s="50">
        <v>45100</v>
      </c>
      <c r="B1105" s="57">
        <v>174</v>
      </c>
      <c r="C1105" s="36">
        <v>0.14119212962962963</v>
      </c>
      <c r="D1105" s="16" t="s">
        <v>175</v>
      </c>
      <c r="E1105" s="52" t="s">
        <v>12142</v>
      </c>
      <c r="F1105" s="16" t="s">
        <v>8759</v>
      </c>
      <c r="G1105" s="16" t="s">
        <v>2209</v>
      </c>
      <c r="H1105" s="14">
        <v>0.314</v>
      </c>
      <c r="O1105" s="14" t="s">
        <v>12138</v>
      </c>
      <c r="P1105" s="14" t="s">
        <v>12139</v>
      </c>
      <c r="Q1105" s="14">
        <v>415779.69</v>
      </c>
      <c r="R1105" s="14">
        <v>6185126.2800000003</v>
      </c>
      <c r="S1105" s="14" t="s">
        <v>12140</v>
      </c>
      <c r="T1105" s="14" t="s">
        <v>12141</v>
      </c>
      <c r="U1105" s="14">
        <v>415767.8</v>
      </c>
      <c r="V1105" s="14">
        <v>6185129.5599999996</v>
      </c>
      <c r="W1105" s="14">
        <v>275.8</v>
      </c>
      <c r="X1105" s="14">
        <v>150.05000000000001</v>
      </c>
    </row>
    <row r="1106" spans="1:24" s="14" customFormat="1" x14ac:dyDescent="0.25">
      <c r="A1106" s="50">
        <v>45100</v>
      </c>
      <c r="B1106" s="57">
        <v>174</v>
      </c>
      <c r="C1106" s="36">
        <v>0.14334490740740741</v>
      </c>
      <c r="D1106" s="16" t="s">
        <v>175</v>
      </c>
      <c r="E1106" s="52" t="s">
        <v>12147</v>
      </c>
      <c r="F1106" s="16" t="s">
        <v>8759</v>
      </c>
      <c r="G1106" s="16" t="s">
        <v>2209</v>
      </c>
      <c r="H1106" s="14">
        <v>0.312</v>
      </c>
      <c r="O1106" s="14" t="s">
        <v>12143</v>
      </c>
      <c r="P1106" s="14" t="s">
        <v>12144</v>
      </c>
      <c r="Q1106" s="14">
        <v>415780.4</v>
      </c>
      <c r="R1106" s="14">
        <v>6185139.0199999996</v>
      </c>
      <c r="S1106" s="14" t="s">
        <v>12145</v>
      </c>
      <c r="T1106" s="14" t="s">
        <v>12146</v>
      </c>
      <c r="U1106" s="14">
        <v>415770.29</v>
      </c>
      <c r="V1106" s="14">
        <v>6185135.4000000004</v>
      </c>
      <c r="W1106" s="14">
        <v>233.8</v>
      </c>
      <c r="X1106" s="14">
        <v>150.05000000000001</v>
      </c>
    </row>
    <row r="1107" spans="1:24" s="68" customFormat="1" x14ac:dyDescent="0.25">
      <c r="A1107" s="65">
        <v>45100</v>
      </c>
      <c r="B1107" s="106">
        <v>174</v>
      </c>
      <c r="C1107" s="67">
        <v>0.15990740740740741</v>
      </c>
      <c r="D1107" s="66" t="s">
        <v>175</v>
      </c>
      <c r="E1107" s="68" t="s">
        <v>12153</v>
      </c>
      <c r="F1107" s="66" t="s">
        <v>11862</v>
      </c>
      <c r="G1107" s="66" t="s">
        <v>2209</v>
      </c>
      <c r="H1107" s="68">
        <v>0.19</v>
      </c>
      <c r="M1107" s="68" t="s">
        <v>12148</v>
      </c>
      <c r="O1107" s="68" t="s">
        <v>12149</v>
      </c>
      <c r="P1107" s="68" t="s">
        <v>12150</v>
      </c>
      <c r="Q1107" s="68">
        <v>412643.52</v>
      </c>
      <c r="R1107" s="68">
        <v>6185248.0899999999</v>
      </c>
      <c r="S1107" s="68" t="s">
        <v>12151</v>
      </c>
      <c r="T1107" s="68" t="s">
        <v>12152</v>
      </c>
      <c r="U1107" s="68">
        <v>412629.65</v>
      </c>
      <c r="V1107" s="68">
        <v>6185253.4900000002</v>
      </c>
      <c r="W1107" s="68">
        <v>276.73</v>
      </c>
      <c r="X1107" s="68">
        <v>150.05000000000001</v>
      </c>
    </row>
    <row r="1108" spans="1:24" s="14" customFormat="1" x14ac:dyDescent="0.25">
      <c r="A1108" s="50">
        <v>45100</v>
      </c>
      <c r="B1108" s="57">
        <v>174</v>
      </c>
      <c r="C1108" s="36">
        <v>0.16234953703703703</v>
      </c>
      <c r="D1108" s="16" t="s">
        <v>175</v>
      </c>
      <c r="E1108" s="14" t="s">
        <v>65</v>
      </c>
      <c r="F1108" s="16" t="s">
        <v>11862</v>
      </c>
      <c r="G1108" s="16" t="s">
        <v>2209</v>
      </c>
      <c r="H1108" s="14">
        <v>0.16500000000000001</v>
      </c>
      <c r="I1108" s="14" t="s">
        <v>12158</v>
      </c>
      <c r="J1108" s="14" t="s">
        <v>12159</v>
      </c>
      <c r="K1108" s="14" t="s">
        <v>12160</v>
      </c>
      <c r="L1108" s="14" t="s">
        <v>12161</v>
      </c>
      <c r="O1108" s="14" t="s">
        <v>12154</v>
      </c>
      <c r="P1108" s="14" t="s">
        <v>12155</v>
      </c>
      <c r="Q1108" s="14">
        <v>412643.07</v>
      </c>
      <c r="R1108" s="14">
        <v>6185271.4400000004</v>
      </c>
      <c r="S1108" s="14" t="s">
        <v>12156</v>
      </c>
      <c r="T1108" s="14" t="s">
        <v>12157</v>
      </c>
      <c r="U1108" s="14">
        <v>412621.05</v>
      </c>
      <c r="V1108" s="14">
        <v>6185273.3700000001</v>
      </c>
      <c r="W1108" s="14">
        <v>1.01</v>
      </c>
      <c r="X1108" s="14">
        <v>150.05000000000001</v>
      </c>
    </row>
    <row r="1109" spans="1:24" s="14" customFormat="1" x14ac:dyDescent="0.25">
      <c r="A1109" s="50">
        <v>45100</v>
      </c>
      <c r="B1109" s="57">
        <v>174</v>
      </c>
      <c r="C1109" s="36">
        <v>0.16605324074074074</v>
      </c>
      <c r="D1109" s="16" t="s">
        <v>175</v>
      </c>
      <c r="E1109" s="14" t="s">
        <v>70</v>
      </c>
      <c r="F1109" s="16" t="s">
        <v>11862</v>
      </c>
      <c r="G1109" s="16" t="s">
        <v>2209</v>
      </c>
      <c r="H1109" s="14">
        <v>-2.4E-2</v>
      </c>
      <c r="I1109" s="14" t="s">
        <v>12158</v>
      </c>
      <c r="J1109" s="14" t="s">
        <v>12159</v>
      </c>
      <c r="K1109" s="14" t="s">
        <v>12160</v>
      </c>
      <c r="L1109" s="14" t="s">
        <v>12161</v>
      </c>
      <c r="O1109" s="14" t="s">
        <v>12162</v>
      </c>
      <c r="P1109" s="14" t="s">
        <v>12163</v>
      </c>
      <c r="Q1109" s="14">
        <v>412643.97</v>
      </c>
      <c r="R1109" s="14">
        <v>6185460.9500000002</v>
      </c>
      <c r="S1109" s="14" t="s">
        <v>12164</v>
      </c>
      <c r="T1109" s="14" t="s">
        <v>12165</v>
      </c>
      <c r="U1109" s="14">
        <v>412621.11</v>
      </c>
      <c r="V1109" s="14">
        <v>6185462.1699999999</v>
      </c>
      <c r="W1109" s="14">
        <v>0.09</v>
      </c>
      <c r="X1109" s="14">
        <v>150.05000000000001</v>
      </c>
    </row>
    <row r="1110" spans="1:24" s="14" customFormat="1" x14ac:dyDescent="0.25">
      <c r="A1110" s="50">
        <v>45100</v>
      </c>
      <c r="B1110" s="57">
        <v>174</v>
      </c>
      <c r="C1110" s="36">
        <v>0.16928240740740741</v>
      </c>
      <c r="D1110" s="16" t="s">
        <v>177</v>
      </c>
      <c r="E1110" s="14" t="s">
        <v>65</v>
      </c>
      <c r="F1110" s="16" t="s">
        <v>11862</v>
      </c>
      <c r="G1110" s="16" t="s">
        <v>2208</v>
      </c>
      <c r="H1110" s="14">
        <v>-2.1000000000000001E-2</v>
      </c>
      <c r="I1110" s="14" t="s">
        <v>12170</v>
      </c>
      <c r="J1110" s="14" t="s">
        <v>12171</v>
      </c>
      <c r="K1110" s="14" t="s">
        <v>12172</v>
      </c>
      <c r="L1110" s="14" t="s">
        <v>12173</v>
      </c>
      <c r="O1110" s="14" t="s">
        <v>12166</v>
      </c>
      <c r="P1110" s="14" t="s">
        <v>12167</v>
      </c>
      <c r="Q1110" s="14">
        <v>412635.24</v>
      </c>
      <c r="R1110" s="14">
        <v>6185459.8099999996</v>
      </c>
      <c r="S1110" s="14" t="s">
        <v>12168</v>
      </c>
      <c r="T1110" s="14" t="s">
        <v>12169</v>
      </c>
      <c r="U1110" s="14">
        <v>412612.21</v>
      </c>
      <c r="V1110" s="14">
        <v>6185470.2800000003</v>
      </c>
      <c r="W1110" s="14">
        <v>179.73</v>
      </c>
      <c r="X1110" s="14">
        <v>150.05000000000001</v>
      </c>
    </row>
    <row r="1111" spans="1:24" s="14" customFormat="1" x14ac:dyDescent="0.25">
      <c r="A1111" s="50">
        <v>45100</v>
      </c>
      <c r="B1111" s="57">
        <v>174</v>
      </c>
      <c r="C1111" s="36">
        <v>0.17281250000000001</v>
      </c>
      <c r="D1111" s="16" t="s">
        <v>177</v>
      </c>
      <c r="E1111" s="52" t="s">
        <v>70</v>
      </c>
      <c r="F1111" s="16" t="s">
        <v>11862</v>
      </c>
      <c r="G1111" s="16" t="s">
        <v>2208</v>
      </c>
      <c r="H1111" s="14">
        <v>0.16900000000000001</v>
      </c>
      <c r="I1111" s="14" t="s">
        <v>12170</v>
      </c>
      <c r="J1111" s="14" t="s">
        <v>12171</v>
      </c>
      <c r="K1111" s="14" t="s">
        <v>12172</v>
      </c>
      <c r="L1111" s="14" t="s">
        <v>12173</v>
      </c>
      <c r="O1111" s="14" t="s">
        <v>12174</v>
      </c>
      <c r="P1111" s="14" t="s">
        <v>12175</v>
      </c>
      <c r="Q1111" s="14">
        <v>412634.55</v>
      </c>
      <c r="R1111" s="14">
        <v>6185272.7000000002</v>
      </c>
      <c r="S1111" s="14" t="s">
        <v>12176</v>
      </c>
      <c r="T1111" s="14" t="s">
        <v>12177</v>
      </c>
      <c r="U1111" s="14">
        <v>412612.21</v>
      </c>
      <c r="V1111" s="14">
        <v>6185280.8899999997</v>
      </c>
      <c r="W1111" s="14">
        <v>179.77</v>
      </c>
      <c r="X1111" s="14">
        <v>150.05000000000001</v>
      </c>
    </row>
    <row r="1112" spans="1:24" s="14" customFormat="1" x14ac:dyDescent="0.25">
      <c r="A1112" s="50">
        <v>45100</v>
      </c>
      <c r="B1112" s="57">
        <v>174</v>
      </c>
      <c r="C1112" s="36">
        <v>0.17326388888888888</v>
      </c>
      <c r="D1112" s="16" t="s">
        <v>177</v>
      </c>
      <c r="E1112" s="52" t="s">
        <v>12201</v>
      </c>
      <c r="F1112" s="16" t="s">
        <v>11862</v>
      </c>
      <c r="G1112" s="16" t="s">
        <v>2208</v>
      </c>
      <c r="H1112" s="14">
        <v>0.191</v>
      </c>
      <c r="O1112" s="14" t="s">
        <v>12178</v>
      </c>
      <c r="P1112" s="14" t="s">
        <v>12179</v>
      </c>
      <c r="Q1112" s="14">
        <v>412634.1</v>
      </c>
      <c r="R1112" s="14">
        <v>6185250.0700000003</v>
      </c>
      <c r="S1112" s="14" t="s">
        <v>12180</v>
      </c>
      <c r="T1112" s="14" t="s">
        <v>12181</v>
      </c>
      <c r="U1112" s="14">
        <v>412612.28</v>
      </c>
      <c r="V1112" s="14">
        <v>6185258.3700000001</v>
      </c>
      <c r="W1112" s="14">
        <v>189.4</v>
      </c>
      <c r="X1112" s="14">
        <v>150.05000000000001</v>
      </c>
    </row>
    <row r="1113" spans="1:24" s="14" customFormat="1" x14ac:dyDescent="0.25">
      <c r="A1113" s="50">
        <v>45100</v>
      </c>
      <c r="B1113" s="57">
        <v>174</v>
      </c>
      <c r="C1113" s="36">
        <v>0.17523148148148149</v>
      </c>
      <c r="D1113" s="16" t="s">
        <v>177</v>
      </c>
      <c r="E1113" s="52" t="s">
        <v>65</v>
      </c>
      <c r="F1113" s="16" t="s">
        <v>11862</v>
      </c>
      <c r="G1113" s="16" t="s">
        <v>2207</v>
      </c>
      <c r="H1113" s="14">
        <v>0.16500000000000001</v>
      </c>
      <c r="I1113" s="14" t="s">
        <v>12186</v>
      </c>
      <c r="J1113" s="14" t="s">
        <v>12187</v>
      </c>
      <c r="K1113" s="14" t="s">
        <v>12188</v>
      </c>
      <c r="L1113" s="14" t="s">
        <v>12173</v>
      </c>
      <c r="O1113" s="14" t="s">
        <v>12182</v>
      </c>
      <c r="P1113" s="14" t="s">
        <v>12183</v>
      </c>
      <c r="Q1113" s="14">
        <v>412626.5</v>
      </c>
      <c r="R1113" s="14">
        <v>6185265.8899999997</v>
      </c>
      <c r="S1113" s="14" t="s">
        <v>12184</v>
      </c>
      <c r="T1113" s="14" t="s">
        <v>12185</v>
      </c>
      <c r="U1113" s="14">
        <v>412603.11</v>
      </c>
      <c r="V1113" s="14">
        <v>6185273.6299999999</v>
      </c>
      <c r="W1113" s="14">
        <v>1.26</v>
      </c>
      <c r="X1113" s="14">
        <v>150.05000000000001</v>
      </c>
    </row>
    <row r="1114" spans="1:24" s="14" customFormat="1" x14ac:dyDescent="0.25">
      <c r="A1114" s="50">
        <v>45100</v>
      </c>
      <c r="B1114" s="57">
        <v>174</v>
      </c>
      <c r="C1114" s="36">
        <v>0.17880787037037038</v>
      </c>
      <c r="D1114" s="16" t="s">
        <v>177</v>
      </c>
      <c r="E1114" s="52" t="s">
        <v>70</v>
      </c>
      <c r="F1114" s="16" t="s">
        <v>11862</v>
      </c>
      <c r="G1114" s="16" t="s">
        <v>2207</v>
      </c>
      <c r="H1114" s="14">
        <v>-2.4E-2</v>
      </c>
      <c r="I1114" s="14" t="s">
        <v>12186</v>
      </c>
      <c r="J1114" s="14" t="s">
        <v>12187</v>
      </c>
      <c r="K1114" s="14" t="s">
        <v>12188</v>
      </c>
      <c r="L1114" s="14" t="s">
        <v>12193</v>
      </c>
      <c r="O1114" s="14" t="s">
        <v>12189</v>
      </c>
      <c r="P1114" s="14" t="s">
        <v>12190</v>
      </c>
      <c r="Q1114" s="14">
        <v>412626.98</v>
      </c>
      <c r="R1114" s="14">
        <v>6185453.7699999996</v>
      </c>
      <c r="S1114" s="14" t="s">
        <v>12191</v>
      </c>
      <c r="T1114" s="14" t="s">
        <v>12192</v>
      </c>
      <c r="U1114" s="14">
        <v>412603.11</v>
      </c>
      <c r="V1114" s="14">
        <v>6185462.6500000004</v>
      </c>
      <c r="W1114" s="14">
        <v>359.92</v>
      </c>
      <c r="X1114" s="14">
        <v>150.05000000000001</v>
      </c>
    </row>
    <row r="1115" spans="1:24" s="14" customFormat="1" x14ac:dyDescent="0.25">
      <c r="A1115" s="50">
        <v>45100</v>
      </c>
      <c r="B1115" s="57">
        <v>174</v>
      </c>
      <c r="C1115" s="36">
        <v>0.1812384259259259</v>
      </c>
      <c r="D1115" s="16" t="s">
        <v>177</v>
      </c>
      <c r="E1115" s="52" t="s">
        <v>65</v>
      </c>
      <c r="F1115" s="16" t="s">
        <v>11862</v>
      </c>
      <c r="G1115" s="16" t="s">
        <v>2206</v>
      </c>
      <c r="H1115" s="14">
        <v>-2.1000000000000001E-2</v>
      </c>
      <c r="I1115" s="14" t="s">
        <v>12198</v>
      </c>
      <c r="J1115" s="14" t="s">
        <v>12199</v>
      </c>
      <c r="K1115" s="14" t="s">
        <v>12200</v>
      </c>
      <c r="L1115" s="14" t="s">
        <v>12193</v>
      </c>
      <c r="O1115" s="14" t="s">
        <v>12194</v>
      </c>
      <c r="P1115" s="14" t="s">
        <v>12195</v>
      </c>
      <c r="Q1115" s="14">
        <v>412619.26</v>
      </c>
      <c r="R1115" s="14">
        <v>6185463.8399999999</v>
      </c>
      <c r="S1115" s="14" t="s">
        <v>12196</v>
      </c>
      <c r="T1115" s="14" t="s">
        <v>12197</v>
      </c>
      <c r="U1115" s="14">
        <v>412594.11</v>
      </c>
      <c r="V1115" s="14">
        <v>6185470.3899999997</v>
      </c>
      <c r="W1115" s="14">
        <v>181.04</v>
      </c>
      <c r="X1115" s="14">
        <v>150.05000000000001</v>
      </c>
    </row>
    <row r="1116" spans="1:24" s="14" customFormat="1" x14ac:dyDescent="0.25">
      <c r="A1116" s="50">
        <v>45100</v>
      </c>
      <c r="B1116" s="57">
        <v>174</v>
      </c>
      <c r="C1116" s="36">
        <v>0.18483796296296295</v>
      </c>
      <c r="D1116" s="16" t="s">
        <v>177</v>
      </c>
      <c r="E1116" s="52" t="s">
        <v>70</v>
      </c>
      <c r="F1116" s="16" t="s">
        <v>11862</v>
      </c>
      <c r="G1116" s="16" t="s">
        <v>2206</v>
      </c>
      <c r="H1116" s="14">
        <v>0.17</v>
      </c>
      <c r="I1116" s="14" t="s">
        <v>12198</v>
      </c>
      <c r="J1116" s="14" t="s">
        <v>12199</v>
      </c>
      <c r="K1116" s="14" t="s">
        <v>12200</v>
      </c>
      <c r="L1116" s="14" t="s">
        <v>12193</v>
      </c>
      <c r="O1116" s="14" t="s">
        <v>12202</v>
      </c>
      <c r="P1116" s="14" t="s">
        <v>12203</v>
      </c>
      <c r="Q1116" s="14">
        <v>412618.55</v>
      </c>
      <c r="R1116" s="14">
        <v>6185274.0899999999</v>
      </c>
      <c r="S1116" s="14" t="s">
        <v>12204</v>
      </c>
      <c r="T1116" s="14" t="s">
        <v>12205</v>
      </c>
      <c r="U1116" s="14">
        <v>412594.12</v>
      </c>
      <c r="V1116" s="14">
        <v>6185279.9299999997</v>
      </c>
      <c r="W1116" s="14">
        <v>180.32</v>
      </c>
      <c r="X1116" s="14">
        <v>150.05000000000001</v>
      </c>
    </row>
    <row r="1117" spans="1:24" s="14" customFormat="1" x14ac:dyDescent="0.25">
      <c r="A1117" s="50">
        <v>45100</v>
      </c>
      <c r="B1117" s="57">
        <v>174</v>
      </c>
      <c r="C1117" s="36">
        <v>0.18706018518518519</v>
      </c>
      <c r="D1117" s="16" t="s">
        <v>177</v>
      </c>
      <c r="E1117" s="52" t="s">
        <v>65</v>
      </c>
      <c r="F1117" s="16" t="s">
        <v>11862</v>
      </c>
      <c r="G1117" s="16" t="s">
        <v>2205</v>
      </c>
      <c r="H1117" s="14">
        <v>0.16600000000000001</v>
      </c>
      <c r="I1117" s="14" t="s">
        <v>12210</v>
      </c>
      <c r="J1117" s="14" t="s">
        <v>12211</v>
      </c>
      <c r="K1117" s="14" t="s">
        <v>12212</v>
      </c>
      <c r="L1117" s="14" t="s">
        <v>12193</v>
      </c>
      <c r="O1117" s="14" t="s">
        <v>12206</v>
      </c>
      <c r="P1117" s="14" t="s">
        <v>12207</v>
      </c>
      <c r="Q1117" s="14">
        <v>412610.42</v>
      </c>
      <c r="R1117" s="14">
        <v>6185270.6100000003</v>
      </c>
      <c r="S1117" s="14" t="s">
        <v>12208</v>
      </c>
      <c r="T1117" s="14" t="s">
        <v>12209</v>
      </c>
      <c r="U1117" s="14">
        <v>412584.87</v>
      </c>
      <c r="V1117" s="14">
        <v>6185272.8300000001</v>
      </c>
      <c r="W1117" s="14">
        <v>2.67</v>
      </c>
      <c r="X1117" s="14">
        <v>150.05000000000001</v>
      </c>
    </row>
    <row r="1118" spans="1:24" s="14" customFormat="1" x14ac:dyDescent="0.25">
      <c r="A1118" s="50">
        <v>45100</v>
      </c>
      <c r="B1118" s="57">
        <v>174</v>
      </c>
      <c r="C1118" s="36">
        <v>0.19069444444444442</v>
      </c>
      <c r="D1118" s="16" t="s">
        <v>177</v>
      </c>
      <c r="E1118" s="52" t="s">
        <v>70</v>
      </c>
      <c r="F1118" s="16" t="s">
        <v>11862</v>
      </c>
      <c r="G1118" s="16" t="s">
        <v>2205</v>
      </c>
      <c r="H1118" s="14">
        <v>-2.5000000000000001E-2</v>
      </c>
      <c r="I1118" s="14" t="s">
        <v>12210</v>
      </c>
      <c r="J1118" s="14" t="s">
        <v>12211</v>
      </c>
      <c r="K1118" s="14" t="s">
        <v>12212</v>
      </c>
      <c r="L1118" s="14" t="s">
        <v>12217</v>
      </c>
      <c r="O1118" s="14" t="s">
        <v>12213</v>
      </c>
      <c r="P1118" s="14" t="s">
        <v>12214</v>
      </c>
      <c r="Q1118" s="14">
        <v>412611.62</v>
      </c>
      <c r="R1118" s="14">
        <v>6185461.2699999996</v>
      </c>
      <c r="S1118" s="14" t="s">
        <v>12215</v>
      </c>
      <c r="T1118" s="14" t="s">
        <v>12216</v>
      </c>
      <c r="U1118" s="14">
        <v>412585.19</v>
      </c>
      <c r="V1118" s="14">
        <v>6185463.6100000003</v>
      </c>
      <c r="W1118" s="14">
        <v>359.93</v>
      </c>
      <c r="X1118" s="14">
        <v>150.05000000000001</v>
      </c>
    </row>
    <row r="1119" spans="1:24" s="14" customFormat="1" x14ac:dyDescent="0.25">
      <c r="A1119" s="50">
        <v>45100</v>
      </c>
      <c r="B1119" s="57">
        <v>174</v>
      </c>
      <c r="C1119" s="36">
        <v>0.19327546296296297</v>
      </c>
      <c r="D1119" s="16" t="s">
        <v>177</v>
      </c>
      <c r="E1119" s="14" t="s">
        <v>65</v>
      </c>
      <c r="F1119" s="16" t="s">
        <v>11862</v>
      </c>
      <c r="G1119" s="16" t="s">
        <v>2204</v>
      </c>
      <c r="H1119" s="14">
        <v>-2.1999999999999999E-2</v>
      </c>
      <c r="I1119" s="14" t="s">
        <v>12222</v>
      </c>
      <c r="J1119" s="14" t="s">
        <v>12223</v>
      </c>
      <c r="K1119" s="14" t="s">
        <v>12224</v>
      </c>
      <c r="L1119" s="14" t="s">
        <v>12217</v>
      </c>
      <c r="O1119" s="14" t="s">
        <v>12218</v>
      </c>
      <c r="P1119" s="14" t="s">
        <v>12219</v>
      </c>
      <c r="Q1119" s="14">
        <v>412602.08</v>
      </c>
      <c r="R1119" s="14">
        <v>6185461.0999999996</v>
      </c>
      <c r="S1119" s="14" t="s">
        <v>12220</v>
      </c>
      <c r="T1119" s="14" t="s">
        <v>12221</v>
      </c>
      <c r="U1119" s="14">
        <v>412576.15</v>
      </c>
      <c r="V1119" s="14">
        <v>6185471.6799999997</v>
      </c>
      <c r="W1119" s="14">
        <v>180.38</v>
      </c>
      <c r="X1119" s="14">
        <v>150.05000000000001</v>
      </c>
    </row>
    <row r="1120" spans="1:24" s="14" customFormat="1" x14ac:dyDescent="0.25">
      <c r="A1120" s="50">
        <v>45100</v>
      </c>
      <c r="B1120" s="57">
        <v>174</v>
      </c>
      <c r="C1120" s="36">
        <v>0.19703703703703704</v>
      </c>
      <c r="D1120" s="16" t="s">
        <v>177</v>
      </c>
      <c r="E1120" s="14" t="s">
        <v>70</v>
      </c>
      <c r="F1120" s="16" t="s">
        <v>11862</v>
      </c>
      <c r="G1120" s="16" t="s">
        <v>2204</v>
      </c>
      <c r="H1120" s="14">
        <v>0.17699999999999999</v>
      </c>
      <c r="I1120" s="14" t="s">
        <v>12222</v>
      </c>
      <c r="J1120" s="14" t="s">
        <v>12223</v>
      </c>
      <c r="K1120" s="14" t="s">
        <v>12224</v>
      </c>
      <c r="L1120" s="14" t="s">
        <v>12217</v>
      </c>
      <c r="O1120" s="14" t="s">
        <v>12225</v>
      </c>
      <c r="P1120" s="14" t="s">
        <v>12226</v>
      </c>
      <c r="Q1120" s="14">
        <v>412601.44</v>
      </c>
      <c r="R1120" s="14">
        <v>6185261.1600000001</v>
      </c>
      <c r="S1120" s="14" t="s">
        <v>12227</v>
      </c>
      <c r="T1120" s="14" t="s">
        <v>12228</v>
      </c>
      <c r="U1120" s="14">
        <v>412576.1</v>
      </c>
      <c r="V1120" s="14">
        <v>6185272.6799999997</v>
      </c>
      <c r="W1120" s="14">
        <v>179.96</v>
      </c>
      <c r="X1120" s="14">
        <v>150.05000000000001</v>
      </c>
    </row>
    <row r="1121" spans="1:24" s="14" customFormat="1" x14ac:dyDescent="0.25">
      <c r="A1121" s="50">
        <v>45100</v>
      </c>
      <c r="B1121" s="57">
        <v>174</v>
      </c>
      <c r="C1121" s="36">
        <v>0.19951388888888888</v>
      </c>
      <c r="D1121" s="16" t="s">
        <v>177</v>
      </c>
      <c r="E1121" s="14" t="s">
        <v>65</v>
      </c>
      <c r="F1121" s="16" t="s">
        <v>11862</v>
      </c>
      <c r="G1121" s="16" t="s">
        <v>2198</v>
      </c>
      <c r="H1121" s="14">
        <v>0.16500000000000001</v>
      </c>
      <c r="I1121" s="14" t="s">
        <v>12233</v>
      </c>
      <c r="J1121" s="14" t="s">
        <v>12234</v>
      </c>
      <c r="K1121" s="14" t="s">
        <v>12235</v>
      </c>
      <c r="L1121" s="14" t="s">
        <v>12236</v>
      </c>
      <c r="O1121" s="14" t="s">
        <v>12229</v>
      </c>
      <c r="P1121" s="14" t="s">
        <v>12230</v>
      </c>
      <c r="Q1121" s="14">
        <v>412592.17</v>
      </c>
      <c r="R1121" s="14">
        <v>6185272.54</v>
      </c>
      <c r="S1121" s="14" t="s">
        <v>12231</v>
      </c>
      <c r="T1121" s="14" t="s">
        <v>12232</v>
      </c>
      <c r="U1121" s="14">
        <v>412566.96</v>
      </c>
      <c r="V1121" s="14">
        <v>6185273.3399999999</v>
      </c>
      <c r="W1121" s="14">
        <v>1.9</v>
      </c>
      <c r="X1121" s="14">
        <v>150.05000000000001</v>
      </c>
    </row>
    <row r="1122" spans="1:24" s="14" customFormat="1" x14ac:dyDescent="0.25">
      <c r="A1122" s="50">
        <v>45100</v>
      </c>
      <c r="B1122" s="57">
        <v>174</v>
      </c>
      <c r="C1122" s="36">
        <v>0.20307870370370371</v>
      </c>
      <c r="D1122" s="16" t="s">
        <v>177</v>
      </c>
      <c r="E1122" s="14" t="s">
        <v>70</v>
      </c>
      <c r="F1122" s="16" t="s">
        <v>11862</v>
      </c>
      <c r="G1122" s="16" t="s">
        <v>2198</v>
      </c>
      <c r="H1122" s="14">
        <v>-2.5000000000000001E-2</v>
      </c>
      <c r="I1122" s="14" t="s">
        <v>12233</v>
      </c>
      <c r="J1122" s="14" t="s">
        <v>12234</v>
      </c>
      <c r="K1122" s="14" t="s">
        <v>12235</v>
      </c>
      <c r="L1122" s="14" t="s">
        <v>12236</v>
      </c>
      <c r="O1122" s="14" t="s">
        <v>12237</v>
      </c>
      <c r="P1122" s="14" t="s">
        <v>12238</v>
      </c>
      <c r="Q1122" s="14">
        <v>412593.56</v>
      </c>
      <c r="R1122" s="14">
        <v>6185461.4100000001</v>
      </c>
      <c r="S1122" s="14" t="s">
        <v>12239</v>
      </c>
      <c r="T1122" s="14" t="s">
        <v>12240</v>
      </c>
      <c r="U1122" s="14">
        <v>412567.18</v>
      </c>
      <c r="V1122" s="14">
        <v>6185462.9299999997</v>
      </c>
      <c r="W1122" s="14">
        <v>359.56</v>
      </c>
      <c r="X1122" s="14">
        <v>150.05000000000001</v>
      </c>
    </row>
    <row r="1123" spans="1:24" s="14" customFormat="1" x14ac:dyDescent="0.25">
      <c r="A1123" s="50">
        <v>45100</v>
      </c>
      <c r="B1123" s="57">
        <v>174</v>
      </c>
      <c r="C1123" s="36">
        <v>0.20531250000000001</v>
      </c>
      <c r="D1123" s="16" t="s">
        <v>177</v>
      </c>
      <c r="E1123" s="14" t="s">
        <v>65</v>
      </c>
      <c r="F1123" s="16" t="s">
        <v>11862</v>
      </c>
      <c r="G1123" s="16" t="s">
        <v>2199</v>
      </c>
      <c r="H1123" s="14">
        <v>-2.1000000000000001E-2</v>
      </c>
      <c r="I1123" s="14" t="s">
        <v>12245</v>
      </c>
      <c r="J1123" s="14" t="s">
        <v>12246</v>
      </c>
      <c r="K1123" s="14" t="s">
        <v>12247</v>
      </c>
      <c r="L1123" s="14" t="s">
        <v>12236</v>
      </c>
      <c r="O1123" s="14" t="s">
        <v>12241</v>
      </c>
      <c r="P1123" s="14" t="s">
        <v>12242</v>
      </c>
      <c r="Q1123" s="14">
        <v>412584.58</v>
      </c>
      <c r="R1123" s="14">
        <v>6185469.25</v>
      </c>
      <c r="S1123" s="14" t="s">
        <v>12243</v>
      </c>
      <c r="T1123" s="14" t="s">
        <v>12244</v>
      </c>
      <c r="U1123" s="14">
        <v>412558.22</v>
      </c>
      <c r="V1123" s="14">
        <v>6185470.54</v>
      </c>
      <c r="W1123" s="14">
        <v>180.39</v>
      </c>
      <c r="X1123" s="14">
        <v>150.05000000000001</v>
      </c>
    </row>
    <row r="1124" spans="1:24" s="14" customFormat="1" x14ac:dyDescent="0.25">
      <c r="A1124" s="50">
        <v>45100</v>
      </c>
      <c r="B1124" s="57">
        <v>174</v>
      </c>
      <c r="C1124" s="36">
        <v>0.20890046296296297</v>
      </c>
      <c r="D1124" s="16" t="s">
        <v>177</v>
      </c>
      <c r="E1124" s="52" t="s">
        <v>70</v>
      </c>
      <c r="F1124" s="16" t="s">
        <v>11862</v>
      </c>
      <c r="G1124" s="16" t="s">
        <v>2199</v>
      </c>
      <c r="H1124" s="14">
        <v>0.17</v>
      </c>
      <c r="I1124" s="14" t="s">
        <v>12245</v>
      </c>
      <c r="J1124" s="14" t="s">
        <v>12246</v>
      </c>
      <c r="K1124" s="14" t="s">
        <v>12247</v>
      </c>
      <c r="L1124" s="14" t="s">
        <v>12252</v>
      </c>
      <c r="O1124" s="14" t="s">
        <v>12248</v>
      </c>
      <c r="P1124" s="14" t="s">
        <v>12249</v>
      </c>
      <c r="Q1124" s="14">
        <v>412583.29</v>
      </c>
      <c r="R1124" s="14">
        <v>6185279.8899999997</v>
      </c>
      <c r="S1124" s="14" t="s">
        <v>12250</v>
      </c>
      <c r="T1124" s="14" t="s">
        <v>12251</v>
      </c>
      <c r="U1124" s="14">
        <v>412558.15</v>
      </c>
      <c r="V1124" s="14">
        <v>6185279.9699999997</v>
      </c>
      <c r="W1124" s="14">
        <v>179.85</v>
      </c>
      <c r="X1124" s="14">
        <v>150.05000000000001</v>
      </c>
    </row>
    <row r="1125" spans="1:24" s="14" customFormat="1" x14ac:dyDescent="0.25">
      <c r="A1125" s="50">
        <v>45100</v>
      </c>
      <c r="B1125" s="57">
        <v>174</v>
      </c>
      <c r="C1125" s="36">
        <v>0.21140046296296297</v>
      </c>
      <c r="D1125" s="16" t="s">
        <v>177</v>
      </c>
      <c r="E1125" s="14" t="s">
        <v>65</v>
      </c>
      <c r="F1125" s="16" t="s">
        <v>11862</v>
      </c>
      <c r="G1125" s="16" t="s">
        <v>2200</v>
      </c>
      <c r="H1125" s="14">
        <v>0.16600000000000001</v>
      </c>
      <c r="I1125" s="14" t="s">
        <v>12257</v>
      </c>
      <c r="J1125" s="14" t="s">
        <v>12258</v>
      </c>
      <c r="K1125" s="14" t="s">
        <v>12259</v>
      </c>
      <c r="L1125" s="14" t="s">
        <v>12252</v>
      </c>
      <c r="O1125" s="14" t="s">
        <v>12253</v>
      </c>
      <c r="P1125" s="14" t="s">
        <v>12254</v>
      </c>
      <c r="Q1125" s="14">
        <v>412574.19</v>
      </c>
      <c r="R1125" s="14">
        <v>6185267.9199999999</v>
      </c>
      <c r="S1125" s="14" t="s">
        <v>12255</v>
      </c>
      <c r="T1125" s="14" t="s">
        <v>12256</v>
      </c>
      <c r="U1125" s="14">
        <v>412549.07</v>
      </c>
      <c r="V1125" s="14">
        <v>6185272.6900000004</v>
      </c>
      <c r="W1125" s="14">
        <v>1.8</v>
      </c>
      <c r="X1125" s="14">
        <v>150.05000000000001</v>
      </c>
    </row>
    <row r="1126" spans="1:24" s="14" customFormat="1" x14ac:dyDescent="0.25">
      <c r="A1126" s="50">
        <v>45100</v>
      </c>
      <c r="B1126" s="57">
        <v>174</v>
      </c>
      <c r="C1126" s="36">
        <v>0.21502314814814816</v>
      </c>
      <c r="D1126" s="16" t="s">
        <v>177</v>
      </c>
      <c r="E1126" s="52" t="s">
        <v>70</v>
      </c>
      <c r="F1126" s="16" t="s">
        <v>11862</v>
      </c>
      <c r="G1126" s="16" t="s">
        <v>2200</v>
      </c>
      <c r="H1126" s="14">
        <v>-2.5999999999999999E-2</v>
      </c>
      <c r="I1126" s="14" t="s">
        <v>12257</v>
      </c>
      <c r="J1126" s="14" t="s">
        <v>12258</v>
      </c>
      <c r="K1126" s="14" t="s">
        <v>12259</v>
      </c>
      <c r="L1126" s="14" t="s">
        <v>12252</v>
      </c>
      <c r="O1126" s="14" t="s">
        <v>12260</v>
      </c>
      <c r="P1126" s="14" t="s">
        <v>12261</v>
      </c>
      <c r="Q1126" s="14">
        <v>412575.42</v>
      </c>
      <c r="R1126" s="14">
        <v>6185458.0199999996</v>
      </c>
      <c r="S1126" s="14" t="s">
        <v>12262</v>
      </c>
      <c r="T1126" s="14" t="s">
        <v>12263</v>
      </c>
      <c r="U1126" s="14">
        <v>412549.23</v>
      </c>
      <c r="V1126" s="14">
        <v>6185464.1900000004</v>
      </c>
      <c r="W1126" s="14">
        <v>358.71</v>
      </c>
      <c r="X1126" s="14">
        <v>150.05000000000001</v>
      </c>
    </row>
    <row r="1127" spans="1:24" s="14" customFormat="1" x14ac:dyDescent="0.25">
      <c r="A1127" s="50">
        <v>45100</v>
      </c>
      <c r="B1127" s="57">
        <v>174</v>
      </c>
      <c r="C1127" s="36">
        <v>0.21869212962962961</v>
      </c>
      <c r="D1127" s="16" t="s">
        <v>177</v>
      </c>
      <c r="E1127" s="52" t="s">
        <v>65</v>
      </c>
      <c r="F1127" s="16" t="s">
        <v>11862</v>
      </c>
      <c r="G1127" s="16" t="s">
        <v>2201</v>
      </c>
      <c r="H1127" s="14">
        <v>-0.02</v>
      </c>
      <c r="I1127" s="14" t="s">
        <v>12268</v>
      </c>
      <c r="J1127" s="14" t="s">
        <v>12269</v>
      </c>
      <c r="K1127" s="14" t="s">
        <v>12270</v>
      </c>
      <c r="L1127" s="14" t="s">
        <v>12271</v>
      </c>
      <c r="O1127" s="14" t="s">
        <v>12264</v>
      </c>
      <c r="P1127" s="14" t="s">
        <v>12265</v>
      </c>
      <c r="Q1127" s="14">
        <v>412565.28</v>
      </c>
      <c r="R1127" s="14">
        <v>6185463.0099999998</v>
      </c>
      <c r="S1127" s="14" t="s">
        <v>12266</v>
      </c>
      <c r="T1127" s="14" t="s">
        <v>12267</v>
      </c>
      <c r="U1127" s="14">
        <v>412540.25</v>
      </c>
      <c r="V1127" s="14">
        <v>6185469.6500000004</v>
      </c>
      <c r="W1127" s="14">
        <v>180.62</v>
      </c>
      <c r="X1127" s="14">
        <v>150.05000000000001</v>
      </c>
    </row>
    <row r="1128" spans="1:24" s="14" customFormat="1" x14ac:dyDescent="0.25">
      <c r="A1128" s="50">
        <v>45100</v>
      </c>
      <c r="B1128" s="57">
        <v>174</v>
      </c>
      <c r="C1128" s="36">
        <v>0.22229166666666667</v>
      </c>
      <c r="D1128" s="16" t="s">
        <v>177</v>
      </c>
      <c r="E1128" s="52" t="s">
        <v>70</v>
      </c>
      <c r="F1128" s="16" t="s">
        <v>11862</v>
      </c>
      <c r="G1128" s="16" t="s">
        <v>2201</v>
      </c>
      <c r="H1128" s="14">
        <v>0.17</v>
      </c>
      <c r="I1128" s="14" t="s">
        <v>12268</v>
      </c>
      <c r="J1128" s="14" t="s">
        <v>12269</v>
      </c>
      <c r="K1128" s="14" t="s">
        <v>12270</v>
      </c>
      <c r="L1128" s="14" t="s">
        <v>12271</v>
      </c>
      <c r="O1128" s="14" t="s">
        <v>12272</v>
      </c>
      <c r="P1128" s="14" t="s">
        <v>12273</v>
      </c>
      <c r="Q1128" s="14">
        <v>412564.27</v>
      </c>
      <c r="R1128" s="14">
        <v>6185272.2199999997</v>
      </c>
      <c r="S1128" s="14" t="s">
        <v>12274</v>
      </c>
      <c r="T1128" s="14" t="s">
        <v>12275</v>
      </c>
      <c r="U1128" s="14">
        <v>412540.1</v>
      </c>
      <c r="V1128" s="14">
        <v>6185279.1799999997</v>
      </c>
      <c r="W1128" s="14">
        <v>178.54</v>
      </c>
      <c r="X1128" s="14">
        <v>150.05000000000001</v>
      </c>
    </row>
    <row r="1129" spans="1:24" s="14" customFormat="1" x14ac:dyDescent="0.25">
      <c r="A1129" s="50">
        <v>45100</v>
      </c>
      <c r="B1129" s="57">
        <v>174</v>
      </c>
      <c r="C1129" s="36">
        <v>0.22440972222222222</v>
      </c>
      <c r="D1129" s="16" t="s">
        <v>177</v>
      </c>
      <c r="E1129" s="52" t="s">
        <v>65</v>
      </c>
      <c r="F1129" s="16" t="s">
        <v>11862</v>
      </c>
      <c r="G1129" s="16" t="s">
        <v>2202</v>
      </c>
      <c r="H1129" s="14">
        <v>0.16600000000000001</v>
      </c>
      <c r="I1129" s="14" t="s">
        <v>12280</v>
      </c>
      <c r="J1129" s="14" t="s">
        <v>12281</v>
      </c>
      <c r="K1129" s="14" t="s">
        <v>12282</v>
      </c>
      <c r="L1129" s="14" t="s">
        <v>12271</v>
      </c>
      <c r="O1129" s="14" t="s">
        <v>12276</v>
      </c>
      <c r="P1129" s="14" t="s">
        <v>12277</v>
      </c>
      <c r="Q1129" s="14">
        <v>412555.56</v>
      </c>
      <c r="R1129" s="14">
        <v>6185265.54</v>
      </c>
      <c r="S1129" s="14" t="s">
        <v>12278</v>
      </c>
      <c r="T1129" s="14" t="s">
        <v>12279</v>
      </c>
      <c r="U1129" s="14">
        <v>412531.13</v>
      </c>
      <c r="V1129" s="14">
        <v>6185272.4199999999</v>
      </c>
      <c r="W1129" s="14">
        <v>358.85</v>
      </c>
      <c r="X1129" s="14">
        <v>150.05000000000001</v>
      </c>
    </row>
    <row r="1130" spans="1:24" s="14" customFormat="1" x14ac:dyDescent="0.25">
      <c r="A1130" s="50">
        <v>45100</v>
      </c>
      <c r="B1130" s="57">
        <v>174</v>
      </c>
      <c r="C1130" s="36">
        <v>0.22805555555555557</v>
      </c>
      <c r="D1130" s="16" t="s">
        <v>177</v>
      </c>
      <c r="E1130" s="52" t="s">
        <v>70</v>
      </c>
      <c r="F1130" s="16" t="s">
        <v>11862</v>
      </c>
      <c r="G1130" s="16" t="s">
        <v>2202</v>
      </c>
      <c r="H1130" s="14">
        <v>-2.5000000000000001E-2</v>
      </c>
      <c r="I1130" s="14" t="s">
        <v>12280</v>
      </c>
      <c r="J1130" s="14" t="s">
        <v>12281</v>
      </c>
      <c r="K1130" s="14" t="s">
        <v>12282</v>
      </c>
      <c r="L1130" s="14" t="s">
        <v>12271</v>
      </c>
      <c r="O1130" s="14" t="s">
        <v>12283</v>
      </c>
      <c r="P1130" s="14" t="s">
        <v>12284</v>
      </c>
      <c r="Q1130" s="14">
        <v>412556.24</v>
      </c>
      <c r="R1130" s="14">
        <v>6185456.96</v>
      </c>
      <c r="S1130" s="14" t="s">
        <v>12285</v>
      </c>
      <c r="T1130" s="14" t="s">
        <v>12286</v>
      </c>
      <c r="U1130" s="14">
        <v>412531.14</v>
      </c>
      <c r="V1130" s="14">
        <v>6185463.5999999996</v>
      </c>
      <c r="W1130" s="14">
        <v>358.25</v>
      </c>
      <c r="X1130" s="14">
        <v>150.05000000000001</v>
      </c>
    </row>
    <row r="1131" spans="1:24" s="90" customFormat="1" x14ac:dyDescent="0.25">
      <c r="A1131" s="93">
        <v>45100</v>
      </c>
      <c r="B1131" s="92">
        <v>174</v>
      </c>
      <c r="C1131" s="83">
        <v>0.23042824074074075</v>
      </c>
      <c r="D1131" s="95" t="s">
        <v>177</v>
      </c>
      <c r="E1131" s="91" t="s">
        <v>7456</v>
      </c>
      <c r="F1131" s="95" t="s">
        <v>11862</v>
      </c>
      <c r="G1131" s="95" t="s">
        <v>2203</v>
      </c>
      <c r="H1131" s="90">
        <v>-2.1000000000000001E-2</v>
      </c>
      <c r="I1131" s="90" t="s">
        <v>12291</v>
      </c>
      <c r="J1131" s="90" t="s">
        <v>12292</v>
      </c>
      <c r="K1131" s="90" t="s">
        <v>12293</v>
      </c>
      <c r="L1131" s="90" t="s">
        <v>12294</v>
      </c>
      <c r="O1131" s="90" t="s">
        <v>12287</v>
      </c>
      <c r="P1131" s="90" t="s">
        <v>12288</v>
      </c>
      <c r="Q1131" s="90">
        <v>412547.31</v>
      </c>
      <c r="R1131" s="90">
        <v>6185465</v>
      </c>
      <c r="S1131" s="90" t="s">
        <v>12289</v>
      </c>
      <c r="T1131" s="90" t="s">
        <v>12290</v>
      </c>
      <c r="U1131" s="90">
        <v>412522.15</v>
      </c>
      <c r="V1131" s="90">
        <v>6185470.4800000004</v>
      </c>
      <c r="W1131" s="90">
        <v>178.73</v>
      </c>
      <c r="X1131" s="90">
        <v>150.05000000000001</v>
      </c>
    </row>
    <row r="1132" spans="1:24" s="90" customFormat="1" x14ac:dyDescent="0.25">
      <c r="A1132" s="93">
        <v>45100</v>
      </c>
      <c r="B1132" s="92">
        <v>174</v>
      </c>
      <c r="C1132" s="83">
        <v>0.23177083333333334</v>
      </c>
      <c r="D1132" s="95" t="s">
        <v>177</v>
      </c>
      <c r="E1132" s="91" t="s">
        <v>7457</v>
      </c>
      <c r="F1132" s="95" t="s">
        <v>11862</v>
      </c>
      <c r="G1132" s="95" t="s">
        <v>2203</v>
      </c>
      <c r="H1132" s="90">
        <v>3.4000000000000002E-2</v>
      </c>
      <c r="I1132" s="90" t="s">
        <v>12291</v>
      </c>
      <c r="J1132" s="90" t="s">
        <v>12292</v>
      </c>
      <c r="K1132" s="90" t="s">
        <v>12293</v>
      </c>
      <c r="L1132" s="90" t="s">
        <v>12294</v>
      </c>
      <c r="O1132" s="90" t="s">
        <v>12295</v>
      </c>
      <c r="P1132" s="90" t="s">
        <v>12296</v>
      </c>
      <c r="Q1132" s="90">
        <v>412546.75</v>
      </c>
      <c r="R1132" s="90">
        <v>6185394.2999999998</v>
      </c>
      <c r="S1132" s="90" t="s">
        <v>12297</v>
      </c>
      <c r="T1132" s="90" t="s">
        <v>12298</v>
      </c>
      <c r="U1132" s="90">
        <v>412521.86</v>
      </c>
      <c r="V1132" s="90">
        <v>6185415.4800000004</v>
      </c>
      <c r="W1132" s="90">
        <v>176.26</v>
      </c>
      <c r="X1132" s="90">
        <v>150.05000000000001</v>
      </c>
    </row>
    <row r="1133" spans="1:24" s="14" customFormat="1" x14ac:dyDescent="0.25">
      <c r="A1133" s="50">
        <v>45100</v>
      </c>
      <c r="B1133" s="57">
        <v>174</v>
      </c>
      <c r="C1133" s="36">
        <v>0.23190972222222225</v>
      </c>
      <c r="D1133" s="16" t="s">
        <v>177</v>
      </c>
      <c r="E1133" s="52" t="s">
        <v>12303</v>
      </c>
      <c r="F1133" s="16" t="s">
        <v>11862</v>
      </c>
      <c r="G1133" s="16" t="s">
        <v>2203</v>
      </c>
      <c r="H1133" s="14">
        <v>4.1000000000000002E-2</v>
      </c>
      <c r="O1133" s="14" t="s">
        <v>12299</v>
      </c>
      <c r="P1133" s="14" t="s">
        <v>12300</v>
      </c>
      <c r="Q1133" s="14">
        <v>412546.74</v>
      </c>
      <c r="R1133" s="14">
        <v>6185387.9900000002</v>
      </c>
      <c r="S1133" s="14" t="s">
        <v>12301</v>
      </c>
      <c r="T1133" s="14" t="s">
        <v>12302</v>
      </c>
      <c r="U1133" s="14">
        <v>412521.84</v>
      </c>
      <c r="V1133" s="14">
        <v>6185408.7599999998</v>
      </c>
      <c r="W1133" s="14">
        <v>175.09</v>
      </c>
      <c r="X1133" s="14">
        <v>150.05000000000001</v>
      </c>
    </row>
    <row r="1134" spans="1:24" s="14" customFormat="1" x14ac:dyDescent="0.25">
      <c r="A1134" s="50">
        <v>45100</v>
      </c>
      <c r="B1134" s="57">
        <v>174</v>
      </c>
      <c r="C1134" s="36">
        <v>0.2378240740740741</v>
      </c>
      <c r="D1134" s="16" t="s">
        <v>177</v>
      </c>
      <c r="E1134" s="14" t="s">
        <v>65</v>
      </c>
      <c r="F1134" s="16" t="s">
        <v>11862</v>
      </c>
      <c r="G1134" s="16" t="s">
        <v>2203</v>
      </c>
      <c r="H1134" s="14">
        <v>-1.7999999999999999E-2</v>
      </c>
      <c r="I1134" s="14" t="s">
        <v>12308</v>
      </c>
      <c r="J1134" s="14" t="s">
        <v>12309</v>
      </c>
      <c r="K1134" s="14" t="s">
        <v>12310</v>
      </c>
      <c r="L1134" s="14" t="s">
        <v>12294</v>
      </c>
      <c r="O1134" s="14" t="s">
        <v>12304</v>
      </c>
      <c r="P1134" s="14" t="s">
        <v>12305</v>
      </c>
      <c r="Q1134" s="14">
        <v>412547.43</v>
      </c>
      <c r="R1134" s="14">
        <v>6185468.7599999998</v>
      </c>
      <c r="S1134" s="14" t="s">
        <v>12306</v>
      </c>
      <c r="T1134" s="14" t="s">
        <v>12307</v>
      </c>
      <c r="U1134" s="14">
        <v>412522.19</v>
      </c>
      <c r="V1134" s="14">
        <v>6185468.0199999996</v>
      </c>
      <c r="W1134" s="14">
        <v>180.92</v>
      </c>
      <c r="X1134" s="14">
        <v>150.05000000000001</v>
      </c>
    </row>
    <row r="1135" spans="1:24" s="14" customFormat="1" x14ac:dyDescent="0.25">
      <c r="A1135" s="50">
        <v>45100</v>
      </c>
      <c r="B1135" s="57">
        <v>174</v>
      </c>
      <c r="C1135" s="36">
        <v>0.24152777777777779</v>
      </c>
      <c r="D1135" s="16" t="s">
        <v>177</v>
      </c>
      <c r="E1135" s="14" t="s">
        <v>70</v>
      </c>
      <c r="F1135" s="16" t="s">
        <v>11862</v>
      </c>
      <c r="G1135" s="16" t="s">
        <v>2203</v>
      </c>
      <c r="H1135" s="14">
        <v>0.17100000000000001</v>
      </c>
      <c r="I1135" s="14" t="s">
        <v>12308</v>
      </c>
      <c r="J1135" s="14" t="s">
        <v>12309</v>
      </c>
      <c r="K1135" s="14" t="s">
        <v>12310</v>
      </c>
      <c r="L1135" s="14" t="s">
        <v>12315</v>
      </c>
      <c r="O1135" s="14" t="s">
        <v>12311</v>
      </c>
      <c r="P1135" s="14" t="s">
        <v>12312</v>
      </c>
      <c r="Q1135" s="14">
        <v>412546.28</v>
      </c>
      <c r="R1135" s="14">
        <v>6185280.2400000002</v>
      </c>
      <c r="S1135" s="14" t="s">
        <v>12313</v>
      </c>
      <c r="T1135" s="14" t="s">
        <v>12314</v>
      </c>
      <c r="U1135" s="14">
        <v>412522.15</v>
      </c>
      <c r="V1135" s="14">
        <v>6185278.9100000001</v>
      </c>
      <c r="W1135" s="14">
        <v>179.01</v>
      </c>
      <c r="X1135" s="14">
        <v>150.05000000000001</v>
      </c>
    </row>
    <row r="1136" spans="1:24" s="14" customFormat="1" x14ac:dyDescent="0.25">
      <c r="A1136" s="50">
        <v>45100</v>
      </c>
      <c r="B1136" s="57">
        <v>174</v>
      </c>
      <c r="C1136" s="36">
        <v>0.24828703703703703</v>
      </c>
      <c r="D1136" s="16" t="s">
        <v>177</v>
      </c>
      <c r="E1136" s="14" t="s">
        <v>65</v>
      </c>
      <c r="F1136" s="16" t="s">
        <v>11862</v>
      </c>
      <c r="G1136" s="16" t="s">
        <v>12316</v>
      </c>
      <c r="H1136" s="14">
        <v>0.06</v>
      </c>
      <c r="I1136" s="14" t="s">
        <v>12321</v>
      </c>
      <c r="J1136" s="14" t="s">
        <v>12309</v>
      </c>
      <c r="K1136" s="14" t="s">
        <v>12310</v>
      </c>
      <c r="L1136" s="14" t="s">
        <v>12315</v>
      </c>
      <c r="O1136" s="14" t="s">
        <v>12317</v>
      </c>
      <c r="P1136" s="14" t="s">
        <v>12318</v>
      </c>
      <c r="Q1136" s="14">
        <v>412635.09</v>
      </c>
      <c r="R1136" s="14">
        <v>6185305.2999999998</v>
      </c>
      <c r="S1136" s="14" t="s">
        <v>12319</v>
      </c>
      <c r="T1136" s="14" t="s">
        <v>12320</v>
      </c>
      <c r="U1136" s="14">
        <v>412612.16</v>
      </c>
      <c r="V1136" s="14">
        <v>6185306.3600000003</v>
      </c>
      <c r="W1136" s="14">
        <v>359.79</v>
      </c>
      <c r="X1136" s="14">
        <v>51.08</v>
      </c>
    </row>
    <row r="1137" spans="1:24" s="14" customFormat="1" x14ac:dyDescent="0.25">
      <c r="A1137" s="50">
        <v>45100</v>
      </c>
      <c r="B1137" s="57">
        <v>174</v>
      </c>
      <c r="C1137" s="36">
        <v>0.24974537037037037</v>
      </c>
      <c r="D1137" s="16" t="s">
        <v>177</v>
      </c>
      <c r="E1137" s="52" t="s">
        <v>70</v>
      </c>
      <c r="F1137" s="16" t="s">
        <v>11862</v>
      </c>
      <c r="G1137" s="16" t="s">
        <v>12316</v>
      </c>
      <c r="H1137" s="14">
        <v>-5.0000000000000001E-3</v>
      </c>
      <c r="I1137" s="14" t="s">
        <v>12321</v>
      </c>
      <c r="J1137" s="14" t="s">
        <v>12309</v>
      </c>
      <c r="K1137" s="14" t="s">
        <v>12310</v>
      </c>
      <c r="L1137" s="14" t="s">
        <v>12327</v>
      </c>
      <c r="O1137" s="14" t="s">
        <v>12323</v>
      </c>
      <c r="P1137" s="14" t="s">
        <v>12324</v>
      </c>
      <c r="Q1137" s="14">
        <v>412635.88</v>
      </c>
      <c r="R1137" s="14">
        <v>6185367.5300000003</v>
      </c>
      <c r="S1137" s="14" t="s">
        <v>12325</v>
      </c>
      <c r="T1137" s="14" t="s">
        <v>12326</v>
      </c>
      <c r="U1137" s="14">
        <v>412612.09</v>
      </c>
      <c r="V1137" s="14">
        <v>6185371.0300000003</v>
      </c>
      <c r="W1137" s="14">
        <v>358.85</v>
      </c>
      <c r="X1137" s="14">
        <v>51.08</v>
      </c>
    </row>
    <row r="1138" spans="1:24" s="14" customFormat="1" x14ac:dyDescent="0.25">
      <c r="A1138" s="50">
        <v>45100</v>
      </c>
      <c r="B1138" s="57">
        <v>174</v>
      </c>
      <c r="C1138" s="36">
        <v>0.25002314814814813</v>
      </c>
      <c r="D1138" s="16" t="s">
        <v>177</v>
      </c>
      <c r="E1138" s="14" t="s">
        <v>8171</v>
      </c>
      <c r="F1138" s="16" t="s">
        <v>11862</v>
      </c>
      <c r="G1138" s="16" t="s">
        <v>2490</v>
      </c>
      <c r="H1138" s="14">
        <v>0.58299999999999996</v>
      </c>
      <c r="O1138" s="14" t="s">
        <v>12328</v>
      </c>
      <c r="P1138" s="14" t="s">
        <v>12329</v>
      </c>
      <c r="Q1138" s="14">
        <v>412635.47</v>
      </c>
      <c r="R1138" s="14">
        <v>6185380.9400000004</v>
      </c>
      <c r="S1138" s="14" t="s">
        <v>12330</v>
      </c>
      <c r="T1138" s="14" t="s">
        <v>12331</v>
      </c>
      <c r="U1138" s="14">
        <v>412617.22</v>
      </c>
      <c r="V1138" s="14">
        <v>6185386.7400000002</v>
      </c>
      <c r="W1138" s="14">
        <v>270.58</v>
      </c>
      <c r="X1138" s="14">
        <v>200.06</v>
      </c>
    </row>
    <row r="1139" spans="1:24" s="14" customFormat="1" x14ac:dyDescent="0.25">
      <c r="A1139" s="50">
        <v>45100</v>
      </c>
      <c r="B1139" s="57">
        <v>174</v>
      </c>
      <c r="C1139" s="36">
        <v>0.25905092592592593</v>
      </c>
      <c r="D1139" s="16" t="s">
        <v>177</v>
      </c>
      <c r="E1139" s="14" t="s">
        <v>8176</v>
      </c>
      <c r="F1139" s="16" t="s">
        <v>12332</v>
      </c>
      <c r="G1139" s="16" t="s">
        <v>2490</v>
      </c>
      <c r="H1139" s="14">
        <v>0.58299999999999996</v>
      </c>
      <c r="O1139" s="14" t="s">
        <v>12333</v>
      </c>
      <c r="P1139" s="14" t="s">
        <v>12334</v>
      </c>
      <c r="Q1139" s="14">
        <v>412635.35</v>
      </c>
      <c r="R1139" s="14">
        <v>6185381.2199999997</v>
      </c>
      <c r="S1139" s="14" t="s">
        <v>12335</v>
      </c>
      <c r="T1139" s="14" t="s">
        <v>12336</v>
      </c>
      <c r="U1139" s="14">
        <v>412617.21</v>
      </c>
      <c r="V1139" s="14">
        <v>6185386.3099999996</v>
      </c>
      <c r="W1139" s="14">
        <v>271.95999999999998</v>
      </c>
      <c r="X1139" s="14">
        <v>200.06</v>
      </c>
    </row>
    <row r="1140" spans="1:24" s="14" customFormat="1" x14ac:dyDescent="0.25">
      <c r="A1140" s="50">
        <v>45100</v>
      </c>
      <c r="B1140" s="57">
        <v>174</v>
      </c>
      <c r="C1140" s="36">
        <v>0.26100694444444444</v>
      </c>
      <c r="D1140" s="16" t="s">
        <v>177</v>
      </c>
      <c r="E1140" s="52" t="s">
        <v>12322</v>
      </c>
      <c r="F1140" s="16" t="s">
        <v>12332</v>
      </c>
      <c r="G1140" s="16" t="s">
        <v>2490</v>
      </c>
      <c r="H1140" s="14">
        <v>0.58499999999999996</v>
      </c>
      <c r="O1140" s="14" t="s">
        <v>12337</v>
      </c>
      <c r="P1140" s="14" t="s">
        <v>12338</v>
      </c>
      <c r="Q1140" s="14">
        <v>412635.51</v>
      </c>
      <c r="R1140" s="14">
        <v>6185381.0300000003</v>
      </c>
      <c r="S1140" s="14" t="s">
        <v>12339</v>
      </c>
      <c r="T1140" s="14" t="s">
        <v>12340</v>
      </c>
      <c r="U1140" s="14">
        <v>412624.76</v>
      </c>
      <c r="V1140" s="14">
        <v>6185383.6299999999</v>
      </c>
      <c r="W1140" s="14">
        <v>277.67</v>
      </c>
      <c r="X1140" s="14">
        <v>200.06</v>
      </c>
    </row>
    <row r="1141" spans="1:24" s="14" customFormat="1" x14ac:dyDescent="0.25">
      <c r="A1141" s="50">
        <v>45100</v>
      </c>
      <c r="B1141" s="57">
        <v>174</v>
      </c>
      <c r="C1141" s="36">
        <v>0.27466435185185184</v>
      </c>
      <c r="D1141" s="16" t="s">
        <v>177</v>
      </c>
      <c r="E1141" s="52" t="s">
        <v>8597</v>
      </c>
      <c r="F1141" s="16" t="s">
        <v>12332</v>
      </c>
      <c r="G1141" s="16" t="s">
        <v>2490</v>
      </c>
      <c r="H1141" s="14">
        <v>0.23799999999999999</v>
      </c>
      <c r="O1141" s="14" t="s">
        <v>12341</v>
      </c>
      <c r="P1141" s="14" t="s">
        <v>12342</v>
      </c>
      <c r="Q1141" s="14">
        <v>410252.58</v>
      </c>
      <c r="R1141" s="14">
        <v>6185728.5800000001</v>
      </c>
      <c r="S1141" s="14" t="s">
        <v>12343</v>
      </c>
      <c r="T1141" s="14" t="s">
        <v>12344</v>
      </c>
      <c r="U1141" s="14">
        <v>410241.71</v>
      </c>
      <c r="V1141" s="14">
        <v>6185730.1200000001</v>
      </c>
      <c r="W1141" s="14">
        <v>286.95</v>
      </c>
      <c r="X1141" s="14">
        <v>200.06</v>
      </c>
    </row>
    <row r="1142" spans="1:24" s="68" customFormat="1" x14ac:dyDescent="0.25">
      <c r="A1142" s="65">
        <v>45100</v>
      </c>
      <c r="B1142" s="106">
        <v>174</v>
      </c>
      <c r="C1142" s="67">
        <v>0.27616898148148145</v>
      </c>
      <c r="D1142" s="66" t="s">
        <v>177</v>
      </c>
      <c r="E1142" s="88" t="s">
        <v>12350</v>
      </c>
      <c r="F1142" s="66" t="s">
        <v>12332</v>
      </c>
      <c r="G1142" s="66" t="s">
        <v>2490</v>
      </c>
      <c r="H1142" s="68">
        <v>0.22900000000000001</v>
      </c>
      <c r="M1142" s="68" t="s">
        <v>12345</v>
      </c>
      <c r="O1142" s="68" t="s">
        <v>12346</v>
      </c>
      <c r="P1142" s="68" t="s">
        <v>12347</v>
      </c>
      <c r="Q1142" s="68">
        <v>410257.71</v>
      </c>
      <c r="R1142" s="68">
        <v>6185728.6500000004</v>
      </c>
      <c r="S1142" s="68" t="s">
        <v>12348</v>
      </c>
      <c r="T1142" s="68" t="s">
        <v>12349</v>
      </c>
      <c r="U1142" s="68">
        <v>410232.65</v>
      </c>
      <c r="V1142" s="68">
        <v>6185735.2300000004</v>
      </c>
      <c r="W1142" s="68">
        <v>2.21</v>
      </c>
      <c r="X1142" s="68">
        <v>200.06</v>
      </c>
    </row>
    <row r="1143" spans="1:24" s="14" customFormat="1" x14ac:dyDescent="0.25">
      <c r="A1143" s="50">
        <v>45100</v>
      </c>
      <c r="B1143" s="57">
        <v>174</v>
      </c>
      <c r="C1143" s="36">
        <v>0.27884259259259259</v>
      </c>
      <c r="D1143" s="16" t="s">
        <v>177</v>
      </c>
      <c r="E1143" s="14" t="s">
        <v>65</v>
      </c>
      <c r="F1143" s="16" t="s">
        <v>12332</v>
      </c>
      <c r="G1143" s="16" t="s">
        <v>2490</v>
      </c>
      <c r="H1143" s="14">
        <v>0.21299999999999999</v>
      </c>
      <c r="I1143" s="14" t="s">
        <v>12355</v>
      </c>
      <c r="J1143" s="14" t="s">
        <v>12356</v>
      </c>
      <c r="K1143" s="14" t="s">
        <v>12357</v>
      </c>
      <c r="L1143" s="14" t="s">
        <v>12358</v>
      </c>
      <c r="O1143" s="14" t="s">
        <v>12351</v>
      </c>
      <c r="P1143" s="14" t="s">
        <v>12352</v>
      </c>
      <c r="Q1143" s="14">
        <v>410258.68</v>
      </c>
      <c r="R1143" s="14">
        <v>6185747.6299999999</v>
      </c>
      <c r="S1143" s="14" t="s">
        <v>12353</v>
      </c>
      <c r="T1143" s="14" t="s">
        <v>12354</v>
      </c>
      <c r="U1143" s="14">
        <v>410232.83</v>
      </c>
      <c r="V1143" s="14">
        <v>6185751.4199999999</v>
      </c>
      <c r="W1143" s="14">
        <v>359.96</v>
      </c>
      <c r="X1143" s="14">
        <v>200.06</v>
      </c>
    </row>
    <row r="1144" spans="1:24" s="14" customFormat="1" x14ac:dyDescent="0.25">
      <c r="A1144" s="50">
        <v>45100</v>
      </c>
      <c r="B1144" s="57">
        <v>174</v>
      </c>
      <c r="C1144" s="36">
        <v>0.28347222222222224</v>
      </c>
      <c r="D1144" s="16" t="s">
        <v>177</v>
      </c>
      <c r="E1144" s="14" t="s">
        <v>70</v>
      </c>
      <c r="F1144" s="16" t="s">
        <v>12332</v>
      </c>
      <c r="G1144" s="16" t="s">
        <v>2490</v>
      </c>
      <c r="H1144" s="14">
        <v>-2.4E-2</v>
      </c>
      <c r="I1144" s="14" t="s">
        <v>12355</v>
      </c>
      <c r="J1144" s="14" t="s">
        <v>12356</v>
      </c>
      <c r="K1144" s="14" t="s">
        <v>12357</v>
      </c>
      <c r="L1144" s="14" t="s">
        <v>12363</v>
      </c>
      <c r="O1144" s="14" t="s">
        <v>12359</v>
      </c>
      <c r="P1144" s="14" t="s">
        <v>12360</v>
      </c>
      <c r="Q1144" s="14">
        <v>410258.32</v>
      </c>
      <c r="R1144" s="14">
        <v>6185984.2699999996</v>
      </c>
      <c r="S1144" s="14" t="s">
        <v>12361</v>
      </c>
      <c r="T1144" s="14" t="s">
        <v>12362</v>
      </c>
      <c r="U1144" s="14">
        <v>410232.87</v>
      </c>
      <c r="V1144" s="14">
        <v>6185988.1799999997</v>
      </c>
      <c r="W1144" s="14">
        <v>358.39</v>
      </c>
      <c r="X1144" s="14">
        <v>200.06</v>
      </c>
    </row>
    <row r="1145" spans="1:24" s="14" customFormat="1" x14ac:dyDescent="0.25">
      <c r="A1145" s="50">
        <v>45100</v>
      </c>
      <c r="B1145" s="57">
        <v>174</v>
      </c>
      <c r="C1145" s="36">
        <v>0.28585648148148146</v>
      </c>
      <c r="D1145" s="16" t="s">
        <v>177</v>
      </c>
      <c r="E1145" s="52" t="s">
        <v>65</v>
      </c>
      <c r="F1145" s="16" t="s">
        <v>12332</v>
      </c>
      <c r="G1145" s="16" t="s">
        <v>2489</v>
      </c>
      <c r="H1145" s="14">
        <v>-1.4999999999999999E-2</v>
      </c>
      <c r="I1145" s="14" t="s">
        <v>12368</v>
      </c>
      <c r="J1145" s="14" t="s">
        <v>12369</v>
      </c>
      <c r="K1145" s="14" t="s">
        <v>12370</v>
      </c>
      <c r="L1145" s="14" t="s">
        <v>12363</v>
      </c>
      <c r="O1145" s="14" t="s">
        <v>12364</v>
      </c>
      <c r="P1145" s="14" t="s">
        <v>12365</v>
      </c>
      <c r="Q1145" s="14">
        <v>410249.32</v>
      </c>
      <c r="R1145" s="14">
        <v>6185988.5700000003</v>
      </c>
      <c r="S1145" s="14" t="s">
        <v>12366</v>
      </c>
      <c r="T1145" s="14" t="s">
        <v>12367</v>
      </c>
      <c r="U1145" s="14">
        <v>410223.9</v>
      </c>
      <c r="V1145" s="14">
        <v>6185990.0099999998</v>
      </c>
      <c r="W1145" s="14">
        <v>179.34</v>
      </c>
      <c r="X1145" s="14">
        <v>200.06</v>
      </c>
    </row>
    <row r="1146" spans="1:24" s="14" customFormat="1" x14ac:dyDescent="0.25">
      <c r="A1146" s="50">
        <v>45100</v>
      </c>
      <c r="B1146" s="57">
        <v>174</v>
      </c>
      <c r="C1146" s="36">
        <v>0.29023148148148148</v>
      </c>
      <c r="D1146" s="16" t="s">
        <v>177</v>
      </c>
      <c r="E1146" s="14" t="s">
        <v>70</v>
      </c>
      <c r="F1146" s="16" t="s">
        <v>12332</v>
      </c>
      <c r="G1146" s="16" t="s">
        <v>2489</v>
      </c>
      <c r="H1146" s="14">
        <v>-1.4999999999999999E-2</v>
      </c>
      <c r="I1146" s="14" t="s">
        <v>12368</v>
      </c>
      <c r="J1146" s="14" t="s">
        <v>12369</v>
      </c>
      <c r="K1146" s="14" t="s">
        <v>12370</v>
      </c>
      <c r="L1146" s="14" t="s">
        <v>12363</v>
      </c>
      <c r="O1146" s="14" t="s">
        <v>12364</v>
      </c>
      <c r="P1146" s="14" t="s">
        <v>12365</v>
      </c>
      <c r="Q1146" s="14">
        <v>410249.32</v>
      </c>
      <c r="R1146" s="14">
        <v>6185988.5700000003</v>
      </c>
      <c r="S1146" s="14" t="s">
        <v>12366</v>
      </c>
      <c r="T1146" s="14" t="s">
        <v>12367</v>
      </c>
      <c r="U1146" s="14">
        <v>410223.9</v>
      </c>
      <c r="V1146" s="14">
        <v>6185990.0099999998</v>
      </c>
      <c r="W1146" s="14">
        <v>179.34</v>
      </c>
      <c r="X1146" s="14">
        <v>200.06</v>
      </c>
    </row>
    <row r="1147" spans="1:24" s="14" customFormat="1" x14ac:dyDescent="0.25">
      <c r="A1147" s="50">
        <v>45100</v>
      </c>
      <c r="B1147" s="57">
        <v>174</v>
      </c>
      <c r="C1147" s="36">
        <v>0.29240740740740739</v>
      </c>
      <c r="D1147" s="16" t="s">
        <v>177</v>
      </c>
      <c r="E1147" s="52" t="s">
        <v>65</v>
      </c>
      <c r="F1147" s="16" t="s">
        <v>12332</v>
      </c>
      <c r="G1147" s="16" t="s">
        <v>2488</v>
      </c>
      <c r="H1147" s="14">
        <v>-1.4999999999999999E-2</v>
      </c>
      <c r="I1147" s="14" t="s">
        <v>12371</v>
      </c>
      <c r="J1147" s="14" t="s">
        <v>12372</v>
      </c>
      <c r="K1147" s="14" t="s">
        <v>12381</v>
      </c>
      <c r="L1147" s="14" t="s">
        <v>12380</v>
      </c>
    </row>
    <row r="1148" spans="1:24" s="14" customFormat="1" x14ac:dyDescent="0.25">
      <c r="A1148" s="50">
        <v>45100</v>
      </c>
      <c r="B1148" s="57">
        <v>174</v>
      </c>
      <c r="C1148" s="36">
        <v>0.29716435185185186</v>
      </c>
      <c r="D1148" s="16" t="s">
        <v>177</v>
      </c>
      <c r="E1148" s="14" t="s">
        <v>70</v>
      </c>
      <c r="F1148" s="16" t="s">
        <v>12332</v>
      </c>
      <c r="G1148" s="16" t="s">
        <v>2488</v>
      </c>
      <c r="H1148" s="14">
        <v>-1.4999999999999999E-2</v>
      </c>
      <c r="I1148" s="14" t="s">
        <v>12371</v>
      </c>
      <c r="J1148" s="14" t="s">
        <v>12372</v>
      </c>
      <c r="K1148" s="14" t="s">
        <v>12381</v>
      </c>
      <c r="L1148" s="14" t="s">
        <v>12380</v>
      </c>
    </row>
    <row r="1149" spans="1:24" s="14" customFormat="1" x14ac:dyDescent="0.25">
      <c r="A1149" s="50">
        <v>45100</v>
      </c>
      <c r="B1149" s="57">
        <v>174</v>
      </c>
      <c r="C1149" s="36">
        <v>0.30027777777777781</v>
      </c>
      <c r="D1149" s="16" t="s">
        <v>177</v>
      </c>
      <c r="E1149" s="14" t="s">
        <v>65</v>
      </c>
      <c r="F1149" s="16" t="s">
        <v>12332</v>
      </c>
      <c r="G1149" s="16" t="s">
        <v>2487</v>
      </c>
      <c r="H1149" s="14">
        <v>-1.4E-2</v>
      </c>
      <c r="I1149" s="14" t="s">
        <v>12377</v>
      </c>
      <c r="J1149" s="14" t="s">
        <v>12378</v>
      </c>
      <c r="K1149" s="14" t="s">
        <v>12379</v>
      </c>
      <c r="L1149" s="14" t="s">
        <v>12380</v>
      </c>
      <c r="O1149" s="14" t="s">
        <v>12373</v>
      </c>
      <c r="P1149" s="14" t="s">
        <v>12374</v>
      </c>
      <c r="Q1149" s="14">
        <v>410230.65</v>
      </c>
      <c r="R1149" s="14">
        <v>6185987.0300000003</v>
      </c>
      <c r="S1149" s="14" t="s">
        <v>12375</v>
      </c>
      <c r="T1149" s="14" t="s">
        <v>12376</v>
      </c>
      <c r="U1149" s="14">
        <v>410205.96</v>
      </c>
      <c r="V1149" s="14">
        <v>6185988.8099999996</v>
      </c>
      <c r="W1149" s="14">
        <v>179.56</v>
      </c>
      <c r="X1149" s="14">
        <v>200.06</v>
      </c>
    </row>
    <row r="1150" spans="1:24" s="14" customFormat="1" x14ac:dyDescent="0.25">
      <c r="A1150" s="50">
        <v>45100</v>
      </c>
      <c r="B1150" s="57">
        <v>174</v>
      </c>
      <c r="C1150" s="36">
        <v>0.30462962962962964</v>
      </c>
      <c r="D1150" s="16" t="s">
        <v>177</v>
      </c>
      <c r="E1150" s="52" t="s">
        <v>70</v>
      </c>
      <c r="F1150" s="16" t="s">
        <v>12332</v>
      </c>
      <c r="G1150" s="16" t="s">
        <v>2487</v>
      </c>
      <c r="H1150" s="14">
        <v>0.216</v>
      </c>
      <c r="I1150" s="14" t="s">
        <v>12377</v>
      </c>
      <c r="J1150" s="14" t="s">
        <v>12378</v>
      </c>
      <c r="K1150" s="14" t="s">
        <v>12379</v>
      </c>
      <c r="L1150" s="14" t="s">
        <v>12386</v>
      </c>
      <c r="O1150" s="14" t="s">
        <v>12382</v>
      </c>
      <c r="P1150" s="14" t="s">
        <v>12383</v>
      </c>
      <c r="Q1150" s="14">
        <v>410229.43</v>
      </c>
      <c r="R1150" s="14">
        <v>6185756.3399999999</v>
      </c>
      <c r="S1150" s="14" t="s">
        <v>12384</v>
      </c>
      <c r="T1150" s="14" t="s">
        <v>12385</v>
      </c>
      <c r="U1150" s="14">
        <v>410205.9</v>
      </c>
      <c r="V1150" s="14">
        <v>6185758.79</v>
      </c>
      <c r="W1150" s="14">
        <v>179.92</v>
      </c>
      <c r="X1150" s="14">
        <v>200.06</v>
      </c>
    </row>
    <row r="1151" spans="1:24" s="14" customFormat="1" x14ac:dyDescent="0.25">
      <c r="A1151" s="50">
        <v>45100</v>
      </c>
      <c r="B1151" s="57">
        <v>174</v>
      </c>
      <c r="C1151" s="36">
        <v>0.30711805555555555</v>
      </c>
      <c r="D1151" s="16" t="s">
        <v>177</v>
      </c>
      <c r="E1151" s="14" t="s">
        <v>65</v>
      </c>
      <c r="F1151" s="16" t="s">
        <v>12332</v>
      </c>
      <c r="G1151" s="16" t="s">
        <v>2486</v>
      </c>
      <c r="H1151" s="14">
        <v>0.21299999999999999</v>
      </c>
      <c r="I1151" s="14" t="s">
        <v>12391</v>
      </c>
      <c r="J1151" s="14" t="s">
        <v>12392</v>
      </c>
      <c r="K1151" s="14" t="s">
        <v>12393</v>
      </c>
      <c r="L1151" s="14" t="s">
        <v>12386</v>
      </c>
      <c r="O1151" s="14" t="s">
        <v>12387</v>
      </c>
      <c r="P1151" s="14" t="s">
        <v>12388</v>
      </c>
      <c r="Q1151" s="14">
        <v>410220.47</v>
      </c>
      <c r="R1151" s="14">
        <v>6185745.75</v>
      </c>
      <c r="S1151" s="14" t="s">
        <v>12389</v>
      </c>
      <c r="T1151" s="14" t="s">
        <v>12390</v>
      </c>
      <c r="U1151" s="14">
        <v>410196.73</v>
      </c>
      <c r="V1151" s="14">
        <v>6185751.1399999997</v>
      </c>
      <c r="W1151" s="14">
        <v>0.65</v>
      </c>
      <c r="X1151" s="14">
        <v>200.06</v>
      </c>
    </row>
    <row r="1152" spans="1:24" s="14" customFormat="1" x14ac:dyDescent="0.25">
      <c r="A1152" s="50">
        <v>45100</v>
      </c>
      <c r="B1152" s="57">
        <v>174</v>
      </c>
      <c r="C1152" s="36">
        <v>0.3115046296296296</v>
      </c>
      <c r="D1152" s="16" t="s">
        <v>177</v>
      </c>
      <c r="E1152" s="14" t="s">
        <v>70</v>
      </c>
      <c r="F1152" s="16" t="s">
        <v>12332</v>
      </c>
      <c r="G1152" s="16" t="s">
        <v>2486</v>
      </c>
      <c r="H1152" s="14">
        <v>-1.9E-2</v>
      </c>
      <c r="I1152" s="14" t="s">
        <v>12391</v>
      </c>
      <c r="J1152" s="14" t="s">
        <v>12392</v>
      </c>
      <c r="K1152" s="14" t="s">
        <v>12393</v>
      </c>
      <c r="L1152" s="14" t="s">
        <v>12386</v>
      </c>
      <c r="O1152" s="14" t="s">
        <v>12394</v>
      </c>
      <c r="P1152" s="14" t="s">
        <v>12395</v>
      </c>
      <c r="Q1152" s="14">
        <v>410221.6</v>
      </c>
      <c r="R1152" s="14">
        <v>6185977.1399999997</v>
      </c>
      <c r="S1152" s="14" t="s">
        <v>12396</v>
      </c>
      <c r="T1152" s="14" t="s">
        <v>12397</v>
      </c>
      <c r="U1152" s="14">
        <v>410196.93</v>
      </c>
      <c r="V1152" s="14">
        <v>6185983.0499999998</v>
      </c>
      <c r="W1152" s="14">
        <v>359.87</v>
      </c>
      <c r="X1152" s="14">
        <v>200.06</v>
      </c>
    </row>
    <row r="1153" spans="1:24" s="14" customFormat="1" x14ac:dyDescent="0.25">
      <c r="A1153" s="50">
        <v>45100</v>
      </c>
      <c r="B1153" s="57">
        <v>174</v>
      </c>
      <c r="C1153" s="36">
        <v>0.31436342592592592</v>
      </c>
      <c r="D1153" s="16" t="s">
        <v>177</v>
      </c>
      <c r="E1153" s="14" t="s">
        <v>65</v>
      </c>
      <c r="F1153" s="16" t="s">
        <v>12332</v>
      </c>
      <c r="G1153" s="16" t="s">
        <v>2485</v>
      </c>
      <c r="H1153" s="14">
        <v>-8.0000000000000002E-3</v>
      </c>
      <c r="I1153" s="14" t="s">
        <v>12402</v>
      </c>
      <c r="J1153" s="14" t="s">
        <v>12403</v>
      </c>
      <c r="K1153" s="14" t="s">
        <v>12404</v>
      </c>
      <c r="L1153" s="14" t="s">
        <v>12405</v>
      </c>
      <c r="O1153" s="14" t="s">
        <v>12398</v>
      </c>
      <c r="P1153" s="14" t="s">
        <v>12399</v>
      </c>
      <c r="Q1153" s="14">
        <v>410212.67</v>
      </c>
      <c r="R1153" s="14">
        <v>6185980.79</v>
      </c>
      <c r="S1153" s="14" t="s">
        <v>12400</v>
      </c>
      <c r="T1153" s="14" t="s">
        <v>12401</v>
      </c>
      <c r="U1153" s="14">
        <v>410187.86</v>
      </c>
      <c r="V1153" s="14">
        <v>6185982.8099999996</v>
      </c>
      <c r="W1153" s="14">
        <v>180.19</v>
      </c>
      <c r="X1153" s="14">
        <v>200.06</v>
      </c>
    </row>
    <row r="1154" spans="1:24" s="14" customFormat="1" x14ac:dyDescent="0.25">
      <c r="A1154" s="50">
        <v>45100</v>
      </c>
      <c r="B1154" s="57">
        <v>174</v>
      </c>
      <c r="C1154" s="36">
        <v>0.31862268518518516</v>
      </c>
      <c r="D1154" s="16" t="s">
        <v>177</v>
      </c>
      <c r="E1154" s="14" t="s">
        <v>70</v>
      </c>
      <c r="F1154" s="16" t="s">
        <v>12332</v>
      </c>
      <c r="G1154" s="16" t="s">
        <v>2485</v>
      </c>
      <c r="H1154" s="14">
        <v>0.217</v>
      </c>
      <c r="I1154" s="14" t="s">
        <v>12402</v>
      </c>
      <c r="J1154" s="14" t="s">
        <v>12403</v>
      </c>
      <c r="K1154" s="14" t="s">
        <v>12404</v>
      </c>
      <c r="L1154" s="14" t="s">
        <v>12405</v>
      </c>
      <c r="O1154" s="14" t="s">
        <v>12406</v>
      </c>
      <c r="P1154" s="14" t="s">
        <v>12407</v>
      </c>
      <c r="Q1154" s="14">
        <v>410211.38</v>
      </c>
      <c r="R1154" s="14">
        <v>6185754.4800000004</v>
      </c>
      <c r="S1154" s="14" t="s">
        <v>12408</v>
      </c>
      <c r="T1154" s="14" t="s">
        <v>12409</v>
      </c>
      <c r="U1154" s="14">
        <v>410187.83</v>
      </c>
      <c r="V1154" s="14">
        <v>6185758.1100000003</v>
      </c>
      <c r="W1154" s="14">
        <v>179.77</v>
      </c>
      <c r="X1154" s="14">
        <v>200.06</v>
      </c>
    </row>
    <row r="1155" spans="1:24" s="14" customFormat="1" x14ac:dyDescent="0.25">
      <c r="A1155" s="50">
        <v>45100</v>
      </c>
      <c r="B1155" s="57">
        <v>174</v>
      </c>
      <c r="C1155" s="36">
        <v>0.32094907407407408</v>
      </c>
      <c r="D1155" s="16" t="s">
        <v>177</v>
      </c>
      <c r="E1155" s="14" t="s">
        <v>65</v>
      </c>
      <c r="F1155" s="16" t="s">
        <v>12332</v>
      </c>
      <c r="G1155" s="16" t="s">
        <v>2484</v>
      </c>
      <c r="H1155" s="14">
        <v>0.21199999999999999</v>
      </c>
      <c r="I1155" s="14" t="s">
        <v>12414</v>
      </c>
      <c r="J1155" s="14" t="s">
        <v>12415</v>
      </c>
      <c r="K1155" s="14" t="s">
        <v>12416</v>
      </c>
      <c r="L1155" s="14" t="s">
        <v>12405</v>
      </c>
      <c r="O1155" s="14" t="s">
        <v>12410</v>
      </c>
      <c r="P1155" s="14" t="s">
        <v>12411</v>
      </c>
      <c r="Q1155" s="14">
        <v>410202.51</v>
      </c>
      <c r="R1155" s="14">
        <v>6185747.6799999997</v>
      </c>
      <c r="S1155" s="14" t="s">
        <v>12412</v>
      </c>
      <c r="T1155" s="14" t="s">
        <v>12413</v>
      </c>
      <c r="U1155" s="14">
        <v>410178.72</v>
      </c>
      <c r="V1155" s="14">
        <v>6185752.0899999999</v>
      </c>
      <c r="W1155" s="14">
        <v>1.28</v>
      </c>
      <c r="X1155" s="14">
        <v>200.06</v>
      </c>
    </row>
    <row r="1156" spans="1:24" s="14" customFormat="1" x14ac:dyDescent="0.25">
      <c r="A1156" s="50">
        <v>45100</v>
      </c>
      <c r="B1156" s="57">
        <v>174</v>
      </c>
      <c r="C1156" s="36">
        <v>0.3253125</v>
      </c>
      <c r="D1156" s="16" t="s">
        <v>177</v>
      </c>
      <c r="E1156" s="52" t="s">
        <v>70</v>
      </c>
      <c r="F1156" s="16" t="s">
        <v>12332</v>
      </c>
      <c r="G1156" s="16" t="s">
        <v>2484</v>
      </c>
      <c r="H1156" s="14">
        <v>-1.9E-2</v>
      </c>
      <c r="I1156" s="14" t="s">
        <v>12414</v>
      </c>
      <c r="J1156" s="14" t="s">
        <v>12415</v>
      </c>
      <c r="K1156" s="14" t="s">
        <v>12416</v>
      </c>
      <c r="L1156" s="14" t="s">
        <v>12421</v>
      </c>
      <c r="O1156" s="14" t="s">
        <v>12417</v>
      </c>
      <c r="P1156" s="14" t="s">
        <v>12418</v>
      </c>
      <c r="Q1156" s="14">
        <v>410203.18</v>
      </c>
      <c r="R1156" s="14">
        <v>6185977.1200000001</v>
      </c>
      <c r="S1156" s="14" t="s">
        <v>12419</v>
      </c>
      <c r="T1156" s="14" t="s">
        <v>12420</v>
      </c>
      <c r="U1156" s="14">
        <v>410178.94</v>
      </c>
      <c r="V1156" s="14">
        <v>6185983.3200000003</v>
      </c>
      <c r="W1156" s="14">
        <v>359.8</v>
      </c>
      <c r="X1156" s="14">
        <v>200.06</v>
      </c>
    </row>
    <row r="1157" spans="1:24" s="14" customFormat="1" x14ac:dyDescent="0.25">
      <c r="A1157" s="50">
        <v>45100</v>
      </c>
      <c r="B1157" s="57">
        <v>174</v>
      </c>
      <c r="C1157" s="36">
        <v>0.32866898148148149</v>
      </c>
      <c r="D1157" s="16" t="s">
        <v>177</v>
      </c>
      <c r="E1157" s="52" t="s">
        <v>65</v>
      </c>
      <c r="F1157" s="16" t="s">
        <v>12332</v>
      </c>
      <c r="G1157" s="16" t="s">
        <v>2483</v>
      </c>
      <c r="H1157" s="14">
        <v>-1.6E-2</v>
      </c>
      <c r="I1157" s="14" t="s">
        <v>12425</v>
      </c>
      <c r="J1157" s="14" t="s">
        <v>12431</v>
      </c>
      <c r="K1157" s="14" t="s">
        <v>12426</v>
      </c>
      <c r="L1157" s="14" t="s">
        <v>12421</v>
      </c>
      <c r="O1157" s="14" t="s">
        <v>12422</v>
      </c>
      <c r="P1157" s="14" t="s">
        <v>12423</v>
      </c>
      <c r="Q1157" s="14">
        <v>410192.53</v>
      </c>
      <c r="R1157" s="14">
        <v>6185989.9500000002</v>
      </c>
      <c r="S1157" s="14" t="s">
        <v>12366</v>
      </c>
      <c r="T1157" s="14" t="s">
        <v>12424</v>
      </c>
      <c r="U1157" s="14">
        <v>410169.95</v>
      </c>
      <c r="V1157" s="14">
        <v>6185991.1299999999</v>
      </c>
      <c r="W1157" s="14">
        <v>180.84</v>
      </c>
      <c r="X1157" s="14">
        <v>200.06</v>
      </c>
    </row>
    <row r="1158" spans="1:24" s="14" customFormat="1" x14ac:dyDescent="0.25">
      <c r="A1158" s="50">
        <v>45100</v>
      </c>
      <c r="B1158" s="57">
        <v>174</v>
      </c>
      <c r="C1158" s="36">
        <v>0.33307870370370368</v>
      </c>
      <c r="D1158" s="16" t="s">
        <v>177</v>
      </c>
      <c r="E1158" s="52" t="s">
        <v>70</v>
      </c>
      <c r="F1158" s="16" t="s">
        <v>12332</v>
      </c>
      <c r="G1158" s="16" t="s">
        <v>2483</v>
      </c>
      <c r="H1158" s="14">
        <v>0.217</v>
      </c>
      <c r="I1158" s="14" t="s">
        <v>12425</v>
      </c>
      <c r="J1158" s="14" t="s">
        <v>12431</v>
      </c>
      <c r="K1158" s="14" t="s">
        <v>12426</v>
      </c>
      <c r="L1158" s="14" t="s">
        <v>12432</v>
      </c>
      <c r="O1158" s="14" t="s">
        <v>12427</v>
      </c>
      <c r="P1158" s="14" t="s">
        <v>12428</v>
      </c>
      <c r="Q1158" s="14">
        <v>410191.66</v>
      </c>
      <c r="R1158" s="14">
        <v>6185756.1500000004</v>
      </c>
      <c r="S1158" s="14" t="s">
        <v>12429</v>
      </c>
      <c r="T1158" s="14" t="s">
        <v>12430</v>
      </c>
      <c r="U1158" s="14">
        <v>410169.85</v>
      </c>
      <c r="V1158" s="14">
        <v>6185757.9500000002</v>
      </c>
      <c r="W1158" s="14">
        <v>179.91</v>
      </c>
      <c r="X1158" s="14">
        <v>200.06</v>
      </c>
    </row>
    <row r="1159" spans="1:24" s="14" customFormat="1" x14ac:dyDescent="0.25">
      <c r="A1159" s="50">
        <v>45100</v>
      </c>
      <c r="B1159" s="57">
        <v>174</v>
      </c>
      <c r="C1159" s="36">
        <v>0.33513888888888888</v>
      </c>
      <c r="D1159" s="16" t="s">
        <v>177</v>
      </c>
      <c r="E1159" s="52" t="s">
        <v>65</v>
      </c>
      <c r="F1159" s="16" t="s">
        <v>12332</v>
      </c>
      <c r="G1159" s="16" t="s">
        <v>2474</v>
      </c>
      <c r="H1159" s="14">
        <v>0.214</v>
      </c>
      <c r="I1159" s="14" t="s">
        <v>12437</v>
      </c>
      <c r="J1159" s="14" t="s">
        <v>12438</v>
      </c>
      <c r="K1159" s="14" t="s">
        <v>12439</v>
      </c>
      <c r="L1159" s="14" t="s">
        <v>12432</v>
      </c>
      <c r="O1159" s="14" t="s">
        <v>12433</v>
      </c>
      <c r="P1159" s="14" t="s">
        <v>12434</v>
      </c>
      <c r="Q1159" s="14">
        <v>410185.41</v>
      </c>
      <c r="R1159" s="14">
        <v>6185745.5999999996</v>
      </c>
      <c r="S1159" s="14" t="s">
        <v>12435</v>
      </c>
      <c r="T1159" s="14" t="s">
        <v>12436</v>
      </c>
      <c r="U1159" s="14">
        <v>410160.75</v>
      </c>
      <c r="V1159" s="14">
        <v>6185750.29</v>
      </c>
      <c r="W1159" s="14">
        <v>0.93</v>
      </c>
      <c r="X1159" s="14">
        <v>200.06</v>
      </c>
    </row>
    <row r="1160" spans="1:24" s="14" customFormat="1" x14ac:dyDescent="0.25">
      <c r="A1160" s="50">
        <v>45100</v>
      </c>
      <c r="B1160" s="57">
        <v>174</v>
      </c>
      <c r="C1160" s="36">
        <v>0.33956018518518521</v>
      </c>
      <c r="D1160" s="16" t="s">
        <v>177</v>
      </c>
      <c r="E1160" s="52" t="s">
        <v>70</v>
      </c>
      <c r="F1160" s="16" t="s">
        <v>12332</v>
      </c>
      <c r="G1160" s="16" t="s">
        <v>2474</v>
      </c>
      <c r="H1160" s="14">
        <v>-0.02</v>
      </c>
      <c r="I1160" s="14" t="s">
        <v>12437</v>
      </c>
      <c r="J1160" s="14" t="s">
        <v>12438</v>
      </c>
      <c r="K1160" s="14" t="s">
        <v>12439</v>
      </c>
      <c r="L1160" s="14" t="s">
        <v>12432</v>
      </c>
      <c r="O1160" s="14" t="s">
        <v>12440</v>
      </c>
      <c r="P1160" s="14" t="s">
        <v>12441</v>
      </c>
      <c r="Q1160" s="14">
        <v>410186.48</v>
      </c>
      <c r="R1160" s="14">
        <v>6185977.2599999998</v>
      </c>
      <c r="S1160" s="14" t="s">
        <v>12442</v>
      </c>
      <c r="T1160" s="14" t="s">
        <v>12443</v>
      </c>
      <c r="U1160" s="14">
        <v>410160.88</v>
      </c>
      <c r="V1160" s="14">
        <v>6185983.7300000004</v>
      </c>
      <c r="W1160" s="14">
        <v>7.0000000000000007E-2</v>
      </c>
      <c r="X1160" s="14">
        <v>200.06</v>
      </c>
    </row>
    <row r="1161" spans="1:24" s="14" customFormat="1" x14ac:dyDescent="0.25">
      <c r="A1161" s="50">
        <v>45100</v>
      </c>
      <c r="B1161" s="57">
        <v>174</v>
      </c>
      <c r="C1161" s="36">
        <v>0.34254629629629635</v>
      </c>
      <c r="D1161" s="16" t="s">
        <v>177</v>
      </c>
      <c r="E1161" s="52" t="s">
        <v>65</v>
      </c>
      <c r="F1161" s="16" t="s">
        <v>12332</v>
      </c>
      <c r="G1161" s="16" t="s">
        <v>2475</v>
      </c>
      <c r="H1161" s="14">
        <v>-1.2E-2</v>
      </c>
      <c r="I1161" s="14" t="s">
        <v>12448</v>
      </c>
      <c r="J1161" s="14" t="s">
        <v>12449</v>
      </c>
      <c r="K1161" s="14" t="s">
        <v>12450</v>
      </c>
      <c r="L1161" s="14" t="s">
        <v>12432</v>
      </c>
      <c r="O1161" s="14" t="s">
        <v>12444</v>
      </c>
      <c r="P1161" s="14" t="s">
        <v>12445</v>
      </c>
      <c r="Q1161" s="14">
        <v>410176.18</v>
      </c>
      <c r="R1161" s="14">
        <v>6185984.3700000001</v>
      </c>
      <c r="S1161" s="14" t="s">
        <v>12446</v>
      </c>
      <c r="T1161" s="14" t="s">
        <v>12447</v>
      </c>
      <c r="U1161" s="14">
        <v>410152.05</v>
      </c>
      <c r="V1161" s="14">
        <v>6185987.2599999998</v>
      </c>
      <c r="W1161" s="14">
        <v>180.74</v>
      </c>
      <c r="X1161" s="14">
        <v>200.06</v>
      </c>
    </row>
    <row r="1162" spans="1:24" s="14" customFormat="1" x14ac:dyDescent="0.25">
      <c r="A1162" s="50">
        <v>45100</v>
      </c>
      <c r="B1162" s="57">
        <v>174</v>
      </c>
      <c r="C1162" s="36">
        <v>0.34693287037037041</v>
      </c>
      <c r="D1162" s="16" t="s">
        <v>177</v>
      </c>
      <c r="E1162" s="52" t="s">
        <v>70</v>
      </c>
      <c r="F1162" s="16" t="s">
        <v>12332</v>
      </c>
      <c r="G1162" s="16" t="s">
        <v>2475</v>
      </c>
      <c r="H1162" s="14">
        <v>0.22</v>
      </c>
      <c r="I1162" s="14" t="s">
        <v>12448</v>
      </c>
      <c r="J1162" s="14" t="s">
        <v>12449</v>
      </c>
      <c r="K1162" s="14" t="s">
        <v>12450</v>
      </c>
      <c r="L1162" s="14" t="s">
        <v>12455</v>
      </c>
      <c r="O1162" s="14" t="s">
        <v>12451</v>
      </c>
      <c r="P1162" s="14" t="s">
        <v>12452</v>
      </c>
      <c r="Q1162" s="14">
        <v>410176.57</v>
      </c>
      <c r="R1162" s="14">
        <v>6185751.1900000004</v>
      </c>
      <c r="S1162" s="14" t="s">
        <v>12453</v>
      </c>
      <c r="T1162" s="14" t="s">
        <v>12454</v>
      </c>
      <c r="U1162" s="14">
        <v>410151.88</v>
      </c>
      <c r="V1162" s="14">
        <v>6185755.54</v>
      </c>
      <c r="W1162" s="14">
        <v>179.71</v>
      </c>
      <c r="X1162" s="14">
        <v>200.06</v>
      </c>
    </row>
    <row r="1163" spans="1:24" s="14" customFormat="1" x14ac:dyDescent="0.25">
      <c r="A1163" s="50">
        <v>45100</v>
      </c>
      <c r="B1163" s="57">
        <v>174</v>
      </c>
      <c r="C1163" s="36">
        <v>0.34969907407407402</v>
      </c>
      <c r="D1163" s="16" t="s">
        <v>177</v>
      </c>
      <c r="E1163" s="52" t="s">
        <v>65</v>
      </c>
      <c r="F1163" s="16" t="s">
        <v>12332</v>
      </c>
      <c r="G1163" s="16" t="s">
        <v>2476</v>
      </c>
      <c r="H1163" s="14">
        <v>0.21299999999999999</v>
      </c>
      <c r="I1163" s="14" t="s">
        <v>12460</v>
      </c>
      <c r="J1163" s="14" t="s">
        <v>12461</v>
      </c>
      <c r="K1163" s="14" t="s">
        <v>12462</v>
      </c>
      <c r="L1163" s="14" t="s">
        <v>12455</v>
      </c>
      <c r="O1163" s="14" t="s">
        <v>12456</v>
      </c>
      <c r="P1163" s="14" t="s">
        <v>12457</v>
      </c>
      <c r="Q1163" s="14">
        <v>410169.13</v>
      </c>
      <c r="R1163" s="14">
        <v>6185743.79</v>
      </c>
      <c r="S1163" s="14" t="s">
        <v>12458</v>
      </c>
      <c r="T1163" s="14" t="s">
        <v>12459</v>
      </c>
      <c r="U1163" s="14">
        <v>410142.81</v>
      </c>
      <c r="V1163" s="14">
        <v>6185751.5800000001</v>
      </c>
      <c r="W1163" s="14">
        <v>0.56999999999999995</v>
      </c>
      <c r="X1163" s="14">
        <v>200.06</v>
      </c>
    </row>
    <row r="1164" spans="1:24" s="14" customFormat="1" x14ac:dyDescent="0.25">
      <c r="A1164" s="50">
        <v>45100</v>
      </c>
      <c r="B1164" s="57">
        <v>174</v>
      </c>
      <c r="C1164" s="36">
        <v>0.35408564814814819</v>
      </c>
      <c r="D1164" s="16" t="s">
        <v>177</v>
      </c>
      <c r="E1164" s="52" t="s">
        <v>70</v>
      </c>
      <c r="F1164" s="16" t="s">
        <v>12332</v>
      </c>
      <c r="G1164" s="16" t="s">
        <v>2476</v>
      </c>
      <c r="H1164" s="14">
        <v>-1.9E-2</v>
      </c>
      <c r="I1164" s="14" t="s">
        <v>12460</v>
      </c>
      <c r="J1164" s="14" t="s">
        <v>12461</v>
      </c>
      <c r="K1164" s="14" t="s">
        <v>12462</v>
      </c>
      <c r="L1164" s="14" t="s">
        <v>12467</v>
      </c>
      <c r="O1164" s="14" t="s">
        <v>12463</v>
      </c>
      <c r="P1164" s="14" t="s">
        <v>12464</v>
      </c>
      <c r="Q1164" s="14">
        <v>410168.96</v>
      </c>
      <c r="R1164" s="14">
        <v>6185976</v>
      </c>
      <c r="S1164" s="14" t="s">
        <v>12465</v>
      </c>
      <c r="T1164" s="14" t="s">
        <v>12466</v>
      </c>
      <c r="U1164" s="14">
        <v>410142.87</v>
      </c>
      <c r="V1164" s="14">
        <v>6185983.0099999998</v>
      </c>
      <c r="W1164" s="14">
        <v>0.56999999999999995</v>
      </c>
      <c r="X1164" s="14">
        <v>200.06</v>
      </c>
    </row>
    <row r="1165" spans="1:24" s="14" customFormat="1" x14ac:dyDescent="0.25">
      <c r="A1165" s="50">
        <v>45100</v>
      </c>
      <c r="B1165" s="57">
        <v>174</v>
      </c>
      <c r="C1165" s="36">
        <v>0.35656249999999995</v>
      </c>
      <c r="D1165" s="16" t="s">
        <v>177</v>
      </c>
      <c r="E1165" s="52" t="s">
        <v>65</v>
      </c>
      <c r="F1165" s="16" t="s">
        <v>12332</v>
      </c>
      <c r="G1165" s="16" t="s">
        <v>2477</v>
      </c>
      <c r="H1165" s="14">
        <v>-1.4E-2</v>
      </c>
      <c r="I1165" s="14" t="s">
        <v>12472</v>
      </c>
      <c r="J1165" s="14" t="s">
        <v>12473</v>
      </c>
      <c r="K1165" s="14" t="s">
        <v>12474</v>
      </c>
      <c r="L1165" s="14" t="s">
        <v>12467</v>
      </c>
      <c r="O1165" s="14" t="s">
        <v>12468</v>
      </c>
      <c r="P1165" s="14" t="s">
        <v>12469</v>
      </c>
      <c r="Q1165" s="14">
        <v>410159.84</v>
      </c>
      <c r="R1165" s="14">
        <v>6185988.5099999998</v>
      </c>
      <c r="S1165" s="14" t="s">
        <v>12470</v>
      </c>
      <c r="T1165" s="14" t="s">
        <v>12471</v>
      </c>
      <c r="U1165" s="14">
        <v>410133.9</v>
      </c>
      <c r="V1165" s="14">
        <v>6185989.2300000004</v>
      </c>
      <c r="W1165" s="14">
        <v>180.16</v>
      </c>
      <c r="X1165" s="14">
        <v>200.06</v>
      </c>
    </row>
    <row r="1166" spans="1:24" s="14" customFormat="1" x14ac:dyDescent="0.25">
      <c r="A1166" s="50">
        <v>45100</v>
      </c>
      <c r="B1166" s="57">
        <v>174</v>
      </c>
      <c r="C1166" s="36">
        <v>0.36098379629629629</v>
      </c>
      <c r="D1166" s="16" t="s">
        <v>177</v>
      </c>
      <c r="E1166" s="52" t="s">
        <v>70</v>
      </c>
      <c r="F1166" s="16" t="s">
        <v>12332</v>
      </c>
      <c r="G1166" s="16" t="s">
        <v>2477</v>
      </c>
      <c r="H1166" s="14">
        <v>0.218</v>
      </c>
      <c r="I1166" s="14" t="s">
        <v>12472</v>
      </c>
      <c r="J1166" s="14" t="s">
        <v>12473</v>
      </c>
      <c r="K1166" s="14" t="s">
        <v>12474</v>
      </c>
      <c r="L1166" s="14" t="s">
        <v>12467</v>
      </c>
      <c r="O1166" s="14" t="s">
        <v>12475</v>
      </c>
      <c r="P1166" s="14" t="s">
        <v>12476</v>
      </c>
      <c r="Q1166" s="14">
        <v>410159.48</v>
      </c>
      <c r="R1166" s="14">
        <v>6185755.0599999996</v>
      </c>
      <c r="S1166" s="14" t="s">
        <v>12477</v>
      </c>
      <c r="T1166" s="14" t="s">
        <v>12478</v>
      </c>
      <c r="U1166" s="14">
        <v>410133.82</v>
      </c>
      <c r="V1166" s="14">
        <v>6185757.1600000001</v>
      </c>
      <c r="W1166" s="14">
        <v>179.71</v>
      </c>
      <c r="X1166" s="14">
        <v>200.06</v>
      </c>
    </row>
    <row r="1167" spans="1:24" s="14" customFormat="1" x14ac:dyDescent="0.25">
      <c r="A1167" s="50">
        <v>45100</v>
      </c>
      <c r="B1167" s="57">
        <v>174</v>
      </c>
      <c r="C1167" s="36">
        <v>0.36570601851851853</v>
      </c>
      <c r="D1167" s="16" t="s">
        <v>177</v>
      </c>
      <c r="E1167" s="52" t="s">
        <v>65</v>
      </c>
      <c r="F1167" s="16" t="s">
        <v>12332</v>
      </c>
      <c r="G1167" s="16" t="s">
        <v>2478</v>
      </c>
      <c r="H1167" s="14">
        <v>0.214</v>
      </c>
      <c r="I1167" s="14" t="s">
        <v>12483</v>
      </c>
      <c r="J1167" s="14" t="s">
        <v>12484</v>
      </c>
      <c r="K1167" s="14" t="s">
        <v>12485</v>
      </c>
      <c r="L1167" s="14" t="s">
        <v>12486</v>
      </c>
      <c r="O1167" s="14" t="s">
        <v>12479</v>
      </c>
      <c r="P1167" s="14" t="s">
        <v>12480</v>
      </c>
      <c r="Q1167" s="14">
        <v>410151.01</v>
      </c>
      <c r="R1167" s="14">
        <v>6185745.5599999996</v>
      </c>
      <c r="S1167" s="14" t="s">
        <v>12481</v>
      </c>
      <c r="T1167" s="14" t="s">
        <v>12482</v>
      </c>
      <c r="U1167" s="14">
        <v>410124.9</v>
      </c>
      <c r="V1167" s="14">
        <v>6185749.79</v>
      </c>
      <c r="W1167" s="14">
        <v>359.27</v>
      </c>
      <c r="X1167" s="14">
        <v>200.06</v>
      </c>
    </row>
    <row r="1168" spans="1:24" s="14" customFormat="1" x14ac:dyDescent="0.25">
      <c r="A1168" s="50">
        <v>45100</v>
      </c>
      <c r="B1168" s="57">
        <v>174</v>
      </c>
      <c r="C1168" s="36">
        <v>0.37018518518518517</v>
      </c>
      <c r="D1168" s="16" t="s">
        <v>177</v>
      </c>
      <c r="E1168" s="52" t="s">
        <v>70</v>
      </c>
      <c r="F1168" s="16" t="s">
        <v>12332</v>
      </c>
      <c r="G1168" s="16" t="s">
        <v>2478</v>
      </c>
      <c r="H1168" s="14">
        <v>-2.1999999999999999E-2</v>
      </c>
      <c r="I1168" s="14" t="s">
        <v>12483</v>
      </c>
      <c r="J1168" s="14" t="s">
        <v>12484</v>
      </c>
      <c r="K1168" s="14" t="s">
        <v>12485</v>
      </c>
      <c r="L1168" s="14" t="s">
        <v>12486</v>
      </c>
      <c r="O1168" s="14" t="s">
        <v>12487</v>
      </c>
      <c r="P1168" s="14" t="s">
        <v>12488</v>
      </c>
      <c r="Q1168" s="14">
        <v>410150.45</v>
      </c>
      <c r="R1168" s="14">
        <v>6185982.0899999999</v>
      </c>
      <c r="S1168" s="14" t="s">
        <v>12489</v>
      </c>
      <c r="T1168" s="14" t="s">
        <v>12490</v>
      </c>
      <c r="U1168" s="14">
        <v>410124.88</v>
      </c>
      <c r="V1168" s="14">
        <v>6185986.2400000002</v>
      </c>
      <c r="W1168" s="14">
        <v>358.91</v>
      </c>
      <c r="X1168" s="14">
        <v>200.06</v>
      </c>
    </row>
    <row r="1169" spans="1:24" s="14" customFormat="1" x14ac:dyDescent="0.25">
      <c r="A1169" s="50">
        <v>45100</v>
      </c>
      <c r="B1169" s="57">
        <v>174</v>
      </c>
      <c r="C1169" s="36">
        <v>0.37284722222222227</v>
      </c>
      <c r="D1169" s="16" t="s">
        <v>177</v>
      </c>
      <c r="E1169" s="52" t="s">
        <v>65</v>
      </c>
      <c r="F1169" s="16" t="s">
        <v>12332</v>
      </c>
      <c r="G1169" s="16" t="s">
        <v>2479</v>
      </c>
      <c r="H1169" s="14">
        <v>-1.7999999999999999E-2</v>
      </c>
      <c r="I1169" s="14" t="s">
        <v>12495</v>
      </c>
      <c r="J1169" s="14" t="s">
        <v>12496</v>
      </c>
      <c r="K1169" s="14" t="s">
        <v>12497</v>
      </c>
      <c r="L1169" s="14" t="s">
        <v>12486</v>
      </c>
      <c r="O1169" s="14" t="s">
        <v>12491</v>
      </c>
      <c r="P1169" s="14" t="s">
        <v>12492</v>
      </c>
      <c r="Q1169" s="14">
        <v>410140.94</v>
      </c>
      <c r="R1169" s="14">
        <v>6185987.3700000001</v>
      </c>
      <c r="S1169" s="14" t="s">
        <v>12493</v>
      </c>
      <c r="T1169" s="14" t="s">
        <v>12494</v>
      </c>
      <c r="U1169" s="14">
        <v>410115.85</v>
      </c>
      <c r="V1169" s="14">
        <v>6185992.8700000001</v>
      </c>
      <c r="W1169" s="14">
        <v>179.69</v>
      </c>
      <c r="X1169" s="14">
        <v>200.06</v>
      </c>
    </row>
    <row r="1170" spans="1:24" s="14" customFormat="1" x14ac:dyDescent="0.25">
      <c r="A1170" s="50">
        <v>45100</v>
      </c>
      <c r="B1170" s="57">
        <v>174</v>
      </c>
      <c r="C1170" s="36">
        <v>0.37729166666666664</v>
      </c>
      <c r="D1170" s="16" t="s">
        <v>177</v>
      </c>
      <c r="E1170" s="14" t="s">
        <v>70</v>
      </c>
      <c r="F1170" s="16" t="s">
        <v>12332</v>
      </c>
      <c r="G1170" s="16" t="s">
        <v>2479</v>
      </c>
      <c r="H1170" s="14">
        <v>0.217</v>
      </c>
      <c r="I1170" s="14" t="s">
        <v>12495</v>
      </c>
      <c r="J1170" s="14" t="s">
        <v>12496</v>
      </c>
      <c r="K1170" s="14" t="s">
        <v>12497</v>
      </c>
      <c r="L1170" s="14" t="s">
        <v>12502</v>
      </c>
      <c r="O1170" s="14" t="s">
        <v>12498</v>
      </c>
      <c r="P1170" s="14" t="s">
        <v>12499</v>
      </c>
      <c r="Q1170" s="14">
        <v>410138.27</v>
      </c>
      <c r="R1170" s="14">
        <v>6185753.1699999999</v>
      </c>
      <c r="S1170" s="14" t="s">
        <v>12500</v>
      </c>
      <c r="T1170" s="14" t="s">
        <v>12501</v>
      </c>
      <c r="U1170" s="14">
        <v>410115.88</v>
      </c>
      <c r="V1170" s="14">
        <v>6185757.8899999997</v>
      </c>
      <c r="W1170" s="14">
        <v>179.06</v>
      </c>
      <c r="X1170" s="14">
        <v>200.06</v>
      </c>
    </row>
    <row r="1171" spans="1:24" s="14" customFormat="1" x14ac:dyDescent="0.25">
      <c r="A1171" s="50">
        <v>45100</v>
      </c>
      <c r="B1171" s="57">
        <v>174</v>
      </c>
      <c r="C1171" s="36">
        <v>0.38002314814814814</v>
      </c>
      <c r="D1171" s="16" t="s">
        <v>177</v>
      </c>
      <c r="E1171" s="14" t="s">
        <v>65</v>
      </c>
      <c r="F1171" s="16" t="s">
        <v>12332</v>
      </c>
      <c r="G1171" s="16" t="s">
        <v>2480</v>
      </c>
      <c r="H1171" s="14">
        <v>0.20899999999999999</v>
      </c>
      <c r="I1171" s="14" t="s">
        <v>12507</v>
      </c>
      <c r="J1171" s="14" t="s">
        <v>12508</v>
      </c>
      <c r="K1171" s="14" t="s">
        <v>12509</v>
      </c>
      <c r="L1171" s="14" t="s">
        <v>12502</v>
      </c>
      <c r="O1171" s="14" t="s">
        <v>12503</v>
      </c>
      <c r="P1171" s="14" t="s">
        <v>12504</v>
      </c>
      <c r="Q1171" s="14">
        <v>410131.41</v>
      </c>
      <c r="R1171" s="14">
        <v>6185746.3399999999</v>
      </c>
      <c r="S1171" s="14" t="s">
        <v>12505</v>
      </c>
      <c r="T1171" s="14" t="s">
        <v>12506</v>
      </c>
      <c r="U1171" s="14">
        <v>410106.88</v>
      </c>
      <c r="V1171" s="14">
        <v>6185755.4800000004</v>
      </c>
      <c r="W1171" s="14">
        <v>359.24</v>
      </c>
      <c r="X1171" s="14">
        <v>200.06</v>
      </c>
    </row>
    <row r="1172" spans="1:24" s="14" customFormat="1" x14ac:dyDescent="0.25">
      <c r="A1172" s="50">
        <v>45100</v>
      </c>
      <c r="B1172" s="57">
        <v>174</v>
      </c>
      <c r="C1172" s="36">
        <v>0.38518518518518513</v>
      </c>
      <c r="D1172" s="16" t="s">
        <v>177</v>
      </c>
      <c r="E1172" s="14" t="s">
        <v>70</v>
      </c>
      <c r="F1172" s="16" t="s">
        <v>12332</v>
      </c>
      <c r="G1172" s="16" t="s">
        <v>2480</v>
      </c>
      <c r="H1172" s="14">
        <v>-1.9E-2</v>
      </c>
      <c r="I1172" s="14" t="s">
        <v>12507</v>
      </c>
      <c r="J1172" s="14" t="s">
        <v>12508</v>
      </c>
      <c r="K1172" s="14" t="s">
        <v>12509</v>
      </c>
      <c r="L1172" s="14" t="s">
        <v>12514</v>
      </c>
      <c r="O1172" s="14" t="s">
        <v>12510</v>
      </c>
      <c r="P1172" s="14" t="s">
        <v>12511</v>
      </c>
      <c r="Q1172" s="14">
        <v>410131.71</v>
      </c>
      <c r="R1172" s="14">
        <v>6185976.4800000004</v>
      </c>
      <c r="S1172" s="14" t="s">
        <v>12512</v>
      </c>
      <c r="T1172" s="14" t="s">
        <v>12513</v>
      </c>
      <c r="U1172" s="14">
        <v>410106.88</v>
      </c>
      <c r="V1172" s="14">
        <v>6185983.3300000001</v>
      </c>
      <c r="W1172" s="14">
        <v>358.6</v>
      </c>
      <c r="X1172" s="14">
        <v>200.06</v>
      </c>
    </row>
    <row r="1173" spans="1:24" s="14" customFormat="1" x14ac:dyDescent="0.25">
      <c r="A1173" s="50">
        <v>45100</v>
      </c>
      <c r="B1173" s="57">
        <v>174</v>
      </c>
      <c r="C1173" s="36">
        <v>0.38850694444444445</v>
      </c>
      <c r="D1173" s="16" t="s">
        <v>177</v>
      </c>
      <c r="E1173" s="14" t="s">
        <v>65</v>
      </c>
      <c r="F1173" s="16" t="s">
        <v>12332</v>
      </c>
      <c r="G1173" s="16" t="s">
        <v>2481</v>
      </c>
      <c r="H1173" s="14">
        <v>-1.6E-2</v>
      </c>
      <c r="I1173" s="14" t="s">
        <v>12519</v>
      </c>
      <c r="J1173" s="14" t="s">
        <v>12520</v>
      </c>
      <c r="K1173" s="14" t="s">
        <v>12521</v>
      </c>
      <c r="L1173" s="14" t="s">
        <v>12514</v>
      </c>
      <c r="O1173" s="14" t="s">
        <v>12515</v>
      </c>
      <c r="P1173" s="14" t="s">
        <v>12516</v>
      </c>
      <c r="Q1173" s="14">
        <v>410122.99</v>
      </c>
      <c r="R1173" s="14">
        <v>6185993.2199999997</v>
      </c>
      <c r="S1173" s="14" t="s">
        <v>12517</v>
      </c>
      <c r="T1173" s="14" t="s">
        <v>12518</v>
      </c>
      <c r="U1173" s="14">
        <v>410097.88</v>
      </c>
      <c r="V1173" s="14">
        <v>6185991.2800000003</v>
      </c>
      <c r="W1173" s="14">
        <v>179.29</v>
      </c>
      <c r="X1173" s="14">
        <v>200.06</v>
      </c>
    </row>
    <row r="1174" spans="1:24" s="14" customFormat="1" x14ac:dyDescent="0.25">
      <c r="A1174" s="50">
        <v>45100</v>
      </c>
      <c r="B1174" s="57">
        <v>174</v>
      </c>
      <c r="C1174" s="36">
        <v>0.39379629629629626</v>
      </c>
      <c r="D1174" s="16" t="s">
        <v>177</v>
      </c>
      <c r="E1174" s="14" t="s">
        <v>70</v>
      </c>
      <c r="F1174" s="16" t="s">
        <v>12332</v>
      </c>
      <c r="G1174" s="16" t="s">
        <v>2481</v>
      </c>
      <c r="H1174" s="14">
        <v>0.217</v>
      </c>
      <c r="I1174" s="14" t="s">
        <v>12519</v>
      </c>
      <c r="J1174" s="14" t="s">
        <v>12520</v>
      </c>
      <c r="K1174" s="14" t="s">
        <v>12521</v>
      </c>
      <c r="L1174" s="14" t="s">
        <v>12514</v>
      </c>
      <c r="O1174" s="14" t="s">
        <v>12522</v>
      </c>
      <c r="P1174" s="14" t="s">
        <v>12523</v>
      </c>
      <c r="Q1174" s="14">
        <v>410121.88</v>
      </c>
      <c r="R1174" s="14">
        <v>6185761.2400000002</v>
      </c>
      <c r="S1174" s="14" t="s">
        <v>12524</v>
      </c>
      <c r="T1174" s="14" t="s">
        <v>12525</v>
      </c>
      <c r="U1174" s="14">
        <v>410097.81</v>
      </c>
      <c r="V1174" s="14">
        <v>6185758.2699999996</v>
      </c>
      <c r="W1174" s="14">
        <v>178.96</v>
      </c>
      <c r="X1174" s="14">
        <v>200.06</v>
      </c>
    </row>
    <row r="1175" spans="1:24" s="14" customFormat="1" x14ac:dyDescent="0.25">
      <c r="A1175" s="50">
        <v>45100</v>
      </c>
      <c r="B1175" s="57">
        <v>174</v>
      </c>
      <c r="C1175" s="36">
        <v>0.39601851851851855</v>
      </c>
      <c r="D1175" s="16" t="s">
        <v>177</v>
      </c>
      <c r="E1175" s="14" t="s">
        <v>65</v>
      </c>
      <c r="F1175" s="16" t="s">
        <v>12332</v>
      </c>
      <c r="G1175" s="16" t="s">
        <v>2482</v>
      </c>
      <c r="H1175" s="14">
        <v>0.21299999999999999</v>
      </c>
      <c r="I1175" s="14" t="s">
        <v>12530</v>
      </c>
      <c r="J1175" s="14" t="s">
        <v>12531</v>
      </c>
      <c r="K1175" s="14" t="s">
        <v>12532</v>
      </c>
      <c r="L1175" s="14" t="s">
        <v>12533</v>
      </c>
      <c r="O1175" s="14" t="s">
        <v>12526</v>
      </c>
      <c r="P1175" s="14" t="s">
        <v>12527</v>
      </c>
      <c r="Q1175" s="14">
        <v>410113.15</v>
      </c>
      <c r="R1175" s="14">
        <v>6185747.5899999999</v>
      </c>
      <c r="S1175" s="14" t="s">
        <v>12528</v>
      </c>
      <c r="T1175" s="14" t="s">
        <v>12529</v>
      </c>
      <c r="U1175" s="14">
        <v>410088.83</v>
      </c>
      <c r="V1175" s="14">
        <v>6185751.2800000003</v>
      </c>
      <c r="W1175" s="14">
        <v>359.12</v>
      </c>
      <c r="X1175" s="14">
        <v>200.06</v>
      </c>
    </row>
    <row r="1176" spans="1:24" s="14" customFormat="1" x14ac:dyDescent="0.25">
      <c r="A1176" s="50">
        <v>45100</v>
      </c>
      <c r="B1176" s="57">
        <v>174</v>
      </c>
      <c r="C1176" s="36">
        <v>0.40127314814814818</v>
      </c>
      <c r="D1176" s="16" t="s">
        <v>177</v>
      </c>
      <c r="E1176" s="52" t="s">
        <v>70</v>
      </c>
      <c r="F1176" s="16" t="s">
        <v>12332</v>
      </c>
      <c r="G1176" s="16" t="s">
        <v>2482</v>
      </c>
      <c r="H1176" s="14">
        <v>-0.02</v>
      </c>
      <c r="I1176" s="14" t="s">
        <v>12530</v>
      </c>
      <c r="J1176" s="14" t="s">
        <v>12531</v>
      </c>
      <c r="K1176" s="14" t="s">
        <v>12532</v>
      </c>
      <c r="L1176" s="14" t="s">
        <v>12533</v>
      </c>
      <c r="O1176" s="14" t="s">
        <v>12534</v>
      </c>
      <c r="P1176" s="14" t="s">
        <v>12535</v>
      </c>
      <c r="Q1176" s="14">
        <v>410113.8</v>
      </c>
      <c r="R1176" s="14">
        <v>6185979.1600000001</v>
      </c>
      <c r="S1176" s="14" t="s">
        <v>12536</v>
      </c>
      <c r="T1176" s="14" t="s">
        <v>12537</v>
      </c>
      <c r="U1176" s="14">
        <v>410088.91</v>
      </c>
      <c r="V1176" s="14">
        <v>6185983.8099999996</v>
      </c>
      <c r="W1176" s="14">
        <v>358.58</v>
      </c>
      <c r="X1176" s="14">
        <v>200.06</v>
      </c>
    </row>
    <row r="1177" spans="1:24" s="14" customFormat="1" x14ac:dyDescent="0.25">
      <c r="A1177" s="50">
        <v>45100</v>
      </c>
      <c r="B1177" s="57">
        <v>174</v>
      </c>
      <c r="C1177" s="36">
        <v>0.40834490740740742</v>
      </c>
      <c r="D1177" s="16" t="s">
        <v>177</v>
      </c>
      <c r="E1177" s="52" t="s">
        <v>65</v>
      </c>
      <c r="F1177" s="16" t="s">
        <v>12332</v>
      </c>
      <c r="G1177" s="16" t="s">
        <v>12538</v>
      </c>
      <c r="H1177" s="14">
        <v>-1E-3</v>
      </c>
      <c r="I1177" s="14" t="s">
        <v>12543</v>
      </c>
      <c r="J1177" s="14" t="s">
        <v>12531</v>
      </c>
      <c r="K1177" s="14" t="s">
        <v>12532</v>
      </c>
      <c r="L1177" s="14" t="s">
        <v>12544</v>
      </c>
      <c r="O1177" s="14" t="s">
        <v>12539</v>
      </c>
      <c r="P1177" s="14" t="s">
        <v>12540</v>
      </c>
      <c r="Q1177" s="14">
        <v>410150.39</v>
      </c>
      <c r="R1177" s="14">
        <v>6185818.7000000002</v>
      </c>
      <c r="S1177" s="14" t="s">
        <v>12541</v>
      </c>
      <c r="T1177" s="14" t="s">
        <v>12542</v>
      </c>
      <c r="U1177" s="14">
        <v>410124.99</v>
      </c>
      <c r="V1177" s="14">
        <v>6185822.3300000001</v>
      </c>
      <c r="W1177" s="14">
        <v>179.76</v>
      </c>
      <c r="X1177" s="14">
        <v>41.01</v>
      </c>
    </row>
    <row r="1178" spans="1:24" s="14" customFormat="1" x14ac:dyDescent="0.25">
      <c r="A1178" s="50">
        <v>45100</v>
      </c>
      <c r="B1178" s="57">
        <v>174</v>
      </c>
      <c r="C1178" s="36">
        <v>0.40942129629629626</v>
      </c>
      <c r="D1178" s="16" t="s">
        <v>177</v>
      </c>
      <c r="E1178" s="52" t="s">
        <v>70</v>
      </c>
      <c r="F1178" s="16" t="s">
        <v>12332</v>
      </c>
      <c r="G1178" s="16" t="s">
        <v>12538</v>
      </c>
      <c r="H1178" s="14">
        <v>4.5999999999999999E-2</v>
      </c>
      <c r="I1178" s="14" t="s">
        <v>12543</v>
      </c>
      <c r="J1178" s="14" t="s">
        <v>12531</v>
      </c>
      <c r="K1178" s="14" t="s">
        <v>12532</v>
      </c>
      <c r="L1178" s="14" t="s">
        <v>12544</v>
      </c>
      <c r="O1178" s="14" t="s">
        <v>12545</v>
      </c>
      <c r="P1178" s="14" t="s">
        <v>12546</v>
      </c>
      <c r="Q1178" s="14">
        <v>410150.17</v>
      </c>
      <c r="R1178" s="14">
        <v>6185774.3499999996</v>
      </c>
      <c r="S1178" s="14" t="s">
        <v>12547</v>
      </c>
      <c r="T1178" s="14" t="s">
        <v>12548</v>
      </c>
      <c r="U1178" s="14">
        <v>410125.02</v>
      </c>
      <c r="V1178" s="14">
        <v>6185775.5800000001</v>
      </c>
      <c r="W1178" s="14">
        <v>180.04</v>
      </c>
      <c r="X1178" s="14">
        <v>41.01</v>
      </c>
    </row>
    <row r="1179" spans="1:24" s="14" customFormat="1" x14ac:dyDescent="0.25">
      <c r="A1179" s="50">
        <v>45100</v>
      </c>
      <c r="B1179" s="57">
        <v>174</v>
      </c>
      <c r="C1179" s="36">
        <v>0.40997685185185184</v>
      </c>
      <c r="D1179" s="16" t="s">
        <v>177</v>
      </c>
      <c r="E1179" s="14" t="s">
        <v>8171</v>
      </c>
      <c r="F1179" s="16" t="s">
        <v>12332</v>
      </c>
      <c r="G1179" s="16" t="s">
        <v>12538</v>
      </c>
      <c r="H1179" s="14">
        <v>6.3E-2</v>
      </c>
      <c r="O1179" s="14" t="s">
        <v>12549</v>
      </c>
      <c r="P1179" s="14" t="s">
        <v>12550</v>
      </c>
      <c r="Q1179" s="14">
        <v>410149.64</v>
      </c>
      <c r="R1179" s="14">
        <v>6185760.4100000001</v>
      </c>
      <c r="S1179" s="14" t="s">
        <v>12551</v>
      </c>
      <c r="T1179" s="14" t="s">
        <v>12552</v>
      </c>
      <c r="U1179" s="14">
        <v>410125.09</v>
      </c>
      <c r="V1179" s="14">
        <v>6185757.9299999997</v>
      </c>
      <c r="W1179" s="14">
        <v>180.31</v>
      </c>
      <c r="X1179" s="14">
        <v>41.01</v>
      </c>
    </row>
    <row r="1180" spans="1:24" s="14" customFormat="1" x14ac:dyDescent="0.25">
      <c r="A1180" s="50">
        <v>45100</v>
      </c>
      <c r="B1180" s="57">
        <v>174</v>
      </c>
      <c r="C1180" s="36">
        <v>0.41307870370370375</v>
      </c>
      <c r="D1180" s="16" t="s">
        <v>177</v>
      </c>
      <c r="E1180" s="14" t="s">
        <v>12572</v>
      </c>
      <c r="F1180" s="16" t="s">
        <v>12332</v>
      </c>
      <c r="G1180" s="16" t="s">
        <v>2491</v>
      </c>
      <c r="H1180" s="14">
        <v>16.614000000000001</v>
      </c>
      <c r="O1180" s="14" t="s">
        <v>12553</v>
      </c>
      <c r="P1180" s="14" t="s">
        <v>12554</v>
      </c>
      <c r="Q1180" s="14">
        <v>410149.72</v>
      </c>
      <c r="R1180" s="14">
        <v>6185758.4699999997</v>
      </c>
      <c r="S1180" s="14" t="s">
        <v>12555</v>
      </c>
      <c r="T1180" s="14" t="s">
        <v>12556</v>
      </c>
      <c r="U1180" s="14">
        <v>410139.05</v>
      </c>
      <c r="V1180" s="14">
        <v>6185763.3499999996</v>
      </c>
      <c r="W1180" s="14">
        <v>267.85000000000002</v>
      </c>
      <c r="X1180" s="14">
        <v>200.06</v>
      </c>
    </row>
    <row r="1181" spans="1:24" s="81" customFormat="1" x14ac:dyDescent="0.25">
      <c r="A1181" s="78">
        <v>45100</v>
      </c>
      <c r="B1181" s="108">
        <v>174</v>
      </c>
      <c r="C1181" s="80">
        <v>0.41370370370370368</v>
      </c>
      <c r="D1181" s="79" t="s">
        <v>177</v>
      </c>
      <c r="E1181" s="81" t="s">
        <v>12570</v>
      </c>
      <c r="F1181" s="79" t="s">
        <v>12557</v>
      </c>
      <c r="G1181" s="79" t="s">
        <v>3039</v>
      </c>
      <c r="H1181" s="81">
        <v>-7.8E-2</v>
      </c>
      <c r="O1181" s="81" t="s">
        <v>12558</v>
      </c>
      <c r="P1181" s="81" t="s">
        <v>12559</v>
      </c>
      <c r="Q1181" s="81">
        <v>408306.65</v>
      </c>
      <c r="R1181" s="81">
        <v>6184564.21</v>
      </c>
      <c r="S1181" s="81" t="s">
        <v>12560</v>
      </c>
      <c r="T1181" s="81" t="s">
        <v>12561</v>
      </c>
      <c r="U1181" s="81">
        <v>408296.1</v>
      </c>
      <c r="V1181" s="81">
        <v>6184567.7199999997</v>
      </c>
      <c r="W1181" s="81">
        <v>273.48</v>
      </c>
      <c r="X1181" s="81">
        <v>150.04</v>
      </c>
    </row>
    <row r="1182" spans="1:24" s="14" customFormat="1" x14ac:dyDescent="0.25">
      <c r="A1182" s="50">
        <v>45100</v>
      </c>
      <c r="B1182" s="57">
        <v>174</v>
      </c>
      <c r="C1182" s="36">
        <v>0.41447916666666668</v>
      </c>
      <c r="D1182" s="16" t="s">
        <v>177</v>
      </c>
      <c r="E1182" s="14" t="s">
        <v>12569</v>
      </c>
      <c r="F1182" s="16" t="s">
        <v>12557</v>
      </c>
      <c r="G1182" s="16" t="s">
        <v>3039</v>
      </c>
      <c r="H1182" s="14">
        <v>-7.8E-2</v>
      </c>
      <c r="O1182" s="14" t="s">
        <v>12562</v>
      </c>
      <c r="P1182" s="14" t="s">
        <v>12563</v>
      </c>
      <c r="Q1182" s="14">
        <v>408306.65</v>
      </c>
      <c r="R1182" s="14">
        <v>6184564.2599999998</v>
      </c>
      <c r="S1182" s="14" t="s">
        <v>12564</v>
      </c>
      <c r="T1182" s="14" t="s">
        <v>12565</v>
      </c>
      <c r="U1182" s="14">
        <v>408296.09</v>
      </c>
      <c r="V1182" s="14">
        <v>6184567.71</v>
      </c>
      <c r="W1182" s="14">
        <v>273.57</v>
      </c>
      <c r="X1182" s="14">
        <v>150.04</v>
      </c>
    </row>
    <row r="1183" spans="1:24" s="14" customFormat="1" x14ac:dyDescent="0.25">
      <c r="A1183" s="50">
        <v>45100</v>
      </c>
      <c r="B1183" s="57">
        <v>174</v>
      </c>
      <c r="C1183" s="36">
        <v>0.4332523148148148</v>
      </c>
      <c r="D1183" s="16" t="s">
        <v>97</v>
      </c>
      <c r="E1183" s="14" t="s">
        <v>12571</v>
      </c>
      <c r="F1183" s="16" t="s">
        <v>12557</v>
      </c>
      <c r="G1183" s="16" t="s">
        <v>3039</v>
      </c>
      <c r="H1183" s="14">
        <v>-7.8E-2</v>
      </c>
      <c r="O1183" s="14" t="s">
        <v>12566</v>
      </c>
      <c r="P1183" s="14" t="s">
        <v>12567</v>
      </c>
      <c r="Q1183" s="14">
        <v>408306.66</v>
      </c>
      <c r="R1183" s="14">
        <v>6184564.25</v>
      </c>
      <c r="S1183" s="14" t="s">
        <v>12568</v>
      </c>
      <c r="T1183" s="14" t="s">
        <v>12561</v>
      </c>
      <c r="U1183" s="14">
        <v>408296.1</v>
      </c>
      <c r="V1183" s="14">
        <v>6184567.7000000002</v>
      </c>
      <c r="W1183" s="14">
        <v>273.55</v>
      </c>
      <c r="X1183" s="14">
        <v>150.04</v>
      </c>
    </row>
    <row r="1184" spans="1:24" s="14" customFormat="1" x14ac:dyDescent="0.25">
      <c r="A1184" s="50">
        <v>45100</v>
      </c>
      <c r="B1184" s="57">
        <v>174</v>
      </c>
      <c r="C1184" s="36">
        <v>0.43355324074074075</v>
      </c>
      <c r="D1184" s="16" t="s">
        <v>97</v>
      </c>
      <c r="E1184" s="14" t="s">
        <v>12577</v>
      </c>
      <c r="F1184" s="16" t="s">
        <v>12557</v>
      </c>
      <c r="G1184" s="16" t="s">
        <v>3039</v>
      </c>
      <c r="H1184" s="14">
        <v>-7.6999999999999999E-2</v>
      </c>
      <c r="O1184" s="14" t="s">
        <v>12573</v>
      </c>
      <c r="P1184" s="14" t="s">
        <v>12574</v>
      </c>
      <c r="Q1184" s="14">
        <v>408306.79</v>
      </c>
      <c r="R1184" s="14">
        <v>6184564.5300000003</v>
      </c>
      <c r="S1184" s="14" t="s">
        <v>12575</v>
      </c>
      <c r="T1184" s="14" t="s">
        <v>12576</v>
      </c>
      <c r="U1184" s="14">
        <v>408295.93</v>
      </c>
      <c r="V1184" s="14">
        <v>6184567.3899999997</v>
      </c>
      <c r="W1184" s="14">
        <v>273.62</v>
      </c>
      <c r="X1184" s="14">
        <v>150.04</v>
      </c>
    </row>
    <row r="1185" spans="1:24" s="77" customFormat="1" x14ac:dyDescent="0.25">
      <c r="A1185" s="74">
        <v>45100</v>
      </c>
      <c r="B1185" s="105">
        <v>174</v>
      </c>
      <c r="C1185" s="76">
        <v>0.4894444444444444</v>
      </c>
      <c r="D1185" s="75" t="s">
        <v>97</v>
      </c>
      <c r="E1185" s="77" t="s">
        <v>12582</v>
      </c>
      <c r="F1185" s="75" t="s">
        <v>12557</v>
      </c>
      <c r="G1185" s="75" t="s">
        <v>3039</v>
      </c>
      <c r="H1185" s="77">
        <v>-7.8E-2</v>
      </c>
      <c r="O1185" s="77" t="s">
        <v>12578</v>
      </c>
      <c r="P1185" s="77" t="s">
        <v>12579</v>
      </c>
      <c r="Q1185" s="77">
        <v>408306.68</v>
      </c>
      <c r="R1185" s="77">
        <v>6184564.5</v>
      </c>
      <c r="S1185" s="77" t="s">
        <v>12580</v>
      </c>
      <c r="T1185" s="77" t="s">
        <v>12581</v>
      </c>
      <c r="U1185" s="77">
        <v>408296.07</v>
      </c>
      <c r="V1185" s="77">
        <v>6184567.79</v>
      </c>
      <c r="W1185" s="77">
        <v>273.69</v>
      </c>
      <c r="X1185" s="77">
        <v>150.04</v>
      </c>
    </row>
    <row r="1186" spans="1:24" s="68" customFormat="1" x14ac:dyDescent="0.25">
      <c r="A1186" s="65">
        <v>45100</v>
      </c>
      <c r="B1186" s="106">
        <v>174</v>
      </c>
      <c r="C1186" s="67">
        <v>0.49405092592592598</v>
      </c>
      <c r="D1186" s="66" t="s">
        <v>97</v>
      </c>
      <c r="E1186" s="88" t="s">
        <v>12588</v>
      </c>
      <c r="F1186" s="66" t="s">
        <v>12557</v>
      </c>
      <c r="G1186" s="66" t="s">
        <v>3039</v>
      </c>
      <c r="H1186" s="68">
        <v>-7.1999999999999995E-2</v>
      </c>
      <c r="M1186" s="68" t="s">
        <v>12583</v>
      </c>
      <c r="O1186" s="68" t="s">
        <v>12584</v>
      </c>
      <c r="P1186" s="68" t="s">
        <v>12585</v>
      </c>
      <c r="Q1186" s="68">
        <v>408306.92</v>
      </c>
      <c r="R1186" s="68">
        <v>6184564.2800000003</v>
      </c>
      <c r="S1186" s="68" t="s">
        <v>12586</v>
      </c>
      <c r="T1186" s="68" t="s">
        <v>12587</v>
      </c>
      <c r="U1186" s="68">
        <v>408288.22</v>
      </c>
      <c r="V1186" s="68">
        <v>6184562.8399999999</v>
      </c>
      <c r="W1186" s="68">
        <v>267.06</v>
      </c>
      <c r="X1186" s="68">
        <v>150.04</v>
      </c>
    </row>
    <row r="1187" spans="1:24" s="14" customFormat="1" x14ac:dyDescent="0.25">
      <c r="A1187" s="50">
        <v>45100</v>
      </c>
      <c r="B1187" s="57">
        <v>174</v>
      </c>
      <c r="C1187" s="36">
        <v>0.49622685185185184</v>
      </c>
      <c r="D1187" s="16" t="s">
        <v>97</v>
      </c>
      <c r="E1187" s="52" t="s">
        <v>12589</v>
      </c>
      <c r="F1187" s="16" t="s">
        <v>12557</v>
      </c>
      <c r="G1187" s="16" t="s">
        <v>3039</v>
      </c>
      <c r="H1187" s="14">
        <v>-7.0000000000000007E-2</v>
      </c>
      <c r="O1187" s="14" t="s">
        <v>12590</v>
      </c>
      <c r="P1187" s="14" t="s">
        <v>12591</v>
      </c>
      <c r="Q1187" s="14">
        <v>408306.25</v>
      </c>
      <c r="R1187" s="14">
        <v>6184564.0599999996</v>
      </c>
      <c r="S1187" s="14" t="s">
        <v>12592</v>
      </c>
      <c r="T1187" s="14" t="s">
        <v>12593</v>
      </c>
      <c r="U1187" s="14">
        <v>408287.78</v>
      </c>
      <c r="V1187" s="14">
        <v>6184563.5</v>
      </c>
      <c r="W1187" s="14">
        <v>233.89</v>
      </c>
      <c r="X1187" s="14">
        <v>150.04</v>
      </c>
    </row>
    <row r="1188" spans="1:24" s="14" customFormat="1" x14ac:dyDescent="0.25">
      <c r="A1188" s="50">
        <v>45100</v>
      </c>
      <c r="B1188" s="57">
        <v>174</v>
      </c>
      <c r="C1188" s="36">
        <v>0.50146990740740738</v>
      </c>
      <c r="D1188" s="16" t="s">
        <v>97</v>
      </c>
      <c r="E1188" s="52" t="s">
        <v>65</v>
      </c>
      <c r="F1188" s="16" t="s">
        <v>12557</v>
      </c>
      <c r="G1188" s="16" t="s">
        <v>3039</v>
      </c>
      <c r="H1188" s="14">
        <v>-1.4999999999999999E-2</v>
      </c>
      <c r="I1188" s="14" t="s">
        <v>12598</v>
      </c>
      <c r="J1188" s="14" t="s">
        <v>12599</v>
      </c>
      <c r="K1188" s="14" t="s">
        <v>12600</v>
      </c>
      <c r="L1188" s="14" t="s">
        <v>12601</v>
      </c>
      <c r="O1188" s="14" t="s">
        <v>12594</v>
      </c>
      <c r="P1188" s="14" t="s">
        <v>12595</v>
      </c>
      <c r="Q1188" s="14">
        <v>408249.64</v>
      </c>
      <c r="R1188" s="14">
        <v>6184512.2199999997</v>
      </c>
      <c r="S1188" s="14" t="s">
        <v>12596</v>
      </c>
      <c r="T1188" s="14" t="s">
        <v>12597</v>
      </c>
      <c r="U1188" s="14">
        <v>408223.41</v>
      </c>
      <c r="V1188" s="14">
        <v>6184511.2300000004</v>
      </c>
      <c r="W1188" s="14">
        <v>180.47</v>
      </c>
      <c r="X1188" s="14">
        <v>150.04</v>
      </c>
    </row>
    <row r="1189" spans="1:24" s="14" customFormat="1" x14ac:dyDescent="0.25">
      <c r="A1189" s="50">
        <v>45100</v>
      </c>
      <c r="B1189" s="57">
        <v>174</v>
      </c>
      <c r="C1189" s="36">
        <v>0.50590277777777781</v>
      </c>
      <c r="D1189" s="16" t="s">
        <v>97</v>
      </c>
      <c r="E1189" s="52" t="s">
        <v>70</v>
      </c>
      <c r="F1189" s="16" t="s">
        <v>12557</v>
      </c>
      <c r="G1189" s="16" t="s">
        <v>3039</v>
      </c>
      <c r="H1189" s="14">
        <v>0.17599999999999999</v>
      </c>
      <c r="I1189" s="14" t="s">
        <v>12598</v>
      </c>
      <c r="J1189" s="14" t="s">
        <v>12599</v>
      </c>
      <c r="K1189" s="14" t="s">
        <v>12600</v>
      </c>
      <c r="L1189" s="14" t="s">
        <v>12601</v>
      </c>
      <c r="O1189" s="14" t="s">
        <v>12602</v>
      </c>
      <c r="P1189" s="14" t="s">
        <v>12603</v>
      </c>
      <c r="Q1189" s="14">
        <v>408248.67</v>
      </c>
      <c r="R1189" s="14">
        <v>6184318.4500000002</v>
      </c>
      <c r="S1189" s="14" t="s">
        <v>12604</v>
      </c>
      <c r="T1189" s="14" t="s">
        <v>12605</v>
      </c>
      <c r="U1189" s="14">
        <v>408223.42</v>
      </c>
      <c r="V1189" s="14">
        <v>6184320.5899999999</v>
      </c>
      <c r="W1189" s="14">
        <v>180.64</v>
      </c>
      <c r="X1189" s="14">
        <v>150.04</v>
      </c>
    </row>
    <row r="1190" spans="1:24" s="14" customFormat="1" x14ac:dyDescent="0.25">
      <c r="A1190" s="50">
        <v>45100</v>
      </c>
      <c r="B1190" s="57">
        <v>174</v>
      </c>
      <c r="C1190" s="36">
        <v>0.5084953703703704</v>
      </c>
      <c r="D1190" s="16" t="s">
        <v>97</v>
      </c>
      <c r="E1190" s="52" t="s">
        <v>65</v>
      </c>
      <c r="F1190" s="16" t="s">
        <v>12557</v>
      </c>
      <c r="G1190" s="16" t="s">
        <v>3038</v>
      </c>
      <c r="H1190" s="14">
        <v>0.17199999999999999</v>
      </c>
      <c r="I1190" s="14" t="s">
        <v>12610</v>
      </c>
      <c r="J1190" s="14" t="s">
        <v>12611</v>
      </c>
      <c r="K1190" s="14" t="s">
        <v>12612</v>
      </c>
      <c r="L1190" s="14" t="s">
        <v>12601</v>
      </c>
      <c r="O1190" s="14" t="s">
        <v>12606</v>
      </c>
      <c r="P1190" s="14" t="s">
        <v>12607</v>
      </c>
      <c r="Q1190" s="14">
        <v>408239.97</v>
      </c>
      <c r="R1190" s="14">
        <v>6184308.1799999997</v>
      </c>
      <c r="S1190" s="14" t="s">
        <v>12608</v>
      </c>
      <c r="T1190" s="14" t="s">
        <v>12609</v>
      </c>
      <c r="U1190" s="14">
        <v>408214.17</v>
      </c>
      <c r="V1190" s="14">
        <v>6184312.8200000003</v>
      </c>
      <c r="W1190" s="14">
        <v>0.54</v>
      </c>
      <c r="X1190" s="14">
        <v>150.04</v>
      </c>
    </row>
    <row r="1191" spans="1:24" s="14" customFormat="1" x14ac:dyDescent="0.25">
      <c r="A1191" s="50">
        <v>45100</v>
      </c>
      <c r="B1191" s="57">
        <v>174</v>
      </c>
      <c r="C1191" s="36">
        <v>0.51243055555555561</v>
      </c>
      <c r="D1191" s="16" t="s">
        <v>97</v>
      </c>
      <c r="E1191" s="52" t="s">
        <v>70</v>
      </c>
      <c r="F1191" s="16" t="s">
        <v>12557</v>
      </c>
      <c r="G1191" s="16" t="s">
        <v>3038</v>
      </c>
      <c r="H1191" s="14">
        <v>-1.9E-2</v>
      </c>
      <c r="I1191" s="14" t="s">
        <v>12610</v>
      </c>
      <c r="J1191" s="14" t="s">
        <v>12611</v>
      </c>
      <c r="K1191" s="14" t="s">
        <v>12612</v>
      </c>
      <c r="L1191" s="14" t="s">
        <v>12617</v>
      </c>
      <c r="O1191" s="14" t="s">
        <v>12613</v>
      </c>
      <c r="P1191" s="14" t="s">
        <v>12614</v>
      </c>
      <c r="Q1191" s="14">
        <v>408239.42</v>
      </c>
      <c r="R1191" s="14">
        <v>6184500.5999999996</v>
      </c>
      <c r="S1191" s="14" t="s">
        <v>12615</v>
      </c>
      <c r="T1191" s="14" t="s">
        <v>12616</v>
      </c>
      <c r="U1191" s="14">
        <v>408214.26</v>
      </c>
      <c r="V1191" s="14">
        <v>6184503.9800000004</v>
      </c>
      <c r="W1191" s="14">
        <v>359.95</v>
      </c>
      <c r="X1191" s="14">
        <v>150.04</v>
      </c>
    </row>
    <row r="1192" spans="1:24" s="14" customFormat="1" x14ac:dyDescent="0.25">
      <c r="A1192" s="50">
        <v>45100</v>
      </c>
      <c r="B1192" s="57">
        <v>174</v>
      </c>
      <c r="C1192" s="36">
        <v>0.51505787037037043</v>
      </c>
      <c r="D1192" s="16" t="s">
        <v>97</v>
      </c>
      <c r="E1192" s="14" t="s">
        <v>65</v>
      </c>
      <c r="F1192" s="16" t="s">
        <v>12557</v>
      </c>
      <c r="G1192" s="16" t="s">
        <v>3037</v>
      </c>
      <c r="H1192" s="14">
        <v>-1.2999999999999999E-2</v>
      </c>
      <c r="I1192" s="14" t="s">
        <v>12622</v>
      </c>
      <c r="J1192" s="14" t="s">
        <v>12623</v>
      </c>
      <c r="K1192" s="14" t="s">
        <v>12624</v>
      </c>
      <c r="L1192" s="14" t="s">
        <v>12617</v>
      </c>
      <c r="O1192" s="14" t="s">
        <v>12618</v>
      </c>
      <c r="P1192" s="14" t="s">
        <v>12619</v>
      </c>
      <c r="Q1192" s="14">
        <v>408230.97</v>
      </c>
      <c r="R1192" s="14">
        <v>6184507.1100000003</v>
      </c>
      <c r="S1192" s="14" t="s">
        <v>12620</v>
      </c>
      <c r="T1192" s="14" t="s">
        <v>12621</v>
      </c>
      <c r="U1192" s="14">
        <v>408205.29</v>
      </c>
      <c r="V1192" s="14">
        <v>6184508.8399999999</v>
      </c>
      <c r="W1192" s="14">
        <v>180.29</v>
      </c>
      <c r="X1192" s="14">
        <v>150.04</v>
      </c>
    </row>
    <row r="1193" spans="1:24" s="14" customFormat="1" x14ac:dyDescent="0.25">
      <c r="A1193" s="50">
        <v>45100</v>
      </c>
      <c r="B1193" s="57">
        <v>174</v>
      </c>
      <c r="C1193" s="36">
        <v>0.51868055555555559</v>
      </c>
      <c r="D1193" s="16" t="s">
        <v>97</v>
      </c>
      <c r="E1193" s="14" t="s">
        <v>70</v>
      </c>
      <c r="F1193" s="16" t="s">
        <v>12557</v>
      </c>
      <c r="G1193" s="16" t="s">
        <v>3037</v>
      </c>
      <c r="H1193" s="14">
        <v>0.17599999999999999</v>
      </c>
      <c r="I1193" s="14" t="s">
        <v>12622</v>
      </c>
      <c r="J1193" s="14" t="s">
        <v>12623</v>
      </c>
      <c r="K1193" s="14" t="s">
        <v>12624</v>
      </c>
      <c r="L1193" s="14" t="s">
        <v>12617</v>
      </c>
      <c r="O1193" s="14" t="s">
        <v>12625</v>
      </c>
      <c r="P1193" s="14" t="s">
        <v>12626</v>
      </c>
      <c r="Q1193" s="14">
        <v>408230.74</v>
      </c>
      <c r="R1193" s="14">
        <v>6184316.3600000003</v>
      </c>
      <c r="S1193" s="14" t="s">
        <v>12627</v>
      </c>
      <c r="T1193" s="14" t="s">
        <v>12628</v>
      </c>
      <c r="U1193" s="14">
        <v>408205.26</v>
      </c>
      <c r="V1193" s="14">
        <v>6184320.2400000002</v>
      </c>
      <c r="W1193" s="14">
        <v>180.51</v>
      </c>
      <c r="X1193" s="14">
        <v>150.04</v>
      </c>
    </row>
    <row r="1194" spans="1:24" s="14" customFormat="1" x14ac:dyDescent="0.25">
      <c r="A1194" s="50">
        <v>45100</v>
      </c>
      <c r="B1194" s="57">
        <v>174</v>
      </c>
      <c r="C1194" s="36">
        <v>0.52143518518518517</v>
      </c>
      <c r="D1194" s="16" t="s">
        <v>97</v>
      </c>
      <c r="E1194" s="14" t="s">
        <v>65</v>
      </c>
      <c r="F1194" s="16" t="s">
        <v>12557</v>
      </c>
      <c r="G1194" s="16" t="s">
        <v>3036</v>
      </c>
      <c r="H1194" s="14">
        <v>0.17</v>
      </c>
      <c r="I1194" s="14" t="s">
        <v>12633</v>
      </c>
      <c r="J1194" s="14" t="s">
        <v>12634</v>
      </c>
      <c r="K1194" s="14" t="s">
        <v>12635</v>
      </c>
      <c r="L1194" s="14" t="s">
        <v>12636</v>
      </c>
      <c r="O1194" s="14" t="s">
        <v>12629</v>
      </c>
      <c r="P1194" s="14" t="s">
        <v>12630</v>
      </c>
      <c r="Q1194" s="14">
        <v>408222.3</v>
      </c>
      <c r="R1194" s="14">
        <v>6184314.3099999996</v>
      </c>
      <c r="S1194" s="14" t="s">
        <v>12631</v>
      </c>
      <c r="T1194" s="14" t="s">
        <v>12632</v>
      </c>
      <c r="U1194" s="14">
        <v>408196.29</v>
      </c>
      <c r="V1194" s="14">
        <v>6184315.1699999999</v>
      </c>
      <c r="W1194" s="14">
        <v>1.07</v>
      </c>
      <c r="X1194" s="14">
        <v>150.04</v>
      </c>
    </row>
    <row r="1195" spans="1:24" s="14" customFormat="1" x14ac:dyDescent="0.25">
      <c r="A1195" s="50">
        <v>45100</v>
      </c>
      <c r="B1195" s="57">
        <v>174</v>
      </c>
      <c r="C1195" s="36">
        <v>0.52493055555555557</v>
      </c>
      <c r="D1195" s="16" t="s">
        <v>97</v>
      </c>
      <c r="E1195" s="14" t="s">
        <v>70</v>
      </c>
      <c r="F1195" s="16" t="s">
        <v>12557</v>
      </c>
      <c r="G1195" s="16" t="s">
        <v>3036</v>
      </c>
      <c r="H1195" s="14">
        <v>-1.9E-2</v>
      </c>
      <c r="I1195" s="14" t="s">
        <v>12633</v>
      </c>
      <c r="J1195" s="14" t="s">
        <v>12634</v>
      </c>
      <c r="K1195" s="14" t="s">
        <v>12635</v>
      </c>
      <c r="L1195" s="14" t="s">
        <v>12636</v>
      </c>
      <c r="O1195" s="14" t="s">
        <v>12637</v>
      </c>
      <c r="P1195" s="14" t="s">
        <v>12638</v>
      </c>
      <c r="Q1195" s="14">
        <v>408221.56</v>
      </c>
      <c r="R1195" s="14">
        <v>6184499.5899999999</v>
      </c>
      <c r="S1195" s="14" t="s">
        <v>12639</v>
      </c>
      <c r="T1195" s="14" t="s">
        <v>12640</v>
      </c>
      <c r="U1195" s="14">
        <v>408196.29</v>
      </c>
      <c r="V1195" s="14">
        <v>6184504.3300000001</v>
      </c>
      <c r="W1195" s="14">
        <v>0.02</v>
      </c>
      <c r="X1195" s="14">
        <v>150.04</v>
      </c>
    </row>
    <row r="1196" spans="1:24" s="14" customFormat="1" x14ac:dyDescent="0.25">
      <c r="A1196" s="50">
        <v>45100</v>
      </c>
      <c r="B1196" s="57">
        <v>174</v>
      </c>
      <c r="C1196" s="36">
        <v>0.5275347222222222</v>
      </c>
      <c r="D1196" s="16" t="s">
        <v>97</v>
      </c>
      <c r="E1196" s="14" t="s">
        <v>65</v>
      </c>
      <c r="F1196" s="16" t="s">
        <v>12557</v>
      </c>
      <c r="G1196" s="16" t="s">
        <v>3035</v>
      </c>
      <c r="H1196" s="14">
        <v>-1.6E-2</v>
      </c>
      <c r="I1196" s="14" t="s">
        <v>12645</v>
      </c>
      <c r="J1196" s="14" t="s">
        <v>12646</v>
      </c>
      <c r="K1196" s="14" t="s">
        <v>12647</v>
      </c>
      <c r="L1196" s="14" t="s">
        <v>12636</v>
      </c>
      <c r="O1196" s="14" t="s">
        <v>12641</v>
      </c>
      <c r="P1196" s="14" t="s">
        <v>12642</v>
      </c>
      <c r="Q1196" s="14">
        <v>408212.53</v>
      </c>
      <c r="R1196" s="14">
        <v>6184511.0599999996</v>
      </c>
      <c r="S1196" s="14" t="s">
        <v>12643</v>
      </c>
      <c r="T1196" s="14" t="s">
        <v>12644</v>
      </c>
      <c r="U1196" s="14">
        <v>408187.34</v>
      </c>
      <c r="V1196" s="14">
        <v>6184512.1399999997</v>
      </c>
      <c r="W1196" s="14">
        <v>181.53</v>
      </c>
      <c r="X1196" s="14">
        <v>150.04</v>
      </c>
    </row>
    <row r="1197" spans="1:24" s="14" customFormat="1" x14ac:dyDescent="0.25">
      <c r="A1197" s="50">
        <v>45100</v>
      </c>
      <c r="B1197" s="57">
        <v>174</v>
      </c>
      <c r="C1197" s="36">
        <v>0.53113425925925928</v>
      </c>
      <c r="D1197" s="16" t="s">
        <v>97</v>
      </c>
      <c r="E1197" s="14" t="s">
        <v>70</v>
      </c>
      <c r="F1197" s="16" t="s">
        <v>12557</v>
      </c>
      <c r="G1197" s="16" t="s">
        <v>3035</v>
      </c>
      <c r="H1197" s="14">
        <v>0.17499999999999999</v>
      </c>
      <c r="I1197" s="14" t="s">
        <v>12645</v>
      </c>
      <c r="J1197" s="14" t="s">
        <v>12646</v>
      </c>
      <c r="K1197" s="14" t="s">
        <v>12647</v>
      </c>
      <c r="L1197" s="14" t="s">
        <v>12652</v>
      </c>
      <c r="O1197" s="14" t="s">
        <v>12648</v>
      </c>
      <c r="P1197" s="14" t="s">
        <v>12649</v>
      </c>
      <c r="Q1197" s="14">
        <v>408212.02</v>
      </c>
      <c r="R1197" s="14">
        <v>6184321.04</v>
      </c>
      <c r="S1197" s="14" t="s">
        <v>12650</v>
      </c>
      <c r="T1197" s="14" t="s">
        <v>12651</v>
      </c>
      <c r="U1197" s="14">
        <v>408187.28</v>
      </c>
      <c r="V1197" s="14">
        <v>6184321.2999999998</v>
      </c>
      <c r="W1197" s="14">
        <v>180.19</v>
      </c>
      <c r="X1197" s="14">
        <v>150.04</v>
      </c>
    </row>
    <row r="1198" spans="1:24" s="14" customFormat="1" x14ac:dyDescent="0.25">
      <c r="A1198" s="50">
        <v>45100</v>
      </c>
      <c r="B1198" s="57">
        <v>174</v>
      </c>
      <c r="C1198" s="36">
        <v>0.53324074074074079</v>
      </c>
      <c r="D1198" s="16" t="s">
        <v>97</v>
      </c>
      <c r="E1198" s="52" t="s">
        <v>65</v>
      </c>
      <c r="F1198" s="16" t="s">
        <v>12557</v>
      </c>
      <c r="G1198" s="16" t="s">
        <v>3034</v>
      </c>
      <c r="H1198" s="14">
        <v>0.16800000000000001</v>
      </c>
      <c r="I1198" s="14" t="s">
        <v>12657</v>
      </c>
      <c r="J1198" s="14" t="s">
        <v>12658</v>
      </c>
      <c r="K1198" s="14" t="s">
        <v>12659</v>
      </c>
      <c r="L1198" s="14" t="s">
        <v>12652</v>
      </c>
      <c r="O1198" s="14" t="s">
        <v>12653</v>
      </c>
      <c r="P1198" s="14" t="s">
        <v>12654</v>
      </c>
      <c r="Q1198" s="14">
        <v>408202.78</v>
      </c>
      <c r="R1198" s="14">
        <v>6184309.9900000002</v>
      </c>
      <c r="S1198" s="14" t="s">
        <v>12655</v>
      </c>
      <c r="T1198" s="14" t="s">
        <v>12656</v>
      </c>
      <c r="U1198" s="14">
        <v>408178.19</v>
      </c>
      <c r="V1198" s="14">
        <v>6184316.8799999999</v>
      </c>
      <c r="W1198" s="14">
        <v>0.38</v>
      </c>
      <c r="X1198" s="14">
        <v>150.04</v>
      </c>
    </row>
    <row r="1199" spans="1:24" s="14" customFormat="1" x14ac:dyDescent="0.25">
      <c r="A1199" s="50">
        <v>45100</v>
      </c>
      <c r="B1199" s="57">
        <v>174</v>
      </c>
      <c r="C1199" s="36">
        <v>0.53681712962962969</v>
      </c>
      <c r="D1199" s="16" t="s">
        <v>97</v>
      </c>
      <c r="E1199" s="52" t="s">
        <v>70</v>
      </c>
      <c r="F1199" s="16" t="s">
        <v>12557</v>
      </c>
      <c r="G1199" s="16" t="s">
        <v>3034</v>
      </c>
      <c r="H1199" s="14">
        <v>-0.02</v>
      </c>
      <c r="I1199" s="14" t="s">
        <v>12657</v>
      </c>
      <c r="J1199" s="14" t="s">
        <v>12658</v>
      </c>
      <c r="K1199" s="14" t="s">
        <v>12659</v>
      </c>
      <c r="L1199" s="14" t="s">
        <v>12652</v>
      </c>
      <c r="O1199" s="14" t="s">
        <v>12660</v>
      </c>
      <c r="P1199" s="14" t="s">
        <v>12661</v>
      </c>
      <c r="Q1199" s="14">
        <v>408202.49</v>
      </c>
      <c r="R1199" s="14">
        <v>6184498.7699999996</v>
      </c>
      <c r="S1199" s="14" t="s">
        <v>12662</v>
      </c>
      <c r="T1199" s="14" t="s">
        <v>12663</v>
      </c>
      <c r="U1199" s="14">
        <v>408178.26</v>
      </c>
      <c r="V1199" s="14">
        <v>6184505.29</v>
      </c>
      <c r="W1199" s="14">
        <v>359.93</v>
      </c>
      <c r="X1199" s="14">
        <v>150.04</v>
      </c>
    </row>
    <row r="1200" spans="1:24" s="14" customFormat="1" x14ac:dyDescent="0.25">
      <c r="A1200" s="50">
        <v>45100</v>
      </c>
      <c r="B1200" s="57">
        <v>174</v>
      </c>
      <c r="C1200" s="36">
        <v>0.53910879629629627</v>
      </c>
      <c r="D1200" s="16" t="s">
        <v>97</v>
      </c>
      <c r="E1200" s="52" t="s">
        <v>65</v>
      </c>
      <c r="F1200" s="16" t="s">
        <v>12557</v>
      </c>
      <c r="G1200" s="16" t="s">
        <v>3028</v>
      </c>
      <c r="H1200" s="14">
        <v>-1.7000000000000001E-2</v>
      </c>
      <c r="I1200" s="14" t="s">
        <v>12668</v>
      </c>
      <c r="J1200" s="14" t="s">
        <v>12669</v>
      </c>
      <c r="K1200" s="14" t="s">
        <v>12670</v>
      </c>
      <c r="L1200" s="14" t="s">
        <v>12652</v>
      </c>
      <c r="O1200" s="14" t="s">
        <v>12664</v>
      </c>
      <c r="P1200" s="14" t="s">
        <v>12665</v>
      </c>
      <c r="Q1200" s="14">
        <v>408194.63</v>
      </c>
      <c r="R1200" s="14">
        <v>6184512.5099999998</v>
      </c>
      <c r="S1200" s="14" t="s">
        <v>12666</v>
      </c>
      <c r="T1200" s="14" t="s">
        <v>12667</v>
      </c>
      <c r="U1200" s="14">
        <v>408169.2</v>
      </c>
      <c r="V1200" s="14">
        <v>6184513.4299999997</v>
      </c>
      <c r="W1200" s="14">
        <v>180.6</v>
      </c>
      <c r="X1200" s="14">
        <v>150.04</v>
      </c>
    </row>
    <row r="1201" spans="1:24" s="14" customFormat="1" x14ac:dyDescent="0.25">
      <c r="A1201" s="50">
        <v>45100</v>
      </c>
      <c r="B1201" s="57">
        <v>174</v>
      </c>
      <c r="C1201" s="36">
        <v>0.54274305555555558</v>
      </c>
      <c r="D1201" s="16" t="s">
        <v>97</v>
      </c>
      <c r="E1201" s="52" t="s">
        <v>70</v>
      </c>
      <c r="F1201" s="16" t="s">
        <v>12557</v>
      </c>
      <c r="G1201" s="16" t="s">
        <v>3028</v>
      </c>
      <c r="H1201" s="14">
        <v>0.17399999999999999</v>
      </c>
      <c r="I1201" s="14" t="s">
        <v>12668</v>
      </c>
      <c r="J1201" s="14" t="s">
        <v>12669</v>
      </c>
      <c r="K1201" s="14" t="s">
        <v>12670</v>
      </c>
      <c r="L1201" s="14" t="s">
        <v>12675</v>
      </c>
      <c r="O1201" s="14" t="s">
        <v>12671</v>
      </c>
      <c r="P1201" s="14" t="s">
        <v>12672</v>
      </c>
      <c r="Q1201" s="14">
        <v>408194.11</v>
      </c>
      <c r="R1201" s="14">
        <v>6184321.7599999998</v>
      </c>
      <c r="S1201" s="14" t="s">
        <v>12673</v>
      </c>
      <c r="T1201" s="14" t="s">
        <v>12674</v>
      </c>
      <c r="U1201" s="14">
        <v>408169.16</v>
      </c>
      <c r="V1201" s="14">
        <v>6184321.8200000003</v>
      </c>
      <c r="W1201" s="14">
        <v>179.57</v>
      </c>
      <c r="X1201" s="14">
        <v>150.04</v>
      </c>
    </row>
    <row r="1202" spans="1:24" s="14" customFormat="1" x14ac:dyDescent="0.25">
      <c r="A1202" s="50">
        <v>45100</v>
      </c>
      <c r="B1202" s="57">
        <v>174</v>
      </c>
      <c r="C1202" s="36">
        <v>0.54515046296296299</v>
      </c>
      <c r="D1202" s="16" t="s">
        <v>97</v>
      </c>
      <c r="E1202" s="52" t="s">
        <v>65</v>
      </c>
      <c r="F1202" s="16" t="s">
        <v>12557</v>
      </c>
      <c r="G1202" s="16" t="s">
        <v>3029</v>
      </c>
      <c r="H1202" s="14">
        <v>0.16700000000000001</v>
      </c>
      <c r="I1202" s="14" t="s">
        <v>12680</v>
      </c>
      <c r="J1202" s="14" t="s">
        <v>12681</v>
      </c>
      <c r="K1202" s="14" t="s">
        <v>12682</v>
      </c>
      <c r="L1202" s="14" t="s">
        <v>12675</v>
      </c>
      <c r="O1202" s="14" t="s">
        <v>12676</v>
      </c>
      <c r="P1202" s="14" t="s">
        <v>12677</v>
      </c>
      <c r="Q1202" s="14">
        <v>408185.81</v>
      </c>
      <c r="R1202" s="14">
        <v>6184312.2800000003</v>
      </c>
      <c r="S1202" s="14" t="s">
        <v>12678</v>
      </c>
      <c r="T1202" s="14" t="s">
        <v>12679</v>
      </c>
      <c r="U1202" s="14">
        <v>408160.28</v>
      </c>
      <c r="V1202" s="14">
        <v>6184317.8600000003</v>
      </c>
      <c r="W1202" s="14">
        <v>0.3</v>
      </c>
      <c r="X1202" s="14">
        <v>150.04</v>
      </c>
    </row>
    <row r="1203" spans="1:24" s="14" customFormat="1" x14ac:dyDescent="0.25">
      <c r="A1203" s="50">
        <v>45100</v>
      </c>
      <c r="B1203" s="57">
        <v>174</v>
      </c>
      <c r="C1203" s="36">
        <v>0.54873842592592592</v>
      </c>
      <c r="D1203" s="16" t="s">
        <v>97</v>
      </c>
      <c r="E1203" s="52" t="s">
        <v>70</v>
      </c>
      <c r="F1203" s="16" t="s">
        <v>12557</v>
      </c>
      <c r="G1203" s="16" t="s">
        <v>3029</v>
      </c>
      <c r="H1203" s="14">
        <v>-2.1999999999999999E-2</v>
      </c>
      <c r="I1203" s="14" t="s">
        <v>12680</v>
      </c>
      <c r="J1203" s="14" t="s">
        <v>12681</v>
      </c>
      <c r="K1203" s="14" t="s">
        <v>12682</v>
      </c>
      <c r="L1203" s="14" t="s">
        <v>12675</v>
      </c>
      <c r="O1203" s="14" t="s">
        <v>12683</v>
      </c>
      <c r="P1203" s="14" t="s">
        <v>12684</v>
      </c>
      <c r="Q1203" s="14">
        <v>408186.01</v>
      </c>
      <c r="R1203" s="14">
        <v>6184502.8600000003</v>
      </c>
      <c r="S1203" s="14" t="s">
        <v>12685</v>
      </c>
      <c r="T1203" s="14" t="s">
        <v>12686</v>
      </c>
      <c r="U1203" s="14">
        <v>408160.3</v>
      </c>
      <c r="V1203" s="14">
        <v>6184507.2699999996</v>
      </c>
      <c r="W1203" s="14">
        <v>0.12</v>
      </c>
      <c r="X1203" s="14">
        <v>150.04</v>
      </c>
    </row>
    <row r="1204" spans="1:24" s="14" customFormat="1" x14ac:dyDescent="0.25">
      <c r="A1204" s="50">
        <v>45100</v>
      </c>
      <c r="B1204" s="57">
        <v>174</v>
      </c>
      <c r="C1204" s="36">
        <v>0.55148148148148146</v>
      </c>
      <c r="D1204" s="16" t="s">
        <v>97</v>
      </c>
      <c r="E1204" s="52" t="s">
        <v>65</v>
      </c>
      <c r="F1204" s="16" t="s">
        <v>12557</v>
      </c>
      <c r="G1204" s="16" t="s">
        <v>3030</v>
      </c>
      <c r="H1204" s="14">
        <v>-1.7999999999999999E-2</v>
      </c>
      <c r="I1204" s="14" t="s">
        <v>12691</v>
      </c>
      <c r="J1204" s="14" t="s">
        <v>12692</v>
      </c>
      <c r="K1204" s="14" t="s">
        <v>12693</v>
      </c>
      <c r="L1204" s="14" t="s">
        <v>12675</v>
      </c>
      <c r="O1204" s="14" t="s">
        <v>12687</v>
      </c>
      <c r="P1204" s="14" t="s">
        <v>12688</v>
      </c>
      <c r="Q1204" s="14">
        <v>408177.38</v>
      </c>
      <c r="R1204" s="14">
        <v>6184512.1100000003</v>
      </c>
      <c r="S1204" s="14" t="s">
        <v>12689</v>
      </c>
      <c r="T1204" s="14" t="s">
        <v>12690</v>
      </c>
      <c r="U1204" s="14">
        <v>408151.2</v>
      </c>
      <c r="V1204" s="14">
        <v>6184513.96</v>
      </c>
      <c r="W1204" s="14">
        <v>179.99</v>
      </c>
      <c r="X1204" s="14">
        <v>150.04</v>
      </c>
    </row>
    <row r="1205" spans="1:24" s="14" customFormat="1" x14ac:dyDescent="0.25">
      <c r="A1205" s="50">
        <v>45100</v>
      </c>
      <c r="B1205" s="57">
        <v>174</v>
      </c>
      <c r="C1205" s="36">
        <v>0.55508101851851854</v>
      </c>
      <c r="D1205" s="16" t="s">
        <v>97</v>
      </c>
      <c r="E1205" s="14" t="s">
        <v>70</v>
      </c>
      <c r="F1205" s="16" t="s">
        <v>12557</v>
      </c>
      <c r="G1205" s="16" t="s">
        <v>3030</v>
      </c>
      <c r="H1205" s="14">
        <v>0.17199999999999999</v>
      </c>
      <c r="I1205" s="14" t="s">
        <v>12691</v>
      </c>
      <c r="J1205" s="14" t="s">
        <v>12692</v>
      </c>
      <c r="K1205" s="14" t="s">
        <v>12693</v>
      </c>
      <c r="L1205" s="14" t="s">
        <v>12698</v>
      </c>
      <c r="O1205" s="14" t="s">
        <v>12694</v>
      </c>
      <c r="P1205" s="14" t="s">
        <v>12695</v>
      </c>
      <c r="Q1205" s="14">
        <v>408176.47</v>
      </c>
      <c r="R1205" s="14">
        <v>6184322.5800000001</v>
      </c>
      <c r="S1205" s="14" t="s">
        <v>12696</v>
      </c>
      <c r="T1205" s="14" t="s">
        <v>12697</v>
      </c>
      <c r="U1205" s="14">
        <v>408151.23</v>
      </c>
      <c r="V1205" s="14">
        <v>6184323.7599999998</v>
      </c>
      <c r="W1205" s="14">
        <v>180.13</v>
      </c>
      <c r="X1205" s="14">
        <v>150.04</v>
      </c>
    </row>
    <row r="1206" spans="1:24" s="14" customFormat="1" x14ac:dyDescent="0.25">
      <c r="A1206" s="50">
        <v>45100</v>
      </c>
      <c r="B1206" s="57">
        <v>174</v>
      </c>
      <c r="C1206" s="36">
        <v>0.55733796296296301</v>
      </c>
      <c r="D1206" s="16" t="s">
        <v>97</v>
      </c>
      <c r="E1206" s="14" t="s">
        <v>65</v>
      </c>
      <c r="F1206" s="16" t="s">
        <v>12557</v>
      </c>
      <c r="G1206" s="16" t="s">
        <v>3031</v>
      </c>
      <c r="H1206" s="14">
        <v>0.16800000000000001</v>
      </c>
      <c r="I1206" s="14" t="s">
        <v>12703</v>
      </c>
      <c r="J1206" s="14" t="s">
        <v>12704</v>
      </c>
      <c r="K1206" s="14" t="s">
        <v>12705</v>
      </c>
      <c r="L1206" s="14" t="s">
        <v>12698</v>
      </c>
      <c r="O1206" s="14" t="s">
        <v>12699</v>
      </c>
      <c r="P1206" s="14" t="s">
        <v>12700</v>
      </c>
      <c r="Q1206" s="14">
        <v>408168.31</v>
      </c>
      <c r="R1206" s="14">
        <v>6184312.5899999999</v>
      </c>
      <c r="S1206" s="14" t="s">
        <v>12701</v>
      </c>
      <c r="T1206" s="14" t="s">
        <v>12702</v>
      </c>
      <c r="U1206" s="14">
        <v>408142.27</v>
      </c>
      <c r="V1206" s="14">
        <v>6184317.46</v>
      </c>
      <c r="W1206" s="14">
        <v>0.16</v>
      </c>
      <c r="X1206" s="14">
        <v>150.04</v>
      </c>
    </row>
    <row r="1207" spans="1:24" s="14" customFormat="1" x14ac:dyDescent="0.25">
      <c r="A1207" s="50">
        <v>45100</v>
      </c>
      <c r="B1207" s="57">
        <v>174</v>
      </c>
      <c r="C1207" s="36">
        <v>0.5609143518518519</v>
      </c>
      <c r="D1207" s="16" t="s">
        <v>97</v>
      </c>
      <c r="E1207" s="14" t="s">
        <v>70</v>
      </c>
      <c r="F1207" s="16" t="s">
        <v>12557</v>
      </c>
      <c r="G1207" s="16" t="s">
        <v>3031</v>
      </c>
      <c r="H1207" s="14">
        <v>-2.1000000000000001E-2</v>
      </c>
      <c r="I1207" s="14" t="s">
        <v>12703</v>
      </c>
      <c r="J1207" s="14" t="s">
        <v>12704</v>
      </c>
      <c r="K1207" s="14" t="s">
        <v>12705</v>
      </c>
      <c r="L1207" s="14" t="s">
        <v>12698</v>
      </c>
      <c r="O1207" s="14" t="s">
        <v>12706</v>
      </c>
      <c r="P1207" s="14" t="s">
        <v>12707</v>
      </c>
      <c r="Q1207" s="14">
        <v>408167.22</v>
      </c>
      <c r="R1207" s="14">
        <v>6184502.21</v>
      </c>
      <c r="S1207" s="14" t="s">
        <v>12708</v>
      </c>
      <c r="T1207" s="14" t="s">
        <v>12709</v>
      </c>
      <c r="U1207" s="14">
        <v>408142.28</v>
      </c>
      <c r="V1207" s="14">
        <v>6184506.4400000004</v>
      </c>
      <c r="W1207" s="14">
        <v>0.13</v>
      </c>
      <c r="X1207" s="14">
        <v>150.04</v>
      </c>
    </row>
    <row r="1208" spans="1:24" s="14" customFormat="1" x14ac:dyDescent="0.25">
      <c r="A1208" s="50">
        <v>45100</v>
      </c>
      <c r="B1208" s="57">
        <v>174</v>
      </c>
      <c r="C1208" s="36">
        <v>0.56298611111111108</v>
      </c>
      <c r="D1208" s="16" t="s">
        <v>97</v>
      </c>
      <c r="E1208" s="14" t="s">
        <v>65</v>
      </c>
      <c r="F1208" s="16" t="s">
        <v>12557</v>
      </c>
      <c r="G1208" s="16" t="s">
        <v>3032</v>
      </c>
      <c r="H1208" s="14">
        <v>-1.7999999999999999E-2</v>
      </c>
      <c r="I1208" s="14" t="s">
        <v>12714</v>
      </c>
      <c r="J1208" s="14" t="s">
        <v>12715</v>
      </c>
      <c r="K1208" s="14" t="s">
        <v>12716</v>
      </c>
      <c r="L1208" s="14" t="s">
        <v>12717</v>
      </c>
      <c r="O1208" s="14" t="s">
        <v>12710</v>
      </c>
      <c r="P1208" s="14" t="s">
        <v>12711</v>
      </c>
      <c r="Q1208" s="14">
        <v>408159.49</v>
      </c>
      <c r="R1208" s="14">
        <v>6184513.9500000002</v>
      </c>
      <c r="S1208" s="14" t="s">
        <v>12712</v>
      </c>
      <c r="T1208" s="14" t="s">
        <v>12713</v>
      </c>
      <c r="U1208" s="14">
        <v>408133.19</v>
      </c>
      <c r="V1208" s="14">
        <v>6184513.9400000004</v>
      </c>
      <c r="W1208" s="14">
        <v>180.13</v>
      </c>
      <c r="X1208" s="14">
        <v>150.04</v>
      </c>
    </row>
    <row r="1209" spans="1:24" s="14" customFormat="1" x14ac:dyDescent="0.25">
      <c r="A1209" s="50">
        <v>45100</v>
      </c>
      <c r="B1209" s="57">
        <v>174</v>
      </c>
      <c r="C1209" s="36">
        <v>0.56662037037037039</v>
      </c>
      <c r="D1209" s="16" t="s">
        <v>97</v>
      </c>
      <c r="E1209" s="14" t="s">
        <v>70</v>
      </c>
      <c r="F1209" s="16" t="s">
        <v>12557</v>
      </c>
      <c r="G1209" s="16" t="s">
        <v>3032</v>
      </c>
      <c r="H1209" s="14">
        <v>0.17199999999999999</v>
      </c>
      <c r="I1209" s="14" t="s">
        <v>12714</v>
      </c>
      <c r="J1209" s="14" t="s">
        <v>12715</v>
      </c>
      <c r="K1209" s="14" t="s">
        <v>12716</v>
      </c>
      <c r="L1209" s="14" t="s">
        <v>12717</v>
      </c>
      <c r="O1209" s="14" t="s">
        <v>12718</v>
      </c>
      <c r="P1209" s="14" t="s">
        <v>12719</v>
      </c>
      <c r="Q1209" s="14">
        <v>408158.58</v>
      </c>
      <c r="R1209" s="14">
        <v>6184323.2800000003</v>
      </c>
      <c r="S1209" s="14" t="s">
        <v>12720</v>
      </c>
      <c r="T1209" s="14" t="s">
        <v>12721</v>
      </c>
      <c r="U1209" s="14">
        <v>408133.24</v>
      </c>
      <c r="V1209" s="14">
        <v>6184324.1200000001</v>
      </c>
      <c r="W1209" s="14">
        <v>179.66</v>
      </c>
      <c r="X1209" s="14">
        <v>150.04</v>
      </c>
    </row>
    <row r="1210" spans="1:24" s="14" customFormat="1" x14ac:dyDescent="0.25">
      <c r="A1210" s="50">
        <v>45100</v>
      </c>
      <c r="B1210" s="57">
        <v>174</v>
      </c>
      <c r="C1210" s="36">
        <v>0.56878472222222221</v>
      </c>
      <c r="D1210" s="16" t="s">
        <v>97</v>
      </c>
      <c r="E1210" s="14" t="s">
        <v>65</v>
      </c>
      <c r="F1210" s="16" t="s">
        <v>12557</v>
      </c>
      <c r="G1210" s="16" t="s">
        <v>3033</v>
      </c>
      <c r="H1210" s="14">
        <v>0.16800000000000001</v>
      </c>
      <c r="I1210" s="14" t="s">
        <v>12726</v>
      </c>
      <c r="J1210" s="14" t="s">
        <v>12727</v>
      </c>
      <c r="K1210" s="14" t="s">
        <v>12728</v>
      </c>
      <c r="L1210" s="14" t="s">
        <v>12717</v>
      </c>
      <c r="O1210" s="14" t="s">
        <v>12722</v>
      </c>
      <c r="P1210" s="14" t="s">
        <v>12723</v>
      </c>
      <c r="Q1210" s="14">
        <v>408150.59</v>
      </c>
      <c r="R1210" s="14">
        <v>6184311.7699999996</v>
      </c>
      <c r="S1210" s="14" t="s">
        <v>12724</v>
      </c>
      <c r="T1210" s="14" t="s">
        <v>12725</v>
      </c>
      <c r="U1210" s="14">
        <v>408124.23</v>
      </c>
      <c r="V1210" s="14">
        <v>6184316.7199999997</v>
      </c>
      <c r="W1210" s="14">
        <v>1.04</v>
      </c>
      <c r="X1210" s="14">
        <v>150.04</v>
      </c>
    </row>
    <row r="1211" spans="1:24" s="14" customFormat="1" x14ac:dyDescent="0.25">
      <c r="A1211" s="50">
        <v>45100</v>
      </c>
      <c r="B1211" s="57">
        <v>174</v>
      </c>
      <c r="C1211" s="36">
        <v>0.57237268518518525</v>
      </c>
      <c r="D1211" s="16" t="s">
        <v>97</v>
      </c>
      <c r="E1211" s="14" t="s">
        <v>70</v>
      </c>
      <c r="F1211" s="16" t="s">
        <v>12557</v>
      </c>
      <c r="G1211" s="16" t="s">
        <v>3033</v>
      </c>
      <c r="H1211" s="14">
        <v>-2.1000000000000001E-2</v>
      </c>
      <c r="I1211" s="14" t="s">
        <v>12726</v>
      </c>
      <c r="J1211" s="14" t="s">
        <v>12727</v>
      </c>
      <c r="K1211" s="14" t="s">
        <v>12728</v>
      </c>
      <c r="L1211" s="14" t="s">
        <v>12717</v>
      </c>
      <c r="O1211" s="14" t="s">
        <v>12729</v>
      </c>
      <c r="P1211" s="14" t="s">
        <v>12730</v>
      </c>
      <c r="Q1211" s="14">
        <v>408149.05</v>
      </c>
      <c r="R1211" s="14">
        <v>6184501.5199999996</v>
      </c>
      <c r="S1211" s="14" t="s">
        <v>12731</v>
      </c>
      <c r="T1211" s="14" t="s">
        <v>12732</v>
      </c>
      <c r="U1211" s="14">
        <v>408124.24</v>
      </c>
      <c r="V1211" s="14">
        <v>6184506.1399999997</v>
      </c>
      <c r="W1211" s="14">
        <v>0.28999999999999998</v>
      </c>
      <c r="X1211" s="14">
        <v>150.04</v>
      </c>
    </row>
    <row r="1212" spans="1:24" s="14" customFormat="1" x14ac:dyDescent="0.25">
      <c r="A1212" s="50">
        <v>45100</v>
      </c>
      <c r="B1212" s="57">
        <v>174</v>
      </c>
      <c r="C1212" s="36">
        <v>0.57472222222222225</v>
      </c>
      <c r="D1212" s="16" t="s">
        <v>97</v>
      </c>
      <c r="E1212" s="52" t="s">
        <v>12737</v>
      </c>
      <c r="F1212" s="16" t="s">
        <v>12557</v>
      </c>
      <c r="G1212" s="16" t="s">
        <v>3123</v>
      </c>
      <c r="H1212" s="14">
        <v>1.663</v>
      </c>
      <c r="O1212" s="14" t="s">
        <v>12733</v>
      </c>
      <c r="P1212" s="14" t="s">
        <v>12734</v>
      </c>
      <c r="Q1212" s="14">
        <v>408161.78</v>
      </c>
      <c r="R1212" s="14">
        <v>6184564.4100000001</v>
      </c>
      <c r="S1212" s="14" t="s">
        <v>12735</v>
      </c>
      <c r="T1212" s="14" t="s">
        <v>12736</v>
      </c>
      <c r="U1212" s="14">
        <v>408134.29</v>
      </c>
      <c r="V1212" s="14">
        <v>6184565.6600000001</v>
      </c>
      <c r="W1212" s="14">
        <v>15.75</v>
      </c>
      <c r="X1212" s="14">
        <v>150.04</v>
      </c>
    </row>
    <row r="1213" spans="1:24" s="14" customFormat="1" x14ac:dyDescent="0.25">
      <c r="A1213" s="50">
        <v>45100</v>
      </c>
      <c r="B1213" s="57">
        <v>174</v>
      </c>
      <c r="C1213" s="36">
        <v>0.57962962962962961</v>
      </c>
      <c r="D1213" s="16" t="s">
        <v>97</v>
      </c>
      <c r="E1213" s="116" t="s">
        <v>12738</v>
      </c>
      <c r="F1213" s="16" t="s">
        <v>12557</v>
      </c>
      <c r="G1213" s="16" t="s">
        <v>3123</v>
      </c>
      <c r="H1213" s="14">
        <v>1.6120000000000001</v>
      </c>
      <c r="O1213" s="14" t="s">
        <v>12739</v>
      </c>
      <c r="P1213" s="14" t="s">
        <v>12740</v>
      </c>
      <c r="Q1213" s="14">
        <v>408184.74</v>
      </c>
      <c r="R1213" s="14">
        <v>6184619.9900000002</v>
      </c>
      <c r="S1213" s="14" t="s">
        <v>12741</v>
      </c>
      <c r="T1213" s="14" t="s">
        <v>12742</v>
      </c>
      <c r="U1213" s="14">
        <v>408173.56</v>
      </c>
      <c r="V1213" s="14">
        <v>6184623.1100000003</v>
      </c>
      <c r="W1213" s="14">
        <v>257.94</v>
      </c>
      <c r="X1213" s="14">
        <v>150.04</v>
      </c>
    </row>
    <row r="1214" spans="1:24" s="14" customFormat="1" x14ac:dyDescent="0.25">
      <c r="A1214" s="50">
        <v>45100</v>
      </c>
      <c r="B1214" s="57">
        <v>174</v>
      </c>
      <c r="C1214" s="36">
        <v>0.59255787037037033</v>
      </c>
      <c r="D1214" s="16" t="s">
        <v>97</v>
      </c>
      <c r="E1214" s="116" t="s">
        <v>8597</v>
      </c>
      <c r="F1214" s="16" t="s">
        <v>12557</v>
      </c>
      <c r="G1214" s="16" t="s">
        <v>3123</v>
      </c>
      <c r="H1214" s="14">
        <v>0.192</v>
      </c>
      <c r="O1214" s="14" t="s">
        <v>12743</v>
      </c>
      <c r="P1214" s="14" t="s">
        <v>12744</v>
      </c>
      <c r="Q1214" s="14">
        <v>406850.5</v>
      </c>
      <c r="R1214" s="14">
        <v>6186040.4699999997</v>
      </c>
      <c r="S1214" s="14" t="s">
        <v>12745</v>
      </c>
      <c r="T1214" s="14" t="s">
        <v>12746</v>
      </c>
      <c r="U1214" s="14">
        <v>406839.57</v>
      </c>
      <c r="V1214" s="14">
        <v>6186042.4199999999</v>
      </c>
      <c r="W1214" s="14">
        <v>257.56</v>
      </c>
      <c r="X1214" s="14">
        <v>150.04</v>
      </c>
    </row>
    <row r="1215" spans="1:24" s="110" customFormat="1" x14ac:dyDescent="0.25">
      <c r="A1215" s="130">
        <v>45100</v>
      </c>
      <c r="B1215" s="98">
        <v>174</v>
      </c>
      <c r="C1215" s="107">
        <v>0.59452546296296294</v>
      </c>
      <c r="D1215" s="129" t="s">
        <v>97</v>
      </c>
      <c r="E1215" s="120" t="s">
        <v>11477</v>
      </c>
      <c r="F1215" s="129" t="s">
        <v>12557</v>
      </c>
      <c r="G1215" s="129" t="s">
        <v>3123</v>
      </c>
      <c r="H1215" s="110">
        <v>0.186</v>
      </c>
      <c r="I1215" s="110" t="s">
        <v>12751</v>
      </c>
      <c r="J1215" s="110" t="s">
        <v>12727</v>
      </c>
      <c r="K1215" s="110" t="s">
        <v>12728</v>
      </c>
      <c r="L1215" s="110" t="s">
        <v>12752</v>
      </c>
      <c r="O1215" s="110" t="s">
        <v>12747</v>
      </c>
      <c r="P1215" s="110" t="s">
        <v>12748</v>
      </c>
      <c r="Q1215" s="110">
        <v>406850.17</v>
      </c>
      <c r="R1215" s="110">
        <v>6186040.54</v>
      </c>
      <c r="S1215" s="110" t="s">
        <v>12749</v>
      </c>
      <c r="T1215" s="110" t="s">
        <v>12750</v>
      </c>
      <c r="U1215" s="110">
        <v>406827.71</v>
      </c>
      <c r="V1215" s="110">
        <v>6186043.9500000002</v>
      </c>
      <c r="W1215" s="110">
        <v>311.58999999999997</v>
      </c>
      <c r="X1215" s="110">
        <v>150.04</v>
      </c>
    </row>
    <row r="1216" spans="1:24" s="120" customFormat="1" x14ac:dyDescent="0.25">
      <c r="A1216" s="93">
        <v>45100</v>
      </c>
      <c r="B1216" s="92">
        <v>174</v>
      </c>
      <c r="C1216" s="83">
        <v>0.59457175925925931</v>
      </c>
      <c r="D1216" s="135" t="s">
        <v>97</v>
      </c>
      <c r="E1216" s="120" t="s">
        <v>70</v>
      </c>
      <c r="F1216" s="135" t="s">
        <v>12557</v>
      </c>
      <c r="G1216" s="135" t="s">
        <v>3123</v>
      </c>
      <c r="H1216" s="120">
        <v>0.184</v>
      </c>
      <c r="I1216" s="120" t="s">
        <v>12751</v>
      </c>
      <c r="J1216" s="120" t="s">
        <v>12727</v>
      </c>
      <c r="K1216" s="120" t="s">
        <v>12728</v>
      </c>
      <c r="L1216" s="120" t="s">
        <v>12752</v>
      </c>
      <c r="O1216" s="120" t="s">
        <v>12753</v>
      </c>
      <c r="P1216" s="120" t="s">
        <v>12754</v>
      </c>
      <c r="Q1216" s="120">
        <v>406850.07</v>
      </c>
      <c r="R1216" s="120">
        <v>6186040.5499999998</v>
      </c>
      <c r="S1216" s="120" t="s">
        <v>12755</v>
      </c>
      <c r="T1216" s="120" t="s">
        <v>12756</v>
      </c>
      <c r="U1216" s="120">
        <v>406826.69</v>
      </c>
      <c r="V1216" s="120">
        <v>6186044.1100000003</v>
      </c>
      <c r="W1216" s="120">
        <v>331.41</v>
      </c>
      <c r="X1216" s="120">
        <v>150.04</v>
      </c>
    </row>
    <row r="1217" spans="1:24" s="122" customFormat="1" x14ac:dyDescent="0.25">
      <c r="A1217" s="65">
        <v>45100</v>
      </c>
      <c r="B1217" s="106">
        <v>174</v>
      </c>
      <c r="C1217" s="67">
        <v>0.59496527777777775</v>
      </c>
      <c r="D1217" s="66" t="s">
        <v>97</v>
      </c>
      <c r="E1217" s="122" t="s">
        <v>12762</v>
      </c>
      <c r="F1217" s="66" t="s">
        <v>12557</v>
      </c>
      <c r="G1217" s="66" t="s">
        <v>3123</v>
      </c>
      <c r="H1217" s="122">
        <v>0.18</v>
      </c>
      <c r="M1217" s="122" t="s">
        <v>12757</v>
      </c>
      <c r="O1217" s="122" t="s">
        <v>12758</v>
      </c>
      <c r="P1217" s="122" t="s">
        <v>12759</v>
      </c>
      <c r="Q1217" s="122">
        <v>406847.44</v>
      </c>
      <c r="R1217" s="122">
        <v>6186040.3799999999</v>
      </c>
      <c r="S1217" s="122" t="s">
        <v>12760</v>
      </c>
      <c r="T1217" s="122" t="s">
        <v>12761</v>
      </c>
      <c r="U1217" s="122">
        <v>406822.56</v>
      </c>
      <c r="V1217" s="122">
        <v>6186047.8600000003</v>
      </c>
      <c r="W1217" s="122">
        <v>0.39</v>
      </c>
      <c r="X1217" s="122">
        <v>150.04</v>
      </c>
    </row>
    <row r="1218" spans="1:24" s="14" customFormat="1" x14ac:dyDescent="0.25">
      <c r="A1218" s="50">
        <v>45100</v>
      </c>
      <c r="B1218" s="57">
        <v>174</v>
      </c>
      <c r="C1218" s="36">
        <v>0.59714120370370372</v>
      </c>
      <c r="D1218" s="16" t="s">
        <v>97</v>
      </c>
      <c r="E1218" s="52" t="s">
        <v>65</v>
      </c>
      <c r="F1218" s="16" t="s">
        <v>12557</v>
      </c>
      <c r="G1218" s="16" t="s">
        <v>3123</v>
      </c>
      <c r="H1218" s="14">
        <v>0.16700000000000001</v>
      </c>
      <c r="I1218" s="14" t="s">
        <v>12767</v>
      </c>
      <c r="J1218" s="14" t="s">
        <v>12768</v>
      </c>
      <c r="K1218" s="14" t="s">
        <v>12769</v>
      </c>
      <c r="L1218" s="14" t="s">
        <v>12752</v>
      </c>
      <c r="O1218" s="14" t="s">
        <v>12763</v>
      </c>
      <c r="P1218" s="14" t="s">
        <v>12764</v>
      </c>
      <c r="Q1218" s="14">
        <v>406847.28</v>
      </c>
      <c r="R1218" s="14">
        <v>6186054.3399999999</v>
      </c>
      <c r="S1218" s="14" t="s">
        <v>12765</v>
      </c>
      <c r="T1218" s="14" t="s">
        <v>12766</v>
      </c>
      <c r="U1218" s="14">
        <v>406822.29</v>
      </c>
      <c r="V1218" s="14">
        <v>6186061.1500000004</v>
      </c>
      <c r="W1218" s="14">
        <v>359.85</v>
      </c>
      <c r="X1218" s="14">
        <v>150.04</v>
      </c>
    </row>
    <row r="1219" spans="1:24" s="14" customFormat="1" x14ac:dyDescent="0.25">
      <c r="A1219" s="50">
        <v>45100</v>
      </c>
      <c r="B1219" s="57">
        <v>174</v>
      </c>
      <c r="C1219" s="36">
        <v>0.60072916666666665</v>
      </c>
      <c r="D1219" s="16" t="s">
        <v>97</v>
      </c>
      <c r="E1219" s="52" t="s">
        <v>70</v>
      </c>
      <c r="F1219" s="16" t="s">
        <v>12557</v>
      </c>
      <c r="G1219" s="16" t="s">
        <v>3123</v>
      </c>
      <c r="H1219" s="14">
        <v>-4.1000000000000002E-2</v>
      </c>
      <c r="I1219" s="115" t="s">
        <v>12767</v>
      </c>
      <c r="J1219" s="14" t="s">
        <v>12768</v>
      </c>
      <c r="K1219" s="115" t="s">
        <v>12769</v>
      </c>
      <c r="L1219" s="14" t="s">
        <v>12776</v>
      </c>
      <c r="O1219" s="14" t="s">
        <v>12770</v>
      </c>
      <c r="P1219" s="14" t="s">
        <v>12771</v>
      </c>
      <c r="Q1219" s="14">
        <v>406847.65</v>
      </c>
      <c r="R1219" s="14">
        <v>6186256.9100000001</v>
      </c>
      <c r="S1219" s="14" t="s">
        <v>12772</v>
      </c>
      <c r="T1219" s="14" t="s">
        <v>12773</v>
      </c>
      <c r="U1219" s="14">
        <v>406822.28</v>
      </c>
      <c r="V1219" s="14">
        <v>6186268.5899999999</v>
      </c>
      <c r="W1219" s="14">
        <v>358.78</v>
      </c>
      <c r="X1219" s="14">
        <v>150.04</v>
      </c>
    </row>
    <row r="1220" spans="1:24" s="14" customFormat="1" x14ac:dyDescent="0.25">
      <c r="A1220" s="50">
        <v>45100</v>
      </c>
      <c r="B1220" s="57">
        <v>174</v>
      </c>
      <c r="C1220" s="36">
        <v>0.60278935185185178</v>
      </c>
      <c r="D1220" s="16" t="s">
        <v>97</v>
      </c>
      <c r="E1220" s="52" t="s">
        <v>12804</v>
      </c>
      <c r="F1220" s="16" t="s">
        <v>12557</v>
      </c>
      <c r="G1220" s="16" t="s">
        <v>3122</v>
      </c>
      <c r="H1220" s="14">
        <v>0.19700000000000001</v>
      </c>
      <c r="I1220" s="14" t="s">
        <v>12774</v>
      </c>
      <c r="K1220" s="14" t="s">
        <v>12775</v>
      </c>
      <c r="L1220" s="14" t="s">
        <v>12776</v>
      </c>
      <c r="O1220" s="14" t="s">
        <v>12777</v>
      </c>
      <c r="P1220" s="14" t="s">
        <v>12778</v>
      </c>
      <c r="Q1220" s="14">
        <v>406836.26</v>
      </c>
      <c r="R1220" s="14">
        <v>6186037.9500000002</v>
      </c>
      <c r="S1220" s="14" t="s">
        <v>12779</v>
      </c>
      <c r="T1220" s="14" t="s">
        <v>12780</v>
      </c>
      <c r="U1220" s="14">
        <v>406814.46</v>
      </c>
      <c r="V1220" s="14">
        <v>6186041.2699999996</v>
      </c>
      <c r="W1220" s="14">
        <v>211.65</v>
      </c>
      <c r="X1220" s="14">
        <v>150.04</v>
      </c>
    </row>
    <row r="1221" spans="1:24" s="14" customFormat="1" x14ac:dyDescent="0.25">
      <c r="A1221" s="50">
        <v>45100</v>
      </c>
      <c r="B1221" s="57">
        <v>174</v>
      </c>
      <c r="C1221" s="36">
        <v>0.60671296296296295</v>
      </c>
      <c r="D1221" s="16" t="s">
        <v>97</v>
      </c>
      <c r="E1221" s="52" t="s">
        <v>70</v>
      </c>
      <c r="F1221" s="16" t="s">
        <v>12557</v>
      </c>
      <c r="G1221" s="16" t="s">
        <v>3122</v>
      </c>
      <c r="H1221" s="14">
        <v>0.19700000000000001</v>
      </c>
      <c r="I1221" s="14" t="s">
        <v>12774</v>
      </c>
      <c r="K1221" s="14" t="s">
        <v>12775</v>
      </c>
      <c r="L1221" s="14" t="s">
        <v>12776</v>
      </c>
      <c r="O1221" s="14" t="s">
        <v>12781</v>
      </c>
      <c r="P1221" s="14" t="s">
        <v>12782</v>
      </c>
      <c r="Q1221" s="14">
        <v>406835.83</v>
      </c>
      <c r="R1221" s="14">
        <v>6186037.29</v>
      </c>
      <c r="S1221" s="14" t="s">
        <v>12783</v>
      </c>
      <c r="T1221" s="14" t="s">
        <v>12784</v>
      </c>
      <c r="U1221" s="14">
        <v>406814.43</v>
      </c>
      <c r="V1221" s="14">
        <v>6186041.1600000001</v>
      </c>
      <c r="W1221" s="14">
        <v>216.62</v>
      </c>
      <c r="X1221" s="14">
        <v>150.04</v>
      </c>
    </row>
    <row r="1222" spans="1:24" s="14" customFormat="1" x14ac:dyDescent="0.25">
      <c r="A1222" s="50">
        <v>45100</v>
      </c>
      <c r="B1222" s="57">
        <v>174</v>
      </c>
      <c r="C1222" s="36">
        <v>0.61111111111111105</v>
      </c>
      <c r="D1222" s="16" t="s">
        <v>97</v>
      </c>
      <c r="E1222" s="52" t="s">
        <v>65</v>
      </c>
      <c r="F1222" s="16" t="s">
        <v>12557</v>
      </c>
      <c r="G1222" s="16" t="s">
        <v>3121</v>
      </c>
      <c r="H1222" s="14">
        <v>6.6000000000000003E-2</v>
      </c>
      <c r="I1222" s="14" t="s">
        <v>12789</v>
      </c>
      <c r="J1222" s="14" t="s">
        <v>12790</v>
      </c>
      <c r="K1222" s="14" t="s">
        <v>12791</v>
      </c>
      <c r="L1222" s="14" t="s">
        <v>12776</v>
      </c>
      <c r="O1222" s="14" t="s">
        <v>12785</v>
      </c>
      <c r="P1222" s="14" t="s">
        <v>12786</v>
      </c>
      <c r="Q1222" s="14">
        <v>406828.67</v>
      </c>
      <c r="R1222" s="14">
        <v>6186154.0099999998</v>
      </c>
      <c r="S1222" s="14" t="s">
        <v>12787</v>
      </c>
      <c r="T1222" s="14" t="s">
        <v>12788</v>
      </c>
      <c r="U1222" s="14">
        <v>406804.28</v>
      </c>
      <c r="V1222" s="14">
        <v>6186161.7599999998</v>
      </c>
      <c r="W1222" s="14">
        <v>358.85</v>
      </c>
      <c r="X1222" s="14">
        <v>150.04</v>
      </c>
    </row>
    <row r="1223" spans="1:24" s="14" customFormat="1" x14ac:dyDescent="0.25">
      <c r="A1223" s="50">
        <v>45100</v>
      </c>
      <c r="B1223" s="57">
        <v>174</v>
      </c>
      <c r="C1223" s="36">
        <v>0.61302083333333335</v>
      </c>
      <c r="D1223" s="16" t="s">
        <v>97</v>
      </c>
      <c r="E1223" s="52" t="s">
        <v>70</v>
      </c>
      <c r="F1223" s="16" t="s">
        <v>12557</v>
      </c>
      <c r="G1223" s="16" t="s">
        <v>3121</v>
      </c>
      <c r="H1223" s="14">
        <v>-3.3000000000000002E-2</v>
      </c>
      <c r="I1223" s="14" t="s">
        <v>12789</v>
      </c>
      <c r="J1223" s="14" t="s">
        <v>12790</v>
      </c>
      <c r="K1223" s="14" t="s">
        <v>12791</v>
      </c>
      <c r="L1223" s="14" t="s">
        <v>12776</v>
      </c>
      <c r="O1223" s="14" t="s">
        <v>12792</v>
      </c>
      <c r="P1223" s="14" t="s">
        <v>12793</v>
      </c>
      <c r="Q1223" s="14">
        <v>406829.29</v>
      </c>
      <c r="R1223" s="14">
        <v>6186254.1399999997</v>
      </c>
      <c r="S1223" s="14" t="s">
        <v>12794</v>
      </c>
      <c r="T1223" s="14" t="s">
        <v>12795</v>
      </c>
      <c r="U1223" s="14">
        <v>406804.28</v>
      </c>
      <c r="V1223" s="14">
        <v>6186260.8200000003</v>
      </c>
      <c r="W1223" s="14">
        <v>358.91</v>
      </c>
      <c r="X1223" s="14">
        <v>150.04</v>
      </c>
    </row>
    <row r="1224" spans="1:24" s="14" customFormat="1" x14ac:dyDescent="0.25">
      <c r="A1224" s="50">
        <v>45100</v>
      </c>
      <c r="B1224" s="57">
        <v>174</v>
      </c>
      <c r="C1224" s="36">
        <v>0.61549768518518522</v>
      </c>
      <c r="D1224" s="16" t="s">
        <v>97</v>
      </c>
      <c r="E1224" s="52" t="s">
        <v>65</v>
      </c>
      <c r="F1224" s="16" t="s">
        <v>12557</v>
      </c>
      <c r="G1224" s="16" t="s">
        <v>3120</v>
      </c>
      <c r="H1224" s="14">
        <v>-1.7999999999999999E-2</v>
      </c>
      <c r="I1224" s="14" t="s">
        <v>12800</v>
      </c>
      <c r="J1224" s="14" t="s">
        <v>12801</v>
      </c>
      <c r="K1224" s="14" t="s">
        <v>12802</v>
      </c>
      <c r="L1224" s="14" t="s">
        <v>12803</v>
      </c>
      <c r="O1224" s="14" t="s">
        <v>12796</v>
      </c>
      <c r="P1224" s="14" t="s">
        <v>12797</v>
      </c>
      <c r="Q1224" s="14">
        <v>406820.76</v>
      </c>
      <c r="R1224" s="14">
        <v>6186258.5599999996</v>
      </c>
      <c r="S1224" s="14" t="s">
        <v>12798</v>
      </c>
      <c r="T1224" s="14" t="s">
        <v>12799</v>
      </c>
      <c r="U1224" s="14">
        <v>406795.25</v>
      </c>
      <c r="V1224" s="14">
        <v>6186256.6299999999</v>
      </c>
      <c r="W1224" s="14">
        <v>178.92</v>
      </c>
      <c r="X1224" s="14">
        <v>150.04</v>
      </c>
    </row>
    <row r="1225" spans="1:24" s="14" customFormat="1" x14ac:dyDescent="0.25">
      <c r="A1225" s="50">
        <v>45100</v>
      </c>
      <c r="B1225" s="57">
        <v>174</v>
      </c>
      <c r="C1225" s="36">
        <v>0.61906249999999996</v>
      </c>
      <c r="D1225" s="16" t="s">
        <v>97</v>
      </c>
      <c r="E1225" s="52" t="s">
        <v>70</v>
      </c>
      <c r="F1225" s="16" t="s">
        <v>12557</v>
      </c>
      <c r="G1225" s="16" t="s">
        <v>3120</v>
      </c>
      <c r="H1225" s="14">
        <v>0.17100000000000001</v>
      </c>
      <c r="I1225" s="14" t="s">
        <v>12800</v>
      </c>
      <c r="J1225" s="14" t="s">
        <v>12801</v>
      </c>
      <c r="K1225" s="14" t="s">
        <v>12802</v>
      </c>
      <c r="L1225" s="14" t="s">
        <v>12803</v>
      </c>
      <c r="O1225" s="14" t="s">
        <v>12805</v>
      </c>
      <c r="P1225" s="14" t="s">
        <v>12806</v>
      </c>
      <c r="Q1225" s="14">
        <v>406819.01</v>
      </c>
      <c r="R1225" s="14">
        <v>6186071.5</v>
      </c>
      <c r="S1225" s="14" t="s">
        <v>12807</v>
      </c>
      <c r="T1225" s="14" t="s">
        <v>12808</v>
      </c>
      <c r="U1225" s="14">
        <v>406795.22</v>
      </c>
      <c r="V1225" s="14">
        <v>6186068.0599999996</v>
      </c>
      <c r="W1225" s="14">
        <v>178.69</v>
      </c>
      <c r="X1225" s="14">
        <v>150.04</v>
      </c>
    </row>
    <row r="1226" spans="1:24" s="14" customFormat="1" x14ac:dyDescent="0.25">
      <c r="A1226" s="50">
        <v>45100</v>
      </c>
      <c r="B1226" s="57">
        <v>174</v>
      </c>
      <c r="C1226" s="36">
        <v>0.62159722222222225</v>
      </c>
      <c r="D1226" s="16" t="s">
        <v>97</v>
      </c>
      <c r="E1226" s="52" t="s">
        <v>65</v>
      </c>
      <c r="F1226" s="16" t="s">
        <v>12557</v>
      </c>
      <c r="G1226" s="16" t="s">
        <v>3119</v>
      </c>
      <c r="H1226" s="14">
        <v>0.16800000000000001</v>
      </c>
      <c r="I1226" s="14" t="s">
        <v>12813</v>
      </c>
      <c r="J1226" s="14" t="s">
        <v>12814</v>
      </c>
      <c r="K1226" s="14" t="s">
        <v>12815</v>
      </c>
      <c r="L1226" s="14" t="s">
        <v>12803</v>
      </c>
      <c r="O1226" s="14" t="s">
        <v>12809</v>
      </c>
      <c r="P1226" s="14" t="s">
        <v>12810</v>
      </c>
      <c r="Q1226" s="14">
        <v>406812.32</v>
      </c>
      <c r="R1226" s="14">
        <v>6186052.9800000004</v>
      </c>
      <c r="S1226" s="14" t="s">
        <v>12811</v>
      </c>
      <c r="T1226" s="14" t="s">
        <v>12812</v>
      </c>
      <c r="U1226" s="14">
        <v>406786.18</v>
      </c>
      <c r="V1226" s="14">
        <v>6186059.8799999999</v>
      </c>
      <c r="W1226" s="14">
        <v>359.89</v>
      </c>
      <c r="X1226" s="14">
        <v>150.04</v>
      </c>
    </row>
    <row r="1227" spans="1:24" s="14" customFormat="1" x14ac:dyDescent="0.25">
      <c r="A1227" s="50">
        <v>45100</v>
      </c>
      <c r="B1227" s="57">
        <v>174</v>
      </c>
      <c r="C1227" s="36">
        <v>0.62517361111111114</v>
      </c>
      <c r="D1227" s="16" t="s">
        <v>97</v>
      </c>
      <c r="E1227" s="52" t="s">
        <v>70</v>
      </c>
      <c r="F1227" s="16" t="s">
        <v>12557</v>
      </c>
      <c r="G1227" s="16" t="s">
        <v>3119</v>
      </c>
      <c r="H1227" s="14">
        <v>-2.1000000000000001E-2</v>
      </c>
      <c r="I1227" s="14" t="s">
        <v>12813</v>
      </c>
      <c r="J1227" s="14" t="s">
        <v>12814</v>
      </c>
      <c r="K1227" s="14" t="s">
        <v>12815</v>
      </c>
      <c r="L1227" s="14" t="s">
        <v>12820</v>
      </c>
      <c r="O1227" s="14" t="s">
        <v>12816</v>
      </c>
      <c r="P1227" s="14" t="s">
        <v>12817</v>
      </c>
      <c r="Q1227" s="14">
        <v>406810.88</v>
      </c>
      <c r="R1227" s="14">
        <v>6186241.1699999999</v>
      </c>
      <c r="S1227" s="14" t="s">
        <v>12818</v>
      </c>
      <c r="T1227" s="14" t="s">
        <v>12819</v>
      </c>
      <c r="U1227" s="14">
        <v>406786.29</v>
      </c>
      <c r="V1227" s="14">
        <v>6186249.1500000004</v>
      </c>
      <c r="W1227" s="14">
        <v>358.93</v>
      </c>
      <c r="X1227" s="14">
        <v>150.04</v>
      </c>
    </row>
    <row r="1228" spans="1:24" s="14" customFormat="1" x14ac:dyDescent="0.25">
      <c r="A1228" s="50">
        <v>45100</v>
      </c>
      <c r="B1228" s="57">
        <v>174</v>
      </c>
      <c r="C1228" s="36">
        <v>0.62761574074074067</v>
      </c>
      <c r="D1228" s="16" t="s">
        <v>97</v>
      </c>
      <c r="E1228" s="52" t="s">
        <v>65</v>
      </c>
      <c r="F1228" s="16" t="s">
        <v>12557</v>
      </c>
      <c r="G1228" s="16" t="s">
        <v>3118</v>
      </c>
      <c r="H1228" s="14">
        <v>-1.7999999999999999E-2</v>
      </c>
      <c r="I1228" s="14" t="s">
        <v>12825</v>
      </c>
      <c r="J1228" s="14" t="s">
        <v>12826</v>
      </c>
      <c r="K1228" s="14" t="s">
        <v>12827</v>
      </c>
      <c r="L1228" s="14" t="s">
        <v>12820</v>
      </c>
      <c r="O1228" s="14" t="s">
        <v>12821</v>
      </c>
      <c r="P1228" s="14" t="s">
        <v>12822</v>
      </c>
      <c r="Q1228" s="14">
        <v>406804.68</v>
      </c>
      <c r="R1228" s="14">
        <v>6186255.1600000001</v>
      </c>
      <c r="S1228" s="14" t="s">
        <v>12823</v>
      </c>
      <c r="T1228" s="14" t="s">
        <v>12824</v>
      </c>
      <c r="U1228" s="14">
        <v>406777.34</v>
      </c>
      <c r="V1228" s="14">
        <v>6186256.9000000004</v>
      </c>
      <c r="W1228" s="14">
        <v>179.54</v>
      </c>
      <c r="X1228" s="14">
        <v>150.04</v>
      </c>
    </row>
    <row r="1229" spans="1:24" s="14" customFormat="1" x14ac:dyDescent="0.25">
      <c r="A1229" s="50">
        <v>45100</v>
      </c>
      <c r="B1229" s="57">
        <v>174</v>
      </c>
      <c r="C1229" s="36">
        <v>0.63188657407407411</v>
      </c>
      <c r="D1229" s="16" t="s">
        <v>97</v>
      </c>
      <c r="E1229" s="52" t="s">
        <v>70</v>
      </c>
      <c r="F1229" s="16" t="s">
        <v>12557</v>
      </c>
      <c r="G1229" s="16" t="s">
        <v>3118</v>
      </c>
      <c r="H1229" s="14">
        <v>0.17100000000000001</v>
      </c>
      <c r="I1229" s="14" t="s">
        <v>12825</v>
      </c>
      <c r="J1229" s="14" t="s">
        <v>12826</v>
      </c>
      <c r="K1229" s="14" t="s">
        <v>12827</v>
      </c>
      <c r="L1229" s="14" t="s">
        <v>12820</v>
      </c>
      <c r="O1229" s="14" t="s">
        <v>12828</v>
      </c>
      <c r="P1229" s="14" t="s">
        <v>12829</v>
      </c>
      <c r="Q1229" s="14">
        <v>406803.54</v>
      </c>
      <c r="R1229" s="14">
        <v>6186067.5899999999</v>
      </c>
      <c r="S1229" s="14" t="s">
        <v>12830</v>
      </c>
      <c r="T1229" s="14" t="s">
        <v>12831</v>
      </c>
      <c r="U1229" s="14">
        <v>406777.29</v>
      </c>
      <c r="V1229" s="14">
        <v>6186067.96</v>
      </c>
      <c r="W1229" s="14">
        <v>179.17</v>
      </c>
      <c r="X1229" s="14">
        <v>150.04</v>
      </c>
    </row>
    <row r="1230" spans="1:24" s="14" customFormat="1" x14ac:dyDescent="0.25">
      <c r="A1230" s="50">
        <v>45100</v>
      </c>
      <c r="B1230" s="57">
        <v>174</v>
      </c>
      <c r="C1230" s="36">
        <v>0.63401620370370371</v>
      </c>
      <c r="D1230" s="16" t="s">
        <v>97</v>
      </c>
      <c r="E1230" s="52" t="s">
        <v>65</v>
      </c>
      <c r="F1230" s="16" t="s">
        <v>12557</v>
      </c>
      <c r="G1230" s="16" t="s">
        <v>3112</v>
      </c>
      <c r="H1230" s="14">
        <v>0.16800000000000001</v>
      </c>
      <c r="I1230" s="14" t="s">
        <v>12836</v>
      </c>
      <c r="J1230" s="14" t="s">
        <v>12837</v>
      </c>
      <c r="K1230" s="14" t="s">
        <v>12838</v>
      </c>
      <c r="L1230" s="14" t="s">
        <v>12820</v>
      </c>
      <c r="O1230" s="14" t="s">
        <v>12832</v>
      </c>
      <c r="P1230" s="14" t="s">
        <v>12833</v>
      </c>
      <c r="Q1230" s="14">
        <v>406795.96</v>
      </c>
      <c r="R1230" s="14">
        <v>6186053.3300000001</v>
      </c>
      <c r="S1230" s="14" t="s">
        <v>12834</v>
      </c>
      <c r="T1230" s="14" t="s">
        <v>12835</v>
      </c>
      <c r="U1230" s="14">
        <v>406768.25</v>
      </c>
      <c r="V1230" s="14">
        <v>6186059.9100000001</v>
      </c>
      <c r="W1230" s="14">
        <v>359.58</v>
      </c>
      <c r="X1230" s="14">
        <v>150.04</v>
      </c>
    </row>
    <row r="1231" spans="1:24" s="14" customFormat="1" x14ac:dyDescent="0.25">
      <c r="A1231" s="50">
        <v>45100</v>
      </c>
      <c r="B1231" s="57">
        <v>174</v>
      </c>
      <c r="C1231" s="36">
        <v>0.63765046296296302</v>
      </c>
      <c r="D1231" s="16" t="s">
        <v>97</v>
      </c>
      <c r="E1231" s="52" t="s">
        <v>70</v>
      </c>
      <c r="F1231" s="16" t="s">
        <v>12557</v>
      </c>
      <c r="G1231" s="16" t="s">
        <v>3112</v>
      </c>
      <c r="H1231" s="14">
        <v>-2.1999999999999999E-2</v>
      </c>
      <c r="I1231" s="14" t="s">
        <v>12836</v>
      </c>
      <c r="J1231" s="14" t="s">
        <v>12837</v>
      </c>
      <c r="K1231" s="14" t="s">
        <v>12838</v>
      </c>
      <c r="L1231" s="14" t="s">
        <v>12843</v>
      </c>
      <c r="O1231" s="14" t="s">
        <v>12839</v>
      </c>
      <c r="P1231" s="14" t="s">
        <v>12840</v>
      </c>
      <c r="Q1231" s="14">
        <v>406794.1</v>
      </c>
      <c r="R1231" s="14">
        <v>6186242.9800000004</v>
      </c>
      <c r="S1231" s="14" t="s">
        <v>12841</v>
      </c>
      <c r="T1231" s="14" t="s">
        <v>12842</v>
      </c>
      <c r="U1231" s="14">
        <v>406768.3</v>
      </c>
      <c r="V1231" s="14">
        <v>6186249.6200000001</v>
      </c>
      <c r="W1231" s="14">
        <v>359.27</v>
      </c>
      <c r="X1231" s="14">
        <v>150.04</v>
      </c>
    </row>
    <row r="1232" spans="1:24" s="14" customFormat="1" x14ac:dyDescent="0.25">
      <c r="A1232" s="50">
        <v>45100</v>
      </c>
      <c r="B1232" s="57">
        <v>174</v>
      </c>
      <c r="C1232" s="36">
        <v>0.6402430555555555</v>
      </c>
      <c r="D1232" s="16" t="s">
        <v>97</v>
      </c>
      <c r="E1232" s="52" t="s">
        <v>65</v>
      </c>
      <c r="F1232" s="16" t="s">
        <v>12557</v>
      </c>
      <c r="G1232" s="16" t="s">
        <v>3113</v>
      </c>
      <c r="H1232" s="14">
        <v>-1.7999999999999999E-2</v>
      </c>
      <c r="I1232" s="14" t="s">
        <v>12848</v>
      </c>
      <c r="J1232" s="14" t="s">
        <v>12849</v>
      </c>
      <c r="K1232" s="14" t="s">
        <v>12850</v>
      </c>
      <c r="L1232" s="14" t="s">
        <v>12843</v>
      </c>
      <c r="O1232" s="14" t="s">
        <v>12844</v>
      </c>
      <c r="P1232" s="14" t="s">
        <v>12845</v>
      </c>
      <c r="Q1232" s="14">
        <v>406786.34</v>
      </c>
      <c r="R1232" s="14">
        <v>6186253.1100000003</v>
      </c>
      <c r="S1232" s="14" t="s">
        <v>12846</v>
      </c>
      <c r="T1232" s="14" t="s">
        <v>12847</v>
      </c>
      <c r="U1232" s="14">
        <v>406759.33</v>
      </c>
      <c r="V1232" s="14">
        <v>6186257.1500000004</v>
      </c>
      <c r="W1232" s="14">
        <v>178.68</v>
      </c>
      <c r="X1232" s="14">
        <v>150.04</v>
      </c>
    </row>
    <row r="1233" spans="1:24" s="14" customFormat="1" x14ac:dyDescent="0.25">
      <c r="A1233" s="50">
        <v>45100</v>
      </c>
      <c r="B1233" s="57">
        <v>174</v>
      </c>
      <c r="C1233" s="36">
        <v>0.64461805555555551</v>
      </c>
      <c r="D1233" s="16" t="s">
        <v>97</v>
      </c>
      <c r="E1233" s="52" t="s">
        <v>70</v>
      </c>
      <c r="F1233" s="16" t="s">
        <v>12557</v>
      </c>
      <c r="G1233" s="16" t="s">
        <v>3113</v>
      </c>
      <c r="H1233" s="14">
        <v>0.17499999999999999</v>
      </c>
      <c r="I1233" s="14" t="s">
        <v>12848</v>
      </c>
      <c r="J1233" s="14" t="s">
        <v>12849</v>
      </c>
      <c r="K1233" s="14" t="s">
        <v>12850</v>
      </c>
      <c r="L1233" s="14" t="s">
        <v>12843</v>
      </c>
      <c r="O1233" s="14" t="s">
        <v>12851</v>
      </c>
      <c r="P1233" s="14" t="s">
        <v>12852</v>
      </c>
      <c r="Q1233" s="14">
        <v>406783.97</v>
      </c>
      <c r="R1233" s="14">
        <v>6186061.3700000001</v>
      </c>
      <c r="S1233" s="14" t="s">
        <v>12853</v>
      </c>
      <c r="T1233" s="14" t="s">
        <v>12854</v>
      </c>
      <c r="U1233" s="14">
        <v>406759.27</v>
      </c>
      <c r="V1233" s="14">
        <v>6186063.8099999996</v>
      </c>
      <c r="W1233" s="14">
        <v>179.14</v>
      </c>
      <c r="X1233" s="14">
        <v>150.04</v>
      </c>
    </row>
    <row r="1234" spans="1:24" s="14" customFormat="1" x14ac:dyDescent="0.25">
      <c r="A1234" s="50">
        <v>45100</v>
      </c>
      <c r="B1234" s="57">
        <v>174</v>
      </c>
      <c r="C1234" s="36">
        <v>0.64666666666666661</v>
      </c>
      <c r="D1234" s="16" t="s">
        <v>97</v>
      </c>
      <c r="E1234" s="52" t="s">
        <v>65</v>
      </c>
      <c r="F1234" s="16" t="s">
        <v>12557</v>
      </c>
      <c r="G1234" s="16" t="s">
        <v>3114</v>
      </c>
      <c r="H1234" s="14">
        <v>0.16500000000000001</v>
      </c>
      <c r="I1234" s="14" t="s">
        <v>12859</v>
      </c>
      <c r="J1234" s="14" t="s">
        <v>12860</v>
      </c>
      <c r="K1234" s="14" t="s">
        <v>12861</v>
      </c>
      <c r="L1234" s="14" t="s">
        <v>12862</v>
      </c>
      <c r="O1234" s="14" t="s">
        <v>12855</v>
      </c>
      <c r="P1234" s="14" t="s">
        <v>12856</v>
      </c>
      <c r="Q1234" s="14">
        <v>406777.52</v>
      </c>
      <c r="R1234" s="14">
        <v>6186056.96</v>
      </c>
      <c r="S1234" s="14" t="s">
        <v>12857</v>
      </c>
      <c r="T1234" s="14" t="s">
        <v>12858</v>
      </c>
      <c r="U1234" s="14">
        <v>406750.26</v>
      </c>
      <c r="V1234" s="14">
        <v>6186062.7999999998</v>
      </c>
      <c r="W1234" s="14">
        <v>359.15</v>
      </c>
      <c r="X1234" s="14">
        <v>150.04</v>
      </c>
    </row>
    <row r="1235" spans="1:24" s="14" customFormat="1" x14ac:dyDescent="0.25">
      <c r="A1235" s="50">
        <v>45100</v>
      </c>
      <c r="B1235" s="57">
        <v>174</v>
      </c>
      <c r="C1235" s="36">
        <v>0.65020833333333339</v>
      </c>
      <c r="D1235" s="16" t="s">
        <v>97</v>
      </c>
      <c r="E1235" s="52" t="s">
        <v>70</v>
      </c>
      <c r="F1235" s="16" t="s">
        <v>12557</v>
      </c>
      <c r="G1235" s="16" t="s">
        <v>3114</v>
      </c>
      <c r="H1235" s="14">
        <v>-2.1000000000000001E-2</v>
      </c>
      <c r="I1235" s="14" t="s">
        <v>12859</v>
      </c>
      <c r="J1235" s="14" t="s">
        <v>12860</v>
      </c>
      <c r="K1235" s="14" t="s">
        <v>12861</v>
      </c>
      <c r="L1235" s="14" t="s">
        <v>12862</v>
      </c>
      <c r="O1235" s="14" t="s">
        <v>12863</v>
      </c>
      <c r="P1235" s="14" t="s">
        <v>12864</v>
      </c>
      <c r="Q1235" s="14">
        <v>406776.08</v>
      </c>
      <c r="R1235" s="14">
        <v>6186244.0800000001</v>
      </c>
      <c r="S1235" s="14" t="s">
        <v>12865</v>
      </c>
      <c r="T1235" s="14" t="s">
        <v>12866</v>
      </c>
      <c r="U1235" s="14">
        <v>406750.27</v>
      </c>
      <c r="V1235" s="14">
        <v>6186249.1900000004</v>
      </c>
      <c r="W1235" s="14">
        <v>359.14</v>
      </c>
      <c r="X1235" s="14">
        <v>150.04</v>
      </c>
    </row>
    <row r="1236" spans="1:24" s="14" customFormat="1" x14ac:dyDescent="0.25">
      <c r="A1236" s="50">
        <v>45100</v>
      </c>
      <c r="B1236" s="57">
        <v>174</v>
      </c>
      <c r="C1236" s="36">
        <v>0.65247685185185189</v>
      </c>
      <c r="D1236" s="16" t="s">
        <v>97</v>
      </c>
      <c r="E1236" s="52" t="s">
        <v>65</v>
      </c>
      <c r="F1236" s="16" t="s">
        <v>12557</v>
      </c>
      <c r="G1236" s="16" t="s">
        <v>3115</v>
      </c>
      <c r="H1236" s="14">
        <v>-1.9E-2</v>
      </c>
      <c r="I1236" s="14" t="s">
        <v>12871</v>
      </c>
      <c r="J1236" s="14" t="s">
        <v>12872</v>
      </c>
      <c r="K1236" s="14" t="s">
        <v>12873</v>
      </c>
      <c r="L1236" s="14" t="s">
        <v>12862</v>
      </c>
      <c r="O1236" s="14" t="s">
        <v>12867</v>
      </c>
      <c r="P1236" s="14" t="s">
        <v>12868</v>
      </c>
      <c r="Q1236" s="14">
        <v>406768.08</v>
      </c>
      <c r="R1236" s="14">
        <v>6186254.3899999997</v>
      </c>
      <c r="S1236" s="14" t="s">
        <v>12869</v>
      </c>
      <c r="T1236" s="14" t="s">
        <v>12870</v>
      </c>
      <c r="U1236" s="14">
        <v>406741.28</v>
      </c>
      <c r="V1236" s="14">
        <v>6186257.6600000001</v>
      </c>
      <c r="W1236" s="14">
        <v>179.92</v>
      </c>
      <c r="X1236" s="14">
        <v>150.04</v>
      </c>
    </row>
    <row r="1237" spans="1:24" s="14" customFormat="1" x14ac:dyDescent="0.25">
      <c r="A1237" s="50">
        <v>45100</v>
      </c>
      <c r="B1237" s="57">
        <v>174</v>
      </c>
      <c r="C1237" s="36">
        <v>0.6567708333333333</v>
      </c>
      <c r="D1237" s="16" t="s">
        <v>97</v>
      </c>
      <c r="E1237" s="52" t="s">
        <v>70</v>
      </c>
      <c r="F1237" s="16" t="s">
        <v>12557</v>
      </c>
      <c r="G1237" s="16" t="s">
        <v>3115</v>
      </c>
      <c r="H1237" s="14">
        <v>0.17100000000000001</v>
      </c>
      <c r="I1237" s="14" t="s">
        <v>12871</v>
      </c>
      <c r="J1237" s="14" t="s">
        <v>12872</v>
      </c>
      <c r="K1237" s="14" t="s">
        <v>12873</v>
      </c>
      <c r="L1237" s="14" t="s">
        <v>12878</v>
      </c>
      <c r="O1237" s="14" t="s">
        <v>12874</v>
      </c>
      <c r="P1237" s="14" t="s">
        <v>12875</v>
      </c>
      <c r="Q1237" s="14">
        <v>406766.71</v>
      </c>
      <c r="R1237" s="14">
        <v>6186066.8600000003</v>
      </c>
      <c r="S1237" s="14" t="s">
        <v>12876</v>
      </c>
      <c r="T1237" s="14" t="s">
        <v>12877</v>
      </c>
      <c r="U1237" s="14">
        <v>406741.22</v>
      </c>
      <c r="V1237" s="14">
        <v>6186067.5700000003</v>
      </c>
      <c r="W1237" s="14">
        <v>179.69</v>
      </c>
      <c r="X1237" s="14">
        <v>150.04</v>
      </c>
    </row>
    <row r="1238" spans="1:24" s="14" customFormat="1" x14ac:dyDescent="0.25">
      <c r="A1238" s="50">
        <v>45100</v>
      </c>
      <c r="B1238" s="57">
        <v>174</v>
      </c>
      <c r="C1238" s="36">
        <v>0.66</v>
      </c>
      <c r="D1238" s="16" t="s">
        <v>97</v>
      </c>
      <c r="E1238" s="52" t="s">
        <v>65</v>
      </c>
      <c r="F1238" s="16" t="s">
        <v>12557</v>
      </c>
      <c r="G1238" s="16" t="s">
        <v>3116</v>
      </c>
      <c r="H1238" s="14">
        <v>0.16800000000000001</v>
      </c>
      <c r="I1238" s="14" t="s">
        <v>12883</v>
      </c>
      <c r="J1238" s="14" t="s">
        <v>12884</v>
      </c>
      <c r="K1238" s="14" t="s">
        <v>12885</v>
      </c>
      <c r="L1238" s="14" t="s">
        <v>12878</v>
      </c>
      <c r="O1238" s="14" t="s">
        <v>12879</v>
      </c>
      <c r="P1238" s="14" t="s">
        <v>12880</v>
      </c>
      <c r="Q1238" s="14">
        <v>406758.53</v>
      </c>
      <c r="R1238" s="14">
        <v>6186056.0499999998</v>
      </c>
      <c r="S1238" s="14" t="s">
        <v>12881</v>
      </c>
      <c r="T1238" s="14" t="s">
        <v>12882</v>
      </c>
      <c r="U1238" s="14">
        <v>406732.27</v>
      </c>
      <c r="V1238" s="14">
        <v>6186060.1600000001</v>
      </c>
      <c r="W1238" s="14">
        <v>0.71</v>
      </c>
      <c r="X1238" s="14">
        <v>150.04</v>
      </c>
    </row>
    <row r="1239" spans="1:24" s="14" customFormat="1" x14ac:dyDescent="0.25">
      <c r="A1239" s="50">
        <v>45100</v>
      </c>
      <c r="B1239" s="57">
        <v>174</v>
      </c>
      <c r="C1239" s="36">
        <v>0.66434027777777771</v>
      </c>
      <c r="D1239" s="16" t="s">
        <v>97</v>
      </c>
      <c r="E1239" s="52" t="s">
        <v>70</v>
      </c>
      <c r="F1239" s="16" t="s">
        <v>12557</v>
      </c>
      <c r="G1239" s="16" t="s">
        <v>3116</v>
      </c>
      <c r="H1239" s="14">
        <v>-2.3E-2</v>
      </c>
      <c r="I1239" s="14" t="s">
        <v>12883</v>
      </c>
      <c r="J1239" s="14" t="s">
        <v>12884</v>
      </c>
      <c r="K1239" s="14" t="s">
        <v>12885</v>
      </c>
      <c r="L1239" s="14" t="s">
        <v>12878</v>
      </c>
      <c r="O1239" s="14" t="s">
        <v>12886</v>
      </c>
      <c r="P1239" s="14" t="s">
        <v>12887</v>
      </c>
      <c r="Q1239" s="14">
        <v>406758.35</v>
      </c>
      <c r="R1239" s="14">
        <v>6186246.6600000001</v>
      </c>
      <c r="S1239" s="14" t="s">
        <v>12888</v>
      </c>
      <c r="T1239" s="14" t="s">
        <v>12889</v>
      </c>
      <c r="U1239" s="14">
        <v>406732.25</v>
      </c>
      <c r="V1239" s="14">
        <v>6186250.5099999998</v>
      </c>
      <c r="W1239" s="14">
        <v>0.34</v>
      </c>
      <c r="X1239" s="14">
        <v>150.04</v>
      </c>
    </row>
    <row r="1240" spans="1:24" s="14" customFormat="1" x14ac:dyDescent="0.25">
      <c r="A1240" s="50">
        <v>45100</v>
      </c>
      <c r="B1240" s="57">
        <v>174</v>
      </c>
      <c r="C1240" s="36">
        <v>0.66744212962962957</v>
      </c>
      <c r="D1240" s="117" t="s">
        <v>7408</v>
      </c>
      <c r="E1240" s="52" t="s">
        <v>65</v>
      </c>
      <c r="F1240" s="16" t="s">
        <v>12557</v>
      </c>
      <c r="G1240" s="16" t="s">
        <v>3117</v>
      </c>
      <c r="H1240" s="14">
        <v>-1.7999999999999999E-2</v>
      </c>
      <c r="I1240" s="14" t="s">
        <v>12894</v>
      </c>
      <c r="J1240" s="14" t="s">
        <v>12895</v>
      </c>
      <c r="K1240" s="14" t="s">
        <v>12896</v>
      </c>
      <c r="L1240" s="14" t="s">
        <v>12897</v>
      </c>
      <c r="O1240" s="14" t="s">
        <v>12890</v>
      </c>
      <c r="P1240" s="14" t="s">
        <v>12891</v>
      </c>
      <c r="Q1240" s="14">
        <v>406749.49</v>
      </c>
      <c r="R1240" s="14">
        <v>6186256.5599999996</v>
      </c>
      <c r="S1240" s="14" t="s">
        <v>12892</v>
      </c>
      <c r="T1240" s="14" t="s">
        <v>12893</v>
      </c>
      <c r="U1240" s="14">
        <v>406723.41</v>
      </c>
      <c r="V1240" s="14">
        <v>6186256.8499999996</v>
      </c>
      <c r="W1240" s="14">
        <v>181.1</v>
      </c>
      <c r="X1240" s="14">
        <v>150.04</v>
      </c>
    </row>
    <row r="1241" spans="1:24" s="14" customFormat="1" x14ac:dyDescent="0.25">
      <c r="A1241" s="50">
        <v>45100</v>
      </c>
      <c r="B1241" s="57">
        <v>174</v>
      </c>
      <c r="C1241" s="36">
        <v>0.67184027777777777</v>
      </c>
      <c r="D1241" s="16" t="s">
        <v>7408</v>
      </c>
      <c r="E1241" s="52" t="s">
        <v>70</v>
      </c>
      <c r="F1241" s="16" t="s">
        <v>12557</v>
      </c>
      <c r="G1241" s="16" t="s">
        <v>3117</v>
      </c>
      <c r="H1241" s="14">
        <v>0.17299999999999999</v>
      </c>
      <c r="I1241" s="14" t="s">
        <v>12894</v>
      </c>
      <c r="J1241" s="14" t="s">
        <v>12895</v>
      </c>
      <c r="K1241" s="14" t="s">
        <v>12896</v>
      </c>
      <c r="L1241" s="14" t="s">
        <v>12897</v>
      </c>
      <c r="O1241" s="14" t="s">
        <v>12898</v>
      </c>
      <c r="P1241" s="14" t="s">
        <v>12899</v>
      </c>
      <c r="Q1241" s="14">
        <v>406747.45</v>
      </c>
      <c r="R1241" s="14">
        <v>6186063.9699999997</v>
      </c>
      <c r="S1241" s="14" t="s">
        <v>12900</v>
      </c>
      <c r="T1241" s="14" t="s">
        <v>12901</v>
      </c>
      <c r="U1241" s="14">
        <v>406723.26</v>
      </c>
      <c r="V1241" s="14">
        <v>6186065.75</v>
      </c>
      <c r="W1241" s="14">
        <v>180.32</v>
      </c>
      <c r="X1241" s="14">
        <v>150.04</v>
      </c>
    </row>
    <row r="1242" spans="1:24" s="14" customFormat="1" x14ac:dyDescent="0.25">
      <c r="A1242" s="50">
        <v>45100</v>
      </c>
      <c r="B1242" s="57">
        <v>174</v>
      </c>
      <c r="C1242" s="36">
        <v>0.68325231481481474</v>
      </c>
      <c r="D1242" s="16" t="s">
        <v>7408</v>
      </c>
      <c r="E1242" s="14" t="s">
        <v>12934</v>
      </c>
      <c r="F1242" s="16" t="s">
        <v>12557</v>
      </c>
      <c r="G1242" s="16" t="s">
        <v>3122</v>
      </c>
      <c r="H1242" s="14">
        <v>0.16800000000000001</v>
      </c>
      <c r="I1242" s="14" t="s">
        <v>12906</v>
      </c>
      <c r="J1242" s="14" t="s">
        <v>12907</v>
      </c>
      <c r="L1242" s="14" t="s">
        <v>12908</v>
      </c>
      <c r="O1242" s="14" t="s">
        <v>12902</v>
      </c>
      <c r="P1242" s="14" t="s">
        <v>12903</v>
      </c>
      <c r="Q1242" s="14">
        <v>406838.52</v>
      </c>
      <c r="R1242" s="14">
        <v>6186056.4500000002</v>
      </c>
      <c r="S1242" s="14" t="s">
        <v>12904</v>
      </c>
      <c r="T1242" s="14" t="s">
        <v>12905</v>
      </c>
      <c r="U1242" s="14">
        <v>406813.2</v>
      </c>
      <c r="V1242" s="14">
        <v>6186060.2999999998</v>
      </c>
      <c r="W1242" s="14">
        <v>0.6</v>
      </c>
      <c r="X1242" s="14">
        <v>150.04</v>
      </c>
    </row>
    <row r="1243" spans="1:24" s="14" customFormat="1" x14ac:dyDescent="0.25">
      <c r="A1243" s="50">
        <v>45100</v>
      </c>
      <c r="B1243" s="57">
        <v>174</v>
      </c>
      <c r="C1243" s="36">
        <v>0.68761574074074072</v>
      </c>
      <c r="D1243" s="16" t="s">
        <v>7408</v>
      </c>
      <c r="E1243" s="14" t="s">
        <v>12935</v>
      </c>
      <c r="F1243" s="16" t="s">
        <v>12557</v>
      </c>
      <c r="G1243" s="16" t="s">
        <v>3122</v>
      </c>
      <c r="H1243" s="14">
        <v>-2.5000000000000001E-2</v>
      </c>
      <c r="I1243" s="14" t="s">
        <v>12906</v>
      </c>
      <c r="J1243" s="14" t="s">
        <v>12907</v>
      </c>
      <c r="L1243" s="14" t="s">
        <v>12913</v>
      </c>
      <c r="O1243" s="14" t="s">
        <v>12909</v>
      </c>
      <c r="P1243" s="14" t="s">
        <v>12910</v>
      </c>
      <c r="Q1243" s="14">
        <v>406838.48</v>
      </c>
      <c r="R1243" s="14">
        <v>6186249.9299999997</v>
      </c>
      <c r="S1243" s="14" t="s">
        <v>12911</v>
      </c>
      <c r="T1243" s="14" t="s">
        <v>12912</v>
      </c>
      <c r="U1243" s="14">
        <v>406813.24</v>
      </c>
      <c r="V1243" s="14">
        <v>6186252.7699999996</v>
      </c>
      <c r="W1243" s="14">
        <v>359.94</v>
      </c>
      <c r="X1243" s="14">
        <v>150.04</v>
      </c>
    </row>
    <row r="1244" spans="1:24" s="115" customFormat="1" x14ac:dyDescent="0.25">
      <c r="A1244" s="50">
        <v>45100</v>
      </c>
      <c r="B1244" s="57"/>
      <c r="C1244" s="36">
        <v>0.68761574074074072</v>
      </c>
      <c r="D1244" s="117" t="s">
        <v>7408</v>
      </c>
      <c r="E1244" s="97" t="s">
        <v>12919</v>
      </c>
      <c r="F1244" s="117" t="s">
        <v>12557</v>
      </c>
      <c r="G1244" s="117"/>
    </row>
    <row r="1245" spans="1:24" s="14" customFormat="1" x14ac:dyDescent="0.25">
      <c r="A1245" s="50">
        <v>45100</v>
      </c>
      <c r="B1245" s="57">
        <v>174</v>
      </c>
      <c r="C1245" s="36">
        <v>0.69119212962962961</v>
      </c>
      <c r="D1245" s="16" t="s">
        <v>7408</v>
      </c>
      <c r="E1245" s="116" t="s">
        <v>12918</v>
      </c>
      <c r="F1245" s="16" t="s">
        <v>12557</v>
      </c>
      <c r="G1245" s="16" t="s">
        <v>2795</v>
      </c>
      <c r="H1245" s="14">
        <v>0.314</v>
      </c>
      <c r="O1245" s="14" t="s">
        <v>12914</v>
      </c>
      <c r="P1245" s="14" t="s">
        <v>12915</v>
      </c>
      <c r="Q1245" s="14">
        <v>407044.06</v>
      </c>
      <c r="R1245" s="14">
        <v>6188969.4699999997</v>
      </c>
      <c r="S1245" s="14" t="s">
        <v>12916</v>
      </c>
      <c r="T1245" s="14" t="s">
        <v>12917</v>
      </c>
      <c r="U1245" s="14">
        <v>407033.81</v>
      </c>
      <c r="V1245" s="14">
        <v>6188976.04</v>
      </c>
      <c r="W1245" s="14">
        <v>288.56</v>
      </c>
      <c r="X1245" s="14">
        <v>200.06</v>
      </c>
    </row>
    <row r="1246" spans="1:24" s="122" customFormat="1" x14ac:dyDescent="0.25">
      <c r="A1246" s="65">
        <v>45100</v>
      </c>
      <c r="B1246" s="106">
        <v>174</v>
      </c>
      <c r="C1246" s="67">
        <v>0.71181712962962962</v>
      </c>
      <c r="D1246" s="66" t="s">
        <v>7408</v>
      </c>
      <c r="E1246" s="122" t="s">
        <v>12925</v>
      </c>
      <c r="F1246" s="66" t="s">
        <v>12557</v>
      </c>
      <c r="G1246" s="66" t="s">
        <v>2795</v>
      </c>
      <c r="H1246" s="122">
        <v>0.24399999999999999</v>
      </c>
      <c r="M1246" s="122" t="s">
        <v>12920</v>
      </c>
      <c r="O1246" s="122" t="s">
        <v>12921</v>
      </c>
      <c r="P1246" s="122" t="s">
        <v>12922</v>
      </c>
      <c r="Q1246" s="122">
        <v>407061.25</v>
      </c>
      <c r="R1246" s="122">
        <v>6189039.3499999996</v>
      </c>
      <c r="S1246" s="122" t="s">
        <v>12923</v>
      </c>
      <c r="T1246" s="122" t="s">
        <v>12924</v>
      </c>
      <c r="U1246" s="122">
        <v>407038.65</v>
      </c>
      <c r="V1246" s="122">
        <v>6189042.9800000004</v>
      </c>
      <c r="W1246" s="122">
        <v>340.65</v>
      </c>
      <c r="X1246" s="122">
        <v>200.06</v>
      </c>
    </row>
    <row r="1247" spans="1:24" s="14" customFormat="1" x14ac:dyDescent="0.25">
      <c r="A1247" s="50">
        <v>45100</v>
      </c>
      <c r="B1247" s="57">
        <v>174</v>
      </c>
      <c r="C1247" s="36">
        <v>0.71467592592592588</v>
      </c>
      <c r="D1247" s="16" t="s">
        <v>7408</v>
      </c>
      <c r="E1247" s="14" t="s">
        <v>65</v>
      </c>
      <c r="F1247" s="16" t="s">
        <v>12557</v>
      </c>
      <c r="G1247" s="16" t="s">
        <v>2795</v>
      </c>
      <c r="H1247" s="14">
        <v>0.20899999999999999</v>
      </c>
      <c r="I1247" s="14" t="s">
        <v>12930</v>
      </c>
      <c r="J1247" s="14" t="s">
        <v>12931</v>
      </c>
      <c r="K1247" s="14" t="s">
        <v>12932</v>
      </c>
      <c r="L1247" s="14" t="s">
        <v>12933</v>
      </c>
      <c r="O1247" s="14" t="s">
        <v>12926</v>
      </c>
      <c r="P1247" s="14" t="s">
        <v>12927</v>
      </c>
      <c r="Q1247" s="14">
        <v>407060.85</v>
      </c>
      <c r="R1247" s="14">
        <v>6189075.5700000003</v>
      </c>
      <c r="S1247" s="14" t="s">
        <v>12928</v>
      </c>
      <c r="T1247" s="14" t="s">
        <v>12929</v>
      </c>
      <c r="U1247" s="14">
        <v>407037.92</v>
      </c>
      <c r="V1247" s="14">
        <v>6189076.8200000003</v>
      </c>
      <c r="W1247" s="14">
        <v>1.02</v>
      </c>
      <c r="X1247" s="14">
        <v>200.06</v>
      </c>
    </row>
    <row r="1248" spans="1:24" s="14" customFormat="1" x14ac:dyDescent="0.25">
      <c r="A1248" s="50">
        <v>45100</v>
      </c>
      <c r="B1248" s="57">
        <v>174</v>
      </c>
      <c r="C1248" s="36">
        <v>0.71972222222222226</v>
      </c>
      <c r="D1248" s="16" t="s">
        <v>7408</v>
      </c>
      <c r="E1248" s="52" t="s">
        <v>70</v>
      </c>
      <c r="F1248" s="16" t="s">
        <v>12557</v>
      </c>
      <c r="G1248" s="16" t="s">
        <v>2795</v>
      </c>
      <c r="H1248" s="14">
        <v>-1.9E-2</v>
      </c>
      <c r="I1248" s="14" t="s">
        <v>12930</v>
      </c>
      <c r="J1248" s="14" t="s">
        <v>12931</v>
      </c>
      <c r="K1248" s="14" t="s">
        <v>12932</v>
      </c>
      <c r="L1248" s="14" t="s">
        <v>12940</v>
      </c>
      <c r="O1248" s="14" t="s">
        <v>12936</v>
      </c>
      <c r="P1248" s="14" t="s">
        <v>12937</v>
      </c>
      <c r="Q1248" s="14">
        <v>407061.1</v>
      </c>
      <c r="R1248" s="14">
        <v>6189301.5300000003</v>
      </c>
      <c r="S1248" s="14" t="s">
        <v>12938</v>
      </c>
      <c r="T1248" s="14" t="s">
        <v>12939</v>
      </c>
      <c r="U1248" s="14">
        <v>407037.94</v>
      </c>
      <c r="V1248" s="14">
        <v>6189304.79</v>
      </c>
      <c r="W1248" s="14">
        <v>359.66</v>
      </c>
      <c r="X1248" s="14">
        <v>200.06</v>
      </c>
    </row>
    <row r="1249" spans="1:24" s="14" customFormat="1" x14ac:dyDescent="0.25">
      <c r="A1249" s="50">
        <v>45100</v>
      </c>
      <c r="B1249" s="57">
        <v>174</v>
      </c>
      <c r="C1249" s="36">
        <v>0.72372685185185182</v>
      </c>
      <c r="D1249" s="16" t="s">
        <v>7408</v>
      </c>
      <c r="E1249" s="52" t="s">
        <v>65</v>
      </c>
      <c r="F1249" s="16" t="s">
        <v>12557</v>
      </c>
      <c r="G1249" s="16" t="s">
        <v>2794</v>
      </c>
      <c r="H1249" s="14">
        <v>-1.4E-2</v>
      </c>
      <c r="I1249" s="14" t="s">
        <v>12945</v>
      </c>
      <c r="J1249" s="14" t="s">
        <v>12946</v>
      </c>
      <c r="K1249" s="14" t="s">
        <v>12947</v>
      </c>
      <c r="L1249" s="14" t="s">
        <v>12940</v>
      </c>
      <c r="O1249" s="14" t="s">
        <v>12941</v>
      </c>
      <c r="P1249" s="14" t="s">
        <v>12942</v>
      </c>
      <c r="Q1249" s="14">
        <v>407069.62</v>
      </c>
      <c r="R1249" s="14">
        <v>6189314.7199999997</v>
      </c>
      <c r="S1249" s="14" t="s">
        <v>12943</v>
      </c>
      <c r="T1249" s="14" t="s">
        <v>12944</v>
      </c>
      <c r="U1249" s="14">
        <v>407046.97</v>
      </c>
      <c r="V1249" s="14">
        <v>6189311.5199999996</v>
      </c>
      <c r="W1249" s="14">
        <v>179.7</v>
      </c>
      <c r="X1249" s="14">
        <v>200.06</v>
      </c>
    </row>
    <row r="1250" spans="1:24" s="14" customFormat="1" x14ac:dyDescent="0.25">
      <c r="A1250" s="50">
        <v>45100</v>
      </c>
      <c r="B1250" s="57">
        <v>174</v>
      </c>
      <c r="C1250" s="36">
        <v>0.72900462962962964</v>
      </c>
      <c r="D1250" s="16" t="s">
        <v>7408</v>
      </c>
      <c r="E1250" s="52" t="s">
        <v>70</v>
      </c>
      <c r="F1250" s="16" t="s">
        <v>12557</v>
      </c>
      <c r="G1250" s="16" t="s">
        <v>2794</v>
      </c>
      <c r="H1250" s="14">
        <v>0.216</v>
      </c>
      <c r="I1250" s="14" t="s">
        <v>12945</v>
      </c>
      <c r="J1250" s="14" t="s">
        <v>12946</v>
      </c>
      <c r="K1250" s="14" t="s">
        <v>12947</v>
      </c>
      <c r="L1250" s="14" t="s">
        <v>12952</v>
      </c>
      <c r="O1250" s="14" t="s">
        <v>12948</v>
      </c>
      <c r="P1250" s="14" t="s">
        <v>12949</v>
      </c>
      <c r="Q1250" s="14">
        <v>407067.27</v>
      </c>
      <c r="R1250" s="14">
        <v>6189081.7699999996</v>
      </c>
      <c r="S1250" s="14" t="s">
        <v>12950</v>
      </c>
      <c r="T1250" s="14" t="s">
        <v>12951</v>
      </c>
      <c r="U1250" s="14">
        <v>407046.99</v>
      </c>
      <c r="V1250" s="14">
        <v>6189081.54</v>
      </c>
      <c r="W1250" s="14">
        <v>180.13</v>
      </c>
      <c r="X1250" s="14">
        <v>200.06</v>
      </c>
    </row>
    <row r="1251" spans="1:24" s="14" customFormat="1" x14ac:dyDescent="0.25">
      <c r="A1251" s="50">
        <v>45100</v>
      </c>
      <c r="B1251" s="57">
        <v>174</v>
      </c>
      <c r="C1251" s="36">
        <v>0.73365740740740737</v>
      </c>
      <c r="D1251" s="16" t="s">
        <v>7408</v>
      </c>
      <c r="E1251" s="52" t="s">
        <v>12957</v>
      </c>
      <c r="F1251" s="16" t="s">
        <v>12557</v>
      </c>
      <c r="G1251" s="16" t="s">
        <v>2793</v>
      </c>
      <c r="H1251" s="14">
        <v>0.23100000000000001</v>
      </c>
      <c r="O1251" s="14" t="s">
        <v>12953</v>
      </c>
      <c r="P1251" s="14" t="s">
        <v>12954</v>
      </c>
      <c r="Q1251" s="14">
        <v>407080.95</v>
      </c>
      <c r="R1251" s="14">
        <v>6189046.7000000002</v>
      </c>
      <c r="S1251" s="14" t="s">
        <v>12955</v>
      </c>
      <c r="T1251" s="14" t="s">
        <v>12956</v>
      </c>
      <c r="U1251" s="14">
        <v>407055.99</v>
      </c>
      <c r="V1251" s="14">
        <v>6189054.9400000004</v>
      </c>
      <c r="W1251" s="14">
        <v>359.45</v>
      </c>
      <c r="X1251" s="14">
        <v>200.06</v>
      </c>
    </row>
    <row r="1252" spans="1:24" s="14" customFormat="1" x14ac:dyDescent="0.25">
      <c r="A1252" s="50">
        <v>45100</v>
      </c>
      <c r="B1252" s="57">
        <v>174</v>
      </c>
      <c r="C1252" s="36">
        <v>0.7380902777777778</v>
      </c>
      <c r="D1252" s="16" t="s">
        <v>7408</v>
      </c>
      <c r="E1252" s="52" t="s">
        <v>65</v>
      </c>
      <c r="F1252" s="16" t="s">
        <v>12557</v>
      </c>
      <c r="G1252" s="16" t="s">
        <v>2793</v>
      </c>
      <c r="H1252" s="14">
        <v>0.21099999999999999</v>
      </c>
      <c r="I1252" s="14" t="s">
        <v>12962</v>
      </c>
      <c r="J1252" s="14" t="s">
        <v>12963</v>
      </c>
      <c r="K1252" s="14" t="s">
        <v>12964</v>
      </c>
      <c r="L1252" s="14" t="s">
        <v>12952</v>
      </c>
      <c r="O1252" s="14" t="s">
        <v>12958</v>
      </c>
      <c r="P1252" s="14" t="s">
        <v>12959</v>
      </c>
      <c r="Q1252" s="14">
        <v>407080.68</v>
      </c>
      <c r="R1252" s="14">
        <v>6189072.0099999998</v>
      </c>
      <c r="S1252" s="14" t="s">
        <v>12960</v>
      </c>
      <c r="T1252" s="14" t="s">
        <v>12961</v>
      </c>
      <c r="U1252" s="14">
        <v>407055.84</v>
      </c>
      <c r="V1252" s="14">
        <v>6189075.2300000004</v>
      </c>
      <c r="W1252" s="14">
        <v>0.98</v>
      </c>
      <c r="X1252" s="14">
        <v>200.06</v>
      </c>
    </row>
    <row r="1253" spans="1:24" s="14" customFormat="1" x14ac:dyDescent="0.25">
      <c r="A1253" s="50">
        <v>45100</v>
      </c>
      <c r="B1253" s="57">
        <v>174</v>
      </c>
      <c r="C1253" s="36">
        <v>0.74331018518518521</v>
      </c>
      <c r="D1253" s="16" t="s">
        <v>7408</v>
      </c>
      <c r="E1253" s="52" t="s">
        <v>70</v>
      </c>
      <c r="F1253" s="16" t="s">
        <v>12557</v>
      </c>
      <c r="G1253" s="16" t="s">
        <v>2793</v>
      </c>
      <c r="H1253" s="14">
        <v>-1.9E-2</v>
      </c>
      <c r="I1253" s="14" t="s">
        <v>12962</v>
      </c>
      <c r="J1253" s="14" t="s">
        <v>12963</v>
      </c>
      <c r="K1253" s="14" t="s">
        <v>12964</v>
      </c>
      <c r="L1253" s="14" t="s">
        <v>12969</v>
      </c>
      <c r="O1253" s="14" t="s">
        <v>12965</v>
      </c>
      <c r="P1253" s="14" t="s">
        <v>12966</v>
      </c>
      <c r="Q1253" s="14">
        <v>407080.88</v>
      </c>
      <c r="R1253" s="14">
        <v>6189302.4199999999</v>
      </c>
      <c r="S1253" s="14" t="s">
        <v>12967</v>
      </c>
      <c r="T1253" s="14" t="s">
        <v>12968</v>
      </c>
      <c r="U1253" s="14">
        <v>407055.92</v>
      </c>
      <c r="V1253" s="14">
        <v>6189305.21</v>
      </c>
      <c r="W1253" s="14">
        <v>0.1</v>
      </c>
      <c r="X1253" s="14">
        <v>200.06</v>
      </c>
    </row>
    <row r="1254" spans="1:24" s="14" customFormat="1" x14ac:dyDescent="0.25">
      <c r="A1254" s="50">
        <v>45100</v>
      </c>
      <c r="B1254" s="57">
        <v>174</v>
      </c>
      <c r="C1254" s="36">
        <v>0.7462847222222222</v>
      </c>
      <c r="D1254" s="16" t="s">
        <v>7408</v>
      </c>
      <c r="E1254" s="52" t="s">
        <v>65</v>
      </c>
      <c r="F1254" s="16" t="s">
        <v>12557</v>
      </c>
      <c r="G1254" s="16" t="s">
        <v>2792</v>
      </c>
      <c r="H1254" s="14">
        <v>-1.4E-2</v>
      </c>
      <c r="I1254" s="14" t="s">
        <v>12974</v>
      </c>
      <c r="J1254" s="14" t="s">
        <v>12975</v>
      </c>
      <c r="K1254" s="14" t="s">
        <v>12976</v>
      </c>
      <c r="L1254" s="14" t="s">
        <v>12969</v>
      </c>
      <c r="O1254" s="14" t="s">
        <v>12970</v>
      </c>
      <c r="P1254" s="14" t="s">
        <v>12971</v>
      </c>
      <c r="Q1254" s="14">
        <v>407091.18</v>
      </c>
      <c r="R1254" s="14">
        <v>6189306.3799999999</v>
      </c>
      <c r="S1254" s="14" t="s">
        <v>12972</v>
      </c>
      <c r="T1254" s="14" t="s">
        <v>12973</v>
      </c>
      <c r="U1254" s="14">
        <v>407064.93</v>
      </c>
      <c r="V1254" s="14">
        <v>6189311.4299999997</v>
      </c>
      <c r="W1254" s="14">
        <v>179.95</v>
      </c>
      <c r="X1254" s="14">
        <v>200.06</v>
      </c>
    </row>
    <row r="1255" spans="1:24" s="14" customFormat="1" x14ac:dyDescent="0.25">
      <c r="A1255" s="50">
        <v>45100</v>
      </c>
      <c r="B1255" s="57">
        <v>174</v>
      </c>
      <c r="C1255" s="36">
        <v>0.75150462962962961</v>
      </c>
      <c r="D1255" s="16" t="s">
        <v>7408</v>
      </c>
      <c r="E1255" s="52" t="s">
        <v>70</v>
      </c>
      <c r="F1255" s="16" t="s">
        <v>12557</v>
      </c>
      <c r="G1255" s="16" t="s">
        <v>2792</v>
      </c>
      <c r="H1255" s="14">
        <v>0.217</v>
      </c>
      <c r="I1255" s="14" t="s">
        <v>12974</v>
      </c>
      <c r="J1255" s="14" t="s">
        <v>12975</v>
      </c>
      <c r="K1255" s="14" t="s">
        <v>12976</v>
      </c>
      <c r="L1255" s="14" t="s">
        <v>12981</v>
      </c>
      <c r="O1255" s="14" t="s">
        <v>12977</v>
      </c>
      <c r="P1255" s="14" t="s">
        <v>12978</v>
      </c>
      <c r="Q1255" s="14">
        <v>407088.89</v>
      </c>
      <c r="R1255" s="14">
        <v>6189076.7000000002</v>
      </c>
      <c r="S1255" s="14" t="s">
        <v>12979</v>
      </c>
      <c r="T1255" s="14" t="s">
        <v>12980</v>
      </c>
      <c r="U1255" s="14">
        <v>407064.96</v>
      </c>
      <c r="V1255" s="14">
        <v>6189080.2599999998</v>
      </c>
      <c r="W1255" s="14">
        <v>180.04</v>
      </c>
      <c r="X1255" s="14">
        <v>200.06</v>
      </c>
    </row>
    <row r="1256" spans="1:24" s="14" customFormat="1" x14ac:dyDescent="0.25">
      <c r="A1256" s="50">
        <v>45100</v>
      </c>
      <c r="B1256" s="57">
        <v>174</v>
      </c>
      <c r="C1256" s="36">
        <v>0.75435185185185183</v>
      </c>
      <c r="D1256" s="16" t="s">
        <v>7408</v>
      </c>
      <c r="E1256" s="52" t="s">
        <v>65</v>
      </c>
      <c r="F1256" s="16" t="s">
        <v>12557</v>
      </c>
      <c r="G1256" s="16" t="s">
        <v>2791</v>
      </c>
      <c r="H1256" s="14">
        <v>0.21199999999999999</v>
      </c>
      <c r="I1256" s="14" t="s">
        <v>12986</v>
      </c>
      <c r="J1256" s="14" t="s">
        <v>12987</v>
      </c>
      <c r="K1256" s="14" t="s">
        <v>12988</v>
      </c>
      <c r="L1256" s="14" t="s">
        <v>12981</v>
      </c>
      <c r="O1256" s="14" t="s">
        <v>12982</v>
      </c>
      <c r="P1256" s="14" t="s">
        <v>12983</v>
      </c>
      <c r="Q1256" s="14">
        <v>407095.79</v>
      </c>
      <c r="R1256" s="14">
        <v>6189074.3899999997</v>
      </c>
      <c r="S1256" s="14" t="s">
        <v>12984</v>
      </c>
      <c r="T1256" s="14" t="s">
        <v>12985</v>
      </c>
      <c r="U1256" s="14">
        <v>407073.96</v>
      </c>
      <c r="V1256" s="14">
        <v>6189074.0499999998</v>
      </c>
      <c r="W1256" s="14">
        <v>0.12</v>
      </c>
      <c r="X1256" s="14">
        <v>200.06</v>
      </c>
    </row>
    <row r="1257" spans="1:24" s="14" customFormat="1" x14ac:dyDescent="0.25">
      <c r="A1257" s="50">
        <v>45100</v>
      </c>
      <c r="B1257" s="57">
        <v>174</v>
      </c>
      <c r="C1257" s="36">
        <v>0.75949074074074074</v>
      </c>
      <c r="D1257" s="16" t="s">
        <v>7408</v>
      </c>
      <c r="E1257" s="52" t="s">
        <v>70</v>
      </c>
      <c r="F1257" s="16" t="s">
        <v>12557</v>
      </c>
      <c r="G1257" s="16" t="s">
        <v>2791</v>
      </c>
      <c r="H1257" s="14">
        <v>-1.7999999999999999E-2</v>
      </c>
      <c r="I1257" s="14" t="s">
        <v>12986</v>
      </c>
      <c r="J1257" s="14" t="s">
        <v>12987</v>
      </c>
      <c r="K1257" s="14" t="s">
        <v>12988</v>
      </c>
      <c r="L1257" s="14" t="s">
        <v>12981</v>
      </c>
      <c r="O1257" s="14" t="s">
        <v>12989</v>
      </c>
      <c r="P1257" s="14" t="s">
        <v>12990</v>
      </c>
      <c r="Q1257" s="14">
        <v>407097.73</v>
      </c>
      <c r="R1257" s="14">
        <v>6189302.9900000002</v>
      </c>
      <c r="S1257" s="14" t="s">
        <v>12991</v>
      </c>
      <c r="T1257" s="14" t="s">
        <v>12992</v>
      </c>
      <c r="U1257" s="14">
        <v>407073.91</v>
      </c>
      <c r="V1257" s="14">
        <v>6189304.5700000003</v>
      </c>
      <c r="W1257" s="14">
        <v>0.53</v>
      </c>
      <c r="X1257" s="14">
        <v>200.06</v>
      </c>
    </row>
    <row r="1258" spans="1:24" s="14" customFormat="1" x14ac:dyDescent="0.25">
      <c r="A1258" s="50">
        <v>45100</v>
      </c>
      <c r="B1258" s="57">
        <v>174</v>
      </c>
      <c r="C1258" s="36">
        <v>0.76184027777777785</v>
      </c>
      <c r="D1258" s="16" t="s">
        <v>7408</v>
      </c>
      <c r="E1258" s="14" t="s">
        <v>65</v>
      </c>
      <c r="F1258" s="16" t="s">
        <v>12557</v>
      </c>
      <c r="G1258" s="16" t="s">
        <v>2790</v>
      </c>
      <c r="H1258" s="14">
        <v>-1.4E-2</v>
      </c>
      <c r="I1258" s="14" t="s">
        <v>12997</v>
      </c>
      <c r="J1258" s="14" t="s">
        <v>12998</v>
      </c>
      <c r="K1258" s="14" t="s">
        <v>12999</v>
      </c>
      <c r="L1258" s="14" t="s">
        <v>13000</v>
      </c>
      <c r="O1258" s="14" t="s">
        <v>12993</v>
      </c>
      <c r="P1258" s="14" t="s">
        <v>12994</v>
      </c>
      <c r="Q1258" s="14">
        <v>407104.64</v>
      </c>
      <c r="R1258" s="14">
        <v>6189308.3600000003</v>
      </c>
      <c r="S1258" s="14" t="s">
        <v>12995</v>
      </c>
      <c r="T1258" s="14" t="s">
        <v>12996</v>
      </c>
      <c r="U1258" s="14">
        <v>407082.91</v>
      </c>
      <c r="V1258" s="14">
        <v>6189310.7599999998</v>
      </c>
      <c r="W1258" s="14">
        <v>179.57</v>
      </c>
      <c r="X1258" s="14">
        <v>200.06</v>
      </c>
    </row>
    <row r="1259" spans="1:24" s="14" customFormat="1" x14ac:dyDescent="0.25">
      <c r="A1259" s="50">
        <v>45100</v>
      </c>
      <c r="B1259" s="57">
        <v>174</v>
      </c>
      <c r="C1259" s="36">
        <v>0.76710648148148142</v>
      </c>
      <c r="D1259" s="16" t="s">
        <v>7408</v>
      </c>
      <c r="E1259" s="14" t="s">
        <v>70</v>
      </c>
      <c r="F1259" s="16" t="s">
        <v>12557</v>
      </c>
      <c r="G1259" s="16" t="s">
        <v>2790</v>
      </c>
      <c r="H1259" s="14">
        <v>0.217</v>
      </c>
      <c r="I1259" s="14" t="s">
        <v>12997</v>
      </c>
      <c r="J1259" s="14" t="s">
        <v>12998</v>
      </c>
      <c r="K1259" s="14" t="s">
        <v>12999</v>
      </c>
      <c r="L1259" s="14" t="s">
        <v>13000</v>
      </c>
      <c r="O1259" s="14" t="s">
        <v>13001</v>
      </c>
      <c r="P1259" s="14" t="s">
        <v>13002</v>
      </c>
      <c r="Q1259" s="14">
        <v>407102.47</v>
      </c>
      <c r="R1259" s="14">
        <v>6189076.3200000003</v>
      </c>
      <c r="S1259" s="14" t="s">
        <v>13003</v>
      </c>
      <c r="T1259" s="14" t="s">
        <v>13004</v>
      </c>
      <c r="U1259" s="14">
        <v>407082.9</v>
      </c>
      <c r="V1259" s="14">
        <v>6189079.8499999996</v>
      </c>
      <c r="W1259" s="14">
        <v>180.02</v>
      </c>
      <c r="X1259" s="14">
        <v>200.06</v>
      </c>
    </row>
    <row r="1260" spans="1:24" s="14" customFormat="1" x14ac:dyDescent="0.25">
      <c r="A1260" s="50">
        <v>45100</v>
      </c>
      <c r="B1260" s="57">
        <v>174</v>
      </c>
      <c r="C1260" s="36">
        <v>0.76959490740740744</v>
      </c>
      <c r="D1260" s="16" t="s">
        <v>7408</v>
      </c>
      <c r="E1260" s="14" t="s">
        <v>65</v>
      </c>
      <c r="F1260" s="16" t="s">
        <v>12557</v>
      </c>
      <c r="G1260" s="16" t="s">
        <v>2789</v>
      </c>
      <c r="H1260" s="14">
        <v>0.21099999999999999</v>
      </c>
      <c r="I1260" s="14" t="s">
        <v>13009</v>
      </c>
      <c r="J1260" s="14" t="s">
        <v>13010</v>
      </c>
      <c r="K1260" s="14" t="s">
        <v>13011</v>
      </c>
      <c r="L1260" s="14" t="s">
        <v>13000</v>
      </c>
      <c r="O1260" s="14" t="s">
        <v>13005</v>
      </c>
      <c r="P1260" s="14" t="s">
        <v>13006</v>
      </c>
      <c r="Q1260" s="14">
        <v>407111.88</v>
      </c>
      <c r="R1260" s="14">
        <v>6189071.54</v>
      </c>
      <c r="S1260" s="14" t="s">
        <v>13007</v>
      </c>
      <c r="T1260" s="14" t="s">
        <v>13008</v>
      </c>
      <c r="U1260" s="14">
        <v>407091.89</v>
      </c>
      <c r="V1260" s="14">
        <v>6189074.8499999996</v>
      </c>
      <c r="W1260" s="14">
        <v>0.39</v>
      </c>
      <c r="X1260" s="14">
        <v>200.06</v>
      </c>
    </row>
    <row r="1261" spans="1:24" s="14" customFormat="1" x14ac:dyDescent="0.25">
      <c r="A1261" s="50">
        <v>45100</v>
      </c>
      <c r="B1261" s="57">
        <v>174</v>
      </c>
      <c r="C1261" s="36">
        <v>0.77483796296296292</v>
      </c>
      <c r="D1261" s="16" t="s">
        <v>7408</v>
      </c>
      <c r="E1261" s="52" t="s">
        <v>70</v>
      </c>
      <c r="F1261" s="16" t="s">
        <v>12557</v>
      </c>
      <c r="G1261" s="16" t="s">
        <v>2789</v>
      </c>
      <c r="H1261" s="14">
        <v>-1.7999999999999999E-2</v>
      </c>
      <c r="I1261" s="14" t="s">
        <v>13009</v>
      </c>
      <c r="J1261" s="14" t="s">
        <v>13010</v>
      </c>
      <c r="K1261" s="14" t="s">
        <v>13011</v>
      </c>
      <c r="L1261" s="14" t="s">
        <v>13016</v>
      </c>
      <c r="O1261" s="14" t="s">
        <v>13012</v>
      </c>
      <c r="P1261" s="14" t="s">
        <v>13013</v>
      </c>
      <c r="Q1261" s="14">
        <v>407113.86</v>
      </c>
      <c r="R1261" s="14">
        <v>6189303.46</v>
      </c>
      <c r="S1261" s="14" t="s">
        <v>13014</v>
      </c>
      <c r="T1261" s="14" t="s">
        <v>13015</v>
      </c>
      <c r="U1261" s="14">
        <v>407091.88</v>
      </c>
      <c r="V1261" s="14">
        <v>6189304.29</v>
      </c>
      <c r="W1261" s="14">
        <v>359.87</v>
      </c>
      <c r="X1261" s="14">
        <v>200.06</v>
      </c>
    </row>
    <row r="1262" spans="1:24" s="14" customFormat="1" x14ac:dyDescent="0.25">
      <c r="A1262" s="50">
        <v>45100</v>
      </c>
      <c r="B1262" s="57">
        <v>174</v>
      </c>
      <c r="C1262" s="36">
        <v>0.77738425925925936</v>
      </c>
      <c r="D1262" s="16" t="s">
        <v>7408</v>
      </c>
      <c r="E1262" s="52" t="s">
        <v>65</v>
      </c>
      <c r="F1262" s="16" t="s">
        <v>12557</v>
      </c>
      <c r="G1262" s="16" t="s">
        <v>2788</v>
      </c>
      <c r="H1262" s="14">
        <v>-8.9999999999999993E-3</v>
      </c>
      <c r="I1262" s="14" t="s">
        <v>13021</v>
      </c>
      <c r="J1262" s="14" t="s">
        <v>13022</v>
      </c>
      <c r="K1262" s="14" t="s">
        <v>13023</v>
      </c>
      <c r="L1262" s="14" t="s">
        <v>13016</v>
      </c>
      <c r="O1262" s="14" t="s">
        <v>13017</v>
      </c>
      <c r="P1262" s="14" t="s">
        <v>13018</v>
      </c>
      <c r="Q1262" s="14">
        <v>407121.02</v>
      </c>
      <c r="R1262" s="14">
        <v>6189309.04</v>
      </c>
      <c r="S1262" s="14" t="s">
        <v>13019</v>
      </c>
      <c r="T1262" s="14" t="s">
        <v>13020</v>
      </c>
      <c r="U1262" s="14">
        <v>407100.97</v>
      </c>
      <c r="V1262" s="14">
        <v>6189306.3399999999</v>
      </c>
      <c r="W1262" s="14">
        <v>180.26</v>
      </c>
      <c r="X1262" s="14">
        <v>200.06</v>
      </c>
    </row>
    <row r="1263" spans="1:24" s="14" customFormat="1" x14ac:dyDescent="0.25">
      <c r="A1263" s="50">
        <v>45100</v>
      </c>
      <c r="B1263" s="57">
        <v>174</v>
      </c>
      <c r="C1263" s="36">
        <v>0.7826157407407407</v>
      </c>
      <c r="D1263" s="16" t="s">
        <v>7408</v>
      </c>
      <c r="E1263" s="52" t="s">
        <v>70</v>
      </c>
      <c r="F1263" s="16" t="s">
        <v>12557</v>
      </c>
      <c r="G1263" s="16" t="s">
        <v>2788</v>
      </c>
      <c r="H1263" s="14">
        <v>0.217</v>
      </c>
      <c r="I1263" s="14" t="s">
        <v>13021</v>
      </c>
      <c r="J1263" s="14" t="s">
        <v>13022</v>
      </c>
      <c r="K1263" s="14" t="s">
        <v>13023</v>
      </c>
      <c r="L1263" s="14" t="s">
        <v>13028</v>
      </c>
      <c r="O1263" s="14" t="s">
        <v>13024</v>
      </c>
      <c r="P1263" s="14" t="s">
        <v>13025</v>
      </c>
      <c r="Q1263" s="14">
        <v>407119.68</v>
      </c>
      <c r="R1263" s="14">
        <v>6189078.2699999996</v>
      </c>
      <c r="S1263" s="14" t="s">
        <v>13026</v>
      </c>
      <c r="T1263" s="14" t="s">
        <v>13027</v>
      </c>
      <c r="U1263" s="14">
        <v>407100.97</v>
      </c>
      <c r="V1263" s="14">
        <v>6189080.6699999999</v>
      </c>
      <c r="W1263" s="14">
        <v>179.66</v>
      </c>
      <c r="X1263" s="14">
        <v>200.06</v>
      </c>
    </row>
    <row r="1264" spans="1:24" s="14" customFormat="1" x14ac:dyDescent="0.25">
      <c r="A1264" s="50">
        <v>45100</v>
      </c>
      <c r="B1264" s="57">
        <v>174</v>
      </c>
      <c r="C1264" s="36">
        <v>0.78533564814814805</v>
      </c>
      <c r="D1264" s="16" t="s">
        <v>7408</v>
      </c>
      <c r="E1264" s="52" t="s">
        <v>65</v>
      </c>
      <c r="F1264" s="16" t="s">
        <v>12557</v>
      </c>
      <c r="G1264" s="16" t="s">
        <v>2787</v>
      </c>
      <c r="H1264" s="14">
        <v>0.21199999999999999</v>
      </c>
      <c r="I1264" s="14" t="s">
        <v>13033</v>
      </c>
      <c r="J1264" s="14" t="s">
        <v>13034</v>
      </c>
      <c r="K1264" s="14" t="s">
        <v>13035</v>
      </c>
      <c r="L1264" s="14" t="s">
        <v>13028</v>
      </c>
      <c r="O1264" s="14" t="s">
        <v>13029</v>
      </c>
      <c r="P1264" s="14" t="s">
        <v>13030</v>
      </c>
      <c r="Q1264" s="14">
        <v>407129.43</v>
      </c>
      <c r="R1264" s="14">
        <v>6189067.5300000003</v>
      </c>
      <c r="S1264" s="14" t="s">
        <v>13031</v>
      </c>
      <c r="T1264" s="14" t="s">
        <v>13032</v>
      </c>
      <c r="U1264" s="14">
        <v>407109.96</v>
      </c>
      <c r="V1264" s="14">
        <v>6189073.8799999999</v>
      </c>
      <c r="W1264" s="14">
        <v>359.54</v>
      </c>
      <c r="X1264" s="14">
        <v>200.06</v>
      </c>
    </row>
    <row r="1265" spans="1:24" s="14" customFormat="1" x14ac:dyDescent="0.25">
      <c r="A1265" s="50">
        <v>45100</v>
      </c>
      <c r="B1265" s="57">
        <v>174</v>
      </c>
      <c r="C1265" s="36">
        <v>0.79057870370370376</v>
      </c>
      <c r="D1265" s="16" t="s">
        <v>7408</v>
      </c>
      <c r="E1265" s="52" t="s">
        <v>70</v>
      </c>
      <c r="F1265" s="16" t="s">
        <v>12557</v>
      </c>
      <c r="G1265" s="16" t="s">
        <v>2787</v>
      </c>
      <c r="H1265" s="14">
        <v>-1.9E-2</v>
      </c>
      <c r="I1265" s="14" t="s">
        <v>13033</v>
      </c>
      <c r="J1265" s="14" t="s">
        <v>13034</v>
      </c>
      <c r="K1265" s="14" t="s">
        <v>13035</v>
      </c>
      <c r="L1265" s="14" t="s">
        <v>13028</v>
      </c>
      <c r="O1265" s="14" t="s">
        <v>13036</v>
      </c>
      <c r="P1265" s="14" t="s">
        <v>13037</v>
      </c>
      <c r="Q1265" s="14">
        <v>407131.45</v>
      </c>
      <c r="R1265" s="14">
        <v>6189299.6600000001</v>
      </c>
      <c r="S1265" s="14" t="s">
        <v>13038</v>
      </c>
      <c r="T1265" s="14" t="s">
        <v>13039</v>
      </c>
      <c r="U1265" s="14">
        <v>407109.91</v>
      </c>
      <c r="V1265" s="14">
        <v>6189304.6900000004</v>
      </c>
      <c r="W1265" s="14">
        <v>359.95</v>
      </c>
      <c r="X1265" s="14">
        <v>200.06</v>
      </c>
    </row>
    <row r="1266" spans="1:24" s="14" customFormat="1" x14ac:dyDescent="0.25">
      <c r="A1266" s="50">
        <v>45100</v>
      </c>
      <c r="B1266" s="57">
        <v>174</v>
      </c>
      <c r="C1266" s="36">
        <v>0.79320601851851846</v>
      </c>
      <c r="D1266" s="16" t="s">
        <v>7408</v>
      </c>
      <c r="E1266" s="14" t="s">
        <v>65</v>
      </c>
      <c r="F1266" s="16" t="s">
        <v>12557</v>
      </c>
      <c r="G1266" s="16" t="s">
        <v>2796</v>
      </c>
      <c r="H1266" s="14">
        <v>-1.4E-2</v>
      </c>
      <c r="I1266" s="14" t="s">
        <v>13044</v>
      </c>
      <c r="J1266" s="14" t="s">
        <v>13045</v>
      </c>
      <c r="K1266" s="14" t="s">
        <v>13046</v>
      </c>
      <c r="L1266" s="14" t="s">
        <v>13047</v>
      </c>
      <c r="O1266" s="14" t="s">
        <v>13040</v>
      </c>
      <c r="P1266" s="14" t="s">
        <v>13041</v>
      </c>
      <c r="Q1266" s="14">
        <v>407140.04</v>
      </c>
      <c r="R1266" s="14">
        <v>6189301.54</v>
      </c>
      <c r="S1266" s="14" t="s">
        <v>13042</v>
      </c>
      <c r="T1266" s="14" t="s">
        <v>13043</v>
      </c>
      <c r="U1266" s="14">
        <v>407119.1</v>
      </c>
      <c r="V1266" s="14">
        <v>6189310.8200000003</v>
      </c>
      <c r="W1266" s="14">
        <v>180.27</v>
      </c>
      <c r="X1266" s="14">
        <v>200.06</v>
      </c>
    </row>
    <row r="1267" spans="1:24" s="14" customFormat="1" x14ac:dyDescent="0.25">
      <c r="A1267" s="50">
        <v>45100</v>
      </c>
      <c r="B1267" s="57">
        <v>174</v>
      </c>
      <c r="C1267" s="36">
        <v>0.7984606481481481</v>
      </c>
      <c r="D1267" s="16" t="s">
        <v>7408</v>
      </c>
      <c r="E1267" s="52" t="s">
        <v>70</v>
      </c>
      <c r="F1267" s="16" t="s">
        <v>12557</v>
      </c>
      <c r="G1267" s="16" t="s">
        <v>2796</v>
      </c>
      <c r="H1267" s="14">
        <v>0.217</v>
      </c>
      <c r="I1267" s="14" t="s">
        <v>13044</v>
      </c>
      <c r="J1267" s="14" t="s">
        <v>13045</v>
      </c>
      <c r="K1267" s="14" t="s">
        <v>13046</v>
      </c>
      <c r="L1267" s="14" t="s">
        <v>13047</v>
      </c>
      <c r="O1267" s="14" t="s">
        <v>13048</v>
      </c>
      <c r="P1267" s="14" t="s">
        <v>13049</v>
      </c>
      <c r="Q1267" s="14">
        <v>407138.13</v>
      </c>
      <c r="R1267" s="14">
        <v>6189069.3600000003</v>
      </c>
      <c r="S1267" s="14" t="s">
        <v>13050</v>
      </c>
      <c r="T1267" s="14" t="s">
        <v>13051</v>
      </c>
      <c r="U1267" s="14">
        <v>407119.08</v>
      </c>
      <c r="V1267" s="14">
        <v>6189080.1200000001</v>
      </c>
      <c r="W1267" s="14">
        <v>180.11</v>
      </c>
      <c r="X1267" s="14">
        <v>200.06</v>
      </c>
    </row>
    <row r="1268" spans="1:24" s="14" customFormat="1" x14ac:dyDescent="0.25">
      <c r="A1268" s="50">
        <v>45100</v>
      </c>
      <c r="B1268" s="57">
        <v>174</v>
      </c>
      <c r="C1268" s="36">
        <v>0.80141203703703701</v>
      </c>
      <c r="D1268" s="16" t="s">
        <v>7408</v>
      </c>
      <c r="E1268" s="52" t="s">
        <v>65</v>
      </c>
      <c r="F1268" s="16" t="s">
        <v>12557</v>
      </c>
      <c r="G1268" s="16" t="s">
        <v>2797</v>
      </c>
      <c r="H1268" s="14">
        <v>0.21299999999999999</v>
      </c>
      <c r="I1268" s="14" t="s">
        <v>13056</v>
      </c>
      <c r="J1268" s="14" t="s">
        <v>13057</v>
      </c>
      <c r="K1268" s="14" t="s">
        <v>13058</v>
      </c>
      <c r="L1268" s="14" t="s">
        <v>13047</v>
      </c>
      <c r="O1268" s="14" t="s">
        <v>13052</v>
      </c>
      <c r="P1268" s="14" t="s">
        <v>13053</v>
      </c>
      <c r="Q1268" s="14">
        <v>407151.18</v>
      </c>
      <c r="R1268" s="14">
        <v>6189069.3899999997</v>
      </c>
      <c r="S1268" s="14" t="s">
        <v>13054</v>
      </c>
      <c r="T1268" s="14" t="s">
        <v>13055</v>
      </c>
      <c r="U1268" s="14">
        <v>407127.89</v>
      </c>
      <c r="V1268" s="14">
        <v>6189073.1799999997</v>
      </c>
      <c r="W1268" s="14">
        <v>1.1499999999999999</v>
      </c>
      <c r="X1268" s="14">
        <v>200.06</v>
      </c>
    </row>
    <row r="1269" spans="1:24" s="14" customFormat="1" x14ac:dyDescent="0.25">
      <c r="A1269" s="50">
        <v>45100</v>
      </c>
      <c r="B1269" s="57">
        <v>174</v>
      </c>
      <c r="C1269" s="36">
        <v>0.80658564814814815</v>
      </c>
      <c r="D1269" s="16" t="s">
        <v>7408</v>
      </c>
      <c r="E1269" s="52" t="s">
        <v>70</v>
      </c>
      <c r="F1269" s="16" t="s">
        <v>12557</v>
      </c>
      <c r="G1269" s="16" t="s">
        <v>2797</v>
      </c>
      <c r="H1269" s="14">
        <v>-1.7999999999999999E-2</v>
      </c>
      <c r="I1269" s="14" t="s">
        <v>13056</v>
      </c>
      <c r="J1269" s="14" t="s">
        <v>13057</v>
      </c>
      <c r="K1269" s="14" t="s">
        <v>13058</v>
      </c>
      <c r="L1269" s="14" t="s">
        <v>13063</v>
      </c>
      <c r="O1269" s="14" t="s">
        <v>13059</v>
      </c>
      <c r="P1269" s="14" t="s">
        <v>13060</v>
      </c>
      <c r="Q1269" s="14">
        <v>407152.89</v>
      </c>
      <c r="R1269" s="14">
        <v>6189299.4100000001</v>
      </c>
      <c r="S1269" s="14" t="s">
        <v>13061</v>
      </c>
      <c r="T1269" s="14" t="s">
        <v>13062</v>
      </c>
      <c r="U1269" s="14">
        <v>407128.07</v>
      </c>
      <c r="V1269" s="14">
        <v>6189303.7599999998</v>
      </c>
      <c r="W1269" s="14">
        <v>0.24</v>
      </c>
      <c r="X1269" s="14">
        <v>200.06</v>
      </c>
    </row>
    <row r="1270" spans="1:24" s="14" customFormat="1" x14ac:dyDescent="0.25">
      <c r="A1270" s="50">
        <v>45100</v>
      </c>
      <c r="B1270" s="57">
        <v>174</v>
      </c>
      <c r="C1270" s="36">
        <v>0.80884259259259261</v>
      </c>
      <c r="D1270" s="16" t="s">
        <v>7408</v>
      </c>
      <c r="E1270" s="52" t="s">
        <v>65</v>
      </c>
      <c r="F1270" s="16" t="s">
        <v>12557</v>
      </c>
      <c r="G1270" s="16" t="s">
        <v>2798</v>
      </c>
      <c r="H1270" s="14">
        <v>-1.2999999999999999E-2</v>
      </c>
      <c r="I1270" s="14" t="s">
        <v>13068</v>
      </c>
      <c r="J1270" s="14" t="s">
        <v>13069</v>
      </c>
      <c r="K1270" s="14" t="s">
        <v>13070</v>
      </c>
      <c r="L1270" s="14" t="s">
        <v>13063</v>
      </c>
      <c r="O1270" s="14" t="s">
        <v>13064</v>
      </c>
      <c r="P1270" s="14" t="s">
        <v>13065</v>
      </c>
      <c r="Q1270" s="14">
        <v>407161.51</v>
      </c>
      <c r="R1270" s="14">
        <v>6189306.54</v>
      </c>
      <c r="S1270" s="14" t="s">
        <v>13066</v>
      </c>
      <c r="T1270" s="14" t="s">
        <v>13067</v>
      </c>
      <c r="U1270" s="14">
        <v>407137.11</v>
      </c>
      <c r="V1270" s="14">
        <v>6189309.7400000002</v>
      </c>
      <c r="W1270" s="14">
        <v>180.77</v>
      </c>
      <c r="X1270" s="14">
        <v>200.06</v>
      </c>
    </row>
    <row r="1271" spans="1:24" s="14" customFormat="1" x14ac:dyDescent="0.25">
      <c r="A1271" s="50">
        <v>45100</v>
      </c>
      <c r="B1271" s="57">
        <v>174</v>
      </c>
      <c r="C1271" s="36">
        <v>0.81412037037037033</v>
      </c>
      <c r="D1271" s="16" t="s">
        <v>7408</v>
      </c>
      <c r="E1271" s="14" t="s">
        <v>70</v>
      </c>
      <c r="F1271" s="16" t="s">
        <v>12557</v>
      </c>
      <c r="G1271" s="16" t="s">
        <v>2798</v>
      </c>
      <c r="H1271" s="14">
        <v>0.218</v>
      </c>
      <c r="I1271" s="14" t="s">
        <v>13068</v>
      </c>
      <c r="J1271" s="14" t="s">
        <v>13069</v>
      </c>
      <c r="K1271" s="14" t="s">
        <v>13070</v>
      </c>
      <c r="L1271" s="14" t="s">
        <v>13075</v>
      </c>
      <c r="O1271" s="14" t="s">
        <v>13071</v>
      </c>
      <c r="P1271" s="14" t="s">
        <v>13072</v>
      </c>
      <c r="Q1271" s="14">
        <v>407159.22</v>
      </c>
      <c r="R1271" s="14">
        <v>6189075.0999999996</v>
      </c>
      <c r="S1271" s="14" t="s">
        <v>13073</v>
      </c>
      <c r="T1271" s="14" t="s">
        <v>13074</v>
      </c>
      <c r="U1271" s="14">
        <v>407136.97</v>
      </c>
      <c r="V1271" s="14">
        <v>6189079.21</v>
      </c>
      <c r="W1271" s="14">
        <v>180.36</v>
      </c>
      <c r="X1271" s="14">
        <v>200.06</v>
      </c>
    </row>
    <row r="1272" spans="1:24" s="14" customFormat="1" x14ac:dyDescent="0.25">
      <c r="A1272" s="50">
        <v>45100</v>
      </c>
      <c r="B1272" s="57">
        <v>174</v>
      </c>
      <c r="C1272" s="36">
        <v>0.8168171296296296</v>
      </c>
      <c r="D1272" s="16" t="s">
        <v>7408</v>
      </c>
      <c r="E1272" s="14" t="s">
        <v>65</v>
      </c>
      <c r="F1272" s="16" t="s">
        <v>12557</v>
      </c>
      <c r="G1272" s="16" t="s">
        <v>2799</v>
      </c>
      <c r="H1272" s="14">
        <v>0.21299999999999999</v>
      </c>
      <c r="I1272" s="14" t="s">
        <v>13079</v>
      </c>
      <c r="J1272" s="14" t="s">
        <v>13080</v>
      </c>
      <c r="K1272" s="14" t="s">
        <v>13081</v>
      </c>
      <c r="L1272" s="14" t="s">
        <v>13075</v>
      </c>
      <c r="O1272" s="14" t="s">
        <v>13076</v>
      </c>
      <c r="P1272" s="14" t="s">
        <v>13077</v>
      </c>
      <c r="Q1272" s="14">
        <v>407170.49</v>
      </c>
      <c r="R1272" s="14">
        <v>6189070.4299999997</v>
      </c>
      <c r="S1272" s="14" t="s">
        <v>13054</v>
      </c>
      <c r="T1272" s="14" t="s">
        <v>13078</v>
      </c>
      <c r="U1272" s="14">
        <v>407145.83</v>
      </c>
      <c r="V1272" s="14">
        <v>6189072.79</v>
      </c>
      <c r="W1272" s="14">
        <v>1.49</v>
      </c>
      <c r="X1272" s="14">
        <v>200.06</v>
      </c>
    </row>
    <row r="1273" spans="1:24" s="14" customFormat="1" x14ac:dyDescent="0.25">
      <c r="A1273" s="50">
        <v>45100</v>
      </c>
      <c r="B1273" s="57">
        <v>174</v>
      </c>
      <c r="C1273" s="36">
        <v>0.82202546296296297</v>
      </c>
      <c r="D1273" s="16" t="s">
        <v>7408</v>
      </c>
      <c r="E1273" s="14" t="s">
        <v>70</v>
      </c>
      <c r="F1273" s="16" t="s">
        <v>12557</v>
      </c>
      <c r="G1273" s="16" t="s">
        <v>2799</v>
      </c>
      <c r="H1273" s="14">
        <v>-1.7000000000000001E-2</v>
      </c>
      <c r="I1273" s="14" t="s">
        <v>13079</v>
      </c>
      <c r="J1273" s="14" t="s">
        <v>13080</v>
      </c>
      <c r="K1273" s="14" t="s">
        <v>13081</v>
      </c>
      <c r="L1273" s="14" t="s">
        <v>13075</v>
      </c>
      <c r="O1273" s="14" t="s">
        <v>13082</v>
      </c>
      <c r="P1273" s="14" t="s">
        <v>13083</v>
      </c>
      <c r="Q1273" s="14">
        <v>407171.31</v>
      </c>
      <c r="R1273" s="14">
        <v>6189300.8799999999</v>
      </c>
      <c r="S1273" s="14" t="s">
        <v>13084</v>
      </c>
      <c r="T1273" s="14" t="s">
        <v>13085</v>
      </c>
      <c r="U1273" s="14">
        <v>407145.93</v>
      </c>
      <c r="V1273" s="14">
        <v>6189302.9000000004</v>
      </c>
      <c r="W1273" s="14">
        <v>359.92</v>
      </c>
      <c r="X1273" s="14">
        <v>200.06</v>
      </c>
    </row>
    <row r="1274" spans="1:24" s="14" customFormat="1" x14ac:dyDescent="0.25">
      <c r="A1274" s="50">
        <v>45100</v>
      </c>
      <c r="B1274" s="57">
        <v>174</v>
      </c>
      <c r="C1274" s="36">
        <v>0.82487268518518519</v>
      </c>
      <c r="D1274" s="16" t="s">
        <v>7408</v>
      </c>
      <c r="E1274" s="14" t="s">
        <v>65</v>
      </c>
      <c r="F1274" s="16" t="s">
        <v>12557</v>
      </c>
      <c r="G1274" s="16" t="s">
        <v>2800</v>
      </c>
      <c r="H1274" s="14">
        <v>-7.0000000000000001E-3</v>
      </c>
      <c r="I1274" s="14" t="s">
        <v>13090</v>
      </c>
      <c r="J1274" s="14" t="s">
        <v>13091</v>
      </c>
      <c r="K1274" s="14" t="s">
        <v>13092</v>
      </c>
      <c r="L1274" s="14" t="s">
        <v>13093</v>
      </c>
      <c r="O1274" s="14" t="s">
        <v>13086</v>
      </c>
      <c r="P1274" s="14" t="s">
        <v>13087</v>
      </c>
      <c r="Q1274" s="14">
        <v>407179.15</v>
      </c>
      <c r="R1274" s="14">
        <v>6189301.4500000002</v>
      </c>
      <c r="S1274" s="14" t="s">
        <v>13088</v>
      </c>
      <c r="T1274" s="14" t="s">
        <v>13089</v>
      </c>
      <c r="U1274" s="14">
        <v>407154.91</v>
      </c>
      <c r="V1274" s="14">
        <v>6189304.3799999999</v>
      </c>
      <c r="W1274" s="14">
        <v>179.97</v>
      </c>
      <c r="X1274" s="14">
        <v>200.06</v>
      </c>
    </row>
    <row r="1275" spans="1:24" s="14" customFormat="1" x14ac:dyDescent="0.25">
      <c r="A1275" s="50">
        <v>45100</v>
      </c>
      <c r="B1275" s="57">
        <v>174</v>
      </c>
      <c r="C1275" s="36">
        <v>0.82994212962962965</v>
      </c>
      <c r="D1275" s="16" t="s">
        <v>7408</v>
      </c>
      <c r="E1275" s="14" t="s">
        <v>70</v>
      </c>
      <c r="F1275" s="16" t="s">
        <v>12557</v>
      </c>
      <c r="G1275" s="16" t="s">
        <v>2800</v>
      </c>
      <c r="H1275" s="14">
        <v>0.217</v>
      </c>
      <c r="I1275" s="14" t="s">
        <v>13090</v>
      </c>
      <c r="J1275" s="14" t="s">
        <v>13091</v>
      </c>
      <c r="K1275" s="14" t="s">
        <v>13092</v>
      </c>
      <c r="L1275" s="14" t="s">
        <v>13093</v>
      </c>
      <c r="O1275" s="14" t="s">
        <v>13094</v>
      </c>
      <c r="P1275" s="14" t="s">
        <v>13095</v>
      </c>
      <c r="Q1275" s="14">
        <v>407177.06</v>
      </c>
      <c r="R1275" s="14">
        <v>6189076.8899999997</v>
      </c>
      <c r="S1275" s="14" t="s">
        <v>13096</v>
      </c>
      <c r="T1275" s="14" t="s">
        <v>13097</v>
      </c>
      <c r="U1275" s="14">
        <v>407154.85</v>
      </c>
      <c r="V1275" s="14">
        <v>6189080.7599999998</v>
      </c>
      <c r="W1275" s="14">
        <v>179.95</v>
      </c>
      <c r="X1275" s="14">
        <v>200.06</v>
      </c>
    </row>
    <row r="1276" spans="1:24" s="14" customFormat="1" x14ac:dyDescent="0.25">
      <c r="A1276" s="50">
        <v>45100</v>
      </c>
      <c r="B1276" s="57">
        <v>174</v>
      </c>
      <c r="C1276" s="36">
        <v>0.83253472222222225</v>
      </c>
      <c r="D1276" s="16" t="s">
        <v>7408</v>
      </c>
      <c r="E1276" s="52" t="s">
        <v>65</v>
      </c>
      <c r="F1276" s="16" t="s">
        <v>12557</v>
      </c>
      <c r="G1276" s="16" t="s">
        <v>2801</v>
      </c>
      <c r="H1276" s="14">
        <v>0.21199999999999999</v>
      </c>
      <c r="I1276" s="14" t="s">
        <v>13102</v>
      </c>
      <c r="J1276" s="14" t="s">
        <v>13103</v>
      </c>
      <c r="K1276" s="14" t="s">
        <v>13104</v>
      </c>
      <c r="L1276" s="14" t="s">
        <v>13093</v>
      </c>
      <c r="O1276" s="14" t="s">
        <v>13098</v>
      </c>
      <c r="P1276" s="14" t="s">
        <v>13099</v>
      </c>
      <c r="Q1276" s="14">
        <v>407188.21</v>
      </c>
      <c r="R1276" s="14">
        <v>6189065.5899999999</v>
      </c>
      <c r="S1276" s="14" t="s">
        <v>13100</v>
      </c>
      <c r="T1276" s="14" t="s">
        <v>13101</v>
      </c>
      <c r="U1276" s="14">
        <v>407163.96</v>
      </c>
      <c r="V1276" s="14">
        <v>6189073.71</v>
      </c>
      <c r="W1276" s="14">
        <v>0.03</v>
      </c>
      <c r="X1276" s="14">
        <v>200.06</v>
      </c>
    </row>
    <row r="1277" spans="1:24" s="14" customFormat="1" x14ac:dyDescent="0.25">
      <c r="A1277" s="50">
        <v>45100</v>
      </c>
      <c r="B1277" s="57">
        <v>174</v>
      </c>
      <c r="C1277" s="36">
        <v>0.83783564814814815</v>
      </c>
      <c r="D1277" s="16" t="s">
        <v>7408</v>
      </c>
      <c r="E1277" s="52" t="s">
        <v>70</v>
      </c>
      <c r="F1277" s="16" t="s">
        <v>12557</v>
      </c>
      <c r="G1277" s="16" t="s">
        <v>2801</v>
      </c>
      <c r="H1277" s="14">
        <v>-1.7999999999999999E-2</v>
      </c>
      <c r="I1277" s="14" t="s">
        <v>13102</v>
      </c>
      <c r="J1277" s="14" t="s">
        <v>13103</v>
      </c>
      <c r="K1277" s="14" t="s">
        <v>13104</v>
      </c>
      <c r="L1277" s="14" t="s">
        <v>13109</v>
      </c>
      <c r="O1277" s="14" t="s">
        <v>13105</v>
      </c>
      <c r="P1277" s="14" t="s">
        <v>13106</v>
      </c>
      <c r="Q1277" s="14">
        <v>407189.44</v>
      </c>
      <c r="R1277" s="14">
        <v>6189300.0099999998</v>
      </c>
      <c r="S1277" s="14" t="s">
        <v>13107</v>
      </c>
      <c r="T1277" s="14" t="s">
        <v>13108</v>
      </c>
      <c r="U1277" s="14">
        <v>407164.05</v>
      </c>
      <c r="V1277" s="14">
        <v>6189303.9800000004</v>
      </c>
      <c r="W1277" s="14">
        <v>358.82</v>
      </c>
      <c r="X1277" s="14">
        <v>200.06</v>
      </c>
    </row>
    <row r="1278" spans="1:24" s="14" customFormat="1" x14ac:dyDescent="0.25">
      <c r="A1278" s="50">
        <v>45100</v>
      </c>
      <c r="B1278" s="57">
        <v>174</v>
      </c>
      <c r="C1278" s="36">
        <v>0.84106481481481488</v>
      </c>
      <c r="D1278" s="16" t="s">
        <v>7408</v>
      </c>
      <c r="E1278" s="52" t="s">
        <v>65</v>
      </c>
      <c r="F1278" s="16" t="s">
        <v>12557</v>
      </c>
      <c r="G1278" s="16" t="s">
        <v>2802</v>
      </c>
      <c r="H1278" s="14">
        <v>-1.2999999999999999E-2</v>
      </c>
      <c r="I1278" s="14" t="s">
        <v>13114</v>
      </c>
      <c r="J1278" s="14" t="s">
        <v>13115</v>
      </c>
      <c r="K1278" s="14" t="s">
        <v>13116</v>
      </c>
      <c r="L1278" s="14" t="s">
        <v>13109</v>
      </c>
      <c r="O1278" s="14" t="s">
        <v>13110</v>
      </c>
      <c r="P1278" s="14" t="s">
        <v>13111</v>
      </c>
      <c r="Q1278" s="14">
        <v>407199.12</v>
      </c>
      <c r="R1278" s="14">
        <v>6189310.0300000003</v>
      </c>
      <c r="S1278" s="14" t="s">
        <v>13112</v>
      </c>
      <c r="T1278" s="14" t="s">
        <v>13113</v>
      </c>
      <c r="U1278" s="14">
        <v>407172.88</v>
      </c>
      <c r="V1278" s="14">
        <v>6189310.1900000004</v>
      </c>
      <c r="W1278" s="14">
        <v>180.73</v>
      </c>
      <c r="X1278" s="14">
        <v>200.06</v>
      </c>
    </row>
    <row r="1279" spans="1:24" s="14" customFormat="1" x14ac:dyDescent="0.25">
      <c r="A1279" s="50">
        <v>45100</v>
      </c>
      <c r="B1279" s="57">
        <v>174</v>
      </c>
      <c r="C1279" s="36">
        <v>0.84629629629629621</v>
      </c>
      <c r="D1279" s="16" t="s">
        <v>7408</v>
      </c>
      <c r="E1279" s="52" t="s">
        <v>70</v>
      </c>
      <c r="F1279" s="16" t="s">
        <v>12557</v>
      </c>
      <c r="G1279" s="16" t="s">
        <v>2802</v>
      </c>
      <c r="H1279" s="14">
        <v>0.218</v>
      </c>
      <c r="I1279" s="14" t="s">
        <v>13114</v>
      </c>
      <c r="J1279" s="14" t="s">
        <v>13115</v>
      </c>
      <c r="K1279" s="14" t="s">
        <v>13116</v>
      </c>
      <c r="L1279" s="14" t="s">
        <v>13121</v>
      </c>
      <c r="O1279" s="14" t="s">
        <v>13117</v>
      </c>
      <c r="P1279" s="14" t="s">
        <v>13118</v>
      </c>
      <c r="Q1279" s="14">
        <v>407196.13</v>
      </c>
      <c r="R1279" s="14">
        <v>6189080.3899999997</v>
      </c>
      <c r="S1279" s="14" t="s">
        <v>13119</v>
      </c>
      <c r="T1279" s="14" t="s">
        <v>13120</v>
      </c>
      <c r="U1279" s="14">
        <v>407172.92</v>
      </c>
      <c r="V1279" s="14">
        <v>6189079.46</v>
      </c>
      <c r="W1279" s="14">
        <v>179.3</v>
      </c>
      <c r="X1279" s="14">
        <v>200.06</v>
      </c>
    </row>
    <row r="1280" spans="1:24" s="14" customFormat="1" x14ac:dyDescent="0.25">
      <c r="A1280" s="50">
        <v>45100</v>
      </c>
      <c r="B1280" s="57">
        <v>174</v>
      </c>
      <c r="C1280" s="36">
        <v>0.8485300925925926</v>
      </c>
      <c r="D1280" s="16" t="s">
        <v>7408</v>
      </c>
      <c r="E1280" s="52" t="s">
        <v>65</v>
      </c>
      <c r="F1280" s="16" t="s">
        <v>12557</v>
      </c>
      <c r="G1280" s="16" t="s">
        <v>2803</v>
      </c>
      <c r="H1280" s="14">
        <v>0.21299999999999999</v>
      </c>
      <c r="I1280" s="14" t="s">
        <v>13126</v>
      </c>
      <c r="J1280" s="14" t="s">
        <v>13127</v>
      </c>
      <c r="K1280" s="14" t="s">
        <v>13128</v>
      </c>
      <c r="L1280" s="14" t="s">
        <v>13121</v>
      </c>
      <c r="O1280" s="14" t="s">
        <v>13122</v>
      </c>
      <c r="P1280" s="14" t="s">
        <v>13123</v>
      </c>
      <c r="Q1280" s="14">
        <v>407203.8</v>
      </c>
      <c r="R1280" s="14">
        <v>6189062.79</v>
      </c>
      <c r="S1280" s="14" t="s">
        <v>13124</v>
      </c>
      <c r="T1280" s="14" t="s">
        <v>13125</v>
      </c>
      <c r="U1280" s="14">
        <v>407181.9</v>
      </c>
      <c r="V1280" s="14">
        <v>6189073.2599999998</v>
      </c>
      <c r="W1280" s="14">
        <v>0.73</v>
      </c>
      <c r="X1280" s="14">
        <v>200.06</v>
      </c>
    </row>
    <row r="1281" spans="1:24" s="14" customFormat="1" x14ac:dyDescent="0.25">
      <c r="A1281" s="50">
        <v>45100</v>
      </c>
      <c r="B1281" s="57">
        <v>174</v>
      </c>
      <c r="C1281" s="36">
        <v>0.85383101851851861</v>
      </c>
      <c r="D1281" s="16" t="s">
        <v>7408</v>
      </c>
      <c r="E1281" s="52" t="s">
        <v>70</v>
      </c>
      <c r="F1281" s="16" t="s">
        <v>12557</v>
      </c>
      <c r="G1281" s="16" t="s">
        <v>2803</v>
      </c>
      <c r="H1281" s="14">
        <v>-1.7999999999999999E-2</v>
      </c>
      <c r="I1281" s="14" t="s">
        <v>13126</v>
      </c>
      <c r="J1281" s="14" t="s">
        <v>13127</v>
      </c>
      <c r="K1281" s="14" t="s">
        <v>13128</v>
      </c>
      <c r="L1281" s="14" t="s">
        <v>13133</v>
      </c>
      <c r="O1281" s="14" t="s">
        <v>13129</v>
      </c>
      <c r="P1281" s="14" t="s">
        <v>13130</v>
      </c>
      <c r="Q1281" s="14">
        <v>407205.65</v>
      </c>
      <c r="R1281" s="14">
        <v>6189296.3700000001</v>
      </c>
      <c r="S1281" s="14" t="s">
        <v>13131</v>
      </c>
      <c r="T1281" s="14" t="s">
        <v>13132</v>
      </c>
      <c r="U1281" s="14">
        <v>407182.07</v>
      </c>
      <c r="V1281" s="14">
        <v>6189303.7599999998</v>
      </c>
      <c r="W1281" s="14">
        <v>359.07</v>
      </c>
      <c r="X1281" s="14">
        <v>200.06</v>
      </c>
    </row>
    <row r="1282" spans="1:24" s="14" customFormat="1" x14ac:dyDescent="0.25">
      <c r="A1282" s="50">
        <v>45100</v>
      </c>
      <c r="B1282" s="57">
        <v>174</v>
      </c>
      <c r="C1282" s="36">
        <v>0.865300925925926</v>
      </c>
      <c r="D1282" s="16" t="s">
        <v>7408</v>
      </c>
      <c r="E1282" s="52" t="s">
        <v>8994</v>
      </c>
      <c r="F1282" s="16" t="s">
        <v>12557</v>
      </c>
      <c r="G1282" s="16" t="s">
        <v>13134</v>
      </c>
      <c r="H1282" s="14">
        <v>-1.4E-2</v>
      </c>
      <c r="I1282" s="14" t="s">
        <v>13139</v>
      </c>
      <c r="J1282" s="14" t="s">
        <v>13127</v>
      </c>
      <c r="K1282" s="14" t="s">
        <v>13128</v>
      </c>
      <c r="L1282" s="14" t="s">
        <v>13140</v>
      </c>
      <c r="O1282" s="14" t="s">
        <v>13135</v>
      </c>
      <c r="P1282" s="14" t="s">
        <v>13136</v>
      </c>
      <c r="Q1282" s="14">
        <v>407131.73</v>
      </c>
      <c r="R1282" s="14">
        <v>6189307.2400000002</v>
      </c>
      <c r="S1282" s="14" t="s">
        <v>13137</v>
      </c>
      <c r="T1282" s="14" t="s">
        <v>13138</v>
      </c>
      <c r="U1282" s="14">
        <v>407110</v>
      </c>
      <c r="V1282" s="14">
        <v>6189311.2199999997</v>
      </c>
      <c r="W1282" s="14">
        <v>179.94</v>
      </c>
      <c r="X1282" s="14">
        <v>200.06</v>
      </c>
    </row>
    <row r="1283" spans="1:24" s="14" customFormat="1" x14ac:dyDescent="0.25">
      <c r="A1283" s="50">
        <v>45100</v>
      </c>
      <c r="B1283" s="57">
        <v>174</v>
      </c>
      <c r="C1283" s="36">
        <v>0.87062499999999998</v>
      </c>
      <c r="D1283" s="16" t="s">
        <v>7408</v>
      </c>
      <c r="E1283" s="52" t="s">
        <v>70</v>
      </c>
      <c r="F1283" s="16" t="s">
        <v>12557</v>
      </c>
      <c r="G1283" s="16" t="s">
        <v>13134</v>
      </c>
      <c r="H1283" s="14">
        <v>0.221</v>
      </c>
      <c r="I1283" s="14" t="s">
        <v>13139</v>
      </c>
      <c r="J1283" s="14" t="s">
        <v>13127</v>
      </c>
      <c r="K1283" s="14" t="s">
        <v>13128</v>
      </c>
      <c r="L1283" s="14" t="s">
        <v>13140</v>
      </c>
      <c r="O1283" s="14" t="s">
        <v>13141</v>
      </c>
      <c r="P1283" s="14" t="s">
        <v>13142</v>
      </c>
      <c r="Q1283" s="14">
        <v>407129.53</v>
      </c>
      <c r="R1283" s="14">
        <v>6189073.5899999999</v>
      </c>
      <c r="S1283" s="14" t="s">
        <v>13143</v>
      </c>
      <c r="T1283" s="14" t="s">
        <v>13144</v>
      </c>
      <c r="U1283" s="14">
        <v>407109.93</v>
      </c>
      <c r="V1283" s="14">
        <v>6189076.4500000002</v>
      </c>
      <c r="W1283" s="14">
        <v>181.52</v>
      </c>
      <c r="X1283" s="14">
        <v>200.06</v>
      </c>
    </row>
    <row r="1284" spans="1:24" s="14" customFormat="1" x14ac:dyDescent="0.25">
      <c r="A1284" s="50">
        <v>45100</v>
      </c>
      <c r="B1284" s="57">
        <v>174</v>
      </c>
      <c r="C1284" s="36">
        <v>0.87585648148148154</v>
      </c>
      <c r="D1284" s="16" t="s">
        <v>7408</v>
      </c>
      <c r="E1284" s="116" t="s">
        <v>8994</v>
      </c>
      <c r="F1284" s="16" t="s">
        <v>12557</v>
      </c>
      <c r="G1284" s="16" t="s">
        <v>13145</v>
      </c>
      <c r="H1284" s="14">
        <v>0.21199999999999999</v>
      </c>
      <c r="I1284" s="14" t="s">
        <v>13150</v>
      </c>
      <c r="J1284" s="14" t="s">
        <v>13127</v>
      </c>
      <c r="K1284" s="14" t="s">
        <v>13128</v>
      </c>
      <c r="L1284" s="14" t="s">
        <v>13151</v>
      </c>
      <c r="O1284" s="14" t="s">
        <v>13146</v>
      </c>
      <c r="P1284" s="14" t="s">
        <v>13147</v>
      </c>
      <c r="Q1284" s="14">
        <v>407084.92</v>
      </c>
      <c r="R1284" s="14">
        <v>6189069.8099999996</v>
      </c>
      <c r="S1284" s="14" t="s">
        <v>13148</v>
      </c>
      <c r="T1284" s="14" t="s">
        <v>13149</v>
      </c>
      <c r="U1284" s="14">
        <v>407064.87</v>
      </c>
      <c r="V1284" s="14">
        <v>6189074.0700000003</v>
      </c>
      <c r="W1284" s="14">
        <v>1.76</v>
      </c>
      <c r="X1284" s="14">
        <v>200.06</v>
      </c>
    </row>
    <row r="1285" spans="1:24" s="14" customFormat="1" x14ac:dyDescent="0.25">
      <c r="A1285" s="50">
        <v>45100</v>
      </c>
      <c r="B1285" s="57">
        <v>174</v>
      </c>
      <c r="C1285" s="36">
        <v>0.88111111111111118</v>
      </c>
      <c r="D1285" s="16" t="s">
        <v>7408</v>
      </c>
      <c r="E1285" s="52" t="s">
        <v>70</v>
      </c>
      <c r="F1285" s="16" t="s">
        <v>12557</v>
      </c>
      <c r="G1285" s="16" t="s">
        <v>13145</v>
      </c>
      <c r="H1285" s="14">
        <v>-1.9E-2</v>
      </c>
      <c r="I1285" s="14" t="s">
        <v>13150</v>
      </c>
      <c r="J1285" s="14" t="s">
        <v>13127</v>
      </c>
      <c r="K1285" s="14" t="s">
        <v>13128</v>
      </c>
      <c r="L1285" s="14" t="s">
        <v>13151</v>
      </c>
      <c r="O1285" s="14" t="s">
        <v>13152</v>
      </c>
      <c r="P1285" s="14" t="s">
        <v>13153</v>
      </c>
      <c r="Q1285" s="14">
        <v>407085.2</v>
      </c>
      <c r="R1285" s="14">
        <v>6189301.3200000003</v>
      </c>
      <c r="S1285" s="14" t="s">
        <v>13154</v>
      </c>
      <c r="T1285" s="14" t="s">
        <v>13155</v>
      </c>
      <c r="U1285" s="14">
        <v>407065.05</v>
      </c>
      <c r="V1285" s="14">
        <v>6189305.54</v>
      </c>
      <c r="W1285" s="14">
        <v>359.85</v>
      </c>
      <c r="X1285" s="14">
        <v>200.06</v>
      </c>
    </row>
    <row r="1286" spans="1:24" s="14" customFormat="1" x14ac:dyDescent="0.25">
      <c r="A1286" s="50">
        <v>45100</v>
      </c>
      <c r="B1286" s="57">
        <v>174</v>
      </c>
      <c r="C1286" s="36">
        <v>0.88479166666666664</v>
      </c>
      <c r="D1286" s="16" t="s">
        <v>7408</v>
      </c>
      <c r="E1286" s="116" t="s">
        <v>8994</v>
      </c>
      <c r="F1286" s="16" t="s">
        <v>12557</v>
      </c>
      <c r="G1286" s="16" t="s">
        <v>13156</v>
      </c>
      <c r="H1286" s="14">
        <v>-1.6E-2</v>
      </c>
      <c r="I1286" s="14" t="s">
        <v>13161</v>
      </c>
      <c r="J1286" s="14" t="s">
        <v>13127</v>
      </c>
      <c r="K1286" s="14" t="s">
        <v>13128</v>
      </c>
      <c r="L1286" s="14" t="s">
        <v>13151</v>
      </c>
      <c r="O1286" s="14" t="s">
        <v>13157</v>
      </c>
      <c r="P1286" s="14" t="s">
        <v>13158</v>
      </c>
      <c r="Q1286" s="14">
        <v>407068.27</v>
      </c>
      <c r="R1286" s="14">
        <v>6189313.3700000001</v>
      </c>
      <c r="S1286" s="14" t="s">
        <v>13159</v>
      </c>
      <c r="T1286" s="14" t="s">
        <v>13160</v>
      </c>
      <c r="U1286" s="14">
        <v>407046.91</v>
      </c>
      <c r="V1286" s="14">
        <v>6189313.21</v>
      </c>
      <c r="W1286" s="14">
        <v>180.38</v>
      </c>
      <c r="X1286" s="14">
        <v>200.06</v>
      </c>
    </row>
    <row r="1287" spans="1:24" s="14" customFormat="1" x14ac:dyDescent="0.25">
      <c r="A1287" s="50">
        <v>45100</v>
      </c>
      <c r="B1287" s="57">
        <v>174</v>
      </c>
      <c r="C1287" s="36">
        <v>0.89009259259259255</v>
      </c>
      <c r="D1287" s="16" t="s">
        <v>7408</v>
      </c>
      <c r="E1287" s="52" t="s">
        <v>70</v>
      </c>
      <c r="F1287" s="16" t="s">
        <v>12557</v>
      </c>
      <c r="G1287" s="16" t="s">
        <v>13156</v>
      </c>
      <c r="H1287" s="14">
        <v>0.217</v>
      </c>
      <c r="I1287" s="14" t="s">
        <v>13161</v>
      </c>
      <c r="J1287" s="14" t="s">
        <v>13127</v>
      </c>
      <c r="K1287" s="14" t="s">
        <v>13128</v>
      </c>
      <c r="L1287" s="14" t="s">
        <v>13166</v>
      </c>
      <c r="O1287" s="14" t="s">
        <v>13162</v>
      </c>
      <c r="P1287" s="14" t="s">
        <v>13163</v>
      </c>
      <c r="Q1287" s="14">
        <v>407066.75</v>
      </c>
      <c r="R1287" s="14">
        <v>6189080.6799999997</v>
      </c>
      <c r="S1287" s="14" t="s">
        <v>13164</v>
      </c>
      <c r="T1287" s="14" t="s">
        <v>13165</v>
      </c>
      <c r="U1287" s="14">
        <v>407046.87</v>
      </c>
      <c r="V1287" s="14">
        <v>6189080.0099999998</v>
      </c>
      <c r="W1287" s="14">
        <v>179.37</v>
      </c>
      <c r="X1287" s="14">
        <v>200.06</v>
      </c>
    </row>
    <row r="1288" spans="1:24" s="14" customFormat="1" x14ac:dyDescent="0.25">
      <c r="A1288" s="50">
        <v>45100</v>
      </c>
      <c r="B1288" s="57">
        <v>174</v>
      </c>
      <c r="C1288" s="36">
        <v>0.89410879629629625</v>
      </c>
      <c r="D1288" s="16" t="s">
        <v>7408</v>
      </c>
      <c r="E1288" s="116" t="s">
        <v>8994</v>
      </c>
      <c r="F1288" s="16" t="s">
        <v>12557</v>
      </c>
      <c r="G1288" s="16" t="s">
        <v>13167</v>
      </c>
      <c r="H1288" s="14">
        <v>0.21099999999999999</v>
      </c>
      <c r="I1288" s="14" t="s">
        <v>13172</v>
      </c>
      <c r="J1288" s="14" t="s">
        <v>13127</v>
      </c>
      <c r="K1288" s="14" t="s">
        <v>13128</v>
      </c>
      <c r="L1288" s="14" t="s">
        <v>13166</v>
      </c>
      <c r="O1288" s="14" t="s">
        <v>13168</v>
      </c>
      <c r="P1288" s="14" t="s">
        <v>13169</v>
      </c>
      <c r="Q1288" s="14">
        <v>407061.36</v>
      </c>
      <c r="R1288" s="14">
        <v>6189073.0099999998</v>
      </c>
      <c r="S1288" s="14" t="s">
        <v>13170</v>
      </c>
      <c r="T1288" s="14" t="s">
        <v>13171</v>
      </c>
      <c r="U1288" s="14">
        <v>407037.92</v>
      </c>
      <c r="V1288" s="14">
        <v>6189075.5</v>
      </c>
      <c r="W1288" s="14">
        <v>0.7</v>
      </c>
      <c r="X1288" s="14">
        <v>200.06</v>
      </c>
    </row>
    <row r="1289" spans="1:24" s="14" customFormat="1" x14ac:dyDescent="0.25">
      <c r="A1289" s="50">
        <v>45100</v>
      </c>
      <c r="B1289" s="57">
        <v>174</v>
      </c>
      <c r="C1289" s="36">
        <v>0.8994212962962963</v>
      </c>
      <c r="D1289" s="16" t="s">
        <v>7408</v>
      </c>
      <c r="E1289" s="52" t="s">
        <v>70</v>
      </c>
      <c r="F1289" s="16" t="s">
        <v>12557</v>
      </c>
      <c r="G1289" s="16" t="s">
        <v>13167</v>
      </c>
      <c r="H1289" s="14">
        <v>-2.3E-2</v>
      </c>
      <c r="I1289" s="14" t="s">
        <v>13172</v>
      </c>
      <c r="J1289" s="14" t="s">
        <v>13127</v>
      </c>
      <c r="K1289" s="14" t="s">
        <v>13128</v>
      </c>
      <c r="L1289" s="14" t="s">
        <v>13177</v>
      </c>
      <c r="O1289" s="14" t="s">
        <v>13173</v>
      </c>
      <c r="P1289" s="14" t="s">
        <v>13174</v>
      </c>
      <c r="Q1289" s="14">
        <v>407061.67</v>
      </c>
      <c r="R1289" s="14">
        <v>6189308.4900000002</v>
      </c>
      <c r="S1289" s="14" t="s">
        <v>13175</v>
      </c>
      <c r="T1289" s="14" t="s">
        <v>13176</v>
      </c>
      <c r="U1289" s="14">
        <v>407038.01</v>
      </c>
      <c r="V1289" s="14">
        <v>6189309.0899999999</v>
      </c>
      <c r="W1289" s="14">
        <v>359.26</v>
      </c>
      <c r="X1289" s="14">
        <v>200.06</v>
      </c>
    </row>
    <row r="1290" spans="1:24" s="14" customFormat="1" x14ac:dyDescent="0.25">
      <c r="A1290" s="50">
        <v>45100</v>
      </c>
      <c r="B1290" s="57">
        <v>174</v>
      </c>
      <c r="C1290" s="36">
        <v>0.90432870370370377</v>
      </c>
      <c r="D1290" s="16" t="s">
        <v>7408</v>
      </c>
      <c r="E1290" s="52" t="s">
        <v>13182</v>
      </c>
      <c r="F1290" s="16" t="s">
        <v>12557</v>
      </c>
      <c r="G1290" s="16" t="s">
        <v>2371</v>
      </c>
      <c r="H1290" s="14">
        <v>-1.59</v>
      </c>
      <c r="O1290" s="14" t="s">
        <v>13178</v>
      </c>
      <c r="P1290" s="14" t="s">
        <v>13179</v>
      </c>
      <c r="Q1290" s="14">
        <v>407069.85</v>
      </c>
      <c r="R1290" s="14">
        <v>6189321.5499999998</v>
      </c>
      <c r="S1290" s="14" t="s">
        <v>13180</v>
      </c>
      <c r="T1290" s="14" t="s">
        <v>13181</v>
      </c>
      <c r="U1290" s="14">
        <v>407060.91</v>
      </c>
      <c r="V1290" s="14">
        <v>6189327.54</v>
      </c>
      <c r="W1290" s="14">
        <v>289.73</v>
      </c>
      <c r="X1290" s="14">
        <v>150.04</v>
      </c>
    </row>
    <row r="1291" spans="1:24" s="122" customFormat="1" x14ac:dyDescent="0.25">
      <c r="A1291" s="65">
        <v>45100</v>
      </c>
      <c r="B1291" s="106">
        <v>174</v>
      </c>
      <c r="C1291" s="67">
        <v>0.92565972222222215</v>
      </c>
      <c r="D1291" s="66" t="s">
        <v>175</v>
      </c>
      <c r="E1291" s="123" t="s">
        <v>13188</v>
      </c>
      <c r="F1291" s="66" t="s">
        <v>12332</v>
      </c>
      <c r="G1291" s="66" t="s">
        <v>2371</v>
      </c>
      <c r="H1291" s="122">
        <v>-4.2999999999999997E-2</v>
      </c>
      <c r="M1291" s="122" t="s">
        <v>13183</v>
      </c>
      <c r="O1291" s="122" t="s">
        <v>13184</v>
      </c>
      <c r="P1291" s="122" t="s">
        <v>13185</v>
      </c>
      <c r="Q1291" s="122">
        <v>408975.42</v>
      </c>
      <c r="R1291" s="122">
        <v>6187788.9800000004</v>
      </c>
      <c r="S1291" s="122" t="s">
        <v>13186</v>
      </c>
      <c r="T1291" s="122" t="s">
        <v>13187</v>
      </c>
      <c r="U1291" s="122">
        <v>408960.56</v>
      </c>
      <c r="V1291" s="122">
        <v>6187787.1200000001</v>
      </c>
      <c r="W1291" s="122">
        <v>228.14</v>
      </c>
      <c r="X1291" s="122">
        <v>150.04</v>
      </c>
    </row>
    <row r="1292" spans="1:24" s="14" customFormat="1" x14ac:dyDescent="0.25">
      <c r="A1292" s="50">
        <v>45100</v>
      </c>
      <c r="B1292" s="57">
        <v>174</v>
      </c>
      <c r="C1292" s="36">
        <v>0.92890046296296302</v>
      </c>
      <c r="D1292" s="16" t="s">
        <v>175</v>
      </c>
      <c r="E1292" s="52" t="s">
        <v>65</v>
      </c>
      <c r="F1292" s="16" t="s">
        <v>12332</v>
      </c>
      <c r="G1292" s="16" t="s">
        <v>2371</v>
      </c>
      <c r="H1292" s="14">
        <v>-1.0999999999999999E-2</v>
      </c>
      <c r="I1292" s="14" t="s">
        <v>13193</v>
      </c>
      <c r="J1292" s="14" t="s">
        <v>13194</v>
      </c>
      <c r="K1292" s="14" t="s">
        <v>13195</v>
      </c>
      <c r="L1292" s="14" t="s">
        <v>13196</v>
      </c>
      <c r="O1292" s="14" t="s">
        <v>13189</v>
      </c>
      <c r="P1292" s="14" t="s">
        <v>13190</v>
      </c>
      <c r="Q1292" s="14">
        <v>408975.55</v>
      </c>
      <c r="R1292" s="14">
        <v>6187757.5599999996</v>
      </c>
      <c r="S1292" s="14" t="s">
        <v>13191</v>
      </c>
      <c r="T1292" s="14" t="s">
        <v>13192</v>
      </c>
      <c r="U1292" s="14">
        <v>408954.69</v>
      </c>
      <c r="V1292" s="14">
        <v>6187757.1100000003</v>
      </c>
      <c r="W1292" s="14">
        <v>180.05</v>
      </c>
      <c r="X1292" s="14">
        <v>150.04</v>
      </c>
    </row>
    <row r="1293" spans="1:24" s="14" customFormat="1" x14ac:dyDescent="0.25">
      <c r="A1293" s="50">
        <v>45100</v>
      </c>
      <c r="B1293" s="57">
        <v>174</v>
      </c>
      <c r="C1293" s="36">
        <v>0.93306712962962957</v>
      </c>
      <c r="D1293" s="16" t="s">
        <v>175</v>
      </c>
      <c r="E1293" s="52" t="s">
        <v>70</v>
      </c>
      <c r="F1293" s="16" t="s">
        <v>12332</v>
      </c>
      <c r="G1293" s="16" t="s">
        <v>2371</v>
      </c>
      <c r="H1293" s="14">
        <v>0.17</v>
      </c>
      <c r="I1293" s="14" t="s">
        <v>13193</v>
      </c>
      <c r="J1293" s="14" t="s">
        <v>13194</v>
      </c>
      <c r="K1293" s="14" t="s">
        <v>13195</v>
      </c>
      <c r="L1293" s="14" t="s">
        <v>13196</v>
      </c>
      <c r="O1293" s="14" t="s">
        <v>13197</v>
      </c>
      <c r="P1293" s="14" t="s">
        <v>13198</v>
      </c>
      <c r="Q1293" s="14">
        <v>408975.98</v>
      </c>
      <c r="R1293" s="14">
        <v>6187572.6299999999</v>
      </c>
      <c r="S1293" s="14" t="s">
        <v>13199</v>
      </c>
      <c r="T1293" s="14" t="s">
        <v>13200</v>
      </c>
      <c r="U1293" s="14">
        <v>408954.73</v>
      </c>
      <c r="V1293" s="14">
        <v>6187576.1299999999</v>
      </c>
      <c r="W1293" s="14">
        <v>180.56</v>
      </c>
      <c r="X1293" s="14">
        <v>150.04</v>
      </c>
    </row>
    <row r="1294" spans="1:24" s="14" customFormat="1" x14ac:dyDescent="0.25">
      <c r="A1294" s="50">
        <v>45100</v>
      </c>
      <c r="B1294" s="57">
        <v>174</v>
      </c>
      <c r="C1294" s="36">
        <v>0.935613425925926</v>
      </c>
      <c r="D1294" s="16" t="s">
        <v>175</v>
      </c>
      <c r="E1294" s="14" t="s">
        <v>65</v>
      </c>
      <c r="F1294" s="16" t="s">
        <v>12332</v>
      </c>
      <c r="G1294" s="16" t="s">
        <v>2370</v>
      </c>
      <c r="H1294" s="14">
        <v>0.16500000000000001</v>
      </c>
      <c r="I1294" s="14" t="s">
        <v>13205</v>
      </c>
      <c r="J1294" s="14" t="s">
        <v>13206</v>
      </c>
      <c r="K1294" s="14" t="s">
        <v>13207</v>
      </c>
      <c r="L1294" s="14" t="s">
        <v>13196</v>
      </c>
      <c r="O1294" s="14" t="s">
        <v>13201</v>
      </c>
      <c r="P1294" s="14" t="s">
        <v>13202</v>
      </c>
      <c r="Q1294" s="14">
        <v>408984.89</v>
      </c>
      <c r="R1294" s="14">
        <v>6187565.79</v>
      </c>
      <c r="S1294" s="14" t="s">
        <v>13203</v>
      </c>
      <c r="T1294" s="14" t="s">
        <v>13204</v>
      </c>
      <c r="U1294" s="14">
        <v>408963.65</v>
      </c>
      <c r="V1294" s="14">
        <v>6187569.96</v>
      </c>
      <c r="W1294" s="14">
        <v>0.51</v>
      </c>
      <c r="X1294" s="14">
        <v>150.04</v>
      </c>
    </row>
    <row r="1295" spans="1:24" s="14" customFormat="1" x14ac:dyDescent="0.25">
      <c r="A1295" s="50">
        <v>45100</v>
      </c>
      <c r="B1295" s="57">
        <v>174</v>
      </c>
      <c r="C1295" s="36">
        <v>0.93975694444444446</v>
      </c>
      <c r="D1295" s="16" t="s">
        <v>175</v>
      </c>
      <c r="E1295" s="14" t="s">
        <v>70</v>
      </c>
      <c r="F1295" s="16" t="s">
        <v>12332</v>
      </c>
      <c r="G1295" s="16" t="s">
        <v>2370</v>
      </c>
      <c r="H1295" s="14">
        <v>-1.9E-2</v>
      </c>
      <c r="I1295" s="14" t="s">
        <v>13205</v>
      </c>
      <c r="J1295" s="14" t="s">
        <v>13206</v>
      </c>
      <c r="K1295" s="14" t="s">
        <v>13207</v>
      </c>
      <c r="L1295" s="14" t="s">
        <v>13212</v>
      </c>
      <c r="O1295" s="14" t="s">
        <v>13208</v>
      </c>
      <c r="P1295" s="14" t="s">
        <v>13209</v>
      </c>
      <c r="Q1295" s="14">
        <v>408984.64</v>
      </c>
      <c r="R1295" s="14">
        <v>6187749.2599999998</v>
      </c>
      <c r="S1295" s="14" t="s">
        <v>13210</v>
      </c>
      <c r="T1295" s="14" t="s">
        <v>13211</v>
      </c>
      <c r="U1295" s="14">
        <v>408963.69</v>
      </c>
      <c r="V1295" s="14">
        <v>6187753.5499999998</v>
      </c>
      <c r="W1295" s="14">
        <v>359.63</v>
      </c>
      <c r="X1295" s="14">
        <v>150.04</v>
      </c>
    </row>
    <row r="1296" spans="1:24" s="14" customFormat="1" x14ac:dyDescent="0.25">
      <c r="A1296" s="50">
        <v>45100</v>
      </c>
      <c r="B1296" s="57">
        <v>174</v>
      </c>
      <c r="C1296" s="36">
        <v>0.94276620370370379</v>
      </c>
      <c r="D1296" s="16" t="s">
        <v>175</v>
      </c>
      <c r="E1296" s="14" t="s">
        <v>65</v>
      </c>
      <c r="F1296" s="16" t="s">
        <v>12332</v>
      </c>
      <c r="G1296" s="16" t="s">
        <v>2369</v>
      </c>
      <c r="H1296" s="14">
        <v>-1.4E-2</v>
      </c>
      <c r="I1296" s="14" t="s">
        <v>13217</v>
      </c>
      <c r="J1296" s="14" t="s">
        <v>13218</v>
      </c>
      <c r="K1296" s="14" t="s">
        <v>13219</v>
      </c>
      <c r="L1296" s="14" t="s">
        <v>13212</v>
      </c>
      <c r="O1296" s="14" t="s">
        <v>13213</v>
      </c>
      <c r="P1296" s="14" t="s">
        <v>13214</v>
      </c>
      <c r="Q1296" s="14">
        <v>408994.11</v>
      </c>
      <c r="R1296" s="14">
        <v>6187760.4199999999</v>
      </c>
      <c r="S1296" s="14" t="s">
        <v>13215</v>
      </c>
      <c r="T1296" s="14" t="s">
        <v>13216</v>
      </c>
      <c r="U1296" s="14">
        <v>408972.61</v>
      </c>
      <c r="V1296" s="14">
        <v>6187760.3700000001</v>
      </c>
      <c r="W1296" s="14">
        <v>180.7</v>
      </c>
      <c r="X1296" s="14">
        <v>150.04</v>
      </c>
    </row>
    <row r="1297" spans="1:24" s="14" customFormat="1" x14ac:dyDescent="0.25">
      <c r="A1297" s="50">
        <v>45100</v>
      </c>
      <c r="B1297" s="57">
        <v>174</v>
      </c>
      <c r="C1297" s="36">
        <v>0.94697916666666659</v>
      </c>
      <c r="D1297" s="16" t="s">
        <v>175</v>
      </c>
      <c r="E1297" s="14" t="s">
        <v>70</v>
      </c>
      <c r="F1297" s="16" t="s">
        <v>12332</v>
      </c>
      <c r="G1297" s="16" t="s">
        <v>2369</v>
      </c>
      <c r="H1297" s="14">
        <v>0.16900000000000001</v>
      </c>
      <c r="I1297" s="14" t="s">
        <v>13217</v>
      </c>
      <c r="J1297" s="14" t="s">
        <v>13218</v>
      </c>
      <c r="K1297" s="14" t="s">
        <v>13219</v>
      </c>
      <c r="L1297" s="14" t="s">
        <v>13212</v>
      </c>
      <c r="O1297" s="14" t="s">
        <v>13220</v>
      </c>
      <c r="P1297" s="14" t="s">
        <v>13221</v>
      </c>
      <c r="Q1297" s="14">
        <v>408993.8</v>
      </c>
      <c r="R1297" s="14">
        <v>6187574.9400000004</v>
      </c>
      <c r="S1297" s="14" t="s">
        <v>13222</v>
      </c>
      <c r="T1297" s="14" t="s">
        <v>13223</v>
      </c>
      <c r="U1297" s="14">
        <v>408972.72</v>
      </c>
      <c r="V1297" s="14">
        <v>6187576.6200000001</v>
      </c>
      <c r="W1297" s="14">
        <v>180.42</v>
      </c>
      <c r="X1297" s="14">
        <v>150.04</v>
      </c>
    </row>
    <row r="1298" spans="1:24" s="14" customFormat="1" x14ac:dyDescent="0.25">
      <c r="A1298" s="50">
        <v>45100</v>
      </c>
      <c r="B1298" s="57">
        <v>174</v>
      </c>
      <c r="C1298" s="36">
        <v>0.94952546296296303</v>
      </c>
      <c r="D1298" s="16" t="s">
        <v>175</v>
      </c>
      <c r="E1298" s="52" t="s">
        <v>65</v>
      </c>
      <c r="F1298" s="16" t="s">
        <v>12332</v>
      </c>
      <c r="G1298" s="16" t="s">
        <v>2368</v>
      </c>
      <c r="H1298" s="14">
        <v>0.16400000000000001</v>
      </c>
      <c r="I1298" s="14" t="s">
        <v>13228</v>
      </c>
      <c r="J1298" s="14" t="s">
        <v>13229</v>
      </c>
      <c r="K1298" s="14" t="s">
        <v>13230</v>
      </c>
      <c r="L1298" s="14" t="s">
        <v>13231</v>
      </c>
      <c r="O1298" s="14" t="s">
        <v>13224</v>
      </c>
      <c r="P1298" s="14" t="s">
        <v>13225</v>
      </c>
      <c r="Q1298" s="14">
        <v>409002.99</v>
      </c>
      <c r="R1298" s="14">
        <v>6187567.7699999996</v>
      </c>
      <c r="S1298" s="14" t="s">
        <v>13226</v>
      </c>
      <c r="T1298" s="14" t="s">
        <v>13227</v>
      </c>
      <c r="U1298" s="14">
        <v>408981.59</v>
      </c>
      <c r="V1298" s="14">
        <v>6187570.4100000001</v>
      </c>
      <c r="W1298" s="14">
        <v>0.89</v>
      </c>
      <c r="X1298" s="14">
        <v>150.04</v>
      </c>
    </row>
    <row r="1299" spans="1:24" s="14" customFormat="1" x14ac:dyDescent="0.25">
      <c r="A1299" s="50">
        <v>45100</v>
      </c>
      <c r="B1299" s="57">
        <v>174</v>
      </c>
      <c r="C1299" s="36">
        <v>0.9529050925925926</v>
      </c>
      <c r="D1299" s="16" t="s">
        <v>175</v>
      </c>
      <c r="E1299" s="52" t="s">
        <v>13240</v>
      </c>
      <c r="F1299" s="16" t="s">
        <v>12332</v>
      </c>
      <c r="G1299" s="16" t="s">
        <v>2368</v>
      </c>
      <c r="H1299" s="14">
        <v>1.2E-2</v>
      </c>
      <c r="O1299" s="14" t="s">
        <v>13232</v>
      </c>
      <c r="P1299" s="14" t="s">
        <v>13233</v>
      </c>
      <c r="Q1299" s="14">
        <v>409002.34</v>
      </c>
      <c r="R1299" s="14">
        <v>6187718.4699999997</v>
      </c>
      <c r="S1299" s="14" t="s">
        <v>13234</v>
      </c>
      <c r="T1299" s="14" t="s">
        <v>13235</v>
      </c>
      <c r="U1299" s="14">
        <v>408981.62</v>
      </c>
      <c r="V1299" s="14">
        <v>6187722.5700000003</v>
      </c>
      <c r="W1299" s="14">
        <v>0.14000000000000001</v>
      </c>
      <c r="X1299" s="14">
        <v>150.04</v>
      </c>
    </row>
    <row r="1300" spans="1:24" s="14" customFormat="1" x14ac:dyDescent="0.25">
      <c r="A1300" s="50">
        <v>45100</v>
      </c>
      <c r="B1300" s="57">
        <v>174</v>
      </c>
      <c r="C1300" s="36">
        <v>0.95362268518518523</v>
      </c>
      <c r="D1300" s="16" t="s">
        <v>175</v>
      </c>
      <c r="E1300" s="52" t="s">
        <v>70</v>
      </c>
      <c r="F1300" s="16" t="s">
        <v>12332</v>
      </c>
      <c r="G1300" s="16" t="s">
        <v>2368</v>
      </c>
      <c r="H1300" s="14">
        <v>-1.7999999999999999E-2</v>
      </c>
      <c r="I1300" s="14" t="s">
        <v>13228</v>
      </c>
      <c r="J1300" s="14" t="s">
        <v>13229</v>
      </c>
      <c r="K1300" s="14" t="s">
        <v>13230</v>
      </c>
      <c r="L1300" s="14" t="s">
        <v>13231</v>
      </c>
      <c r="O1300" s="14" t="s">
        <v>13236</v>
      </c>
      <c r="P1300" s="14" t="s">
        <v>13237</v>
      </c>
      <c r="Q1300" s="14">
        <v>409002.8</v>
      </c>
      <c r="R1300" s="14">
        <v>6187748.8899999997</v>
      </c>
      <c r="S1300" s="14" t="s">
        <v>13238</v>
      </c>
      <c r="T1300" s="14" t="s">
        <v>13239</v>
      </c>
      <c r="U1300" s="14">
        <v>408981.65</v>
      </c>
      <c r="V1300" s="14">
        <v>6187753.25</v>
      </c>
      <c r="W1300" s="14">
        <v>359.84</v>
      </c>
      <c r="X1300" s="14">
        <v>150.04</v>
      </c>
    </row>
    <row r="1301" spans="1:24" s="14" customFormat="1" x14ac:dyDescent="0.25">
      <c r="A1301" s="50">
        <v>45100</v>
      </c>
      <c r="B1301" s="57">
        <v>174</v>
      </c>
      <c r="C1301" s="36">
        <v>0.95747685185185183</v>
      </c>
      <c r="D1301" s="16" t="s">
        <v>175</v>
      </c>
      <c r="E1301" s="52" t="s">
        <v>65</v>
      </c>
      <c r="F1301" s="16" t="s">
        <v>12332</v>
      </c>
      <c r="G1301" s="16" t="s">
        <v>2367</v>
      </c>
      <c r="H1301" s="14">
        <v>-1.4E-2</v>
      </c>
      <c r="I1301" s="14" t="s">
        <v>13245</v>
      </c>
      <c r="J1301" s="14" t="s">
        <v>13246</v>
      </c>
      <c r="K1301" s="14" t="s">
        <v>13247</v>
      </c>
      <c r="L1301" s="14" t="s">
        <v>13231</v>
      </c>
      <c r="O1301" s="14" t="s">
        <v>13241</v>
      </c>
      <c r="P1301" s="14" t="s">
        <v>13242</v>
      </c>
      <c r="Q1301" s="14">
        <v>409015.25</v>
      </c>
      <c r="R1301" s="14">
        <v>6187756.6900000004</v>
      </c>
      <c r="S1301" s="14" t="s">
        <v>13243</v>
      </c>
      <c r="T1301" s="14" t="s">
        <v>13244</v>
      </c>
      <c r="U1301" s="14">
        <v>408990.68</v>
      </c>
      <c r="V1301" s="14">
        <v>6187759.5300000003</v>
      </c>
      <c r="W1301" s="14">
        <v>179.32</v>
      </c>
      <c r="X1301" s="14">
        <v>150.04</v>
      </c>
    </row>
    <row r="1302" spans="1:24" s="14" customFormat="1" x14ac:dyDescent="0.25">
      <c r="A1302" s="50">
        <v>45100</v>
      </c>
      <c r="B1302" s="57">
        <v>174</v>
      </c>
      <c r="C1302" s="36">
        <v>0.9615393518518518</v>
      </c>
      <c r="D1302" s="16" t="s">
        <v>175</v>
      </c>
      <c r="E1302" s="52" t="s">
        <v>70</v>
      </c>
      <c r="F1302" s="16" t="s">
        <v>12332</v>
      </c>
      <c r="G1302" s="16" t="s">
        <v>2367</v>
      </c>
      <c r="H1302" s="14">
        <v>0.16900000000000001</v>
      </c>
      <c r="I1302" s="14" t="s">
        <v>13245</v>
      </c>
      <c r="J1302" s="14" t="s">
        <v>13246</v>
      </c>
      <c r="K1302" s="14" t="s">
        <v>13247</v>
      </c>
      <c r="L1302" s="14" t="s">
        <v>13252</v>
      </c>
      <c r="O1302" s="14" t="s">
        <v>13248</v>
      </c>
      <c r="P1302" s="14" t="s">
        <v>13249</v>
      </c>
      <c r="Q1302" s="14">
        <v>409014.07</v>
      </c>
      <c r="R1302" s="14">
        <v>6187577.75</v>
      </c>
      <c r="S1302" s="14" t="s">
        <v>13250</v>
      </c>
      <c r="T1302" s="14" t="s">
        <v>13251</v>
      </c>
      <c r="U1302" s="14">
        <v>408990.82</v>
      </c>
      <c r="V1302" s="14">
        <v>6187577.1399999997</v>
      </c>
      <c r="W1302" s="14">
        <v>179.3</v>
      </c>
      <c r="X1302" s="14">
        <v>150.04</v>
      </c>
    </row>
    <row r="1303" spans="1:24" s="120" customFormat="1" x14ac:dyDescent="0.25">
      <c r="A1303" s="93">
        <v>45100</v>
      </c>
      <c r="B1303" s="92">
        <v>174</v>
      </c>
      <c r="C1303" s="83">
        <v>0.96524305555555545</v>
      </c>
      <c r="D1303" s="135" t="s">
        <v>175</v>
      </c>
      <c r="E1303" s="121" t="s">
        <v>159</v>
      </c>
      <c r="F1303" s="135" t="s">
        <v>12332</v>
      </c>
      <c r="G1303" s="135" t="s">
        <v>2366</v>
      </c>
      <c r="H1303" s="120">
        <v>0.16200000000000001</v>
      </c>
      <c r="I1303" s="120" t="s">
        <v>13257</v>
      </c>
      <c r="J1303" s="120" t="s">
        <v>13258</v>
      </c>
      <c r="K1303" s="120" t="s">
        <v>13259</v>
      </c>
      <c r="L1303" s="120" t="s">
        <v>13252</v>
      </c>
      <c r="O1303" s="120" t="s">
        <v>13253</v>
      </c>
      <c r="P1303" s="120" t="s">
        <v>13254</v>
      </c>
      <c r="Q1303" s="120">
        <v>409024.45</v>
      </c>
      <c r="R1303" s="120">
        <v>6187565.8300000001</v>
      </c>
      <c r="S1303" s="120" t="s">
        <v>13255</v>
      </c>
      <c r="T1303" s="120" t="s">
        <v>13256</v>
      </c>
      <c r="U1303" s="120">
        <v>408999.21</v>
      </c>
      <c r="V1303" s="120">
        <v>6187572.6100000003</v>
      </c>
      <c r="W1303" s="120">
        <v>358.3</v>
      </c>
      <c r="X1303" s="120">
        <v>150.04</v>
      </c>
    </row>
    <row r="1304" spans="1:24" s="120" customFormat="1" x14ac:dyDescent="0.25">
      <c r="A1304" s="93">
        <v>45100</v>
      </c>
      <c r="B1304" s="92">
        <v>174</v>
      </c>
      <c r="C1304" s="83">
        <v>0.96581018518518524</v>
      </c>
      <c r="D1304" s="135" t="s">
        <v>175</v>
      </c>
      <c r="E1304" s="121" t="s">
        <v>70</v>
      </c>
      <c r="F1304" s="135" t="s">
        <v>12332</v>
      </c>
      <c r="G1304" s="135" t="s">
        <v>2366</v>
      </c>
      <c r="H1304" s="120">
        <v>0.14599999999999999</v>
      </c>
      <c r="I1304" s="120" t="s">
        <v>13257</v>
      </c>
      <c r="J1304" s="120" t="s">
        <v>13258</v>
      </c>
      <c r="K1304" s="120" t="s">
        <v>13259</v>
      </c>
      <c r="L1304" s="120" t="s">
        <v>13252</v>
      </c>
      <c r="O1304" s="120" t="s">
        <v>13260</v>
      </c>
      <c r="P1304" s="120" t="s">
        <v>13261</v>
      </c>
      <c r="Q1304" s="120">
        <v>409024.18</v>
      </c>
      <c r="R1304" s="120">
        <v>6187588.4299999997</v>
      </c>
      <c r="S1304" s="120" t="s">
        <v>13262</v>
      </c>
      <c r="T1304" s="120" t="s">
        <v>13263</v>
      </c>
      <c r="U1304" s="120">
        <v>409000.29</v>
      </c>
      <c r="V1304" s="120">
        <v>6187588.9800000004</v>
      </c>
      <c r="W1304" s="120">
        <v>354.45</v>
      </c>
      <c r="X1304" s="120">
        <v>150.04</v>
      </c>
    </row>
    <row r="1305" spans="1:24" s="14" customFormat="1" x14ac:dyDescent="0.25">
      <c r="A1305" s="50">
        <v>45100</v>
      </c>
      <c r="B1305" s="57">
        <v>174</v>
      </c>
      <c r="C1305" s="36">
        <v>0.96651620370370372</v>
      </c>
      <c r="D1305" s="16" t="s">
        <v>175</v>
      </c>
      <c r="E1305" s="52" t="s">
        <v>13268</v>
      </c>
      <c r="F1305" s="16" t="s">
        <v>12332</v>
      </c>
      <c r="G1305" s="16" t="s">
        <v>2366</v>
      </c>
      <c r="H1305" s="14">
        <v>0.15</v>
      </c>
      <c r="O1305" s="14" t="s">
        <v>13264</v>
      </c>
      <c r="P1305" s="14" t="s">
        <v>13265</v>
      </c>
      <c r="Q1305" s="14">
        <v>409024.02</v>
      </c>
      <c r="R1305" s="14">
        <v>6187595.0599999996</v>
      </c>
      <c r="S1305" s="14" t="s">
        <v>13266</v>
      </c>
      <c r="T1305" s="14" t="s">
        <v>13267</v>
      </c>
      <c r="U1305" s="14">
        <v>409002.4</v>
      </c>
      <c r="V1305" s="14">
        <v>6187585.2599999998</v>
      </c>
      <c r="W1305" s="14">
        <v>351.06</v>
      </c>
      <c r="X1305" s="14">
        <v>150.04</v>
      </c>
    </row>
    <row r="1306" spans="1:24" s="14" customFormat="1" x14ac:dyDescent="0.25">
      <c r="A1306" s="50">
        <v>45100</v>
      </c>
      <c r="B1306" s="57">
        <v>174</v>
      </c>
      <c r="C1306" s="36">
        <v>0.97015046296296292</v>
      </c>
      <c r="D1306" s="16" t="s">
        <v>175</v>
      </c>
      <c r="E1306" s="52" t="s">
        <v>65</v>
      </c>
      <c r="F1306" s="16" t="s">
        <v>12332</v>
      </c>
      <c r="G1306" s="16" t="s">
        <v>2366</v>
      </c>
      <c r="H1306" s="14">
        <v>0.16400000000000001</v>
      </c>
      <c r="I1306" s="14" t="s">
        <v>13273</v>
      </c>
      <c r="J1306" s="14" t="s">
        <v>13274</v>
      </c>
      <c r="K1306" s="14" t="s">
        <v>13275</v>
      </c>
      <c r="L1306" s="14" t="s">
        <v>13276</v>
      </c>
      <c r="O1306" s="14" t="s">
        <v>13269</v>
      </c>
      <c r="P1306" s="14" t="s">
        <v>13270</v>
      </c>
      <c r="Q1306" s="14">
        <v>409024.27</v>
      </c>
      <c r="R1306" s="14">
        <v>6187568.79</v>
      </c>
      <c r="S1306" s="14" t="s">
        <v>13271</v>
      </c>
      <c r="T1306" s="14" t="s">
        <v>13272</v>
      </c>
      <c r="U1306" s="14">
        <v>408999.4</v>
      </c>
      <c r="V1306" s="14">
        <v>6187570.3200000003</v>
      </c>
      <c r="W1306" s="14">
        <v>0.75</v>
      </c>
      <c r="X1306" s="14">
        <v>150.04</v>
      </c>
    </row>
    <row r="1307" spans="1:24" s="14" customFormat="1" x14ac:dyDescent="0.25">
      <c r="A1307" s="50">
        <v>45100</v>
      </c>
      <c r="B1307" s="57">
        <v>174</v>
      </c>
      <c r="C1307" s="36">
        <v>0.97436342592592595</v>
      </c>
      <c r="D1307" s="16" t="s">
        <v>175</v>
      </c>
      <c r="E1307" s="14" t="s">
        <v>70</v>
      </c>
      <c r="F1307" s="16" t="s">
        <v>12332</v>
      </c>
      <c r="G1307" s="16" t="s">
        <v>2366</v>
      </c>
      <c r="H1307" s="14">
        <v>-1.7999999999999999E-2</v>
      </c>
      <c r="I1307" s="14" t="s">
        <v>13273</v>
      </c>
      <c r="J1307" s="14" t="s">
        <v>13274</v>
      </c>
      <c r="K1307" s="14" t="s">
        <v>13275</v>
      </c>
      <c r="L1307" s="14" t="s">
        <v>13276</v>
      </c>
      <c r="O1307" s="14" t="s">
        <v>13277</v>
      </c>
      <c r="P1307" s="14" t="s">
        <v>13278</v>
      </c>
      <c r="Q1307" s="14">
        <v>409024.59</v>
      </c>
      <c r="R1307" s="14">
        <v>6187754.8300000001</v>
      </c>
      <c r="S1307" s="14" t="s">
        <v>13279</v>
      </c>
      <c r="T1307" s="14" t="s">
        <v>13280</v>
      </c>
      <c r="U1307" s="14">
        <v>408999.6</v>
      </c>
      <c r="V1307" s="14">
        <v>6187752.71</v>
      </c>
      <c r="W1307" s="14">
        <v>359.75</v>
      </c>
      <c r="X1307" s="14">
        <v>150.04</v>
      </c>
    </row>
    <row r="1308" spans="1:24" s="14" customFormat="1" x14ac:dyDescent="0.25">
      <c r="A1308" s="50">
        <v>45100</v>
      </c>
      <c r="B1308" s="57">
        <v>174</v>
      </c>
      <c r="C1308" s="36">
        <v>0.97718749999999999</v>
      </c>
      <c r="D1308" s="16" t="s">
        <v>175</v>
      </c>
      <c r="E1308" s="52" t="s">
        <v>65</v>
      </c>
      <c r="F1308" s="16" t="s">
        <v>12332</v>
      </c>
      <c r="G1308" s="16" t="s">
        <v>2372</v>
      </c>
      <c r="H1308" s="14">
        <v>-1.2999999999999999E-2</v>
      </c>
      <c r="I1308" s="14" t="s">
        <v>13285</v>
      </c>
      <c r="J1308" s="14" t="s">
        <v>13286</v>
      </c>
      <c r="K1308" s="14" t="s">
        <v>13287</v>
      </c>
      <c r="L1308" s="14" t="s">
        <v>13276</v>
      </c>
      <c r="O1308" s="14" t="s">
        <v>13281</v>
      </c>
      <c r="P1308" s="14" t="s">
        <v>13282</v>
      </c>
      <c r="Q1308" s="14">
        <v>409034.13</v>
      </c>
      <c r="R1308" s="14">
        <v>6187761.0899999999</v>
      </c>
      <c r="S1308" s="14" t="s">
        <v>13283</v>
      </c>
      <c r="T1308" s="14" t="s">
        <v>13284</v>
      </c>
      <c r="U1308" s="14">
        <v>409008.66</v>
      </c>
      <c r="V1308" s="14">
        <v>6187759.2800000003</v>
      </c>
      <c r="W1308" s="14">
        <v>179.24</v>
      </c>
      <c r="X1308" s="14">
        <v>150.04</v>
      </c>
    </row>
    <row r="1309" spans="1:24" s="14" customFormat="1" x14ac:dyDescent="0.25">
      <c r="A1309" s="50">
        <v>45100</v>
      </c>
      <c r="B1309" s="57">
        <v>174</v>
      </c>
      <c r="C1309" s="36">
        <v>0.98131944444444441</v>
      </c>
      <c r="D1309" s="16" t="s">
        <v>175</v>
      </c>
      <c r="E1309" s="52" t="s">
        <v>70</v>
      </c>
      <c r="F1309" s="16" t="s">
        <v>12332</v>
      </c>
      <c r="G1309" s="16" t="s">
        <v>2372</v>
      </c>
      <c r="H1309" s="14">
        <v>0.16900000000000001</v>
      </c>
      <c r="I1309" s="14" t="s">
        <v>13285</v>
      </c>
      <c r="J1309" s="14" t="s">
        <v>13286</v>
      </c>
      <c r="K1309" s="14" t="s">
        <v>13287</v>
      </c>
      <c r="L1309" s="14" t="s">
        <v>13292</v>
      </c>
      <c r="O1309" s="14" t="s">
        <v>13288</v>
      </c>
      <c r="P1309" s="14" t="s">
        <v>13289</v>
      </c>
      <c r="Q1309" s="14">
        <v>409033.66</v>
      </c>
      <c r="R1309" s="14">
        <v>6187578.0499999998</v>
      </c>
      <c r="S1309" s="14" t="s">
        <v>13290</v>
      </c>
      <c r="T1309" s="14" t="s">
        <v>13291</v>
      </c>
      <c r="U1309" s="14">
        <v>409008.78</v>
      </c>
      <c r="V1309" s="14">
        <v>6187576.9199999999</v>
      </c>
      <c r="W1309" s="14">
        <v>179.92</v>
      </c>
      <c r="X1309" s="14">
        <v>150.04</v>
      </c>
    </row>
    <row r="1310" spans="1:24" s="14" customFormat="1" x14ac:dyDescent="0.25">
      <c r="A1310" s="50">
        <v>45100</v>
      </c>
      <c r="B1310" s="57">
        <v>174</v>
      </c>
      <c r="C1310" s="36">
        <v>0.98413194444444441</v>
      </c>
      <c r="D1310" s="16" t="s">
        <v>175</v>
      </c>
      <c r="E1310" s="52" t="s">
        <v>65</v>
      </c>
      <c r="F1310" s="16" t="s">
        <v>12332</v>
      </c>
      <c r="G1310" s="16" t="s">
        <v>2373</v>
      </c>
      <c r="H1310" s="14">
        <v>0.16400000000000001</v>
      </c>
      <c r="I1310" s="14" t="s">
        <v>13297</v>
      </c>
      <c r="J1310" s="14" t="s">
        <v>13298</v>
      </c>
      <c r="K1310" s="14" t="s">
        <v>13299</v>
      </c>
      <c r="L1310" s="14" t="s">
        <v>13292</v>
      </c>
      <c r="O1310" s="14" t="s">
        <v>13293</v>
      </c>
      <c r="P1310" s="14" t="s">
        <v>13294</v>
      </c>
      <c r="Q1310" s="14">
        <v>409042.79</v>
      </c>
      <c r="R1310" s="14">
        <v>6187566.2599999998</v>
      </c>
      <c r="S1310" s="14" t="s">
        <v>13295</v>
      </c>
      <c r="T1310" s="14" t="s">
        <v>13296</v>
      </c>
      <c r="U1310" s="14">
        <v>409017.56</v>
      </c>
      <c r="V1310" s="14">
        <v>6187570.8499999996</v>
      </c>
      <c r="W1310" s="14">
        <v>0.49</v>
      </c>
      <c r="X1310" s="14">
        <v>150.04</v>
      </c>
    </row>
    <row r="1311" spans="1:24" s="14" customFormat="1" x14ac:dyDescent="0.25">
      <c r="A1311" s="50">
        <v>45100</v>
      </c>
      <c r="B1311" s="57">
        <v>174</v>
      </c>
      <c r="C1311" s="36">
        <v>0.98828703703703702</v>
      </c>
      <c r="D1311" s="16" t="s">
        <v>175</v>
      </c>
      <c r="E1311" s="52" t="s">
        <v>70</v>
      </c>
      <c r="F1311" s="16" t="s">
        <v>12332</v>
      </c>
      <c r="G1311" s="16" t="s">
        <v>2373</v>
      </c>
      <c r="H1311" s="14">
        <v>-1.7000000000000001E-2</v>
      </c>
      <c r="I1311" s="14" t="s">
        <v>13297</v>
      </c>
      <c r="J1311" s="14" t="s">
        <v>13298</v>
      </c>
      <c r="K1311" s="14" t="s">
        <v>13299</v>
      </c>
      <c r="L1311" s="14" t="s">
        <v>13292</v>
      </c>
      <c r="O1311" s="14" t="s">
        <v>13300</v>
      </c>
      <c r="P1311" s="14" t="s">
        <v>13301</v>
      </c>
      <c r="Q1311" s="14">
        <v>409042.54</v>
      </c>
      <c r="R1311" s="14">
        <v>6187749.6299999999</v>
      </c>
      <c r="S1311" s="14" t="s">
        <v>13302</v>
      </c>
      <c r="T1311" s="14" t="s">
        <v>13303</v>
      </c>
      <c r="U1311" s="14">
        <v>409017.68</v>
      </c>
      <c r="V1311" s="14">
        <v>6187751.79</v>
      </c>
      <c r="W1311" s="14">
        <v>0.01</v>
      </c>
      <c r="X1311" s="14">
        <v>150.04</v>
      </c>
    </row>
    <row r="1312" spans="1:24" s="14" customFormat="1" x14ac:dyDescent="0.25">
      <c r="A1312" s="50">
        <v>45100</v>
      </c>
      <c r="B1312" s="57">
        <v>174</v>
      </c>
      <c r="C1312" s="36">
        <v>0.99087962962962972</v>
      </c>
      <c r="D1312" s="16" t="s">
        <v>175</v>
      </c>
      <c r="E1312" s="52" t="s">
        <v>65</v>
      </c>
      <c r="F1312" s="16" t="s">
        <v>12332</v>
      </c>
      <c r="G1312" s="16" t="s">
        <v>2374</v>
      </c>
      <c r="H1312" s="14">
        <v>-1.2E-2</v>
      </c>
      <c r="I1312" s="14" t="s">
        <v>13308</v>
      </c>
      <c r="J1312" s="14" t="s">
        <v>13309</v>
      </c>
      <c r="K1312" s="14" t="s">
        <v>13310</v>
      </c>
      <c r="L1312" s="14" t="s">
        <v>13311</v>
      </c>
      <c r="O1312" s="14" t="s">
        <v>13304</v>
      </c>
      <c r="P1312" s="14" t="s">
        <v>13305</v>
      </c>
      <c r="Q1312" s="14">
        <v>409052.28</v>
      </c>
      <c r="R1312" s="14">
        <v>6187760.2699999996</v>
      </c>
      <c r="S1312" s="14" t="s">
        <v>13306</v>
      </c>
      <c r="T1312" s="14" t="s">
        <v>13307</v>
      </c>
      <c r="U1312" s="14">
        <v>409026.74</v>
      </c>
      <c r="V1312" s="14">
        <v>6187758.0599999996</v>
      </c>
      <c r="W1312" s="14">
        <v>179.35</v>
      </c>
      <c r="X1312" s="14">
        <v>150.04</v>
      </c>
    </row>
    <row r="1313" spans="1:24" s="14" customFormat="1" x14ac:dyDescent="0.25">
      <c r="A1313" s="50">
        <v>45100</v>
      </c>
      <c r="B1313" s="57">
        <v>174</v>
      </c>
      <c r="C1313" s="36">
        <v>0.99496527777777777</v>
      </c>
      <c r="D1313" s="16" t="s">
        <v>175</v>
      </c>
      <c r="E1313" s="52" t="s">
        <v>70</v>
      </c>
      <c r="F1313" s="16" t="s">
        <v>12332</v>
      </c>
      <c r="G1313" s="16" t="s">
        <v>2374</v>
      </c>
      <c r="H1313" s="14">
        <v>0.16900000000000001</v>
      </c>
      <c r="I1313" s="14" t="s">
        <v>13308</v>
      </c>
      <c r="J1313" s="14" t="s">
        <v>13309</v>
      </c>
      <c r="K1313" s="14" t="s">
        <v>13310</v>
      </c>
      <c r="L1313" s="14" t="s">
        <v>13311</v>
      </c>
      <c r="O1313" s="14" t="s">
        <v>13312</v>
      </c>
      <c r="P1313" s="14" t="s">
        <v>13313</v>
      </c>
      <c r="Q1313" s="14">
        <v>409051.19</v>
      </c>
      <c r="R1313" s="14">
        <v>6187579.6299999999</v>
      </c>
      <c r="S1313" s="14" t="s">
        <v>13314</v>
      </c>
      <c r="T1313" s="14" t="s">
        <v>13315</v>
      </c>
      <c r="U1313" s="14">
        <v>409026.74</v>
      </c>
      <c r="V1313" s="14">
        <v>6187576.8700000001</v>
      </c>
      <c r="W1313" s="14">
        <v>179.38</v>
      </c>
      <c r="X1313" s="14">
        <v>150.04</v>
      </c>
    </row>
    <row r="1314" spans="1:24" s="14" customFormat="1" x14ac:dyDescent="0.25">
      <c r="A1314" s="50">
        <v>45100</v>
      </c>
      <c r="B1314" s="57">
        <v>174</v>
      </c>
      <c r="C1314" s="36">
        <v>0.99799768518518517</v>
      </c>
      <c r="D1314" s="16" t="s">
        <v>175</v>
      </c>
      <c r="E1314" s="52" t="s">
        <v>65</v>
      </c>
      <c r="F1314" s="16" t="s">
        <v>12332</v>
      </c>
      <c r="G1314" s="16" t="s">
        <v>2375</v>
      </c>
      <c r="H1314" s="14">
        <v>0.16400000000000001</v>
      </c>
      <c r="I1314" s="14" t="s">
        <v>13320</v>
      </c>
      <c r="J1314" s="14" t="s">
        <v>13321</v>
      </c>
      <c r="K1314" s="14" t="s">
        <v>13322</v>
      </c>
      <c r="L1314" s="14" t="s">
        <v>13311</v>
      </c>
      <c r="O1314" s="14" t="s">
        <v>13316</v>
      </c>
      <c r="P1314" s="14" t="s">
        <v>13317</v>
      </c>
      <c r="Q1314" s="14">
        <v>409060.67</v>
      </c>
      <c r="R1314" s="14">
        <v>6187580.8300000001</v>
      </c>
      <c r="S1314" s="14" t="s">
        <v>13318</v>
      </c>
      <c r="T1314" s="14" t="s">
        <v>13319</v>
      </c>
      <c r="U1314" s="14">
        <v>409035.77</v>
      </c>
      <c r="V1314" s="14">
        <v>6187570.4800000004</v>
      </c>
      <c r="W1314" s="14">
        <v>0.04</v>
      </c>
      <c r="X1314" s="14">
        <v>150.04</v>
      </c>
    </row>
    <row r="1315" spans="1:24" s="112" customFormat="1" x14ac:dyDescent="0.25">
      <c r="A1315" s="69">
        <v>45101</v>
      </c>
      <c r="B1315" s="103">
        <v>175</v>
      </c>
      <c r="C1315" s="71">
        <v>0</v>
      </c>
      <c r="D1315" s="70" t="s">
        <v>175</v>
      </c>
      <c r="E1315" s="113" t="s">
        <v>77</v>
      </c>
      <c r="F1315" s="70" t="s">
        <v>12332</v>
      </c>
      <c r="G1315" s="70" t="s">
        <v>2375</v>
      </c>
      <c r="H1315" s="112">
        <v>0.06</v>
      </c>
      <c r="O1315" s="112" t="s">
        <v>13323</v>
      </c>
      <c r="P1315" s="112" t="s">
        <v>13324</v>
      </c>
      <c r="Q1315" s="112">
        <v>409060.71</v>
      </c>
      <c r="R1315" s="112">
        <v>6187671.1799999997</v>
      </c>
      <c r="S1315" s="112" t="s">
        <v>13325</v>
      </c>
      <c r="T1315" s="112" t="s">
        <v>13326</v>
      </c>
      <c r="U1315" s="112">
        <v>409035.66</v>
      </c>
      <c r="V1315" s="112">
        <v>6187674.4299999997</v>
      </c>
      <c r="W1315" s="112">
        <v>359.46</v>
      </c>
      <c r="X1315" s="112">
        <v>150.04</v>
      </c>
    </row>
    <row r="1316" spans="1:24" s="14" customFormat="1" x14ac:dyDescent="0.25">
      <c r="A1316" s="50">
        <v>45101</v>
      </c>
      <c r="B1316" s="57">
        <v>175</v>
      </c>
      <c r="C1316" s="36">
        <v>1.736111111111111E-3</v>
      </c>
      <c r="D1316" s="16" t="s">
        <v>175</v>
      </c>
      <c r="E1316" s="52" t="s">
        <v>70</v>
      </c>
      <c r="F1316" s="16" t="s">
        <v>12332</v>
      </c>
      <c r="G1316" s="16" t="s">
        <v>2375</v>
      </c>
      <c r="H1316" s="14">
        <v>-1.7000000000000001E-2</v>
      </c>
      <c r="I1316" s="14" t="s">
        <v>13320</v>
      </c>
      <c r="J1316" s="14" t="s">
        <v>13321</v>
      </c>
      <c r="K1316" s="14" t="s">
        <v>13322</v>
      </c>
      <c r="L1316" s="14" t="s">
        <v>13331</v>
      </c>
      <c r="O1316" s="14" t="s">
        <v>13327</v>
      </c>
      <c r="P1316" s="14" t="s">
        <v>13328</v>
      </c>
      <c r="Q1316" s="14">
        <v>409061.5</v>
      </c>
      <c r="R1316" s="14">
        <v>6187747.1100000003</v>
      </c>
      <c r="S1316" s="14" t="s">
        <v>13329</v>
      </c>
      <c r="T1316" s="14" t="s">
        <v>13330</v>
      </c>
      <c r="U1316" s="14">
        <v>409035.72</v>
      </c>
      <c r="V1316" s="14">
        <v>6187752.1900000004</v>
      </c>
      <c r="W1316" s="14">
        <v>359.6</v>
      </c>
      <c r="X1316" s="14">
        <v>150.04</v>
      </c>
    </row>
    <row r="1317" spans="1:24" s="14" customFormat="1" x14ac:dyDescent="0.25">
      <c r="A1317" s="50">
        <v>45101</v>
      </c>
      <c r="B1317" s="57">
        <v>175</v>
      </c>
      <c r="C1317" s="36">
        <v>4.9652777777777777E-3</v>
      </c>
      <c r="D1317" s="16" t="s">
        <v>175</v>
      </c>
      <c r="E1317" s="52" t="s">
        <v>65</v>
      </c>
      <c r="F1317" s="16" t="s">
        <v>12332</v>
      </c>
      <c r="G1317" s="16" t="s">
        <v>2376</v>
      </c>
      <c r="H1317" s="14">
        <v>-8.0000000000000002E-3</v>
      </c>
      <c r="I1317" s="14" t="s">
        <v>13336</v>
      </c>
      <c r="J1317" s="14" t="s">
        <v>13337</v>
      </c>
      <c r="K1317" s="14" t="s">
        <v>13338</v>
      </c>
      <c r="L1317" s="14" t="s">
        <v>13331</v>
      </c>
      <c r="O1317" s="14" t="s">
        <v>13332</v>
      </c>
      <c r="P1317" s="14" t="s">
        <v>13333</v>
      </c>
      <c r="Q1317" s="14">
        <v>409071.13</v>
      </c>
      <c r="R1317" s="14">
        <v>6187740</v>
      </c>
      <c r="S1317" s="14" t="s">
        <v>13334</v>
      </c>
      <c r="T1317" s="14" t="s">
        <v>13335</v>
      </c>
      <c r="U1317" s="14">
        <v>409044.06</v>
      </c>
      <c r="V1317" s="14">
        <v>6187754.3200000003</v>
      </c>
      <c r="W1317" s="14">
        <v>170.51</v>
      </c>
      <c r="X1317" s="14">
        <v>150.04</v>
      </c>
    </row>
    <row r="1318" spans="1:24" s="14" customFormat="1" x14ac:dyDescent="0.25">
      <c r="A1318" s="50">
        <v>45101</v>
      </c>
      <c r="B1318" s="57">
        <v>175</v>
      </c>
      <c r="C1318" s="36">
        <v>8.4722222222222213E-3</v>
      </c>
      <c r="D1318" s="16" t="s">
        <v>175</v>
      </c>
      <c r="E1318" s="52" t="s">
        <v>70</v>
      </c>
      <c r="F1318" s="16" t="s">
        <v>12332</v>
      </c>
      <c r="G1318" s="16" t="s">
        <v>2376</v>
      </c>
      <c r="H1318" s="14">
        <v>0.16900000000000001</v>
      </c>
      <c r="I1318" s="14" t="s">
        <v>13336</v>
      </c>
      <c r="J1318" s="14" t="s">
        <v>13337</v>
      </c>
      <c r="K1318" s="14" t="s">
        <v>13338</v>
      </c>
      <c r="L1318" s="14" t="s">
        <v>13331</v>
      </c>
      <c r="O1318" s="14" t="s">
        <v>13339</v>
      </c>
      <c r="P1318" s="14" t="s">
        <v>13340</v>
      </c>
      <c r="Q1318" s="14">
        <v>409070.25</v>
      </c>
      <c r="R1318" s="14">
        <v>6187584.5300000003</v>
      </c>
      <c r="S1318" s="14" t="s">
        <v>13341</v>
      </c>
      <c r="T1318" s="14" t="s">
        <v>13342</v>
      </c>
      <c r="U1318" s="14">
        <v>409044.92</v>
      </c>
      <c r="V1318" s="14">
        <v>6187576.8600000003</v>
      </c>
      <c r="W1318" s="14">
        <v>182.17</v>
      </c>
      <c r="X1318" s="14">
        <v>150.04</v>
      </c>
    </row>
    <row r="1319" spans="1:24" s="14" customFormat="1" x14ac:dyDescent="0.25">
      <c r="A1319" s="50">
        <v>45101</v>
      </c>
      <c r="B1319" s="57">
        <v>175</v>
      </c>
      <c r="C1319" s="36">
        <v>1.1030092592592591E-2</v>
      </c>
      <c r="D1319" s="16" t="s">
        <v>175</v>
      </c>
      <c r="E1319" s="52" t="s">
        <v>65</v>
      </c>
      <c r="F1319" s="16" t="s">
        <v>12332</v>
      </c>
      <c r="G1319" s="16" t="s">
        <v>2377</v>
      </c>
      <c r="H1319" s="14">
        <v>0.16500000000000001</v>
      </c>
      <c r="I1319" s="14" t="s">
        <v>13347</v>
      </c>
      <c r="J1319" s="14" t="s">
        <v>13348</v>
      </c>
      <c r="K1319" s="14" t="s">
        <v>13349</v>
      </c>
      <c r="L1319" s="14" t="s">
        <v>13350</v>
      </c>
      <c r="O1319" s="14" t="s">
        <v>13343</v>
      </c>
      <c r="P1319" s="14" t="s">
        <v>13344</v>
      </c>
      <c r="Q1319" s="14">
        <v>409078.85</v>
      </c>
      <c r="R1319" s="14">
        <v>6187568.8399999999</v>
      </c>
      <c r="S1319" s="14" t="s">
        <v>13345</v>
      </c>
      <c r="T1319" s="14" t="s">
        <v>13346</v>
      </c>
      <c r="U1319" s="14">
        <v>409053.72</v>
      </c>
      <c r="V1319" s="14">
        <v>6187569.5700000003</v>
      </c>
      <c r="W1319" s="14">
        <v>0.7</v>
      </c>
      <c r="X1319" s="14">
        <v>150.04</v>
      </c>
    </row>
    <row r="1320" spans="1:24" s="14" customFormat="1" x14ac:dyDescent="0.25">
      <c r="A1320" s="50">
        <v>45101</v>
      </c>
      <c r="B1320" s="57">
        <v>175</v>
      </c>
      <c r="C1320" s="36">
        <v>1.5219907407407409E-2</v>
      </c>
      <c r="D1320" s="16" t="s">
        <v>175</v>
      </c>
      <c r="E1320" s="52" t="s">
        <v>70</v>
      </c>
      <c r="F1320" s="16" t="s">
        <v>12332</v>
      </c>
      <c r="G1320" s="16" t="s">
        <v>2377</v>
      </c>
      <c r="H1320" s="14">
        <v>-1.6E-2</v>
      </c>
      <c r="I1320" s="14" t="s">
        <v>13347</v>
      </c>
      <c r="J1320" s="14" t="s">
        <v>13348</v>
      </c>
      <c r="K1320" s="14" t="s">
        <v>13349</v>
      </c>
      <c r="L1320" s="14" t="s">
        <v>13350</v>
      </c>
      <c r="O1320" s="14" t="s">
        <v>13351</v>
      </c>
      <c r="P1320" s="14" t="s">
        <v>13352</v>
      </c>
      <c r="Q1320" s="14">
        <v>409079.37</v>
      </c>
      <c r="R1320" s="14">
        <v>6187753.3200000003</v>
      </c>
      <c r="S1320" s="14" t="s">
        <v>13353</v>
      </c>
      <c r="T1320" s="14" t="s">
        <v>13354</v>
      </c>
      <c r="U1320" s="14">
        <v>409053.69</v>
      </c>
      <c r="V1320" s="14">
        <v>6187751.2000000002</v>
      </c>
      <c r="W1320" s="14">
        <v>359.92</v>
      </c>
      <c r="X1320" s="14">
        <v>150.04</v>
      </c>
    </row>
    <row r="1321" spans="1:24" s="14" customFormat="1" x14ac:dyDescent="0.25">
      <c r="A1321" s="50">
        <v>45101</v>
      </c>
      <c r="B1321" s="57">
        <v>175</v>
      </c>
      <c r="C1321" s="36">
        <v>1.5335648148148147E-2</v>
      </c>
      <c r="D1321" s="16" t="s">
        <v>175</v>
      </c>
      <c r="E1321" s="52" t="s">
        <v>13364</v>
      </c>
      <c r="F1321" s="16" t="s">
        <v>12332</v>
      </c>
      <c r="G1321" s="16" t="s">
        <v>2377</v>
      </c>
      <c r="H1321" s="14">
        <v>-2.1999999999999999E-2</v>
      </c>
      <c r="O1321" s="14" t="s">
        <v>13355</v>
      </c>
      <c r="P1321" s="14" t="s">
        <v>13356</v>
      </c>
      <c r="Q1321" s="14">
        <v>409079.49</v>
      </c>
      <c r="R1321" s="14">
        <v>6187760.0099999998</v>
      </c>
      <c r="S1321" s="14" t="s">
        <v>13357</v>
      </c>
      <c r="T1321" s="14" t="s">
        <v>13358</v>
      </c>
      <c r="U1321" s="14">
        <v>409053.72</v>
      </c>
      <c r="V1321" s="14">
        <v>6187757.1500000004</v>
      </c>
      <c r="W1321" s="14">
        <v>359.83</v>
      </c>
      <c r="X1321" s="14">
        <v>150.04</v>
      </c>
    </row>
    <row r="1322" spans="1:24" s="14" customFormat="1" x14ac:dyDescent="0.25">
      <c r="A1322" s="50">
        <v>45101</v>
      </c>
      <c r="B1322" s="57">
        <v>175</v>
      </c>
      <c r="C1322" s="36">
        <v>1.6342592592592593E-2</v>
      </c>
      <c r="D1322" s="16" t="s">
        <v>175</v>
      </c>
      <c r="E1322" s="52" t="s">
        <v>13363</v>
      </c>
      <c r="F1322" s="16" t="s">
        <v>12332</v>
      </c>
      <c r="G1322" s="16" t="s">
        <v>2377</v>
      </c>
      <c r="H1322" s="14">
        <v>-0.03</v>
      </c>
      <c r="O1322" s="14" t="s">
        <v>13359</v>
      </c>
      <c r="P1322" s="14" t="s">
        <v>13360</v>
      </c>
      <c r="Q1322" s="14">
        <v>409079.91</v>
      </c>
      <c r="R1322" s="14">
        <v>6187774.3799999999</v>
      </c>
      <c r="S1322" s="14" t="s">
        <v>13361</v>
      </c>
      <c r="T1322" s="14" t="s">
        <v>13362</v>
      </c>
      <c r="U1322" s="14">
        <v>409062.16</v>
      </c>
      <c r="V1322" s="14">
        <v>6187772.4699999997</v>
      </c>
      <c r="W1322" s="14">
        <v>251.36</v>
      </c>
      <c r="X1322" s="14">
        <v>150.04</v>
      </c>
    </row>
    <row r="1323" spans="1:24" s="132" customFormat="1" x14ac:dyDescent="0.25">
      <c r="A1323" s="102">
        <v>45101</v>
      </c>
      <c r="B1323" s="100">
        <v>175</v>
      </c>
      <c r="C1323" s="104">
        <v>1.9861111111111111E-2</v>
      </c>
      <c r="D1323" s="96" t="s">
        <v>175</v>
      </c>
      <c r="E1323" s="133" t="s">
        <v>13369</v>
      </c>
      <c r="F1323" s="96" t="s">
        <v>12332</v>
      </c>
      <c r="G1323" s="96" t="s">
        <v>1900</v>
      </c>
      <c r="H1323" s="132">
        <v>3.6709999999999998</v>
      </c>
      <c r="O1323" s="132" t="s">
        <v>13365</v>
      </c>
      <c r="P1323" s="132" t="s">
        <v>13366</v>
      </c>
      <c r="Q1323" s="132">
        <v>409079.5</v>
      </c>
      <c r="R1323" s="132">
        <v>6187774.5300000003</v>
      </c>
      <c r="S1323" s="132" t="s">
        <v>13367</v>
      </c>
      <c r="T1323" s="132" t="s">
        <v>13368</v>
      </c>
      <c r="U1323" s="132">
        <v>409068.71</v>
      </c>
      <c r="V1323" s="132">
        <v>6187773.8700000001</v>
      </c>
      <c r="W1323" s="132">
        <v>255.92</v>
      </c>
      <c r="X1323" s="132">
        <v>150.05000000000001</v>
      </c>
    </row>
    <row r="1324" spans="1:24" s="126" customFormat="1" x14ac:dyDescent="0.25">
      <c r="A1324" s="78">
        <v>45101</v>
      </c>
      <c r="B1324" s="108">
        <v>175</v>
      </c>
      <c r="C1324" s="80">
        <v>2.2210648148148149E-2</v>
      </c>
      <c r="D1324" s="79" t="s">
        <v>175</v>
      </c>
      <c r="E1324" s="127" t="s">
        <v>13374</v>
      </c>
      <c r="F1324" s="79" t="s">
        <v>12332</v>
      </c>
      <c r="G1324" s="79" t="s">
        <v>1900</v>
      </c>
      <c r="H1324" s="126">
        <v>3.67</v>
      </c>
      <c r="O1324" s="126" t="s">
        <v>13370</v>
      </c>
      <c r="P1324" s="126" t="s">
        <v>13371</v>
      </c>
      <c r="Q1324" s="126">
        <v>409078.99</v>
      </c>
      <c r="R1324" s="126">
        <v>6187774.9000000004</v>
      </c>
      <c r="S1324" s="126" t="s">
        <v>13372</v>
      </c>
      <c r="T1324" s="126" t="s">
        <v>13373</v>
      </c>
      <c r="U1324" s="126">
        <v>409068.1</v>
      </c>
      <c r="V1324" s="126">
        <v>6187775.0899999999</v>
      </c>
      <c r="W1324" s="126">
        <v>255.85</v>
      </c>
      <c r="X1324" s="126">
        <v>150.05000000000001</v>
      </c>
    </row>
    <row r="1325" spans="1:24" s="14" customFormat="1" ht="30" x14ac:dyDescent="0.25">
      <c r="A1325" s="50">
        <v>45101</v>
      </c>
      <c r="B1325" s="57">
        <v>175</v>
      </c>
      <c r="C1325" s="36">
        <v>2.2766203703703702E-2</v>
      </c>
      <c r="D1325" s="16" t="s">
        <v>175</v>
      </c>
      <c r="E1325" s="97" t="s">
        <v>13379</v>
      </c>
      <c r="F1325" s="16" t="s">
        <v>12332</v>
      </c>
      <c r="G1325" s="16" t="s">
        <v>1900</v>
      </c>
      <c r="H1325" s="14">
        <v>3.6640000000000001</v>
      </c>
      <c r="O1325" s="14" t="s">
        <v>13375</v>
      </c>
      <c r="P1325" s="14" t="s">
        <v>13376</v>
      </c>
      <c r="Q1325" s="14">
        <v>409081.81</v>
      </c>
      <c r="R1325" s="14">
        <v>6187778.5</v>
      </c>
      <c r="S1325" s="14" t="s">
        <v>13377</v>
      </c>
      <c r="T1325" s="14" t="s">
        <v>13378</v>
      </c>
      <c r="U1325" s="14">
        <v>409071.68</v>
      </c>
      <c r="V1325" s="14">
        <v>6187779.6299999999</v>
      </c>
      <c r="W1325" s="14">
        <v>267.77999999999997</v>
      </c>
      <c r="X1325" s="14">
        <v>150.05000000000001</v>
      </c>
    </row>
    <row r="1326" spans="1:24" s="124" customFormat="1" x14ac:dyDescent="0.25">
      <c r="A1326" s="74">
        <v>45101</v>
      </c>
      <c r="B1326" s="105">
        <v>175</v>
      </c>
      <c r="C1326" s="76">
        <v>5.9756944444444439E-2</v>
      </c>
      <c r="D1326" s="75" t="s">
        <v>175</v>
      </c>
      <c r="E1326" s="125" t="s">
        <v>13384</v>
      </c>
      <c r="F1326" s="75" t="s">
        <v>8759</v>
      </c>
      <c r="G1326" s="75" t="s">
        <v>1900</v>
      </c>
      <c r="H1326" s="124">
        <v>0.19600000000000001</v>
      </c>
      <c r="O1326" s="124" t="s">
        <v>13380</v>
      </c>
      <c r="P1326" s="124" t="s">
        <v>13381</v>
      </c>
      <c r="Q1326" s="124">
        <v>416567.22</v>
      </c>
      <c r="R1326" s="124">
        <v>6191246.5999999996</v>
      </c>
      <c r="S1326" s="124" t="s">
        <v>13382</v>
      </c>
      <c r="T1326" s="124" t="s">
        <v>13383</v>
      </c>
      <c r="U1326" s="124">
        <v>416579.01</v>
      </c>
      <c r="V1326" s="124">
        <v>6191245.4699999997</v>
      </c>
      <c r="W1326" s="124">
        <v>81.03</v>
      </c>
      <c r="X1326" s="124">
        <v>150.05000000000001</v>
      </c>
    </row>
    <row r="1327" spans="1:24" s="122" customFormat="1" x14ac:dyDescent="0.25">
      <c r="A1327" s="65">
        <v>45101</v>
      </c>
      <c r="B1327" s="106">
        <v>175</v>
      </c>
      <c r="C1327" s="67">
        <v>6.4340277777777774E-2</v>
      </c>
      <c r="D1327" s="66" t="s">
        <v>175</v>
      </c>
      <c r="E1327" s="123" t="s">
        <v>13390</v>
      </c>
      <c r="F1327" s="66" t="s">
        <v>8759</v>
      </c>
      <c r="G1327" s="66" t="s">
        <v>1900</v>
      </c>
      <c r="H1327" s="122">
        <v>0.20599999999999999</v>
      </c>
      <c r="M1327" s="122" t="s">
        <v>13385</v>
      </c>
      <c r="O1327" s="122" t="s">
        <v>13386</v>
      </c>
      <c r="P1327" s="122" t="s">
        <v>13387</v>
      </c>
      <c r="Q1327" s="122">
        <v>416567.52</v>
      </c>
      <c r="R1327" s="122">
        <v>6191247.04</v>
      </c>
      <c r="S1327" s="122" t="s">
        <v>13388</v>
      </c>
      <c r="T1327" s="122" t="s">
        <v>13389</v>
      </c>
      <c r="U1327" s="122">
        <v>416580.13</v>
      </c>
      <c r="V1327" s="122">
        <v>6191237.4699999997</v>
      </c>
      <c r="W1327" s="122">
        <v>94.57</v>
      </c>
      <c r="X1327" s="122">
        <v>150.05000000000001</v>
      </c>
    </row>
    <row r="1328" spans="1:24" s="14" customFormat="1" x14ac:dyDescent="0.25">
      <c r="A1328" s="50">
        <v>45101</v>
      </c>
      <c r="B1328" s="57">
        <v>175</v>
      </c>
      <c r="C1328" s="36">
        <v>6.7407407407407416E-2</v>
      </c>
      <c r="D1328" s="16" t="s">
        <v>175</v>
      </c>
      <c r="E1328" s="52" t="s">
        <v>65</v>
      </c>
      <c r="F1328" s="16" t="s">
        <v>8759</v>
      </c>
      <c r="G1328" s="16" t="s">
        <v>1900</v>
      </c>
      <c r="H1328" s="14">
        <v>0.16</v>
      </c>
      <c r="I1328" s="14" t="s">
        <v>13395</v>
      </c>
      <c r="J1328" s="14" t="s">
        <v>13396</v>
      </c>
      <c r="K1328" s="14" t="s">
        <v>13397</v>
      </c>
      <c r="L1328" s="14" t="s">
        <v>13398</v>
      </c>
      <c r="O1328" s="14" t="s">
        <v>13391</v>
      </c>
      <c r="P1328" s="14" t="s">
        <v>13392</v>
      </c>
      <c r="Q1328" s="14">
        <v>416567.92</v>
      </c>
      <c r="R1328" s="14">
        <v>6191277.3600000003</v>
      </c>
      <c r="S1328" s="14" t="s">
        <v>13393</v>
      </c>
      <c r="T1328" s="14" t="s">
        <v>13394</v>
      </c>
      <c r="U1328" s="14">
        <v>416593.68</v>
      </c>
      <c r="V1328" s="14">
        <v>6191276.8799999999</v>
      </c>
      <c r="W1328" s="14">
        <v>0.93</v>
      </c>
      <c r="X1328" s="14">
        <v>150.05000000000001</v>
      </c>
    </row>
    <row r="1329" spans="1:24" s="14" customFormat="1" x14ac:dyDescent="0.25">
      <c r="A1329" s="50">
        <v>45101</v>
      </c>
      <c r="B1329" s="57">
        <v>175</v>
      </c>
      <c r="C1329" s="36">
        <v>7.1550925925925921E-2</v>
      </c>
      <c r="D1329" s="16" t="s">
        <v>175</v>
      </c>
      <c r="E1329" s="14" t="s">
        <v>70</v>
      </c>
      <c r="F1329" s="16" t="s">
        <v>8759</v>
      </c>
      <c r="G1329" s="16" t="s">
        <v>1900</v>
      </c>
      <c r="H1329" s="14">
        <v>-2.1999999999999999E-2</v>
      </c>
      <c r="I1329" s="14" t="s">
        <v>13395</v>
      </c>
      <c r="J1329" s="14" t="s">
        <v>13396</v>
      </c>
      <c r="K1329" s="14" t="s">
        <v>13397</v>
      </c>
      <c r="L1329" s="14" t="s">
        <v>13398</v>
      </c>
      <c r="O1329" s="14" t="s">
        <v>13399</v>
      </c>
      <c r="P1329" s="14" t="s">
        <v>13400</v>
      </c>
      <c r="Q1329" s="14">
        <v>416569.07</v>
      </c>
      <c r="R1329" s="14">
        <v>6191463.21</v>
      </c>
      <c r="S1329" s="14" t="s">
        <v>13401</v>
      </c>
      <c r="T1329" s="14" t="s">
        <v>13402</v>
      </c>
      <c r="U1329" s="14">
        <v>416593.76</v>
      </c>
      <c r="V1329" s="14">
        <v>6191458.6900000004</v>
      </c>
      <c r="W1329" s="14">
        <v>359.74</v>
      </c>
      <c r="X1329" s="14">
        <v>150.05000000000001</v>
      </c>
    </row>
    <row r="1330" spans="1:24" s="14" customFormat="1" x14ac:dyDescent="0.25">
      <c r="A1330" s="50">
        <v>45101</v>
      </c>
      <c r="B1330" s="57">
        <v>175</v>
      </c>
      <c r="C1330" s="36">
        <v>7.239583333333334E-2</v>
      </c>
      <c r="D1330" s="16" t="s">
        <v>175</v>
      </c>
      <c r="E1330" s="52" t="s">
        <v>13407</v>
      </c>
      <c r="F1330" s="16" t="s">
        <v>8759</v>
      </c>
      <c r="G1330" s="16" t="s">
        <v>1899</v>
      </c>
      <c r="H1330" s="14">
        <v>-4.2999999999999997E-2</v>
      </c>
      <c r="O1330" s="14" t="s">
        <v>13403</v>
      </c>
      <c r="P1330" s="14" t="s">
        <v>13404</v>
      </c>
      <c r="Q1330" s="14">
        <v>416570.07</v>
      </c>
      <c r="R1330" s="14">
        <v>6191490.8799999999</v>
      </c>
      <c r="S1330" s="14" t="s">
        <v>13405</v>
      </c>
      <c r="T1330" s="14" t="s">
        <v>13406</v>
      </c>
      <c r="U1330" s="14">
        <v>416588.02</v>
      </c>
      <c r="V1330" s="14">
        <v>6191482.3200000003</v>
      </c>
      <c r="W1330" s="14">
        <v>57.18</v>
      </c>
      <c r="X1330" s="14">
        <v>150.05000000000001</v>
      </c>
    </row>
    <row r="1331" spans="1:24" s="14" customFormat="1" x14ac:dyDescent="0.25">
      <c r="A1331" s="50">
        <v>45101</v>
      </c>
      <c r="B1331" s="57">
        <v>175</v>
      </c>
      <c r="C1331" s="36">
        <v>8.1539351851851849E-2</v>
      </c>
      <c r="D1331" s="16" t="s">
        <v>175</v>
      </c>
      <c r="E1331" s="52" t="s">
        <v>65</v>
      </c>
      <c r="F1331" s="16" t="s">
        <v>8759</v>
      </c>
      <c r="G1331" s="16" t="s">
        <v>1899</v>
      </c>
      <c r="H1331" s="14">
        <v>-1.7000000000000001E-2</v>
      </c>
      <c r="I1331" s="14" t="s">
        <v>13412</v>
      </c>
      <c r="J1331" s="14" t="s">
        <v>13413</v>
      </c>
      <c r="K1331" s="14" t="s">
        <v>13414</v>
      </c>
      <c r="L1331" s="14" t="s">
        <v>13415</v>
      </c>
      <c r="O1331" s="14" t="s">
        <v>13408</v>
      </c>
      <c r="P1331" s="14" t="s">
        <v>13409</v>
      </c>
      <c r="Q1331" s="14">
        <v>416628.23</v>
      </c>
      <c r="R1331" s="14">
        <v>6191471.5099999998</v>
      </c>
      <c r="S1331" s="14" t="s">
        <v>13410</v>
      </c>
      <c r="T1331" s="14" t="s">
        <v>13411</v>
      </c>
      <c r="U1331" s="14">
        <v>416602.74</v>
      </c>
      <c r="V1331" s="14">
        <v>6191464.8600000003</v>
      </c>
      <c r="W1331" s="14">
        <v>179.79</v>
      </c>
      <c r="X1331" s="14">
        <v>150.05000000000001</v>
      </c>
    </row>
    <row r="1332" spans="1:24" s="14" customFormat="1" x14ac:dyDescent="0.25">
      <c r="A1332" s="50">
        <v>45101</v>
      </c>
      <c r="B1332" s="57">
        <v>175</v>
      </c>
      <c r="C1332" s="36">
        <v>8.6782407407407405E-2</v>
      </c>
      <c r="D1332" s="16" t="s">
        <v>175</v>
      </c>
      <c r="E1332" s="52" t="s">
        <v>70</v>
      </c>
      <c r="F1332" s="16" t="s">
        <v>8759</v>
      </c>
      <c r="G1332" s="16" t="s">
        <v>1899</v>
      </c>
      <c r="H1332" s="14">
        <v>0.16500000000000001</v>
      </c>
      <c r="I1332" s="14" t="s">
        <v>13412</v>
      </c>
      <c r="J1332" s="14" t="s">
        <v>13413</v>
      </c>
      <c r="K1332" s="14" t="s">
        <v>13414</v>
      </c>
      <c r="L1332" s="14" t="s">
        <v>13420</v>
      </c>
      <c r="O1332" s="14" t="s">
        <v>13416</v>
      </c>
      <c r="P1332" s="14" t="s">
        <v>13417</v>
      </c>
      <c r="Q1332" s="14">
        <v>416626.12</v>
      </c>
      <c r="R1332" s="14">
        <v>6191281.4100000001</v>
      </c>
      <c r="S1332" s="14" t="s">
        <v>13418</v>
      </c>
      <c r="T1332" s="14" t="s">
        <v>13419</v>
      </c>
      <c r="U1332" s="14">
        <v>416602.81</v>
      </c>
      <c r="V1332" s="14">
        <v>6191283.0300000003</v>
      </c>
      <c r="W1332" s="14">
        <v>179.74</v>
      </c>
      <c r="X1332" s="14">
        <v>150.05000000000001</v>
      </c>
    </row>
    <row r="1333" spans="1:24" s="14" customFormat="1" x14ac:dyDescent="0.25">
      <c r="A1333" s="50">
        <v>45101</v>
      </c>
      <c r="B1333" s="57">
        <v>175</v>
      </c>
      <c r="C1333" s="36">
        <v>9.0185185185185188E-2</v>
      </c>
      <c r="D1333" s="16" t="s">
        <v>175</v>
      </c>
      <c r="E1333" s="52" t="s">
        <v>65</v>
      </c>
      <c r="F1333" s="16" t="s">
        <v>8759</v>
      </c>
      <c r="G1333" s="16" t="s">
        <v>1898</v>
      </c>
      <c r="H1333" s="14">
        <v>0.161</v>
      </c>
      <c r="I1333" s="14" t="s">
        <v>13425</v>
      </c>
      <c r="J1333" s="14" t="s">
        <v>13426</v>
      </c>
      <c r="K1333" s="14" t="s">
        <v>13427</v>
      </c>
      <c r="L1333" s="14" t="s">
        <v>13420</v>
      </c>
      <c r="O1333" s="14" t="s">
        <v>13421</v>
      </c>
      <c r="P1333" s="14" t="s">
        <v>13422</v>
      </c>
      <c r="Q1333" s="14">
        <v>416636.49</v>
      </c>
      <c r="R1333" s="14">
        <v>6191274.4000000004</v>
      </c>
      <c r="S1333" s="14" t="s">
        <v>13423</v>
      </c>
      <c r="T1333" s="14" t="s">
        <v>13424</v>
      </c>
      <c r="U1333" s="14">
        <v>416611.7</v>
      </c>
      <c r="V1333" s="14">
        <v>6191276.4299999997</v>
      </c>
      <c r="W1333" s="14">
        <v>0.65</v>
      </c>
      <c r="X1333" s="14">
        <v>150.05000000000001</v>
      </c>
    </row>
    <row r="1334" spans="1:24" s="14" customFormat="1" x14ac:dyDescent="0.25">
      <c r="A1334" s="50">
        <v>45101</v>
      </c>
      <c r="B1334" s="57">
        <v>175</v>
      </c>
      <c r="C1334" s="36">
        <v>9.5312500000000008E-2</v>
      </c>
      <c r="D1334" s="16" t="s">
        <v>175</v>
      </c>
      <c r="E1334" s="52" t="s">
        <v>70</v>
      </c>
      <c r="F1334" s="16" t="s">
        <v>8759</v>
      </c>
      <c r="G1334" s="16" t="s">
        <v>1898</v>
      </c>
      <c r="H1334" s="14">
        <v>-2.1999999999999999E-2</v>
      </c>
      <c r="I1334" s="14" t="s">
        <v>13425</v>
      </c>
      <c r="J1334" s="14" t="s">
        <v>13426</v>
      </c>
      <c r="K1334" s="14" t="s">
        <v>13427</v>
      </c>
      <c r="L1334" s="14" t="s">
        <v>13432</v>
      </c>
      <c r="O1334" s="14" t="s">
        <v>13428</v>
      </c>
      <c r="P1334" s="14" t="s">
        <v>13429</v>
      </c>
      <c r="Q1334" s="14">
        <v>416638.02</v>
      </c>
      <c r="R1334" s="14">
        <v>6191457.3899999997</v>
      </c>
      <c r="S1334" s="14" t="s">
        <v>13430</v>
      </c>
      <c r="T1334" s="14" t="s">
        <v>13431</v>
      </c>
      <c r="U1334" s="14">
        <v>416611.9</v>
      </c>
      <c r="V1334" s="14">
        <v>6191458.6799999997</v>
      </c>
      <c r="W1334" s="14">
        <v>359.62</v>
      </c>
      <c r="X1334" s="14">
        <v>150.05000000000001</v>
      </c>
    </row>
    <row r="1335" spans="1:24" s="14" customFormat="1" x14ac:dyDescent="0.25">
      <c r="A1335" s="50">
        <v>45101</v>
      </c>
      <c r="B1335" s="57">
        <v>175</v>
      </c>
      <c r="C1335" s="36">
        <v>9.807870370370371E-2</v>
      </c>
      <c r="D1335" s="16" t="s">
        <v>175</v>
      </c>
      <c r="E1335" s="52" t="s">
        <v>65</v>
      </c>
      <c r="F1335" s="16" t="s">
        <v>8759</v>
      </c>
      <c r="G1335" s="16" t="s">
        <v>1897</v>
      </c>
      <c r="H1335" s="14">
        <v>-1.6E-2</v>
      </c>
      <c r="I1335" s="14" t="s">
        <v>13437</v>
      </c>
      <c r="J1335" s="14" t="s">
        <v>13438</v>
      </c>
      <c r="K1335" s="14" t="s">
        <v>13439</v>
      </c>
      <c r="L1335" s="14" t="s">
        <v>13432</v>
      </c>
      <c r="O1335" s="14" t="s">
        <v>13433</v>
      </c>
      <c r="P1335" s="14" t="s">
        <v>13434</v>
      </c>
      <c r="Q1335" s="14">
        <v>416648.16</v>
      </c>
      <c r="R1335" s="14">
        <v>6191464.9199999999</v>
      </c>
      <c r="S1335" s="14" t="s">
        <v>13435</v>
      </c>
      <c r="T1335" s="14" t="s">
        <v>13436</v>
      </c>
      <c r="U1335" s="14">
        <v>416620.53</v>
      </c>
      <c r="V1335" s="14">
        <v>6191464.6100000003</v>
      </c>
      <c r="W1335" s="14">
        <v>177.95</v>
      </c>
      <c r="X1335" s="14">
        <v>150.05000000000001</v>
      </c>
    </row>
    <row r="1336" spans="1:24" s="14" customFormat="1" x14ac:dyDescent="0.25">
      <c r="A1336" s="50">
        <v>45101</v>
      </c>
      <c r="B1336" s="57">
        <v>175</v>
      </c>
      <c r="C1336" s="36">
        <v>0.10318287037037037</v>
      </c>
      <c r="D1336" s="16" t="s">
        <v>175</v>
      </c>
      <c r="E1336" s="52" t="s">
        <v>70</v>
      </c>
      <c r="F1336" s="16" t="s">
        <v>8759</v>
      </c>
      <c r="G1336" s="16" t="s">
        <v>1897</v>
      </c>
      <c r="H1336" s="14">
        <v>0.16600000000000001</v>
      </c>
      <c r="I1336" s="14" t="s">
        <v>13437</v>
      </c>
      <c r="J1336" s="14" t="s">
        <v>13438</v>
      </c>
      <c r="K1336" s="14" t="s">
        <v>13439</v>
      </c>
      <c r="L1336" s="14" t="s">
        <v>13432</v>
      </c>
      <c r="O1336" s="14" t="s">
        <v>13440</v>
      </c>
      <c r="P1336" s="14" t="s">
        <v>13441</v>
      </c>
      <c r="Q1336" s="14">
        <v>416647.66</v>
      </c>
      <c r="R1336" s="14">
        <v>6191284.8200000003</v>
      </c>
      <c r="S1336" s="14" t="s">
        <v>13442</v>
      </c>
      <c r="T1336" s="14" t="s">
        <v>13443</v>
      </c>
      <c r="U1336" s="14">
        <v>416620.64</v>
      </c>
      <c r="V1336" s="14">
        <v>6191282.2800000003</v>
      </c>
      <c r="W1336" s="14">
        <v>178.89</v>
      </c>
      <c r="X1336" s="14">
        <v>150.05000000000001</v>
      </c>
    </row>
    <row r="1337" spans="1:24" s="14" customFormat="1" x14ac:dyDescent="0.25">
      <c r="A1337" s="50">
        <v>45101</v>
      </c>
      <c r="B1337" s="57">
        <v>175</v>
      </c>
      <c r="C1337" s="36">
        <v>0.1063425925925926</v>
      </c>
      <c r="D1337" s="16" t="s">
        <v>175</v>
      </c>
      <c r="E1337" s="52" t="s">
        <v>65</v>
      </c>
      <c r="F1337" s="16" t="s">
        <v>8759</v>
      </c>
      <c r="G1337" s="16" t="s">
        <v>1896</v>
      </c>
      <c r="H1337" s="14">
        <v>0.16</v>
      </c>
      <c r="I1337" s="14" t="s">
        <v>13448</v>
      </c>
      <c r="J1337" s="14" t="s">
        <v>13449</v>
      </c>
      <c r="K1337" s="14" t="s">
        <v>13450</v>
      </c>
      <c r="L1337" s="14" t="s">
        <v>13451</v>
      </c>
      <c r="O1337" s="14" t="s">
        <v>13444</v>
      </c>
      <c r="P1337" s="14" t="s">
        <v>13445</v>
      </c>
      <c r="Q1337" s="14">
        <v>416655.17</v>
      </c>
      <c r="R1337" s="14">
        <v>6191271.1900000004</v>
      </c>
      <c r="S1337" s="14" t="s">
        <v>13446</v>
      </c>
      <c r="T1337" s="14" t="s">
        <v>13447</v>
      </c>
      <c r="U1337" s="14">
        <v>416629.69</v>
      </c>
      <c r="V1337" s="14">
        <v>6191276.7599999998</v>
      </c>
      <c r="W1337" s="14">
        <v>0.51</v>
      </c>
      <c r="X1337" s="14">
        <v>150.05000000000001</v>
      </c>
    </row>
    <row r="1338" spans="1:24" s="14" customFormat="1" x14ac:dyDescent="0.25">
      <c r="A1338" s="50">
        <v>45101</v>
      </c>
      <c r="B1338" s="57">
        <v>175</v>
      </c>
      <c r="C1338" s="36">
        <v>0.11047453703703704</v>
      </c>
      <c r="D1338" s="16" t="s">
        <v>175</v>
      </c>
      <c r="E1338" s="52" t="s">
        <v>70</v>
      </c>
      <c r="F1338" s="16" t="s">
        <v>8759</v>
      </c>
      <c r="G1338" s="16" t="s">
        <v>1896</v>
      </c>
      <c r="H1338" s="14">
        <v>-2.1999999999999999E-2</v>
      </c>
      <c r="I1338" s="14" t="s">
        <v>13448</v>
      </c>
      <c r="J1338" s="14" t="s">
        <v>13449</v>
      </c>
      <c r="K1338" s="14" t="s">
        <v>13450</v>
      </c>
      <c r="L1338" s="14" t="s">
        <v>13451</v>
      </c>
      <c r="O1338" s="14" t="s">
        <v>13452</v>
      </c>
      <c r="P1338" s="14" t="s">
        <v>13453</v>
      </c>
      <c r="Q1338" s="14">
        <v>416656.17</v>
      </c>
      <c r="R1338" s="14">
        <v>6191453.4000000004</v>
      </c>
      <c r="S1338" s="14" t="s">
        <v>13454</v>
      </c>
      <c r="T1338" s="14" t="s">
        <v>13455</v>
      </c>
      <c r="U1338" s="14">
        <v>416629.8</v>
      </c>
      <c r="V1338" s="14">
        <v>6191458.8799999999</v>
      </c>
      <c r="W1338" s="14">
        <v>359.41</v>
      </c>
      <c r="X1338" s="14">
        <v>150.05000000000001</v>
      </c>
    </row>
    <row r="1339" spans="1:24" s="14" customFormat="1" x14ac:dyDescent="0.25">
      <c r="A1339" s="50">
        <v>45101</v>
      </c>
      <c r="B1339" s="57">
        <v>175</v>
      </c>
      <c r="C1339" s="36">
        <v>0.11310185185185184</v>
      </c>
      <c r="D1339" s="16" t="s">
        <v>175</v>
      </c>
      <c r="E1339" s="52" t="s">
        <v>65</v>
      </c>
      <c r="F1339" s="16" t="s">
        <v>8759</v>
      </c>
      <c r="G1339" s="16" t="s">
        <v>1895</v>
      </c>
      <c r="H1339" s="14">
        <v>-1.7000000000000001E-2</v>
      </c>
      <c r="I1339" s="14" t="s">
        <v>13460</v>
      </c>
      <c r="J1339" s="14" t="s">
        <v>13461</v>
      </c>
      <c r="K1339" s="14" t="s">
        <v>13462</v>
      </c>
      <c r="L1339" s="14" t="s">
        <v>13451</v>
      </c>
      <c r="O1339" s="14" t="s">
        <v>13456</v>
      </c>
      <c r="P1339" s="14" t="s">
        <v>13457</v>
      </c>
      <c r="Q1339" s="14">
        <v>416666</v>
      </c>
      <c r="R1339" s="14">
        <v>6191470.6699999999</v>
      </c>
      <c r="S1339" s="14" t="s">
        <v>13458</v>
      </c>
      <c r="T1339" s="14" t="s">
        <v>13459</v>
      </c>
      <c r="U1339" s="14">
        <v>416638.91</v>
      </c>
      <c r="V1339" s="14">
        <v>6191465.6399999997</v>
      </c>
      <c r="W1339" s="14">
        <v>181.24</v>
      </c>
      <c r="X1339" s="14">
        <v>150.05000000000001</v>
      </c>
    </row>
    <row r="1340" spans="1:24" s="14" customFormat="1" x14ac:dyDescent="0.25">
      <c r="A1340" s="50">
        <v>45101</v>
      </c>
      <c r="B1340" s="57">
        <v>175</v>
      </c>
      <c r="C1340" s="36">
        <v>0.11725694444444446</v>
      </c>
      <c r="D1340" s="16" t="s">
        <v>175</v>
      </c>
      <c r="E1340" s="52" t="s">
        <v>70</v>
      </c>
      <c r="F1340" s="16" t="s">
        <v>8759</v>
      </c>
      <c r="G1340" s="16" t="s">
        <v>1895</v>
      </c>
      <c r="H1340" s="14">
        <v>0.16500000000000001</v>
      </c>
      <c r="I1340" s="14" t="s">
        <v>13460</v>
      </c>
      <c r="J1340" s="14" t="s">
        <v>13461</v>
      </c>
      <c r="K1340" s="14" t="s">
        <v>13462</v>
      </c>
      <c r="L1340" s="14" t="s">
        <v>13467</v>
      </c>
      <c r="O1340" s="14" t="s">
        <v>13463</v>
      </c>
      <c r="P1340" s="14" t="s">
        <v>13464</v>
      </c>
      <c r="Q1340" s="14">
        <v>416664.86</v>
      </c>
      <c r="R1340" s="14">
        <v>6191288.5300000003</v>
      </c>
      <c r="S1340" s="14" t="s">
        <v>13465</v>
      </c>
      <c r="T1340" s="14" t="s">
        <v>13466</v>
      </c>
      <c r="U1340" s="14">
        <v>416638.68</v>
      </c>
      <c r="V1340" s="14">
        <v>6191282.8700000001</v>
      </c>
      <c r="W1340" s="14">
        <v>178.96</v>
      </c>
      <c r="X1340" s="14">
        <v>150.05000000000001</v>
      </c>
    </row>
    <row r="1341" spans="1:24" s="14" customFormat="1" x14ac:dyDescent="0.25">
      <c r="A1341" s="50">
        <v>45101</v>
      </c>
      <c r="B1341" s="57">
        <v>175</v>
      </c>
      <c r="C1341" s="36">
        <v>0.1196875</v>
      </c>
      <c r="D1341" s="16" t="s">
        <v>175</v>
      </c>
      <c r="E1341" s="52" t="s">
        <v>65</v>
      </c>
      <c r="F1341" s="16" t="s">
        <v>8759</v>
      </c>
      <c r="G1341" s="16" t="s">
        <v>1901</v>
      </c>
      <c r="H1341" s="14">
        <v>0.161</v>
      </c>
      <c r="I1341" s="14" t="s">
        <v>13472</v>
      </c>
      <c r="J1341" s="14" t="s">
        <v>13473</v>
      </c>
      <c r="K1341" s="14" t="s">
        <v>13474</v>
      </c>
      <c r="L1341" s="14" t="s">
        <v>13467</v>
      </c>
      <c r="O1341" s="14" t="s">
        <v>13468</v>
      </c>
      <c r="P1341" s="14" t="s">
        <v>13469</v>
      </c>
      <c r="Q1341" s="14">
        <v>416672.49</v>
      </c>
      <c r="R1341" s="14">
        <v>6191270.8300000001</v>
      </c>
      <c r="S1341" s="14" t="s">
        <v>13470</v>
      </c>
      <c r="T1341" s="14" t="s">
        <v>13471</v>
      </c>
      <c r="U1341" s="14">
        <v>416647.65</v>
      </c>
      <c r="V1341" s="14">
        <v>6191275.7699999996</v>
      </c>
      <c r="W1341" s="14">
        <v>1.08</v>
      </c>
      <c r="X1341" s="14">
        <v>150.05000000000001</v>
      </c>
    </row>
    <row r="1342" spans="1:24" s="14" customFormat="1" x14ac:dyDescent="0.25">
      <c r="A1342" s="50">
        <v>45101</v>
      </c>
      <c r="B1342" s="57">
        <v>175</v>
      </c>
      <c r="C1342" s="36">
        <v>0.12317129629629631</v>
      </c>
      <c r="D1342" s="16" t="s">
        <v>175</v>
      </c>
      <c r="E1342" s="52" t="s">
        <v>70</v>
      </c>
      <c r="F1342" s="16" t="s">
        <v>8759</v>
      </c>
      <c r="G1342" s="16" t="s">
        <v>1901</v>
      </c>
      <c r="H1342" s="14">
        <v>-2.1000000000000001E-2</v>
      </c>
      <c r="I1342" s="14" t="s">
        <v>13472</v>
      </c>
      <c r="J1342" s="14" t="s">
        <v>13473</v>
      </c>
      <c r="K1342" s="14" t="s">
        <v>13474</v>
      </c>
      <c r="L1342" s="14" t="s">
        <v>13467</v>
      </c>
      <c r="O1342" s="14" t="s">
        <v>13475</v>
      </c>
      <c r="P1342" s="14" t="s">
        <v>13476</v>
      </c>
      <c r="Q1342" s="14">
        <v>416673.24</v>
      </c>
      <c r="R1342" s="14">
        <v>6191454.46</v>
      </c>
      <c r="S1342" s="14" t="s">
        <v>13477</v>
      </c>
      <c r="T1342" s="14" t="s">
        <v>13478</v>
      </c>
      <c r="U1342" s="14">
        <v>416647.83</v>
      </c>
      <c r="V1342" s="14">
        <v>6191458.4400000004</v>
      </c>
      <c r="W1342" s="14">
        <v>0.24</v>
      </c>
      <c r="X1342" s="14">
        <v>150.05000000000001</v>
      </c>
    </row>
    <row r="1343" spans="1:24" s="14" customFormat="1" x14ac:dyDescent="0.25">
      <c r="A1343" s="50">
        <v>45101</v>
      </c>
      <c r="B1343" s="57">
        <v>175</v>
      </c>
      <c r="C1343" s="36">
        <v>0.12618055555555555</v>
      </c>
      <c r="D1343" s="16" t="s">
        <v>175</v>
      </c>
      <c r="E1343" s="52" t="s">
        <v>65</v>
      </c>
      <c r="F1343" s="16" t="s">
        <v>8759</v>
      </c>
      <c r="G1343" s="16" t="s">
        <v>1902</v>
      </c>
      <c r="H1343" s="14">
        <v>-1.6E-2</v>
      </c>
      <c r="I1343" s="14" t="s">
        <v>13483</v>
      </c>
      <c r="J1343" s="14" t="s">
        <v>13484</v>
      </c>
      <c r="K1343" s="14" t="s">
        <v>13485</v>
      </c>
      <c r="L1343" s="14" t="s">
        <v>13486</v>
      </c>
      <c r="O1343" s="14" t="s">
        <v>13479</v>
      </c>
      <c r="P1343" s="14" t="s">
        <v>13480</v>
      </c>
      <c r="Q1343" s="14">
        <v>416683</v>
      </c>
      <c r="R1343" s="14">
        <v>6191466.29</v>
      </c>
      <c r="S1343" s="14" t="s">
        <v>13481</v>
      </c>
      <c r="T1343" s="14" t="s">
        <v>13482</v>
      </c>
      <c r="U1343" s="14">
        <v>416656.83</v>
      </c>
      <c r="V1343" s="14">
        <v>6191464.21</v>
      </c>
      <c r="W1343" s="14">
        <v>180.51</v>
      </c>
      <c r="X1343" s="14">
        <v>150.05000000000001</v>
      </c>
    </row>
    <row r="1344" spans="1:24" s="14" customFormat="1" x14ac:dyDescent="0.25">
      <c r="A1344" s="50">
        <v>45101</v>
      </c>
      <c r="B1344" s="57">
        <v>175</v>
      </c>
      <c r="C1344" s="36">
        <v>0.12965277777777778</v>
      </c>
      <c r="D1344" s="16" t="s">
        <v>175</v>
      </c>
      <c r="E1344" s="52" t="s">
        <v>70</v>
      </c>
      <c r="F1344" s="16" t="s">
        <v>8759</v>
      </c>
      <c r="G1344" s="16" t="s">
        <v>1902</v>
      </c>
      <c r="H1344" s="14">
        <v>0.16600000000000001</v>
      </c>
      <c r="I1344" s="14" t="s">
        <v>13483</v>
      </c>
      <c r="J1344" s="14" t="s">
        <v>13484</v>
      </c>
      <c r="K1344" s="14" t="s">
        <v>13485</v>
      </c>
      <c r="L1344" s="14" t="s">
        <v>13486</v>
      </c>
      <c r="O1344" s="14" t="s">
        <v>13487</v>
      </c>
      <c r="P1344" s="14" t="s">
        <v>13488</v>
      </c>
      <c r="Q1344" s="14">
        <v>416682.14</v>
      </c>
      <c r="R1344" s="14">
        <v>6191282.6699999999</v>
      </c>
      <c r="S1344" s="14" t="s">
        <v>13489</v>
      </c>
      <c r="T1344" s="14" t="s">
        <v>13490</v>
      </c>
      <c r="U1344" s="14">
        <v>416656.84</v>
      </c>
      <c r="V1344" s="14">
        <v>6191282.0800000001</v>
      </c>
      <c r="W1344" s="14">
        <v>180.04</v>
      </c>
      <c r="X1344" s="14">
        <v>150.05000000000001</v>
      </c>
    </row>
    <row r="1345" spans="1:24" s="14" customFormat="1" x14ac:dyDescent="0.25">
      <c r="A1345" s="50">
        <v>45101</v>
      </c>
      <c r="B1345" s="57">
        <v>175</v>
      </c>
      <c r="C1345" s="36">
        <v>0.13300925925925924</v>
      </c>
      <c r="D1345" s="16" t="s">
        <v>175</v>
      </c>
      <c r="E1345" s="52" t="s">
        <v>65</v>
      </c>
      <c r="F1345" s="16" t="s">
        <v>8759</v>
      </c>
      <c r="G1345" s="16" t="s">
        <v>1903</v>
      </c>
      <c r="H1345" s="14">
        <v>0.161</v>
      </c>
      <c r="I1345" s="14" t="s">
        <v>13495</v>
      </c>
      <c r="J1345" s="14" t="s">
        <v>13496</v>
      </c>
      <c r="K1345" s="14" t="s">
        <v>13497</v>
      </c>
      <c r="L1345" s="14" t="s">
        <v>13486</v>
      </c>
      <c r="O1345" s="14" t="s">
        <v>13491</v>
      </c>
      <c r="P1345" s="14" t="s">
        <v>13492</v>
      </c>
      <c r="Q1345" s="14">
        <v>416691.9</v>
      </c>
      <c r="R1345" s="14">
        <v>6191274.9699999997</v>
      </c>
      <c r="S1345" s="14" t="s">
        <v>13493</v>
      </c>
      <c r="T1345" s="14" t="s">
        <v>13494</v>
      </c>
      <c r="U1345" s="14">
        <v>416665.64</v>
      </c>
      <c r="V1345" s="14">
        <v>6191275.8399999999</v>
      </c>
      <c r="W1345" s="14">
        <v>7.0000000000000007E-2</v>
      </c>
      <c r="X1345" s="14">
        <v>150.05000000000001</v>
      </c>
    </row>
    <row r="1346" spans="1:24" s="14" customFormat="1" x14ac:dyDescent="0.25">
      <c r="A1346" s="50">
        <v>45101</v>
      </c>
      <c r="B1346" s="57">
        <v>175</v>
      </c>
      <c r="C1346" s="36">
        <v>0.13707175925925927</v>
      </c>
      <c r="D1346" s="16" t="s">
        <v>175</v>
      </c>
      <c r="E1346" s="52" t="s">
        <v>70</v>
      </c>
      <c r="F1346" s="16" t="s">
        <v>8759</v>
      </c>
      <c r="G1346" s="16" t="s">
        <v>1903</v>
      </c>
      <c r="H1346" s="14">
        <v>-2.1000000000000001E-2</v>
      </c>
      <c r="I1346" s="14" t="s">
        <v>13495</v>
      </c>
      <c r="J1346" s="14" t="s">
        <v>13496</v>
      </c>
      <c r="K1346" s="14" t="s">
        <v>13497</v>
      </c>
      <c r="L1346" s="14" t="s">
        <v>13502</v>
      </c>
      <c r="O1346" s="14" t="s">
        <v>13498</v>
      </c>
      <c r="P1346" s="14" t="s">
        <v>13499</v>
      </c>
      <c r="Q1346" s="14">
        <v>416692.36</v>
      </c>
      <c r="R1346" s="14">
        <v>6191455.5300000003</v>
      </c>
      <c r="S1346" s="14" t="s">
        <v>13500</v>
      </c>
      <c r="T1346" s="14" t="s">
        <v>13501</v>
      </c>
      <c r="U1346" s="14">
        <v>416665.73</v>
      </c>
      <c r="V1346" s="14">
        <v>6191458</v>
      </c>
      <c r="W1346" s="14">
        <v>358.64</v>
      </c>
      <c r="X1346" s="14">
        <v>150.05000000000001</v>
      </c>
    </row>
    <row r="1347" spans="1:24" s="14" customFormat="1" x14ac:dyDescent="0.25">
      <c r="A1347" s="50">
        <v>45101</v>
      </c>
      <c r="B1347" s="57">
        <v>175</v>
      </c>
      <c r="C1347" s="36">
        <v>0.14009259259259257</v>
      </c>
      <c r="D1347" s="16" t="s">
        <v>175</v>
      </c>
      <c r="E1347" s="52" t="s">
        <v>65</v>
      </c>
      <c r="F1347" s="16" t="s">
        <v>8759</v>
      </c>
      <c r="G1347" s="16" t="s">
        <v>1904</v>
      </c>
      <c r="H1347" s="14">
        <v>-1.6E-2</v>
      </c>
      <c r="I1347" s="14" t="s">
        <v>13507</v>
      </c>
      <c r="J1347" s="14" t="s">
        <v>13508</v>
      </c>
      <c r="K1347" s="14" t="s">
        <v>13509</v>
      </c>
      <c r="L1347" s="14" t="s">
        <v>13502</v>
      </c>
      <c r="O1347" s="14" t="s">
        <v>13503</v>
      </c>
      <c r="P1347" s="14" t="s">
        <v>13504</v>
      </c>
      <c r="Q1347" s="14">
        <v>416702.11</v>
      </c>
      <c r="R1347" s="14">
        <v>6191462.6299999999</v>
      </c>
      <c r="S1347" s="14" t="s">
        <v>13505</v>
      </c>
      <c r="T1347" s="14" t="s">
        <v>13506</v>
      </c>
      <c r="U1347" s="14">
        <v>416674.77</v>
      </c>
      <c r="V1347" s="14">
        <v>6191464.1200000001</v>
      </c>
      <c r="W1347" s="14">
        <v>180.71</v>
      </c>
      <c r="X1347" s="14">
        <v>150.05000000000001</v>
      </c>
    </row>
    <row r="1348" spans="1:24" s="14" customFormat="1" x14ac:dyDescent="0.25">
      <c r="A1348" s="50">
        <v>45101</v>
      </c>
      <c r="B1348" s="57">
        <v>175</v>
      </c>
      <c r="C1348" s="36">
        <v>0.14351851851851852</v>
      </c>
      <c r="D1348" s="16" t="s">
        <v>175</v>
      </c>
      <c r="E1348" s="52" t="s">
        <v>70</v>
      </c>
      <c r="F1348" s="16" t="s">
        <v>8759</v>
      </c>
      <c r="G1348" s="16" t="s">
        <v>1904</v>
      </c>
      <c r="H1348" s="14">
        <v>0.16600000000000001</v>
      </c>
      <c r="I1348" s="14" t="s">
        <v>13507</v>
      </c>
      <c r="J1348" s="14" t="s">
        <v>13508</v>
      </c>
      <c r="K1348" s="14" t="s">
        <v>13509</v>
      </c>
      <c r="L1348" s="14" t="s">
        <v>13502</v>
      </c>
      <c r="O1348" s="14" t="s">
        <v>13510</v>
      </c>
      <c r="P1348" s="14" t="s">
        <v>13511</v>
      </c>
      <c r="Q1348" s="14">
        <v>416700.18</v>
      </c>
      <c r="R1348" s="14">
        <v>6191282.5999999996</v>
      </c>
      <c r="S1348" s="14" t="s">
        <v>13512</v>
      </c>
      <c r="T1348" s="14" t="s">
        <v>13513</v>
      </c>
      <c r="U1348" s="14">
        <v>416674.71</v>
      </c>
      <c r="V1348" s="14">
        <v>6191282.5599999996</v>
      </c>
      <c r="W1348" s="14">
        <v>179.42</v>
      </c>
      <c r="X1348" s="14">
        <v>150.05000000000001</v>
      </c>
    </row>
    <row r="1349" spans="1:24" s="14" customFormat="1" x14ac:dyDescent="0.25">
      <c r="A1349" s="50">
        <v>45101</v>
      </c>
      <c r="B1349" s="57">
        <v>175</v>
      </c>
      <c r="C1349" s="36">
        <v>0.14680555555555555</v>
      </c>
      <c r="D1349" s="16" t="s">
        <v>175</v>
      </c>
      <c r="E1349" s="52" t="s">
        <v>65</v>
      </c>
      <c r="F1349" s="16" t="s">
        <v>8759</v>
      </c>
      <c r="G1349" s="16" t="s">
        <v>1905</v>
      </c>
      <c r="H1349" s="14">
        <v>0.158</v>
      </c>
      <c r="I1349" s="14" t="s">
        <v>13518</v>
      </c>
      <c r="J1349" s="14" t="s">
        <v>13519</v>
      </c>
      <c r="K1349" s="14" t="s">
        <v>13520</v>
      </c>
      <c r="L1349" s="14" t="s">
        <v>13521</v>
      </c>
      <c r="O1349" s="14" t="s">
        <v>13514</v>
      </c>
      <c r="P1349" s="14" t="s">
        <v>13515</v>
      </c>
      <c r="Q1349" s="14">
        <v>416709.53</v>
      </c>
      <c r="R1349" s="14">
        <v>6191271.7800000003</v>
      </c>
      <c r="S1349" s="14" t="s">
        <v>13516</v>
      </c>
      <c r="T1349" s="14" t="s">
        <v>13517</v>
      </c>
      <c r="U1349" s="14">
        <v>416683.73</v>
      </c>
      <c r="V1349" s="14">
        <v>6191278.8300000001</v>
      </c>
      <c r="W1349" s="14">
        <v>0.08</v>
      </c>
      <c r="X1349" s="14">
        <v>150.05000000000001</v>
      </c>
    </row>
    <row r="1350" spans="1:24" s="14" customFormat="1" x14ac:dyDescent="0.25">
      <c r="A1350" s="50">
        <v>45101</v>
      </c>
      <c r="B1350" s="57">
        <v>175</v>
      </c>
      <c r="C1350" s="36">
        <v>0.15085648148148148</v>
      </c>
      <c r="D1350" s="16" t="s">
        <v>175</v>
      </c>
      <c r="E1350" s="14" t="s">
        <v>70</v>
      </c>
      <c r="F1350" s="16" t="s">
        <v>8759</v>
      </c>
      <c r="G1350" s="16" t="s">
        <v>1905</v>
      </c>
      <c r="H1350" s="14">
        <v>-2.1000000000000001E-2</v>
      </c>
      <c r="I1350" s="14" t="s">
        <v>13518</v>
      </c>
      <c r="J1350" s="14" t="s">
        <v>13519</v>
      </c>
      <c r="K1350" s="14" t="s">
        <v>13520</v>
      </c>
      <c r="L1350" s="14" t="s">
        <v>13521</v>
      </c>
      <c r="O1350" s="14" t="s">
        <v>13522</v>
      </c>
      <c r="P1350" s="14" t="s">
        <v>13523</v>
      </c>
      <c r="Q1350" s="14">
        <v>416710</v>
      </c>
      <c r="R1350" s="14">
        <v>6191452.6600000001</v>
      </c>
      <c r="S1350" s="14" t="s">
        <v>13524</v>
      </c>
      <c r="T1350" s="14" t="s">
        <v>13525</v>
      </c>
      <c r="U1350" s="14">
        <v>416683.85</v>
      </c>
      <c r="V1350" s="14">
        <v>6191457.6799999997</v>
      </c>
      <c r="W1350" s="14">
        <v>358.59</v>
      </c>
      <c r="X1350" s="14">
        <v>150.05000000000001</v>
      </c>
    </row>
    <row r="1351" spans="1:24" s="14" customFormat="1" x14ac:dyDescent="0.25">
      <c r="A1351" s="50">
        <v>45101</v>
      </c>
      <c r="B1351" s="57">
        <v>175</v>
      </c>
      <c r="C1351" s="36">
        <v>0.15369212962962964</v>
      </c>
      <c r="D1351" s="16" t="s">
        <v>175</v>
      </c>
      <c r="E1351" s="14" t="s">
        <v>65</v>
      </c>
      <c r="F1351" s="16" t="s">
        <v>8759</v>
      </c>
      <c r="G1351" s="16" t="s">
        <v>1906</v>
      </c>
      <c r="H1351" s="14">
        <v>-1.6E-2</v>
      </c>
      <c r="I1351" s="14" t="s">
        <v>13530</v>
      </c>
      <c r="J1351" s="14" t="s">
        <v>13531</v>
      </c>
      <c r="K1351" s="14" t="s">
        <v>13532</v>
      </c>
      <c r="L1351" s="14" t="s">
        <v>13521</v>
      </c>
      <c r="O1351" s="14" t="s">
        <v>13526</v>
      </c>
      <c r="P1351" s="14" t="s">
        <v>13527</v>
      </c>
      <c r="Q1351" s="14">
        <v>416718.85</v>
      </c>
      <c r="R1351" s="14">
        <v>6191462.1500000004</v>
      </c>
      <c r="S1351" s="14" t="s">
        <v>13528</v>
      </c>
      <c r="T1351" s="14" t="s">
        <v>13529</v>
      </c>
      <c r="U1351" s="14">
        <v>416692.78</v>
      </c>
      <c r="V1351" s="14">
        <v>6191464.04</v>
      </c>
      <c r="W1351" s="14">
        <v>180.16</v>
      </c>
      <c r="X1351" s="14">
        <v>150.05000000000001</v>
      </c>
    </row>
    <row r="1352" spans="1:24" s="14" customFormat="1" x14ac:dyDescent="0.25">
      <c r="A1352" s="50">
        <v>45101</v>
      </c>
      <c r="B1352" s="57">
        <v>175</v>
      </c>
      <c r="C1352" s="36">
        <v>0.15709490740740742</v>
      </c>
      <c r="D1352" s="16" t="s">
        <v>175</v>
      </c>
      <c r="E1352" s="14" t="s">
        <v>70</v>
      </c>
      <c r="F1352" s="16" t="s">
        <v>8759</v>
      </c>
      <c r="G1352" s="16" t="s">
        <v>1906</v>
      </c>
      <c r="H1352" s="14">
        <v>0.16500000000000001</v>
      </c>
      <c r="I1352" s="14" t="s">
        <v>13530</v>
      </c>
      <c r="J1352" s="14" t="s">
        <v>13531</v>
      </c>
      <c r="K1352" s="14" t="s">
        <v>13532</v>
      </c>
      <c r="L1352" s="14" t="s">
        <v>13537</v>
      </c>
      <c r="O1352" s="14" t="s">
        <v>13533</v>
      </c>
      <c r="P1352" s="14" t="s">
        <v>13534</v>
      </c>
      <c r="Q1352" s="14">
        <v>416718.28</v>
      </c>
      <c r="R1352" s="14">
        <v>6191284.1399999997</v>
      </c>
      <c r="S1352" s="14" t="s">
        <v>13535</v>
      </c>
      <c r="T1352" s="14" t="s">
        <v>13536</v>
      </c>
      <c r="U1352" s="14">
        <v>416692.78</v>
      </c>
      <c r="V1352" s="14">
        <v>6191283.29</v>
      </c>
      <c r="W1352" s="14">
        <v>180.31</v>
      </c>
      <c r="X1352" s="14">
        <v>150.05000000000001</v>
      </c>
    </row>
    <row r="1353" spans="1:24" s="14" customFormat="1" x14ac:dyDescent="0.25">
      <c r="A1353" s="50">
        <v>45101</v>
      </c>
      <c r="B1353" s="57">
        <v>175</v>
      </c>
      <c r="C1353" s="36">
        <v>0.1615162037037037</v>
      </c>
      <c r="D1353" s="16" t="s">
        <v>175</v>
      </c>
      <c r="E1353" s="52" t="s">
        <v>13542</v>
      </c>
      <c r="F1353" s="16" t="s">
        <v>8759</v>
      </c>
      <c r="G1353" s="16" t="s">
        <v>1744</v>
      </c>
      <c r="H1353" s="14">
        <v>0.995</v>
      </c>
      <c r="O1353" s="14" t="s">
        <v>13538</v>
      </c>
      <c r="P1353" s="14" t="s">
        <v>13539</v>
      </c>
      <c r="Q1353" s="14">
        <v>416719.08</v>
      </c>
      <c r="R1353" s="14">
        <v>6191240.0099999998</v>
      </c>
      <c r="S1353" s="14" t="s">
        <v>13540</v>
      </c>
      <c r="T1353" s="14" t="s">
        <v>13541</v>
      </c>
      <c r="U1353" s="14">
        <v>416701.77</v>
      </c>
      <c r="V1353" s="14">
        <v>6191239.8700000001</v>
      </c>
      <c r="W1353" s="14">
        <v>258.88</v>
      </c>
      <c r="X1353" s="14">
        <v>200.06</v>
      </c>
    </row>
    <row r="1354" spans="1:24" s="14" customFormat="1" x14ac:dyDescent="0.25">
      <c r="A1354" s="50">
        <v>45101</v>
      </c>
      <c r="B1354" s="57">
        <v>175</v>
      </c>
      <c r="C1354" s="36">
        <v>0.17224537037037035</v>
      </c>
      <c r="D1354" s="16" t="s">
        <v>177</v>
      </c>
      <c r="E1354" s="52" t="s">
        <v>8597</v>
      </c>
      <c r="F1354" s="16" t="s">
        <v>8759</v>
      </c>
      <c r="G1354" s="16" t="s">
        <v>1744</v>
      </c>
      <c r="H1354" s="14">
        <v>0.251</v>
      </c>
      <c r="O1354" s="14" t="s">
        <v>13543</v>
      </c>
      <c r="P1354" s="14" t="s">
        <v>13544</v>
      </c>
      <c r="Q1354" s="14">
        <v>415551.41</v>
      </c>
      <c r="R1354" s="14">
        <v>6191980.6500000004</v>
      </c>
      <c r="S1354" s="14" t="s">
        <v>13545</v>
      </c>
      <c r="T1354" s="14" t="s">
        <v>13546</v>
      </c>
      <c r="U1354" s="14">
        <v>415540.62</v>
      </c>
      <c r="V1354" s="14">
        <v>6191982.7400000002</v>
      </c>
      <c r="W1354" s="14">
        <v>268.67</v>
      </c>
      <c r="X1354" s="14">
        <v>200.06</v>
      </c>
    </row>
    <row r="1355" spans="1:24" s="122" customFormat="1" x14ac:dyDescent="0.25">
      <c r="A1355" s="65">
        <v>45101</v>
      </c>
      <c r="B1355" s="106">
        <v>175</v>
      </c>
      <c r="C1355" s="67">
        <v>0.17524305555555555</v>
      </c>
      <c r="D1355" s="66" t="s">
        <v>177</v>
      </c>
      <c r="E1355" s="123" t="s">
        <v>13552</v>
      </c>
      <c r="F1355" s="66" t="s">
        <v>8759</v>
      </c>
      <c r="G1355" s="66" t="s">
        <v>1744</v>
      </c>
      <c r="H1355" s="122">
        <v>0.245</v>
      </c>
      <c r="M1355" s="122" t="s">
        <v>13547</v>
      </c>
      <c r="O1355" s="122" t="s">
        <v>13548</v>
      </c>
      <c r="P1355" s="122" t="s">
        <v>13549</v>
      </c>
      <c r="Q1355" s="122">
        <v>415552.71</v>
      </c>
      <c r="R1355" s="122">
        <v>6191982.3700000001</v>
      </c>
      <c r="S1355" s="122" t="s">
        <v>13550</v>
      </c>
      <c r="T1355" s="122" t="s">
        <v>13551</v>
      </c>
      <c r="U1355" s="122">
        <v>415534.88</v>
      </c>
      <c r="V1355" s="122">
        <v>6191988.46</v>
      </c>
      <c r="W1355" s="122">
        <v>268.24</v>
      </c>
      <c r="X1355" s="122">
        <v>200.06</v>
      </c>
    </row>
    <row r="1356" spans="1:24" s="14" customFormat="1" x14ac:dyDescent="0.25">
      <c r="A1356" s="50">
        <v>45101</v>
      </c>
      <c r="B1356" s="57">
        <v>175</v>
      </c>
      <c r="C1356" s="36">
        <v>0.17796296296296296</v>
      </c>
      <c r="D1356" s="16" t="s">
        <v>177</v>
      </c>
      <c r="E1356" s="52" t="s">
        <v>65</v>
      </c>
      <c r="F1356" s="16" t="s">
        <v>8759</v>
      </c>
      <c r="G1356" s="16" t="s">
        <v>1744</v>
      </c>
      <c r="H1356" s="14">
        <v>0.216</v>
      </c>
      <c r="I1356" s="14" t="s">
        <v>13557</v>
      </c>
      <c r="J1356" s="14" t="s">
        <v>13558</v>
      </c>
      <c r="K1356" s="14" t="s">
        <v>13559</v>
      </c>
      <c r="L1356" s="14" t="s">
        <v>13560</v>
      </c>
      <c r="O1356" s="14" t="s">
        <v>13553</v>
      </c>
      <c r="P1356" s="14" t="s">
        <v>13554</v>
      </c>
      <c r="Q1356" s="14">
        <v>415552.4</v>
      </c>
      <c r="R1356" s="14">
        <v>6192002.0800000001</v>
      </c>
      <c r="S1356" s="14" t="s">
        <v>13555</v>
      </c>
      <c r="T1356" s="14" t="s">
        <v>13556</v>
      </c>
      <c r="U1356" s="14">
        <v>415526.15</v>
      </c>
      <c r="V1356" s="14">
        <v>6192012.0300000003</v>
      </c>
      <c r="W1356" s="14">
        <v>0.52</v>
      </c>
      <c r="X1356" s="14">
        <v>200.06</v>
      </c>
    </row>
    <row r="1357" spans="1:24" s="14" customFormat="1" x14ac:dyDescent="0.25">
      <c r="A1357" s="50">
        <v>45101</v>
      </c>
      <c r="B1357" s="57">
        <v>175</v>
      </c>
      <c r="C1357" s="36">
        <v>0.18252314814814816</v>
      </c>
      <c r="D1357" s="16" t="s">
        <v>177</v>
      </c>
      <c r="E1357" s="52" t="s">
        <v>70</v>
      </c>
      <c r="F1357" s="16" t="s">
        <v>8759</v>
      </c>
      <c r="G1357" s="16" t="s">
        <v>1744</v>
      </c>
      <c r="H1357" s="14">
        <v>-1.9E-2</v>
      </c>
      <c r="I1357" s="14" t="s">
        <v>13557</v>
      </c>
      <c r="J1357" s="14" t="s">
        <v>13558</v>
      </c>
      <c r="K1357" s="14" t="s">
        <v>13559</v>
      </c>
      <c r="L1357" s="14" t="s">
        <v>13560</v>
      </c>
      <c r="O1357" s="14" t="s">
        <v>13561</v>
      </c>
      <c r="P1357" s="14" t="s">
        <v>13562</v>
      </c>
      <c r="Q1357" s="14">
        <v>415551.38</v>
      </c>
      <c r="R1357" s="14">
        <v>6192243.6399999997</v>
      </c>
      <c r="S1357" s="14" t="s">
        <v>13563</v>
      </c>
      <c r="T1357" s="14" t="s">
        <v>13564</v>
      </c>
      <c r="U1357" s="14">
        <v>415526.14</v>
      </c>
      <c r="V1357" s="14">
        <v>6192246.6399999997</v>
      </c>
      <c r="W1357" s="14">
        <v>359.59</v>
      </c>
      <c r="X1357" s="14">
        <v>200.06</v>
      </c>
    </row>
    <row r="1358" spans="1:24" s="14" customFormat="1" x14ac:dyDescent="0.25">
      <c r="A1358" s="50">
        <v>45101</v>
      </c>
      <c r="B1358" s="57">
        <v>175</v>
      </c>
      <c r="C1358" s="36">
        <v>0.18493055555555557</v>
      </c>
      <c r="D1358" s="16" t="s">
        <v>177</v>
      </c>
      <c r="E1358" s="52" t="s">
        <v>65</v>
      </c>
      <c r="F1358" s="16" t="s">
        <v>8759</v>
      </c>
      <c r="G1358" s="16" t="s">
        <v>1743</v>
      </c>
      <c r="H1358" s="14">
        <v>-1.4E-2</v>
      </c>
      <c r="I1358" s="14" t="s">
        <v>13569</v>
      </c>
      <c r="J1358" s="14" t="s">
        <v>13570</v>
      </c>
      <c r="K1358" s="14" t="s">
        <v>13571</v>
      </c>
      <c r="L1358" s="14" t="s">
        <v>13560</v>
      </c>
      <c r="O1358" s="14" t="s">
        <v>13565</v>
      </c>
      <c r="P1358" s="14" t="s">
        <v>13566</v>
      </c>
      <c r="Q1358" s="14">
        <v>415543.49</v>
      </c>
      <c r="R1358" s="14">
        <v>6192246.25</v>
      </c>
      <c r="S1358" s="14" t="s">
        <v>13567</v>
      </c>
      <c r="T1358" s="14" t="s">
        <v>13568</v>
      </c>
      <c r="U1358" s="14">
        <v>415516.89</v>
      </c>
      <c r="V1358" s="14">
        <v>6192252.4500000002</v>
      </c>
      <c r="W1358" s="14">
        <v>178.91</v>
      </c>
      <c r="X1358" s="14">
        <v>200.06</v>
      </c>
    </row>
    <row r="1359" spans="1:24" s="14" customFormat="1" x14ac:dyDescent="0.25">
      <c r="A1359" s="50">
        <v>45101</v>
      </c>
      <c r="B1359" s="57">
        <v>175</v>
      </c>
      <c r="C1359" s="36">
        <v>0.18939814814814815</v>
      </c>
      <c r="D1359" s="16" t="s">
        <v>177</v>
      </c>
      <c r="E1359" s="14" t="s">
        <v>70</v>
      </c>
      <c r="F1359" s="16" t="s">
        <v>8759</v>
      </c>
      <c r="G1359" s="16" t="s">
        <v>1743</v>
      </c>
      <c r="H1359" s="14">
        <v>0.22</v>
      </c>
      <c r="I1359" s="14" t="s">
        <v>13569</v>
      </c>
      <c r="J1359" s="14" t="s">
        <v>13570</v>
      </c>
      <c r="K1359" s="14" t="s">
        <v>13571</v>
      </c>
      <c r="L1359" s="14" t="s">
        <v>13576</v>
      </c>
      <c r="O1359" s="14" t="s">
        <v>13572</v>
      </c>
      <c r="P1359" s="14" t="s">
        <v>13573</v>
      </c>
      <c r="Q1359" s="14">
        <v>415543.91</v>
      </c>
      <c r="R1359" s="14">
        <v>6192011.1600000001</v>
      </c>
      <c r="S1359" s="14" t="s">
        <v>13574</v>
      </c>
      <c r="T1359" s="14" t="s">
        <v>13575</v>
      </c>
      <c r="U1359" s="14">
        <v>415517.07</v>
      </c>
      <c r="V1359" s="14">
        <v>6192018.7199999997</v>
      </c>
      <c r="W1359" s="14">
        <v>180.38</v>
      </c>
      <c r="X1359" s="14">
        <v>200.06</v>
      </c>
    </row>
    <row r="1360" spans="1:24" s="14" customFormat="1" x14ac:dyDescent="0.25">
      <c r="A1360" s="50">
        <v>45101</v>
      </c>
      <c r="B1360" s="57">
        <v>175</v>
      </c>
      <c r="C1360" s="36">
        <v>0.19185185185185186</v>
      </c>
      <c r="D1360" s="16" t="s">
        <v>177</v>
      </c>
      <c r="E1360" s="52" t="s">
        <v>65</v>
      </c>
      <c r="F1360" s="16" t="s">
        <v>8759</v>
      </c>
      <c r="G1360" s="16" t="s">
        <v>1742</v>
      </c>
      <c r="H1360" s="14">
        <v>0.216</v>
      </c>
      <c r="I1360" s="14" t="s">
        <v>13581</v>
      </c>
      <c r="J1360" s="14" t="s">
        <v>13582</v>
      </c>
      <c r="K1360" s="14" t="s">
        <v>13583</v>
      </c>
      <c r="L1360" s="14" t="s">
        <v>13576</v>
      </c>
      <c r="O1360" s="14" t="s">
        <v>13577</v>
      </c>
      <c r="P1360" s="14" t="s">
        <v>13578</v>
      </c>
      <c r="Q1360" s="14">
        <v>415533.73</v>
      </c>
      <c r="R1360" s="14">
        <v>6192005.4299999997</v>
      </c>
      <c r="S1360" s="14" t="s">
        <v>13579</v>
      </c>
      <c r="T1360" s="14" t="s">
        <v>13580</v>
      </c>
      <c r="U1360" s="14">
        <v>415508.08</v>
      </c>
      <c r="V1360" s="14">
        <v>6192011.7800000003</v>
      </c>
      <c r="W1360" s="14">
        <v>0.8</v>
      </c>
      <c r="X1360" s="14">
        <v>200.06</v>
      </c>
    </row>
    <row r="1361" spans="1:24" s="14" customFormat="1" x14ac:dyDescent="0.25">
      <c r="A1361" s="50">
        <v>45101</v>
      </c>
      <c r="B1361" s="57">
        <v>175</v>
      </c>
      <c r="C1361" s="36">
        <v>0.19635416666666669</v>
      </c>
      <c r="D1361" s="16" t="s">
        <v>177</v>
      </c>
      <c r="E1361" s="14" t="s">
        <v>70</v>
      </c>
      <c r="F1361" s="16" t="s">
        <v>8759</v>
      </c>
      <c r="G1361" s="16" t="s">
        <v>1742</v>
      </c>
      <c r="H1361" s="14">
        <v>-2.1999999999999999E-2</v>
      </c>
      <c r="I1361" s="14" t="s">
        <v>13581</v>
      </c>
      <c r="J1361" s="14" t="s">
        <v>13582</v>
      </c>
      <c r="K1361" s="14" t="s">
        <v>13583</v>
      </c>
      <c r="L1361" s="14" t="s">
        <v>13576</v>
      </c>
      <c r="O1361" s="14" t="s">
        <v>13584</v>
      </c>
      <c r="P1361" s="14" t="s">
        <v>13585</v>
      </c>
      <c r="Q1361" s="14">
        <v>415533.31</v>
      </c>
      <c r="R1361" s="14">
        <v>6192244.21</v>
      </c>
      <c r="S1361" s="14" t="s">
        <v>13586</v>
      </c>
      <c r="T1361" s="14" t="s">
        <v>13587</v>
      </c>
      <c r="U1361" s="14">
        <v>415508.11</v>
      </c>
      <c r="V1361" s="14">
        <v>6192249.1399999997</v>
      </c>
      <c r="W1361" s="14">
        <v>0.45</v>
      </c>
      <c r="X1361" s="14">
        <v>200.06</v>
      </c>
    </row>
    <row r="1362" spans="1:24" s="14" customFormat="1" x14ac:dyDescent="0.25">
      <c r="A1362" s="50">
        <v>45101</v>
      </c>
      <c r="B1362" s="57">
        <v>175</v>
      </c>
      <c r="C1362" s="36">
        <v>0.19880787037037037</v>
      </c>
      <c r="D1362" s="16" t="s">
        <v>177</v>
      </c>
      <c r="E1362" s="52" t="s">
        <v>65</v>
      </c>
      <c r="F1362" s="16" t="s">
        <v>8759</v>
      </c>
      <c r="G1362" s="16" t="s">
        <v>1741</v>
      </c>
      <c r="H1362" s="14">
        <v>-1.7000000000000001E-2</v>
      </c>
      <c r="I1362" s="14" t="s">
        <v>13592</v>
      </c>
      <c r="J1362" s="14" t="s">
        <v>13593</v>
      </c>
      <c r="K1362" s="14" t="s">
        <v>13594</v>
      </c>
      <c r="L1362" s="14" t="s">
        <v>13595</v>
      </c>
      <c r="O1362" s="14" t="s">
        <v>13588</v>
      </c>
      <c r="P1362" s="14" t="s">
        <v>13589</v>
      </c>
      <c r="Q1362" s="14">
        <v>415525.54</v>
      </c>
      <c r="R1362" s="14">
        <v>6192252.9699999997</v>
      </c>
      <c r="S1362" s="14" t="s">
        <v>13590</v>
      </c>
      <c r="T1362" s="14" t="s">
        <v>13591</v>
      </c>
      <c r="U1362" s="14">
        <v>415499.19</v>
      </c>
      <c r="V1362" s="14">
        <v>6192255.6600000001</v>
      </c>
      <c r="W1362" s="14">
        <v>181.15</v>
      </c>
      <c r="X1362" s="14">
        <v>200.06</v>
      </c>
    </row>
    <row r="1363" spans="1:24" s="14" customFormat="1" x14ac:dyDescent="0.25">
      <c r="A1363" s="50">
        <v>45101</v>
      </c>
      <c r="B1363" s="57">
        <v>175</v>
      </c>
      <c r="C1363" s="36">
        <v>0.20328703703703702</v>
      </c>
      <c r="D1363" s="16" t="s">
        <v>177</v>
      </c>
      <c r="E1363" s="52" t="s">
        <v>70</v>
      </c>
      <c r="F1363" s="16" t="s">
        <v>8759</v>
      </c>
      <c r="G1363" s="16" t="s">
        <v>1741</v>
      </c>
      <c r="H1363" s="14">
        <v>0.219</v>
      </c>
      <c r="I1363" s="14" t="s">
        <v>13592</v>
      </c>
      <c r="J1363" s="14" t="s">
        <v>13593</v>
      </c>
      <c r="K1363" s="14" t="s">
        <v>13594</v>
      </c>
      <c r="L1363" s="14" t="s">
        <v>13595</v>
      </c>
      <c r="O1363" s="14" t="s">
        <v>13596</v>
      </c>
      <c r="P1363" s="14" t="s">
        <v>13597</v>
      </c>
      <c r="Q1363" s="14">
        <v>415524.36</v>
      </c>
      <c r="R1363" s="14">
        <v>6192017.21</v>
      </c>
      <c r="S1363" s="14" t="s">
        <v>13598</v>
      </c>
      <c r="T1363" s="14" t="s">
        <v>13599</v>
      </c>
      <c r="U1363" s="14">
        <v>415499.09</v>
      </c>
      <c r="V1363" s="14">
        <v>6192019.4500000002</v>
      </c>
      <c r="W1363" s="14">
        <v>180.12</v>
      </c>
      <c r="X1363" s="14">
        <v>200.06</v>
      </c>
    </row>
    <row r="1364" spans="1:24" s="14" customFormat="1" x14ac:dyDescent="0.25">
      <c r="A1364" s="50">
        <v>45101</v>
      </c>
      <c r="B1364" s="57">
        <v>175</v>
      </c>
      <c r="C1364" s="36">
        <v>0.20511574074074077</v>
      </c>
      <c r="D1364" s="16" t="s">
        <v>177</v>
      </c>
      <c r="E1364" s="52" t="s">
        <v>65</v>
      </c>
      <c r="F1364" s="16" t="s">
        <v>8759</v>
      </c>
      <c r="G1364" s="16" t="s">
        <v>1740</v>
      </c>
      <c r="H1364" s="14">
        <v>0.215</v>
      </c>
      <c r="I1364" s="14" t="s">
        <v>13604</v>
      </c>
      <c r="J1364" s="14" t="s">
        <v>13605</v>
      </c>
      <c r="K1364" s="14" t="s">
        <v>13606</v>
      </c>
      <c r="L1364" s="14" t="s">
        <v>13595</v>
      </c>
      <c r="O1364" s="14" t="s">
        <v>13600</v>
      </c>
      <c r="P1364" s="14" t="s">
        <v>13601</v>
      </c>
      <c r="Q1364" s="14">
        <v>415515.89</v>
      </c>
      <c r="R1364" s="14">
        <v>6192005.1900000004</v>
      </c>
      <c r="S1364" s="14" t="s">
        <v>13602</v>
      </c>
      <c r="T1364" s="14" t="s">
        <v>13603</v>
      </c>
      <c r="U1364" s="14">
        <v>415489.83</v>
      </c>
      <c r="V1364" s="14">
        <v>6192012.25</v>
      </c>
      <c r="W1364" s="14">
        <v>1.29</v>
      </c>
      <c r="X1364" s="14">
        <v>200.06</v>
      </c>
    </row>
    <row r="1365" spans="1:24" s="14" customFormat="1" x14ac:dyDescent="0.25">
      <c r="A1365" s="50">
        <v>45101</v>
      </c>
      <c r="B1365" s="57">
        <v>175</v>
      </c>
      <c r="C1365" s="36">
        <v>0.20966435185185184</v>
      </c>
      <c r="D1365" s="16" t="s">
        <v>177</v>
      </c>
      <c r="E1365" s="52" t="s">
        <v>70</v>
      </c>
      <c r="F1365" s="16" t="s">
        <v>8759</v>
      </c>
      <c r="G1365" s="16" t="s">
        <v>1740</v>
      </c>
      <c r="H1365" s="14">
        <v>-2.1000000000000001E-2</v>
      </c>
      <c r="I1365" s="14" t="s">
        <v>13604</v>
      </c>
      <c r="J1365" s="14" t="s">
        <v>13605</v>
      </c>
      <c r="K1365" s="14" t="s">
        <v>13606</v>
      </c>
      <c r="L1365" s="14" t="s">
        <v>13611</v>
      </c>
      <c r="O1365" s="14" t="s">
        <v>13607</v>
      </c>
      <c r="P1365" s="14" t="s">
        <v>13608</v>
      </c>
      <c r="Q1365" s="14">
        <v>415516.14</v>
      </c>
      <c r="R1365" s="14">
        <v>6192243.9199999999</v>
      </c>
      <c r="S1365" s="14" t="s">
        <v>13609</v>
      </c>
      <c r="T1365" s="14" t="s">
        <v>13610</v>
      </c>
      <c r="U1365" s="14">
        <v>415490.16</v>
      </c>
      <c r="V1365" s="14">
        <v>6192248.3099999996</v>
      </c>
      <c r="W1365" s="14">
        <v>359.84</v>
      </c>
      <c r="X1365" s="14">
        <v>200.06</v>
      </c>
    </row>
    <row r="1366" spans="1:24" s="14" customFormat="1" x14ac:dyDescent="0.25">
      <c r="A1366" s="50">
        <v>45101</v>
      </c>
      <c r="B1366" s="57">
        <v>175</v>
      </c>
      <c r="C1366" s="36">
        <v>0.21233796296296295</v>
      </c>
      <c r="D1366" s="16" t="s">
        <v>177</v>
      </c>
      <c r="E1366" s="14" t="s">
        <v>65</v>
      </c>
      <c r="F1366" s="16" t="s">
        <v>8759</v>
      </c>
      <c r="G1366" s="16" t="s">
        <v>1739</v>
      </c>
      <c r="H1366" s="14">
        <v>-1.4999999999999999E-2</v>
      </c>
      <c r="I1366" s="14" t="s">
        <v>13616</v>
      </c>
      <c r="J1366" s="14" t="s">
        <v>13617</v>
      </c>
      <c r="K1366" s="14" t="s">
        <v>13618</v>
      </c>
      <c r="L1366" s="14" t="s">
        <v>13611</v>
      </c>
      <c r="O1366" s="14" t="s">
        <v>13612</v>
      </c>
      <c r="P1366" s="14" t="s">
        <v>13613</v>
      </c>
      <c r="Q1366" s="14">
        <v>415508.24</v>
      </c>
      <c r="R1366" s="14">
        <v>6192249.7800000003</v>
      </c>
      <c r="S1366" s="14" t="s">
        <v>13614</v>
      </c>
      <c r="T1366" s="14" t="s">
        <v>13615</v>
      </c>
      <c r="U1366" s="14">
        <v>415481.16</v>
      </c>
      <c r="V1366" s="14">
        <v>6192253.8799999999</v>
      </c>
      <c r="W1366" s="14">
        <v>180.71</v>
      </c>
      <c r="X1366" s="14">
        <v>200.06</v>
      </c>
    </row>
    <row r="1367" spans="1:24" s="14" customFormat="1" x14ac:dyDescent="0.25">
      <c r="A1367" s="50">
        <v>45101</v>
      </c>
      <c r="B1367" s="57">
        <v>175</v>
      </c>
      <c r="C1367" s="36">
        <v>0.21692129629629631</v>
      </c>
      <c r="D1367" s="16" t="s">
        <v>177</v>
      </c>
      <c r="E1367" s="14" t="s">
        <v>70</v>
      </c>
      <c r="F1367" s="16" t="s">
        <v>8759</v>
      </c>
      <c r="G1367" s="16" t="s">
        <v>1739</v>
      </c>
      <c r="H1367" s="14">
        <v>0.22700000000000001</v>
      </c>
      <c r="I1367" s="14" t="s">
        <v>13616</v>
      </c>
      <c r="J1367" s="14" t="s">
        <v>13617</v>
      </c>
      <c r="K1367" s="14" t="s">
        <v>13618</v>
      </c>
      <c r="L1367" s="14" t="s">
        <v>13611</v>
      </c>
      <c r="O1367" s="14" t="s">
        <v>13619</v>
      </c>
      <c r="P1367" s="14" t="s">
        <v>13620</v>
      </c>
      <c r="Q1367" s="14">
        <v>415506.62</v>
      </c>
      <c r="R1367" s="14">
        <v>6192008.2400000002</v>
      </c>
      <c r="S1367" s="14" t="s">
        <v>13621</v>
      </c>
      <c r="T1367" s="14" t="s">
        <v>13622</v>
      </c>
      <c r="U1367" s="14">
        <v>415481.07</v>
      </c>
      <c r="V1367" s="14">
        <v>6192011.3799999999</v>
      </c>
      <c r="W1367" s="14">
        <v>179.75</v>
      </c>
      <c r="X1367" s="14">
        <v>200.06</v>
      </c>
    </row>
    <row r="1368" spans="1:24" s="14" customFormat="1" x14ac:dyDescent="0.25">
      <c r="A1368" s="50">
        <v>45101</v>
      </c>
      <c r="B1368" s="57">
        <v>175</v>
      </c>
      <c r="C1368" s="36">
        <v>0.21960648148148146</v>
      </c>
      <c r="D1368" s="16" t="s">
        <v>177</v>
      </c>
      <c r="E1368" s="14" t="s">
        <v>65</v>
      </c>
      <c r="F1368" s="16" t="s">
        <v>8759</v>
      </c>
      <c r="G1368" s="16" t="s">
        <v>1738</v>
      </c>
      <c r="H1368" s="14">
        <v>0.20799999999999999</v>
      </c>
      <c r="I1368" s="14" t="s">
        <v>13627</v>
      </c>
      <c r="J1368" s="14" t="s">
        <v>13628</v>
      </c>
      <c r="K1368" s="14" t="s">
        <v>13629</v>
      </c>
      <c r="L1368" s="14" t="s">
        <v>13630</v>
      </c>
      <c r="O1368" s="14" t="s">
        <v>13623</v>
      </c>
      <c r="P1368" s="14" t="s">
        <v>13624</v>
      </c>
      <c r="Q1368" s="14">
        <v>415498.17</v>
      </c>
      <c r="R1368" s="14">
        <v>6192016.4400000004</v>
      </c>
      <c r="S1368" s="14" t="s">
        <v>13625</v>
      </c>
      <c r="T1368" s="14" t="s">
        <v>13626</v>
      </c>
      <c r="U1368" s="14">
        <v>415472.09</v>
      </c>
      <c r="V1368" s="14">
        <v>6192019.8200000003</v>
      </c>
      <c r="W1368" s="14">
        <v>0.24</v>
      </c>
      <c r="X1368" s="14">
        <v>200.06</v>
      </c>
    </row>
    <row r="1369" spans="1:24" s="14" customFormat="1" x14ac:dyDescent="0.25">
      <c r="A1369" s="50">
        <v>45101</v>
      </c>
      <c r="B1369" s="57">
        <v>175</v>
      </c>
      <c r="C1369" s="36">
        <v>0.22390046296296295</v>
      </c>
      <c r="D1369" s="16" t="s">
        <v>177</v>
      </c>
      <c r="E1369" s="14" t="s">
        <v>70</v>
      </c>
      <c r="F1369" s="16" t="s">
        <v>8759</v>
      </c>
      <c r="G1369" s="16" t="s">
        <v>1738</v>
      </c>
      <c r="H1369" s="14">
        <v>-1.9E-2</v>
      </c>
      <c r="I1369" s="14" t="s">
        <v>13627</v>
      </c>
      <c r="J1369" s="14" t="s">
        <v>13628</v>
      </c>
      <c r="K1369" s="14" t="s">
        <v>13629</v>
      </c>
      <c r="L1369" s="14" t="s">
        <v>13630</v>
      </c>
      <c r="O1369" s="14" t="s">
        <v>13631</v>
      </c>
      <c r="P1369" s="14" t="s">
        <v>13632</v>
      </c>
      <c r="Q1369" s="14">
        <v>415498.25</v>
      </c>
      <c r="R1369" s="14">
        <v>6192244.9100000001</v>
      </c>
      <c r="S1369" s="14" t="s">
        <v>13633</v>
      </c>
      <c r="T1369" s="14" t="s">
        <v>13634</v>
      </c>
      <c r="U1369" s="14">
        <v>415472.1</v>
      </c>
      <c r="V1369" s="14">
        <v>6192246.3600000003</v>
      </c>
      <c r="W1369" s="14">
        <v>359.84</v>
      </c>
      <c r="X1369" s="14">
        <v>200.06</v>
      </c>
    </row>
    <row r="1370" spans="1:24" s="14" customFormat="1" x14ac:dyDescent="0.25">
      <c r="A1370" s="50">
        <v>45101</v>
      </c>
      <c r="B1370" s="57">
        <v>175</v>
      </c>
      <c r="C1370" s="36">
        <v>0.22644675925925925</v>
      </c>
      <c r="D1370" s="16" t="s">
        <v>177</v>
      </c>
      <c r="E1370" s="14" t="s">
        <v>65</v>
      </c>
      <c r="F1370" s="16" t="s">
        <v>8759</v>
      </c>
      <c r="G1370" s="16" t="s">
        <v>1737</v>
      </c>
      <c r="H1370" s="14">
        <v>-1.6E-2</v>
      </c>
      <c r="I1370" s="14" t="s">
        <v>13639</v>
      </c>
      <c r="J1370" s="14" t="s">
        <v>13640</v>
      </c>
      <c r="K1370" s="14" t="s">
        <v>13641</v>
      </c>
      <c r="L1370" s="14" t="s">
        <v>13630</v>
      </c>
      <c r="O1370" s="14" t="s">
        <v>13635</v>
      </c>
      <c r="P1370" s="14" t="s">
        <v>13636</v>
      </c>
      <c r="Q1370" s="14">
        <v>415490.22</v>
      </c>
      <c r="R1370" s="14">
        <v>6192251.96</v>
      </c>
      <c r="S1370" s="14" t="s">
        <v>13637</v>
      </c>
      <c r="T1370" s="14" t="s">
        <v>13638</v>
      </c>
      <c r="U1370" s="14">
        <v>415463.14</v>
      </c>
      <c r="V1370" s="14">
        <v>6192254.3399999999</v>
      </c>
      <c r="W1370" s="14">
        <v>180.35</v>
      </c>
      <c r="X1370" s="14">
        <v>200.06</v>
      </c>
    </row>
    <row r="1371" spans="1:24" s="14" customFormat="1" x14ac:dyDescent="0.25">
      <c r="A1371" s="50">
        <v>45101</v>
      </c>
      <c r="B1371" s="57">
        <v>175</v>
      </c>
      <c r="C1371" s="36">
        <v>0.23086805555555556</v>
      </c>
      <c r="D1371" s="16" t="s">
        <v>177</v>
      </c>
      <c r="E1371" s="14" t="s">
        <v>70</v>
      </c>
      <c r="F1371" s="16" t="s">
        <v>8759</v>
      </c>
      <c r="G1371" s="16" t="s">
        <v>1737</v>
      </c>
      <c r="H1371" s="14">
        <v>0.218</v>
      </c>
      <c r="I1371" s="14" t="s">
        <v>13639</v>
      </c>
      <c r="J1371" s="14" t="s">
        <v>13640</v>
      </c>
      <c r="K1371" s="14" t="s">
        <v>13641</v>
      </c>
      <c r="L1371" s="14" t="s">
        <v>13646</v>
      </c>
      <c r="O1371" s="14" t="s">
        <v>13642</v>
      </c>
      <c r="P1371" s="14" t="s">
        <v>13643</v>
      </c>
      <c r="Q1371" s="14">
        <v>415488.27</v>
      </c>
      <c r="R1371" s="14">
        <v>6192019.0800000001</v>
      </c>
      <c r="S1371" s="14" t="s">
        <v>13644</v>
      </c>
      <c r="T1371" s="14" t="s">
        <v>13645</v>
      </c>
      <c r="U1371" s="14">
        <v>415463.1</v>
      </c>
      <c r="V1371" s="14">
        <v>6192020.5999999996</v>
      </c>
      <c r="W1371" s="14">
        <v>179.52</v>
      </c>
      <c r="X1371" s="14">
        <v>200.06</v>
      </c>
    </row>
    <row r="1372" spans="1:24" s="14" customFormat="1" x14ac:dyDescent="0.25">
      <c r="A1372" s="50">
        <v>45101</v>
      </c>
      <c r="B1372" s="57">
        <v>175</v>
      </c>
      <c r="C1372" s="36">
        <v>0.23278935185185187</v>
      </c>
      <c r="D1372" s="16" t="s">
        <v>177</v>
      </c>
      <c r="E1372" s="52" t="s">
        <v>65</v>
      </c>
      <c r="F1372" s="16" t="s">
        <v>8759</v>
      </c>
      <c r="G1372" s="16" t="s">
        <v>1726</v>
      </c>
      <c r="H1372" s="14">
        <v>0.215</v>
      </c>
      <c r="I1372" s="14" t="s">
        <v>13651</v>
      </c>
      <c r="J1372" s="14" t="s">
        <v>13652</v>
      </c>
      <c r="K1372" s="14" t="s">
        <v>13653</v>
      </c>
      <c r="L1372" s="14" t="s">
        <v>13646</v>
      </c>
      <c r="O1372" s="14" t="s">
        <v>13647</v>
      </c>
      <c r="P1372" s="14" t="s">
        <v>13648</v>
      </c>
      <c r="Q1372" s="14">
        <v>415479.99</v>
      </c>
      <c r="R1372" s="14">
        <v>6192008.2999999998</v>
      </c>
      <c r="S1372" s="14" t="s">
        <v>13649</v>
      </c>
      <c r="T1372" s="14" t="s">
        <v>13650</v>
      </c>
      <c r="U1372" s="14">
        <v>415454.12</v>
      </c>
      <c r="V1372" s="14">
        <v>6192012.8700000001</v>
      </c>
      <c r="W1372" s="14">
        <v>0.78</v>
      </c>
      <c r="X1372" s="14">
        <v>200.06</v>
      </c>
    </row>
    <row r="1373" spans="1:24" s="14" customFormat="1" x14ac:dyDescent="0.25">
      <c r="A1373" s="50">
        <v>45101</v>
      </c>
      <c r="B1373" s="57">
        <v>175</v>
      </c>
      <c r="C1373" s="36">
        <v>0.23722222222222222</v>
      </c>
      <c r="D1373" s="16" t="s">
        <v>177</v>
      </c>
      <c r="E1373" s="52" t="s">
        <v>70</v>
      </c>
      <c r="F1373" s="16" t="s">
        <v>8759</v>
      </c>
      <c r="G1373" s="16" t="s">
        <v>1726</v>
      </c>
      <c r="H1373" s="14">
        <v>-1.7999999999999999E-2</v>
      </c>
      <c r="I1373" s="14" t="s">
        <v>13651</v>
      </c>
      <c r="J1373" s="14" t="s">
        <v>13652</v>
      </c>
      <c r="K1373" s="14" t="s">
        <v>13653</v>
      </c>
      <c r="L1373" s="14" t="s">
        <v>13646</v>
      </c>
      <c r="O1373" s="14" t="s">
        <v>13654</v>
      </c>
      <c r="P1373" s="14" t="s">
        <v>13655</v>
      </c>
      <c r="Q1373" s="14">
        <v>415480.09</v>
      </c>
      <c r="R1373" s="14">
        <v>6192241.0199999996</v>
      </c>
      <c r="S1373" s="14" t="s">
        <v>13656</v>
      </c>
      <c r="T1373" s="14" t="s">
        <v>13657</v>
      </c>
      <c r="U1373" s="14">
        <v>415454.09</v>
      </c>
      <c r="V1373" s="14">
        <v>6192245.8499999996</v>
      </c>
      <c r="W1373" s="14">
        <v>0.6</v>
      </c>
      <c r="X1373" s="14">
        <v>200.06</v>
      </c>
    </row>
    <row r="1374" spans="1:24" s="14" customFormat="1" x14ac:dyDescent="0.25">
      <c r="A1374" s="50">
        <v>45101</v>
      </c>
      <c r="B1374" s="57">
        <v>175</v>
      </c>
      <c r="C1374" s="36">
        <v>0.23939814814814817</v>
      </c>
      <c r="D1374" s="16" t="s">
        <v>177</v>
      </c>
      <c r="E1374" s="52" t="s">
        <v>65</v>
      </c>
      <c r="F1374" s="16" t="s">
        <v>8759</v>
      </c>
      <c r="G1374" s="16" t="s">
        <v>1727</v>
      </c>
      <c r="H1374" s="14">
        <v>-1.4E-2</v>
      </c>
      <c r="I1374" s="14" t="s">
        <v>13662</v>
      </c>
      <c r="J1374" s="14" t="s">
        <v>13663</v>
      </c>
      <c r="K1374" s="14" t="s">
        <v>13664</v>
      </c>
      <c r="L1374" s="14" t="s">
        <v>13665</v>
      </c>
      <c r="O1374" s="14" t="s">
        <v>13658</v>
      </c>
      <c r="P1374" s="14" t="s">
        <v>13659</v>
      </c>
      <c r="Q1374" s="14">
        <v>415472.55</v>
      </c>
      <c r="R1374" s="14">
        <v>6192250.5800000001</v>
      </c>
      <c r="S1374" s="14" t="s">
        <v>13660</v>
      </c>
      <c r="T1374" s="14" t="s">
        <v>13661</v>
      </c>
      <c r="U1374" s="14">
        <v>415445.31</v>
      </c>
      <c r="V1374" s="14">
        <v>6192252.4299999997</v>
      </c>
      <c r="W1374" s="14">
        <v>181.42</v>
      </c>
      <c r="X1374" s="14">
        <v>200.06</v>
      </c>
    </row>
    <row r="1375" spans="1:24" s="14" customFormat="1" x14ac:dyDescent="0.25">
      <c r="A1375" s="50">
        <v>45101</v>
      </c>
      <c r="B1375" s="57">
        <v>175</v>
      </c>
      <c r="C1375" s="36">
        <v>0.24380787037037036</v>
      </c>
      <c r="D1375" s="16" t="s">
        <v>177</v>
      </c>
      <c r="E1375" s="52" t="s">
        <v>70</v>
      </c>
      <c r="F1375" s="16" t="s">
        <v>8759</v>
      </c>
      <c r="G1375" s="16" t="s">
        <v>1727</v>
      </c>
      <c r="H1375" s="14">
        <v>0.22</v>
      </c>
      <c r="I1375" s="14" t="s">
        <v>13662</v>
      </c>
      <c r="J1375" s="14" t="s">
        <v>13663</v>
      </c>
      <c r="K1375" s="14" t="s">
        <v>13664</v>
      </c>
      <c r="L1375" s="14" t="s">
        <v>13665</v>
      </c>
      <c r="O1375" s="14" t="s">
        <v>13666</v>
      </c>
      <c r="P1375" s="14" t="s">
        <v>13667</v>
      </c>
      <c r="Q1375" s="14">
        <v>415470.24</v>
      </c>
      <c r="R1375" s="14">
        <v>6192019.0999999996</v>
      </c>
      <c r="S1375" s="14" t="s">
        <v>13668</v>
      </c>
      <c r="T1375" s="14" t="s">
        <v>13669</v>
      </c>
      <c r="U1375" s="14">
        <v>415445.16</v>
      </c>
      <c r="V1375" s="14">
        <v>6192019.2000000002</v>
      </c>
      <c r="W1375" s="14">
        <v>180.04</v>
      </c>
      <c r="X1375" s="14">
        <v>200.06</v>
      </c>
    </row>
    <row r="1376" spans="1:24" s="14" customFormat="1" x14ac:dyDescent="0.25">
      <c r="A1376" s="50">
        <v>45101</v>
      </c>
      <c r="B1376" s="57">
        <v>175</v>
      </c>
      <c r="C1376" s="36">
        <v>0.24591435185185184</v>
      </c>
      <c r="D1376" s="16" t="s">
        <v>177</v>
      </c>
      <c r="E1376" s="52" t="s">
        <v>65</v>
      </c>
      <c r="F1376" s="16" t="s">
        <v>8759</v>
      </c>
      <c r="G1376" s="16" t="s">
        <v>1730</v>
      </c>
      <c r="H1376" s="14">
        <v>0.215</v>
      </c>
      <c r="I1376" s="14" t="s">
        <v>13674</v>
      </c>
      <c r="J1376" s="14" t="s">
        <v>13675</v>
      </c>
      <c r="K1376" s="14" t="s">
        <v>13676</v>
      </c>
      <c r="L1376" s="14" t="s">
        <v>13665</v>
      </c>
      <c r="O1376" s="14" t="s">
        <v>13670</v>
      </c>
      <c r="P1376" s="14" t="s">
        <v>13671</v>
      </c>
      <c r="Q1376" s="14">
        <v>415461.9</v>
      </c>
      <c r="R1376" s="14">
        <v>6192008.5599999996</v>
      </c>
      <c r="S1376" s="14" t="s">
        <v>13672</v>
      </c>
      <c r="T1376" s="14" t="s">
        <v>13673</v>
      </c>
      <c r="U1376" s="14">
        <v>415436.08</v>
      </c>
      <c r="V1376" s="14">
        <v>6192012.3899999997</v>
      </c>
      <c r="W1376" s="14">
        <v>1.43</v>
      </c>
      <c r="X1376" s="14">
        <v>200.06</v>
      </c>
    </row>
    <row r="1377" spans="1:24" s="14" customFormat="1" x14ac:dyDescent="0.25">
      <c r="A1377" s="50">
        <v>45101</v>
      </c>
      <c r="B1377" s="57">
        <v>175</v>
      </c>
      <c r="C1377" s="36">
        <v>0.25035879629629626</v>
      </c>
      <c r="D1377" s="16" t="s">
        <v>177</v>
      </c>
      <c r="E1377" s="52" t="s">
        <v>70</v>
      </c>
      <c r="F1377" s="16" t="s">
        <v>8759</v>
      </c>
      <c r="G1377" s="16" t="s">
        <v>1730</v>
      </c>
      <c r="H1377" s="14">
        <v>-1.9E-2</v>
      </c>
      <c r="I1377" s="14" t="s">
        <v>13674</v>
      </c>
      <c r="J1377" s="14" t="s">
        <v>13675</v>
      </c>
      <c r="K1377" s="14" t="s">
        <v>13676</v>
      </c>
      <c r="L1377" s="14" t="s">
        <v>13681</v>
      </c>
      <c r="O1377" s="14" t="s">
        <v>13677</v>
      </c>
      <c r="P1377" s="14" t="s">
        <v>13678</v>
      </c>
      <c r="Q1377" s="14">
        <v>415462.27</v>
      </c>
      <c r="R1377" s="14">
        <v>6192242.5</v>
      </c>
      <c r="S1377" s="14" t="s">
        <v>13679</v>
      </c>
      <c r="T1377" s="14" t="s">
        <v>13680</v>
      </c>
      <c r="U1377" s="14">
        <v>415436.11</v>
      </c>
      <c r="V1377" s="14">
        <v>6192246.8700000001</v>
      </c>
      <c r="W1377" s="14">
        <v>359.68</v>
      </c>
      <c r="X1377" s="14">
        <v>200.06</v>
      </c>
    </row>
    <row r="1378" spans="1:24" s="14" customFormat="1" x14ac:dyDescent="0.25">
      <c r="A1378" s="50">
        <v>45101</v>
      </c>
      <c r="B1378" s="57">
        <v>175</v>
      </c>
      <c r="C1378" s="36">
        <v>0.25268518518518518</v>
      </c>
      <c r="D1378" s="16" t="s">
        <v>177</v>
      </c>
      <c r="E1378" s="52" t="s">
        <v>65</v>
      </c>
      <c r="F1378" s="16" t="s">
        <v>8759</v>
      </c>
      <c r="G1378" s="16" t="s">
        <v>1731</v>
      </c>
      <c r="H1378" s="14">
        <v>-1.4999999999999999E-2</v>
      </c>
      <c r="I1378" s="14" t="s">
        <v>13686</v>
      </c>
      <c r="J1378" s="14" t="s">
        <v>13687</v>
      </c>
      <c r="K1378" s="14" t="s">
        <v>13688</v>
      </c>
      <c r="L1378" s="14" t="s">
        <v>13681</v>
      </c>
      <c r="O1378" s="14" t="s">
        <v>13682</v>
      </c>
      <c r="P1378" s="14" t="s">
        <v>13683</v>
      </c>
      <c r="Q1378" s="14">
        <v>415452.87</v>
      </c>
      <c r="R1378" s="14">
        <v>6192252</v>
      </c>
      <c r="S1378" s="14" t="s">
        <v>13684</v>
      </c>
      <c r="T1378" s="14" t="s">
        <v>13685</v>
      </c>
      <c r="U1378" s="14">
        <v>415427.04</v>
      </c>
      <c r="V1378" s="14">
        <v>6192253.1900000004</v>
      </c>
      <c r="W1378" s="14">
        <v>180.41</v>
      </c>
      <c r="X1378" s="14">
        <v>200.06</v>
      </c>
    </row>
    <row r="1379" spans="1:24" s="14" customFormat="1" x14ac:dyDescent="0.25">
      <c r="A1379" s="50">
        <v>45101</v>
      </c>
      <c r="B1379" s="57">
        <v>175</v>
      </c>
      <c r="C1379" s="36">
        <v>0.25717592592592592</v>
      </c>
      <c r="D1379" s="16" t="s">
        <v>177</v>
      </c>
      <c r="E1379" s="52" t="s">
        <v>70</v>
      </c>
      <c r="F1379" s="16" t="s">
        <v>8759</v>
      </c>
      <c r="G1379" s="16" t="s">
        <v>1731</v>
      </c>
      <c r="H1379" s="14">
        <v>0.221</v>
      </c>
      <c r="I1379" s="14" t="s">
        <v>13686</v>
      </c>
      <c r="J1379" s="14" t="s">
        <v>13687</v>
      </c>
      <c r="K1379" s="14" t="s">
        <v>13688</v>
      </c>
      <c r="L1379" s="14" t="s">
        <v>13681</v>
      </c>
      <c r="O1379" s="14" t="s">
        <v>13689</v>
      </c>
      <c r="P1379" s="14" t="s">
        <v>13690</v>
      </c>
      <c r="Q1379" s="14">
        <v>415451.34</v>
      </c>
      <c r="R1379" s="14">
        <v>6192017.2400000002</v>
      </c>
      <c r="S1379" s="14" t="s">
        <v>13691</v>
      </c>
      <c r="T1379" s="14" t="s">
        <v>13692</v>
      </c>
      <c r="U1379" s="14">
        <v>415427.09</v>
      </c>
      <c r="V1379" s="14">
        <v>6192017.8899999997</v>
      </c>
      <c r="W1379" s="14">
        <v>180.09</v>
      </c>
      <c r="X1379" s="14">
        <v>200.06</v>
      </c>
    </row>
    <row r="1380" spans="1:24" s="14" customFormat="1" x14ac:dyDescent="0.25">
      <c r="A1380" s="50">
        <v>45101</v>
      </c>
      <c r="B1380" s="57">
        <v>175</v>
      </c>
      <c r="C1380" s="36">
        <v>0.25930555555555557</v>
      </c>
      <c r="D1380" s="16" t="s">
        <v>177</v>
      </c>
      <c r="E1380" s="52" t="s">
        <v>65</v>
      </c>
      <c r="F1380" s="16" t="s">
        <v>8759</v>
      </c>
      <c r="G1380" s="16" t="s">
        <v>1732</v>
      </c>
      <c r="H1380" s="14">
        <v>0.21299999999999999</v>
      </c>
      <c r="I1380" s="14" t="s">
        <v>13697</v>
      </c>
      <c r="J1380" s="14" t="s">
        <v>13698</v>
      </c>
      <c r="K1380" s="14" t="s">
        <v>13699</v>
      </c>
      <c r="L1380" s="14" t="s">
        <v>13681</v>
      </c>
      <c r="O1380" s="14" t="s">
        <v>13693</v>
      </c>
      <c r="P1380" s="14" t="s">
        <v>13694</v>
      </c>
      <c r="Q1380" s="14">
        <v>415443.74</v>
      </c>
      <c r="R1380" s="14">
        <v>6192014.9500000002</v>
      </c>
      <c r="S1380" s="14" t="s">
        <v>13695</v>
      </c>
      <c r="T1380" s="14" t="s">
        <v>13696</v>
      </c>
      <c r="U1380" s="14">
        <v>415417.98</v>
      </c>
      <c r="V1380" s="14">
        <v>6192015.1600000001</v>
      </c>
      <c r="W1380" s="14">
        <v>359.95</v>
      </c>
      <c r="X1380" s="14">
        <v>200.06</v>
      </c>
    </row>
    <row r="1381" spans="1:24" s="14" customFormat="1" x14ac:dyDescent="0.25">
      <c r="A1381" s="50">
        <v>45101</v>
      </c>
      <c r="B1381" s="57">
        <v>175</v>
      </c>
      <c r="C1381" s="36">
        <v>0.26369212962962962</v>
      </c>
      <c r="D1381" s="16" t="s">
        <v>177</v>
      </c>
      <c r="E1381" s="52" t="s">
        <v>70</v>
      </c>
      <c r="F1381" s="16" t="s">
        <v>8759</v>
      </c>
      <c r="G1381" s="16" t="s">
        <v>1732</v>
      </c>
      <c r="H1381" s="14">
        <v>-0.02</v>
      </c>
      <c r="I1381" s="14" t="s">
        <v>13697</v>
      </c>
      <c r="J1381" s="14" t="s">
        <v>13698</v>
      </c>
      <c r="K1381" s="14" t="s">
        <v>13699</v>
      </c>
      <c r="L1381" s="14" t="s">
        <v>13704</v>
      </c>
      <c r="O1381" s="14" t="s">
        <v>13700</v>
      </c>
      <c r="P1381" s="14" t="s">
        <v>13701</v>
      </c>
      <c r="Q1381" s="14">
        <v>415444.27</v>
      </c>
      <c r="R1381" s="14">
        <v>6192246.5800000001</v>
      </c>
      <c r="S1381" s="14" t="s">
        <v>13702</v>
      </c>
      <c r="T1381" s="14" t="s">
        <v>13703</v>
      </c>
      <c r="U1381" s="14">
        <v>415418.11</v>
      </c>
      <c r="V1381" s="14">
        <v>6192247.0800000001</v>
      </c>
      <c r="W1381" s="14">
        <v>358.88</v>
      </c>
      <c r="X1381" s="14">
        <v>200.06</v>
      </c>
    </row>
    <row r="1382" spans="1:24" s="14" customFormat="1" x14ac:dyDescent="0.25">
      <c r="A1382" s="50">
        <v>45101</v>
      </c>
      <c r="B1382" s="57">
        <v>175</v>
      </c>
      <c r="C1382" s="36">
        <v>0.26589120370370373</v>
      </c>
      <c r="D1382" s="16" t="s">
        <v>177</v>
      </c>
      <c r="E1382" s="52" t="s">
        <v>65</v>
      </c>
      <c r="F1382" s="16" t="s">
        <v>8759</v>
      </c>
      <c r="G1382" s="16" t="s">
        <v>1733</v>
      </c>
      <c r="H1382" s="14">
        <v>-1.2999999999999999E-2</v>
      </c>
      <c r="I1382" s="14" t="s">
        <v>13709</v>
      </c>
      <c r="J1382" s="14" t="s">
        <v>13710</v>
      </c>
      <c r="K1382" s="14" t="s">
        <v>13711</v>
      </c>
      <c r="L1382" s="14" t="s">
        <v>13704</v>
      </c>
      <c r="O1382" s="14" t="s">
        <v>13705</v>
      </c>
      <c r="P1382" s="14" t="s">
        <v>13706</v>
      </c>
      <c r="Q1382" s="14">
        <v>415435.41</v>
      </c>
      <c r="R1382" s="14">
        <v>6192251.9000000004</v>
      </c>
      <c r="S1382" s="14" t="s">
        <v>13707</v>
      </c>
      <c r="T1382" s="14" t="s">
        <v>13708</v>
      </c>
      <c r="U1382" s="14">
        <v>415409.03</v>
      </c>
      <c r="V1382" s="14">
        <v>6192252.1500000004</v>
      </c>
      <c r="W1382" s="14">
        <v>179.18</v>
      </c>
      <c r="X1382" s="14">
        <v>200.06</v>
      </c>
    </row>
    <row r="1383" spans="1:24" s="14" customFormat="1" x14ac:dyDescent="0.25">
      <c r="A1383" s="50">
        <v>45101</v>
      </c>
      <c r="B1383" s="57">
        <v>175</v>
      </c>
      <c r="C1383" s="36">
        <v>0.27032407407407405</v>
      </c>
      <c r="D1383" s="16" t="s">
        <v>177</v>
      </c>
      <c r="E1383" s="52" t="s">
        <v>70</v>
      </c>
      <c r="F1383" s="16" t="s">
        <v>8759</v>
      </c>
      <c r="G1383" s="16" t="s">
        <v>1733</v>
      </c>
      <c r="H1383" s="14">
        <v>0.22</v>
      </c>
      <c r="I1383" s="14" t="s">
        <v>13709</v>
      </c>
      <c r="J1383" s="14" t="s">
        <v>13710</v>
      </c>
      <c r="K1383" s="14" t="s">
        <v>13711</v>
      </c>
      <c r="L1383" s="14" t="s">
        <v>13704</v>
      </c>
      <c r="O1383" s="14" t="s">
        <v>13712</v>
      </c>
      <c r="P1383" s="14" t="s">
        <v>13713</v>
      </c>
      <c r="Q1383" s="14">
        <v>415434.36</v>
      </c>
      <c r="R1383" s="14">
        <v>6192019.5999999996</v>
      </c>
      <c r="S1383" s="14" t="s">
        <v>13714</v>
      </c>
      <c r="T1383" s="14" t="s">
        <v>13715</v>
      </c>
      <c r="U1383" s="14">
        <v>415409.11</v>
      </c>
      <c r="V1383" s="14">
        <v>6192019.25</v>
      </c>
      <c r="W1383" s="14">
        <v>178.99</v>
      </c>
      <c r="X1383" s="14">
        <v>200.06</v>
      </c>
    </row>
    <row r="1384" spans="1:24" s="14" customFormat="1" x14ac:dyDescent="0.25">
      <c r="A1384" s="50">
        <v>45101</v>
      </c>
      <c r="B1384" s="57">
        <v>175</v>
      </c>
      <c r="C1384" s="36">
        <v>0.27241898148148147</v>
      </c>
      <c r="D1384" s="16" t="s">
        <v>177</v>
      </c>
      <c r="E1384" s="52" t="s">
        <v>65</v>
      </c>
      <c r="F1384" s="16" t="s">
        <v>8759</v>
      </c>
      <c r="G1384" s="16" t="s">
        <v>1734</v>
      </c>
      <c r="H1384" s="14">
        <v>0.216</v>
      </c>
      <c r="I1384" s="14" t="s">
        <v>13720</v>
      </c>
      <c r="J1384" s="14" t="s">
        <v>13710</v>
      </c>
      <c r="K1384" s="14" t="s">
        <v>13721</v>
      </c>
      <c r="L1384" s="14" t="s">
        <v>13722</v>
      </c>
      <c r="O1384" s="14" t="s">
        <v>13716</v>
      </c>
      <c r="P1384" s="14" t="s">
        <v>13717</v>
      </c>
      <c r="Q1384" s="14">
        <v>415425.86</v>
      </c>
      <c r="R1384" s="14">
        <v>6192008.0599999996</v>
      </c>
      <c r="S1384" s="14" t="s">
        <v>13718</v>
      </c>
      <c r="T1384" s="14" t="s">
        <v>13719</v>
      </c>
      <c r="U1384" s="14">
        <v>415400.05</v>
      </c>
      <c r="V1384" s="14">
        <v>6192011.9000000004</v>
      </c>
      <c r="W1384" s="14">
        <v>359.81</v>
      </c>
      <c r="X1384" s="14">
        <v>200.06</v>
      </c>
    </row>
    <row r="1385" spans="1:24" s="14" customFormat="1" x14ac:dyDescent="0.25">
      <c r="A1385" s="50">
        <v>45101</v>
      </c>
      <c r="B1385" s="57">
        <v>175</v>
      </c>
      <c r="C1385" s="36">
        <v>0.27703703703703703</v>
      </c>
      <c r="D1385" s="16" t="s">
        <v>177</v>
      </c>
      <c r="E1385" s="52" t="s">
        <v>70</v>
      </c>
      <c r="F1385" s="16" t="s">
        <v>8759</v>
      </c>
      <c r="G1385" s="16" t="s">
        <v>1734</v>
      </c>
      <c r="H1385" s="14">
        <v>-2.9000000000000001E-2</v>
      </c>
      <c r="I1385" s="14" t="s">
        <v>13720</v>
      </c>
      <c r="J1385" s="14" t="s">
        <v>13727</v>
      </c>
      <c r="K1385" s="14" t="s">
        <v>13721</v>
      </c>
      <c r="L1385" s="14" t="s">
        <v>13722</v>
      </c>
      <c r="O1385" s="14" t="s">
        <v>13723</v>
      </c>
      <c r="P1385" s="14" t="s">
        <v>13724</v>
      </c>
      <c r="Q1385" s="14">
        <v>415426.28</v>
      </c>
      <c r="R1385" s="14">
        <v>6192250.8799999999</v>
      </c>
      <c r="S1385" s="14" t="s">
        <v>13725</v>
      </c>
      <c r="T1385" s="14" t="s">
        <v>13726</v>
      </c>
      <c r="U1385" s="14">
        <v>415400.17</v>
      </c>
      <c r="V1385" s="14">
        <v>6192256.0800000001</v>
      </c>
      <c r="W1385" s="14">
        <v>358.41</v>
      </c>
      <c r="X1385" s="14">
        <v>200.06</v>
      </c>
    </row>
    <row r="1386" spans="1:24" s="14" customFormat="1" x14ac:dyDescent="0.25">
      <c r="A1386" s="50">
        <v>45101</v>
      </c>
      <c r="B1386" s="57">
        <v>175</v>
      </c>
      <c r="C1386" s="36">
        <v>0.27916666666666667</v>
      </c>
      <c r="D1386" s="16" t="s">
        <v>177</v>
      </c>
      <c r="E1386" s="52" t="s">
        <v>65</v>
      </c>
      <c r="F1386" s="16" t="s">
        <v>8759</v>
      </c>
      <c r="G1386" s="16" t="s">
        <v>1735</v>
      </c>
      <c r="H1386" s="14">
        <v>-1.7000000000000001E-2</v>
      </c>
      <c r="I1386" s="14" t="s">
        <v>13732</v>
      </c>
      <c r="J1386" s="14" t="s">
        <v>13733</v>
      </c>
      <c r="K1386" s="14" t="s">
        <v>13734</v>
      </c>
      <c r="L1386" s="14" t="s">
        <v>13722</v>
      </c>
      <c r="O1386" s="14" t="s">
        <v>13728</v>
      </c>
      <c r="P1386" s="14" t="s">
        <v>13729</v>
      </c>
      <c r="Q1386" s="14">
        <v>415417.65</v>
      </c>
      <c r="R1386" s="14">
        <v>6192257.8600000003</v>
      </c>
      <c r="S1386" s="14" t="s">
        <v>13730</v>
      </c>
      <c r="T1386" s="14" t="s">
        <v>13731</v>
      </c>
      <c r="U1386" s="14">
        <v>415391.05</v>
      </c>
      <c r="V1386" s="14">
        <v>6192256</v>
      </c>
      <c r="W1386" s="14">
        <v>179.03</v>
      </c>
      <c r="X1386" s="14">
        <v>200.06</v>
      </c>
    </row>
    <row r="1387" spans="1:24" s="14" customFormat="1" x14ac:dyDescent="0.25">
      <c r="A1387" s="50">
        <v>45101</v>
      </c>
      <c r="B1387" s="57">
        <v>175</v>
      </c>
      <c r="C1387" s="36">
        <v>0.28365740740740741</v>
      </c>
      <c r="D1387" s="16" t="s">
        <v>177</v>
      </c>
      <c r="E1387" s="52" t="s">
        <v>70</v>
      </c>
      <c r="F1387" s="16" t="s">
        <v>8759</v>
      </c>
      <c r="G1387" s="16" t="s">
        <v>1735</v>
      </c>
      <c r="H1387" s="14">
        <v>0.22</v>
      </c>
      <c r="I1387" s="14" t="s">
        <v>13732</v>
      </c>
      <c r="J1387" s="14" t="s">
        <v>13733</v>
      </c>
      <c r="K1387" s="14" t="s">
        <v>13734</v>
      </c>
      <c r="L1387" s="14" t="s">
        <v>13739</v>
      </c>
      <c r="O1387" s="14" t="s">
        <v>13735</v>
      </c>
      <c r="P1387" s="14" t="s">
        <v>13736</v>
      </c>
      <c r="Q1387" s="14">
        <v>415416.52</v>
      </c>
      <c r="R1387" s="14">
        <v>6192022.96</v>
      </c>
      <c r="S1387" s="14" t="s">
        <v>13737</v>
      </c>
      <c r="T1387" s="14" t="s">
        <v>13738</v>
      </c>
      <c r="U1387" s="14">
        <v>415391.11</v>
      </c>
      <c r="V1387" s="14">
        <v>6192018.54</v>
      </c>
      <c r="W1387" s="14">
        <v>179.31</v>
      </c>
      <c r="X1387" s="14">
        <v>200.06</v>
      </c>
    </row>
    <row r="1388" spans="1:24" s="14" customFormat="1" x14ac:dyDescent="0.25">
      <c r="A1388" s="50">
        <v>45101</v>
      </c>
      <c r="B1388" s="57">
        <v>175</v>
      </c>
      <c r="C1388" s="36">
        <v>0.28554398148148147</v>
      </c>
      <c r="D1388" s="16" t="s">
        <v>177</v>
      </c>
      <c r="E1388" s="52" t="s">
        <v>65</v>
      </c>
      <c r="F1388" s="16" t="s">
        <v>8759</v>
      </c>
      <c r="G1388" s="16" t="s">
        <v>1736</v>
      </c>
      <c r="H1388" s="14">
        <v>0.20599999999999999</v>
      </c>
      <c r="I1388" s="14" t="s">
        <v>13744</v>
      </c>
      <c r="J1388" s="14" t="s">
        <v>13745</v>
      </c>
      <c r="K1388" s="14" t="s">
        <v>13746</v>
      </c>
      <c r="L1388" s="14" t="s">
        <v>13739</v>
      </c>
      <c r="O1388" s="14" t="s">
        <v>13740</v>
      </c>
      <c r="P1388" s="14" t="s">
        <v>13741</v>
      </c>
      <c r="Q1388" s="14">
        <v>415407.99</v>
      </c>
      <c r="R1388" s="14">
        <v>6192017.6900000004</v>
      </c>
      <c r="S1388" s="14" t="s">
        <v>13742</v>
      </c>
      <c r="T1388" s="14" t="s">
        <v>13743</v>
      </c>
      <c r="U1388" s="14">
        <v>415382.1</v>
      </c>
      <c r="V1388" s="14">
        <v>6192021.29</v>
      </c>
      <c r="W1388" s="14">
        <v>359.15</v>
      </c>
      <c r="X1388" s="14">
        <v>200.06</v>
      </c>
    </row>
    <row r="1389" spans="1:24" s="14" customFormat="1" x14ac:dyDescent="0.25">
      <c r="A1389" s="50">
        <v>45101</v>
      </c>
      <c r="B1389" s="57">
        <v>175</v>
      </c>
      <c r="C1389" s="36">
        <v>0.2898148148148148</v>
      </c>
      <c r="D1389" s="16" t="s">
        <v>177</v>
      </c>
      <c r="E1389" s="14" t="s">
        <v>70</v>
      </c>
      <c r="F1389" s="16" t="s">
        <v>8759</v>
      </c>
      <c r="G1389" s="16" t="s">
        <v>1736</v>
      </c>
      <c r="H1389" s="14">
        <v>-1.9E-2</v>
      </c>
      <c r="I1389" s="14" t="s">
        <v>13744</v>
      </c>
      <c r="J1389" s="14" t="s">
        <v>13745</v>
      </c>
      <c r="K1389" s="14" t="s">
        <v>13746</v>
      </c>
      <c r="L1389" s="14" t="s">
        <v>13739</v>
      </c>
      <c r="O1389" s="14" t="s">
        <v>13747</v>
      </c>
      <c r="P1389" s="14" t="s">
        <v>13748</v>
      </c>
      <c r="Q1389" s="14">
        <v>415408.09</v>
      </c>
      <c r="R1389" s="14">
        <v>6192242.0899999999</v>
      </c>
      <c r="S1389" s="14" t="s">
        <v>13749</v>
      </c>
      <c r="T1389" s="14" t="s">
        <v>13750</v>
      </c>
      <c r="U1389" s="14">
        <v>415382.12</v>
      </c>
      <c r="V1389" s="14">
        <v>6192246.8899999997</v>
      </c>
      <c r="W1389" s="14">
        <v>359.13</v>
      </c>
      <c r="X1389" s="14">
        <v>200.06</v>
      </c>
    </row>
    <row r="1390" spans="1:24" s="14" customFormat="1" x14ac:dyDescent="0.25">
      <c r="A1390" s="50">
        <v>45101</v>
      </c>
      <c r="B1390" s="57">
        <v>175</v>
      </c>
      <c r="C1390" s="36">
        <v>0.29273148148148148</v>
      </c>
      <c r="D1390" s="16" t="s">
        <v>177</v>
      </c>
      <c r="E1390" s="116" t="s">
        <v>13751</v>
      </c>
      <c r="F1390" s="16" t="s">
        <v>8759</v>
      </c>
      <c r="G1390" s="16" t="s">
        <v>2002</v>
      </c>
      <c r="H1390" s="14">
        <v>-0.438</v>
      </c>
      <c r="O1390" s="14" t="s">
        <v>13752</v>
      </c>
      <c r="P1390" s="14" t="s">
        <v>13753</v>
      </c>
      <c r="Q1390" s="14">
        <v>415408.53</v>
      </c>
      <c r="R1390" s="14">
        <v>6192270.7000000002</v>
      </c>
      <c r="S1390" s="14" t="s">
        <v>13754</v>
      </c>
      <c r="T1390" s="14" t="s">
        <v>13755</v>
      </c>
      <c r="U1390" s="14">
        <v>415396.86</v>
      </c>
      <c r="V1390" s="14">
        <v>6192273.8200000003</v>
      </c>
      <c r="W1390" s="14">
        <v>288.44</v>
      </c>
      <c r="X1390" s="14">
        <v>150.05000000000001</v>
      </c>
    </row>
    <row r="1391" spans="1:24" s="122" customFormat="1" x14ac:dyDescent="0.25">
      <c r="A1391" s="65">
        <v>45101</v>
      </c>
      <c r="B1391" s="106">
        <v>175</v>
      </c>
      <c r="C1391" s="67">
        <v>0.3094675925925926</v>
      </c>
      <c r="D1391" s="66" t="s">
        <v>177</v>
      </c>
      <c r="E1391" s="122" t="s">
        <v>13761</v>
      </c>
      <c r="F1391" s="66" t="s">
        <v>8759</v>
      </c>
      <c r="G1391" s="66" t="s">
        <v>2002</v>
      </c>
      <c r="H1391" s="122">
        <v>-3.1E-2</v>
      </c>
      <c r="M1391" s="122" t="s">
        <v>13756</v>
      </c>
      <c r="O1391" s="122" t="s">
        <v>13757</v>
      </c>
      <c r="P1391" s="122" t="s">
        <v>13758</v>
      </c>
      <c r="Q1391" s="122">
        <v>413820.39</v>
      </c>
      <c r="R1391" s="122">
        <v>6191870.8200000003</v>
      </c>
      <c r="S1391" s="122" t="s">
        <v>13759</v>
      </c>
      <c r="T1391" s="122" t="s">
        <v>13760</v>
      </c>
      <c r="U1391" s="122">
        <v>413801.74</v>
      </c>
      <c r="V1391" s="122">
        <v>6191873.8499999996</v>
      </c>
      <c r="W1391" s="122">
        <v>198.45</v>
      </c>
      <c r="X1391" s="122">
        <v>150.05000000000001</v>
      </c>
    </row>
    <row r="1392" spans="1:24" s="14" customFormat="1" x14ac:dyDescent="0.25">
      <c r="A1392" s="50">
        <v>45101</v>
      </c>
      <c r="B1392" s="57">
        <v>175</v>
      </c>
      <c r="C1392" s="36">
        <v>0.31224537037037037</v>
      </c>
      <c r="D1392" s="16" t="s">
        <v>177</v>
      </c>
      <c r="E1392" s="52" t="s">
        <v>65</v>
      </c>
      <c r="F1392" s="16" t="s">
        <v>8759</v>
      </c>
      <c r="G1392" s="16" t="s">
        <v>2002</v>
      </c>
      <c r="H1392" s="14">
        <v>-8.9999999999999993E-3</v>
      </c>
      <c r="I1392" s="14" t="s">
        <v>13766</v>
      </c>
      <c r="J1392" s="14" t="s">
        <v>13767</v>
      </c>
      <c r="K1392" s="14" t="s">
        <v>13768</v>
      </c>
      <c r="L1392" s="14" t="s">
        <v>13769</v>
      </c>
      <c r="O1392" s="14" t="s">
        <v>13762</v>
      </c>
      <c r="P1392" s="14" t="s">
        <v>13763</v>
      </c>
      <c r="Q1392" s="14">
        <v>413817.52</v>
      </c>
      <c r="R1392" s="14">
        <v>6191851.8799999999</v>
      </c>
      <c r="S1392" s="14" t="s">
        <v>13764</v>
      </c>
      <c r="T1392" s="14" t="s">
        <v>13765</v>
      </c>
      <c r="U1392" s="14">
        <v>413793.26</v>
      </c>
      <c r="V1392" s="14">
        <v>6191851.8700000001</v>
      </c>
      <c r="W1392" s="14">
        <v>179.46</v>
      </c>
      <c r="X1392" s="14">
        <v>150.05000000000001</v>
      </c>
    </row>
    <row r="1393" spans="1:24" s="14" customFormat="1" x14ac:dyDescent="0.25">
      <c r="A1393" s="50">
        <v>45101</v>
      </c>
      <c r="B1393" s="57">
        <v>175</v>
      </c>
      <c r="C1393" s="36">
        <v>0.31556712962962963</v>
      </c>
      <c r="D1393" s="16" t="s">
        <v>177</v>
      </c>
      <c r="E1393" s="52" t="s">
        <v>70</v>
      </c>
      <c r="F1393" s="16" t="s">
        <v>8759</v>
      </c>
      <c r="G1393" s="16" t="s">
        <v>2002</v>
      </c>
      <c r="H1393" s="14">
        <v>0.16600000000000001</v>
      </c>
      <c r="I1393" s="14" t="s">
        <v>13766</v>
      </c>
      <c r="J1393" s="14" t="s">
        <v>13767</v>
      </c>
      <c r="K1393" s="14" t="s">
        <v>13768</v>
      </c>
      <c r="L1393" s="14" t="s">
        <v>13769</v>
      </c>
      <c r="O1393" s="14" t="s">
        <v>13770</v>
      </c>
      <c r="P1393" s="14" t="s">
        <v>13771</v>
      </c>
      <c r="Q1393" s="14">
        <v>413818.07</v>
      </c>
      <c r="R1393" s="14">
        <v>6191677.1100000003</v>
      </c>
      <c r="S1393" s="14" t="s">
        <v>13772</v>
      </c>
      <c r="T1393" s="14" t="s">
        <v>13773</v>
      </c>
      <c r="U1393" s="14">
        <v>413793.31</v>
      </c>
      <c r="V1393" s="14">
        <v>6191676.6100000003</v>
      </c>
      <c r="W1393" s="14">
        <v>178.92</v>
      </c>
      <c r="X1393" s="14">
        <v>150.05000000000001</v>
      </c>
    </row>
    <row r="1394" spans="1:24" s="14" customFormat="1" x14ac:dyDescent="0.25">
      <c r="A1394" s="50">
        <v>45101</v>
      </c>
      <c r="B1394" s="57">
        <v>175</v>
      </c>
      <c r="C1394" s="36">
        <v>0.31755787037037037</v>
      </c>
      <c r="D1394" s="16" t="s">
        <v>177</v>
      </c>
      <c r="E1394" s="52" t="s">
        <v>65</v>
      </c>
      <c r="F1394" s="16" t="s">
        <v>8759</v>
      </c>
      <c r="G1394" s="16" t="s">
        <v>2001</v>
      </c>
      <c r="H1394" s="14">
        <v>0.16300000000000001</v>
      </c>
      <c r="I1394" s="14" t="s">
        <v>13778</v>
      </c>
      <c r="J1394" s="14" t="s">
        <v>13779</v>
      </c>
      <c r="K1394" s="14" t="s">
        <v>13780</v>
      </c>
      <c r="L1394" s="14" t="s">
        <v>13769</v>
      </c>
      <c r="O1394" s="14" t="s">
        <v>13774</v>
      </c>
      <c r="P1394" s="14" t="s">
        <v>13775</v>
      </c>
      <c r="Q1394" s="14">
        <v>413808.97</v>
      </c>
      <c r="R1394" s="14">
        <v>6191664.0899999999</v>
      </c>
      <c r="S1394" s="14" t="s">
        <v>13776</v>
      </c>
      <c r="T1394" s="14" t="s">
        <v>13777</v>
      </c>
      <c r="U1394" s="14">
        <v>413784.39</v>
      </c>
      <c r="V1394" s="14">
        <v>6191668.8399999999</v>
      </c>
      <c r="W1394" s="14">
        <v>359.15</v>
      </c>
      <c r="X1394" s="14">
        <v>150.05000000000001</v>
      </c>
    </row>
    <row r="1395" spans="1:24" s="14" customFormat="1" x14ac:dyDescent="0.25">
      <c r="A1395" s="50">
        <v>45101</v>
      </c>
      <c r="B1395" s="57">
        <v>175</v>
      </c>
      <c r="C1395" s="36">
        <v>0.32090277777777776</v>
      </c>
      <c r="D1395" s="16" t="s">
        <v>177</v>
      </c>
      <c r="E1395" s="52" t="s">
        <v>70</v>
      </c>
      <c r="F1395" s="16" t="s">
        <v>8759</v>
      </c>
      <c r="G1395" s="16" t="s">
        <v>2001</v>
      </c>
      <c r="H1395" s="14">
        <v>-1.4E-2</v>
      </c>
      <c r="I1395" s="14" t="s">
        <v>13778</v>
      </c>
      <c r="J1395" s="14" t="s">
        <v>13779</v>
      </c>
      <c r="K1395" s="14" t="s">
        <v>13780</v>
      </c>
      <c r="L1395" s="14" t="s">
        <v>13769</v>
      </c>
      <c r="O1395" s="14" t="s">
        <v>13781</v>
      </c>
      <c r="P1395" s="14" t="s">
        <v>13782</v>
      </c>
      <c r="Q1395" s="14">
        <v>413809.03</v>
      </c>
      <c r="R1395" s="14">
        <v>6191838.5300000003</v>
      </c>
      <c r="S1395" s="14" t="s">
        <v>13783</v>
      </c>
      <c r="T1395" s="14" t="s">
        <v>13784</v>
      </c>
      <c r="U1395" s="14">
        <v>413784.33</v>
      </c>
      <c r="V1395" s="14">
        <v>6191845.3799999999</v>
      </c>
      <c r="W1395" s="14">
        <v>359.03</v>
      </c>
      <c r="X1395" s="14">
        <v>150.05000000000001</v>
      </c>
    </row>
    <row r="1396" spans="1:24" s="14" customFormat="1" x14ac:dyDescent="0.25">
      <c r="A1396" s="50">
        <v>45101</v>
      </c>
      <c r="B1396" s="57">
        <v>175</v>
      </c>
      <c r="C1396" s="36">
        <v>0.32298611111111114</v>
      </c>
      <c r="D1396" s="16" t="s">
        <v>177</v>
      </c>
      <c r="E1396" s="52" t="s">
        <v>65</v>
      </c>
      <c r="F1396" s="16" t="s">
        <v>8759</v>
      </c>
      <c r="G1396" s="16" t="s">
        <v>2000</v>
      </c>
      <c r="H1396" s="14">
        <v>-8.9999999999999993E-3</v>
      </c>
      <c r="I1396" s="14" t="s">
        <v>13789</v>
      </c>
      <c r="J1396" s="14" t="s">
        <v>13790</v>
      </c>
      <c r="K1396" s="14" t="s">
        <v>13791</v>
      </c>
      <c r="L1396" s="14" t="s">
        <v>13792</v>
      </c>
      <c r="O1396" s="14" t="s">
        <v>13785</v>
      </c>
      <c r="P1396" s="14" t="s">
        <v>13786</v>
      </c>
      <c r="Q1396" s="14">
        <v>413800.92</v>
      </c>
      <c r="R1396" s="14">
        <v>6191852.5999999996</v>
      </c>
      <c r="S1396" s="14" t="s">
        <v>13787</v>
      </c>
      <c r="T1396" s="14" t="s">
        <v>13788</v>
      </c>
      <c r="U1396" s="14">
        <v>413775.37</v>
      </c>
      <c r="V1396" s="14">
        <v>6191851.6200000001</v>
      </c>
      <c r="W1396" s="14">
        <v>180.34</v>
      </c>
      <c r="X1396" s="14">
        <v>150.05000000000001</v>
      </c>
    </row>
    <row r="1397" spans="1:24" s="14" customFormat="1" x14ac:dyDescent="0.25">
      <c r="A1397" s="50">
        <v>45101</v>
      </c>
      <c r="B1397" s="57">
        <v>175</v>
      </c>
      <c r="C1397" s="36">
        <v>0.3263078703703704</v>
      </c>
      <c r="D1397" s="16" t="s">
        <v>177</v>
      </c>
      <c r="E1397" s="52" t="s">
        <v>70</v>
      </c>
      <c r="F1397" s="16" t="s">
        <v>8759</v>
      </c>
      <c r="G1397" s="16" t="s">
        <v>2000</v>
      </c>
      <c r="H1397" s="14">
        <v>0.16700000000000001</v>
      </c>
      <c r="I1397" s="14" t="s">
        <v>13789</v>
      </c>
      <c r="J1397" s="14" t="s">
        <v>13790</v>
      </c>
      <c r="K1397" s="14" t="s">
        <v>13791</v>
      </c>
      <c r="L1397" s="14" t="s">
        <v>13792</v>
      </c>
      <c r="O1397" s="14" t="s">
        <v>13793</v>
      </c>
      <c r="P1397" s="14" t="s">
        <v>13794</v>
      </c>
      <c r="Q1397" s="14">
        <v>413799.69</v>
      </c>
      <c r="R1397" s="14">
        <v>6191678.1699999999</v>
      </c>
      <c r="S1397" s="14" t="s">
        <v>13795</v>
      </c>
      <c r="T1397" s="14" t="s">
        <v>13796</v>
      </c>
      <c r="U1397" s="14">
        <v>413775.28</v>
      </c>
      <c r="V1397" s="14">
        <v>6191675.5300000003</v>
      </c>
      <c r="W1397" s="14">
        <v>178.48</v>
      </c>
      <c r="X1397" s="14">
        <v>150.05000000000001</v>
      </c>
    </row>
    <row r="1398" spans="1:24" s="14" customFormat="1" x14ac:dyDescent="0.25">
      <c r="A1398" s="50">
        <v>45101</v>
      </c>
      <c r="B1398" s="57">
        <v>175</v>
      </c>
      <c r="C1398" s="36">
        <v>0.32918981481481485</v>
      </c>
      <c r="D1398" s="16" t="s">
        <v>177</v>
      </c>
      <c r="E1398" s="52" t="s">
        <v>65</v>
      </c>
      <c r="F1398" s="16" t="s">
        <v>8759</v>
      </c>
      <c r="G1398" s="16" t="s">
        <v>1999</v>
      </c>
      <c r="H1398" s="14">
        <v>0.16400000000000001</v>
      </c>
      <c r="I1398" s="14" t="s">
        <v>13801</v>
      </c>
      <c r="J1398" s="14" t="s">
        <v>13802</v>
      </c>
      <c r="K1398" s="14" t="s">
        <v>13803</v>
      </c>
      <c r="L1398" s="14" t="s">
        <v>13792</v>
      </c>
      <c r="O1398" s="14" t="s">
        <v>13797</v>
      </c>
      <c r="P1398" s="14" t="s">
        <v>13798</v>
      </c>
      <c r="Q1398" s="14">
        <v>413790.6</v>
      </c>
      <c r="R1398" s="14">
        <v>6191661.0999999996</v>
      </c>
      <c r="S1398" s="14" t="s">
        <v>13799</v>
      </c>
      <c r="T1398" s="14" t="s">
        <v>13800</v>
      </c>
      <c r="U1398" s="14">
        <v>413766.39</v>
      </c>
      <c r="V1398" s="14">
        <v>6191668.4000000004</v>
      </c>
      <c r="W1398" s="14">
        <v>358.43</v>
      </c>
      <c r="X1398" s="14">
        <v>150.05000000000001</v>
      </c>
    </row>
    <row r="1399" spans="1:24" s="14" customFormat="1" x14ac:dyDescent="0.25">
      <c r="A1399" s="50">
        <v>45101</v>
      </c>
      <c r="B1399" s="57">
        <v>175</v>
      </c>
      <c r="C1399" s="36">
        <v>0.33256944444444442</v>
      </c>
      <c r="D1399" s="16" t="s">
        <v>177</v>
      </c>
      <c r="E1399" s="52" t="s">
        <v>70</v>
      </c>
      <c r="F1399" s="16" t="s">
        <v>8759</v>
      </c>
      <c r="G1399" s="16" t="s">
        <v>1999</v>
      </c>
      <c r="H1399" s="14">
        <v>-1.4E-2</v>
      </c>
      <c r="I1399" s="14" t="s">
        <v>13801</v>
      </c>
      <c r="J1399" s="14" t="s">
        <v>13802</v>
      </c>
      <c r="K1399" s="14" t="s">
        <v>13803</v>
      </c>
      <c r="L1399" s="14" t="s">
        <v>13792</v>
      </c>
      <c r="O1399" s="14" t="s">
        <v>13804</v>
      </c>
      <c r="P1399" s="14" t="s">
        <v>13805</v>
      </c>
      <c r="Q1399" s="14">
        <v>413792.14</v>
      </c>
      <c r="R1399" s="14">
        <v>6191836.6399999997</v>
      </c>
      <c r="S1399" s="14" t="s">
        <v>13806</v>
      </c>
      <c r="T1399" s="14" t="s">
        <v>13807</v>
      </c>
      <c r="U1399" s="14">
        <v>413766.35</v>
      </c>
      <c r="V1399" s="14">
        <v>6191845.6500000004</v>
      </c>
      <c r="W1399" s="14">
        <v>358.57</v>
      </c>
      <c r="X1399" s="14">
        <v>150.05000000000001</v>
      </c>
    </row>
    <row r="1400" spans="1:24" s="14" customFormat="1" x14ac:dyDescent="0.25">
      <c r="A1400" s="50">
        <v>45101</v>
      </c>
      <c r="B1400" s="57">
        <v>175</v>
      </c>
      <c r="C1400" s="36">
        <v>0.3346412037037037</v>
      </c>
      <c r="D1400" s="16" t="s">
        <v>177</v>
      </c>
      <c r="E1400" s="52" t="s">
        <v>65</v>
      </c>
      <c r="F1400" s="16" t="s">
        <v>8759</v>
      </c>
      <c r="G1400" s="16" t="s">
        <v>1998</v>
      </c>
      <c r="H1400" s="14">
        <v>-0.01</v>
      </c>
      <c r="I1400" s="14" t="s">
        <v>13812</v>
      </c>
      <c r="J1400" s="14" t="s">
        <v>13813</v>
      </c>
      <c r="K1400" s="14" t="s">
        <v>13814</v>
      </c>
      <c r="L1400" s="14" t="s">
        <v>13815</v>
      </c>
      <c r="O1400" s="14" t="s">
        <v>13808</v>
      </c>
      <c r="P1400" s="14" t="s">
        <v>13809</v>
      </c>
      <c r="Q1400" s="14">
        <v>413783.64</v>
      </c>
      <c r="R1400" s="14">
        <v>6191850.7699999996</v>
      </c>
      <c r="S1400" s="14" t="s">
        <v>13810</v>
      </c>
      <c r="T1400" s="14" t="s">
        <v>13811</v>
      </c>
      <c r="U1400" s="14">
        <v>413757.36</v>
      </c>
      <c r="V1400" s="14">
        <v>6191853.1100000003</v>
      </c>
      <c r="W1400" s="14">
        <v>180.2</v>
      </c>
      <c r="X1400" s="14">
        <v>150.05000000000001</v>
      </c>
    </row>
    <row r="1401" spans="1:24" s="14" customFormat="1" x14ac:dyDescent="0.25">
      <c r="A1401" s="50">
        <v>45101</v>
      </c>
      <c r="B1401" s="57">
        <v>175</v>
      </c>
      <c r="C1401" s="36">
        <v>0.3379861111111111</v>
      </c>
      <c r="D1401" s="16" t="s">
        <v>177</v>
      </c>
      <c r="E1401" s="52" t="s">
        <v>70</v>
      </c>
      <c r="F1401" s="16" t="s">
        <v>8759</v>
      </c>
      <c r="G1401" s="16" t="s">
        <v>1998</v>
      </c>
      <c r="H1401" s="14">
        <v>0.16700000000000001</v>
      </c>
      <c r="I1401" s="14" t="s">
        <v>13812</v>
      </c>
      <c r="J1401" s="14" t="s">
        <v>13813</v>
      </c>
      <c r="K1401" s="14" t="s">
        <v>13814</v>
      </c>
      <c r="L1401" s="14" t="s">
        <v>13815</v>
      </c>
      <c r="O1401" s="14" t="s">
        <v>13816</v>
      </c>
      <c r="P1401" s="14" t="s">
        <v>13817</v>
      </c>
      <c r="Q1401" s="14">
        <v>413782.44</v>
      </c>
      <c r="R1401" s="14">
        <v>6191675</v>
      </c>
      <c r="S1401" s="14" t="s">
        <v>13818</v>
      </c>
      <c r="T1401" s="14" t="s">
        <v>13819</v>
      </c>
      <c r="U1401" s="14">
        <v>413757.28</v>
      </c>
      <c r="V1401" s="14">
        <v>6191676.0300000003</v>
      </c>
      <c r="W1401" s="14">
        <v>178.39</v>
      </c>
      <c r="X1401" s="14">
        <v>150.05000000000001</v>
      </c>
    </row>
    <row r="1402" spans="1:24" s="14" customFormat="1" x14ac:dyDescent="0.25">
      <c r="A1402" s="50">
        <v>45101</v>
      </c>
      <c r="B1402" s="57">
        <v>175</v>
      </c>
      <c r="C1402" s="36">
        <v>0.33980324074074075</v>
      </c>
      <c r="D1402" s="16" t="s">
        <v>177</v>
      </c>
      <c r="E1402" s="52" t="s">
        <v>65</v>
      </c>
      <c r="F1402" s="16" t="s">
        <v>8759</v>
      </c>
      <c r="G1402" s="16" t="s">
        <v>1997</v>
      </c>
      <c r="H1402" s="14">
        <v>0.16400000000000001</v>
      </c>
      <c r="I1402" s="14" t="s">
        <v>13824</v>
      </c>
      <c r="J1402" s="14" t="s">
        <v>13825</v>
      </c>
      <c r="K1402" s="14" t="s">
        <v>13826</v>
      </c>
      <c r="L1402" s="14" t="s">
        <v>13815</v>
      </c>
      <c r="O1402" s="14" t="s">
        <v>13820</v>
      </c>
      <c r="P1402" s="14" t="s">
        <v>13821</v>
      </c>
      <c r="Q1402" s="14">
        <v>413774.43</v>
      </c>
      <c r="R1402" s="14">
        <v>6191659.4199999999</v>
      </c>
      <c r="S1402" s="14" t="s">
        <v>13822</v>
      </c>
      <c r="T1402" s="14" t="s">
        <v>13823</v>
      </c>
      <c r="U1402" s="14">
        <v>413748.28</v>
      </c>
      <c r="V1402" s="14">
        <v>6191667.46</v>
      </c>
      <c r="W1402" s="14">
        <v>0.19</v>
      </c>
      <c r="X1402" s="14">
        <v>150.05000000000001</v>
      </c>
    </row>
    <row r="1403" spans="1:24" s="14" customFormat="1" x14ac:dyDescent="0.25">
      <c r="A1403" s="50">
        <v>45101</v>
      </c>
      <c r="B1403" s="57">
        <v>175</v>
      </c>
      <c r="C1403" s="36">
        <v>0.34331018518518519</v>
      </c>
      <c r="D1403" s="16" t="s">
        <v>177</v>
      </c>
      <c r="E1403" s="52" t="s">
        <v>70</v>
      </c>
      <c r="F1403" s="16" t="s">
        <v>8759</v>
      </c>
      <c r="G1403" s="16" t="s">
        <v>1997</v>
      </c>
      <c r="H1403" s="14">
        <v>-1.4E-2</v>
      </c>
      <c r="I1403" s="14" t="s">
        <v>13824</v>
      </c>
      <c r="J1403" s="14" t="s">
        <v>13825</v>
      </c>
      <c r="K1403" s="14" t="s">
        <v>13826</v>
      </c>
      <c r="L1403" s="14" t="s">
        <v>13815</v>
      </c>
      <c r="O1403" s="14" t="s">
        <v>13827</v>
      </c>
      <c r="P1403" s="14" t="s">
        <v>13828</v>
      </c>
      <c r="Q1403" s="14">
        <v>413775</v>
      </c>
      <c r="R1403" s="14">
        <v>6191841.7400000002</v>
      </c>
      <c r="S1403" s="14" t="s">
        <v>13829</v>
      </c>
      <c r="T1403" s="14" t="s">
        <v>13830</v>
      </c>
      <c r="U1403" s="14">
        <v>413748.24</v>
      </c>
      <c r="V1403" s="14">
        <v>6191845.5099999998</v>
      </c>
      <c r="W1403" s="14">
        <v>358.69</v>
      </c>
      <c r="X1403" s="14">
        <v>150.05000000000001</v>
      </c>
    </row>
    <row r="1404" spans="1:24" s="14" customFormat="1" x14ac:dyDescent="0.25">
      <c r="A1404" s="50">
        <v>45101</v>
      </c>
      <c r="B1404" s="57">
        <v>175</v>
      </c>
      <c r="C1404" s="36">
        <v>0.3452662037037037</v>
      </c>
      <c r="D1404" s="16" t="s">
        <v>177</v>
      </c>
      <c r="E1404" s="52" t="s">
        <v>65</v>
      </c>
      <c r="F1404" s="16" t="s">
        <v>8759</v>
      </c>
      <c r="G1404" s="16" t="s">
        <v>1991</v>
      </c>
      <c r="H1404" s="14">
        <v>-0.01</v>
      </c>
      <c r="I1404" s="14" t="s">
        <v>13835</v>
      </c>
      <c r="J1404" s="14" t="s">
        <v>13836</v>
      </c>
      <c r="K1404" s="14" t="s">
        <v>13837</v>
      </c>
      <c r="L1404" s="14" t="s">
        <v>13838</v>
      </c>
      <c r="O1404" s="14" t="s">
        <v>13831</v>
      </c>
      <c r="P1404" s="14" t="s">
        <v>13832</v>
      </c>
      <c r="Q1404" s="14">
        <v>413766.35</v>
      </c>
      <c r="R1404" s="14">
        <v>6191853.7800000003</v>
      </c>
      <c r="S1404" s="14" t="s">
        <v>13833</v>
      </c>
      <c r="T1404" s="14" t="s">
        <v>13834</v>
      </c>
      <c r="U1404" s="14">
        <v>413739.37</v>
      </c>
      <c r="V1404" s="14">
        <v>6191852.7199999997</v>
      </c>
      <c r="W1404" s="14">
        <v>179.97</v>
      </c>
      <c r="X1404" s="14">
        <v>150.05000000000001</v>
      </c>
    </row>
    <row r="1405" spans="1:24" s="14" customFormat="1" x14ac:dyDescent="0.25">
      <c r="A1405" s="50">
        <v>45101</v>
      </c>
      <c r="B1405" s="57">
        <v>175</v>
      </c>
      <c r="C1405" s="36">
        <v>0.34862268518518519</v>
      </c>
      <c r="D1405" s="16" t="s">
        <v>177</v>
      </c>
      <c r="E1405" s="52" t="s">
        <v>70</v>
      </c>
      <c r="F1405" s="16" t="s">
        <v>8759</v>
      </c>
      <c r="G1405" s="16" t="s">
        <v>1991</v>
      </c>
      <c r="H1405" s="14">
        <v>0.16800000000000001</v>
      </c>
      <c r="I1405" s="14" t="s">
        <v>13835</v>
      </c>
      <c r="J1405" s="14" t="s">
        <v>13836</v>
      </c>
      <c r="K1405" s="14" t="s">
        <v>13837</v>
      </c>
      <c r="L1405" s="14" t="s">
        <v>13838</v>
      </c>
      <c r="O1405" s="14" t="s">
        <v>13839</v>
      </c>
      <c r="P1405" s="14" t="s">
        <v>13840</v>
      </c>
      <c r="Q1405" s="14">
        <v>413765.19</v>
      </c>
      <c r="R1405" s="14">
        <v>6191678.2400000002</v>
      </c>
      <c r="S1405" s="14" t="s">
        <v>13841</v>
      </c>
      <c r="T1405" s="14" t="s">
        <v>13842</v>
      </c>
      <c r="U1405" s="14">
        <v>413739.28</v>
      </c>
      <c r="V1405" s="14">
        <v>6191675.3300000001</v>
      </c>
      <c r="W1405" s="14">
        <v>179.27</v>
      </c>
      <c r="X1405" s="14">
        <v>150.05000000000001</v>
      </c>
    </row>
    <row r="1406" spans="1:24" s="14" customFormat="1" x14ac:dyDescent="0.25">
      <c r="A1406" s="50">
        <v>45101</v>
      </c>
      <c r="B1406" s="57">
        <v>175</v>
      </c>
      <c r="C1406" s="36">
        <v>0.35052083333333334</v>
      </c>
      <c r="D1406" s="16" t="s">
        <v>177</v>
      </c>
      <c r="E1406" s="52" t="s">
        <v>65</v>
      </c>
      <c r="F1406" s="16" t="s">
        <v>8759</v>
      </c>
      <c r="G1406" s="16" t="s">
        <v>1992</v>
      </c>
      <c r="H1406" s="14">
        <v>0.161</v>
      </c>
      <c r="I1406" s="14" t="s">
        <v>13847</v>
      </c>
      <c r="J1406" s="14" t="s">
        <v>13848</v>
      </c>
      <c r="K1406" s="14" t="s">
        <v>13849</v>
      </c>
      <c r="L1406" s="14" t="s">
        <v>13838</v>
      </c>
      <c r="O1406" s="14" t="s">
        <v>13843</v>
      </c>
      <c r="P1406" s="14" t="s">
        <v>13844</v>
      </c>
      <c r="Q1406" s="14">
        <v>413756.23</v>
      </c>
      <c r="R1406" s="14">
        <v>6191668.3099999996</v>
      </c>
      <c r="S1406" s="14" t="s">
        <v>13845</v>
      </c>
      <c r="T1406" s="14" t="s">
        <v>13846</v>
      </c>
      <c r="U1406" s="14">
        <v>413730.35</v>
      </c>
      <c r="V1406" s="14">
        <v>6191671.1100000003</v>
      </c>
      <c r="W1406" s="14">
        <v>358.62</v>
      </c>
      <c r="X1406" s="14">
        <v>150.05000000000001</v>
      </c>
    </row>
    <row r="1407" spans="1:24" s="14" customFormat="1" x14ac:dyDescent="0.25">
      <c r="A1407" s="50">
        <v>45101</v>
      </c>
      <c r="B1407" s="57">
        <v>175</v>
      </c>
      <c r="C1407" s="36">
        <v>0.3538425925925926</v>
      </c>
      <c r="D1407" s="16" t="s">
        <v>177</v>
      </c>
      <c r="E1407" s="52" t="s">
        <v>70</v>
      </c>
      <c r="F1407" s="16" t="s">
        <v>8759</v>
      </c>
      <c r="G1407" s="16" t="s">
        <v>1992</v>
      </c>
      <c r="H1407" s="14">
        <v>-1.4999999999999999E-2</v>
      </c>
      <c r="I1407" s="14" t="s">
        <v>13847</v>
      </c>
      <c r="J1407" s="14" t="s">
        <v>13848</v>
      </c>
      <c r="K1407" s="14" t="s">
        <v>13849</v>
      </c>
      <c r="L1407" s="14" t="s">
        <v>13854</v>
      </c>
      <c r="O1407" s="14" t="s">
        <v>13850</v>
      </c>
      <c r="P1407" s="14" t="s">
        <v>13851</v>
      </c>
      <c r="Q1407" s="14">
        <v>413755.81</v>
      </c>
      <c r="R1407" s="14">
        <v>6191841.9000000004</v>
      </c>
      <c r="S1407" s="14" t="s">
        <v>13852</v>
      </c>
      <c r="T1407" s="14" t="s">
        <v>13853</v>
      </c>
      <c r="U1407" s="14">
        <v>413730.33</v>
      </c>
      <c r="V1407" s="14">
        <v>6191846.7400000002</v>
      </c>
      <c r="W1407" s="14">
        <v>359.66</v>
      </c>
      <c r="X1407" s="14">
        <v>150.05000000000001</v>
      </c>
    </row>
    <row r="1408" spans="1:24" s="14" customFormat="1" x14ac:dyDescent="0.25">
      <c r="A1408" s="50">
        <v>45101</v>
      </c>
      <c r="B1408" s="57">
        <v>175</v>
      </c>
      <c r="C1408" s="36">
        <v>0.35562500000000002</v>
      </c>
      <c r="D1408" s="16" t="s">
        <v>177</v>
      </c>
      <c r="E1408" s="52" t="s">
        <v>65</v>
      </c>
      <c r="F1408" s="16" t="s">
        <v>8759</v>
      </c>
      <c r="G1408" s="16" t="s">
        <v>1993</v>
      </c>
      <c r="H1408" s="14">
        <v>-1.0999999999999999E-2</v>
      </c>
      <c r="I1408" s="14" t="s">
        <v>13859</v>
      </c>
      <c r="J1408" s="14" t="s">
        <v>13860</v>
      </c>
      <c r="K1408" s="14" t="s">
        <v>13861</v>
      </c>
      <c r="L1408" s="14" t="s">
        <v>13854</v>
      </c>
      <c r="O1408" s="14" t="s">
        <v>13855</v>
      </c>
      <c r="P1408" s="14" t="s">
        <v>13856</v>
      </c>
      <c r="Q1408" s="14">
        <v>413748.58</v>
      </c>
      <c r="R1408" s="14">
        <v>6191856.1399999997</v>
      </c>
      <c r="S1408" s="14" t="s">
        <v>13857</v>
      </c>
      <c r="T1408" s="14" t="s">
        <v>13858</v>
      </c>
      <c r="U1408" s="14">
        <v>413721.28</v>
      </c>
      <c r="V1408" s="14">
        <v>6191854.2999999998</v>
      </c>
      <c r="W1408" s="14">
        <v>180.22</v>
      </c>
      <c r="X1408" s="14">
        <v>150.05000000000001</v>
      </c>
    </row>
    <row r="1409" spans="1:24" s="14" customFormat="1" x14ac:dyDescent="0.25">
      <c r="A1409" s="50">
        <v>45101</v>
      </c>
      <c r="B1409" s="57">
        <v>175</v>
      </c>
      <c r="C1409" s="36">
        <v>0.35901620370370368</v>
      </c>
      <c r="D1409" s="16" t="s">
        <v>177</v>
      </c>
      <c r="E1409" s="52" t="s">
        <v>70</v>
      </c>
      <c r="F1409" s="16" t="s">
        <v>8759</v>
      </c>
      <c r="G1409" s="16" t="s">
        <v>1993</v>
      </c>
      <c r="H1409" s="14">
        <v>0.16700000000000001</v>
      </c>
      <c r="I1409" s="14" t="s">
        <v>13859</v>
      </c>
      <c r="J1409" s="14" t="s">
        <v>13860</v>
      </c>
      <c r="K1409" s="14" t="s">
        <v>13861</v>
      </c>
      <c r="L1409" s="14" t="s">
        <v>13854</v>
      </c>
      <c r="O1409" s="14" t="s">
        <v>13862</v>
      </c>
      <c r="P1409" s="14" t="s">
        <v>13863</v>
      </c>
      <c r="Q1409" s="14">
        <v>413746.72</v>
      </c>
      <c r="R1409" s="14">
        <v>6191679.4900000002</v>
      </c>
      <c r="S1409" s="14" t="s">
        <v>13864</v>
      </c>
      <c r="T1409" s="14" t="s">
        <v>13865</v>
      </c>
      <c r="U1409" s="14">
        <v>413721.25</v>
      </c>
      <c r="V1409" s="14">
        <v>6191675.71</v>
      </c>
      <c r="W1409" s="14">
        <v>178.63</v>
      </c>
      <c r="X1409" s="14">
        <v>150.05000000000001</v>
      </c>
    </row>
    <row r="1410" spans="1:24" s="14" customFormat="1" x14ac:dyDescent="0.25">
      <c r="A1410" s="50">
        <v>45101</v>
      </c>
      <c r="B1410" s="57">
        <v>175</v>
      </c>
      <c r="C1410" s="36">
        <v>0.36104166666666665</v>
      </c>
      <c r="D1410" s="16" t="s">
        <v>177</v>
      </c>
      <c r="E1410" s="52" t="s">
        <v>65</v>
      </c>
      <c r="F1410" s="16" t="s">
        <v>8759</v>
      </c>
      <c r="G1410" s="16" t="s">
        <v>1994</v>
      </c>
      <c r="H1410" s="14">
        <v>0.16400000000000001</v>
      </c>
      <c r="I1410" s="14" t="s">
        <v>13870</v>
      </c>
      <c r="J1410" s="14" t="s">
        <v>13871</v>
      </c>
      <c r="K1410" s="14" t="s">
        <v>13872</v>
      </c>
      <c r="L1410" s="14" t="s">
        <v>13854</v>
      </c>
      <c r="O1410" s="14" t="s">
        <v>13866</v>
      </c>
      <c r="P1410" s="14" t="s">
        <v>13867</v>
      </c>
      <c r="Q1410" s="14">
        <v>413738.04</v>
      </c>
      <c r="R1410" s="14">
        <v>6191664.8799999999</v>
      </c>
      <c r="S1410" s="14" t="s">
        <v>13868</v>
      </c>
      <c r="T1410" s="14" t="s">
        <v>13869</v>
      </c>
      <c r="U1410" s="14">
        <v>413712.31</v>
      </c>
      <c r="V1410" s="14">
        <v>6191668.04</v>
      </c>
      <c r="W1410" s="14">
        <v>359.14</v>
      </c>
      <c r="X1410" s="14">
        <v>150.05000000000001</v>
      </c>
    </row>
    <row r="1411" spans="1:24" s="14" customFormat="1" x14ac:dyDescent="0.25">
      <c r="A1411" s="50">
        <v>45101</v>
      </c>
      <c r="B1411" s="57">
        <v>175</v>
      </c>
      <c r="C1411" s="36">
        <v>0.3644444444444444</v>
      </c>
      <c r="D1411" s="16" t="s">
        <v>177</v>
      </c>
      <c r="E1411" s="52" t="s">
        <v>70</v>
      </c>
      <c r="F1411" s="16" t="s">
        <v>8759</v>
      </c>
      <c r="G1411" s="16" t="s">
        <v>1994</v>
      </c>
      <c r="H1411" s="14">
        <v>-1.6E-2</v>
      </c>
      <c r="I1411" s="14" t="s">
        <v>13870</v>
      </c>
      <c r="J1411" s="14" t="s">
        <v>13871</v>
      </c>
      <c r="K1411" s="14" t="s">
        <v>13872</v>
      </c>
      <c r="L1411" s="14" t="s">
        <v>13877</v>
      </c>
      <c r="O1411" s="14" t="s">
        <v>13873</v>
      </c>
      <c r="P1411" s="14" t="s">
        <v>13874</v>
      </c>
      <c r="Q1411" s="14">
        <v>413738.07</v>
      </c>
      <c r="R1411" s="14">
        <v>6191842.9100000001</v>
      </c>
      <c r="S1411" s="14" t="s">
        <v>13875</v>
      </c>
      <c r="T1411" s="14" t="s">
        <v>13876</v>
      </c>
      <c r="U1411" s="14">
        <v>413712.36</v>
      </c>
      <c r="V1411" s="14">
        <v>6191848.0700000003</v>
      </c>
      <c r="W1411" s="14">
        <v>359.07</v>
      </c>
      <c r="X1411" s="14">
        <v>150.05000000000001</v>
      </c>
    </row>
    <row r="1412" spans="1:24" s="14" customFormat="1" x14ac:dyDescent="0.25">
      <c r="A1412" s="50">
        <v>45101</v>
      </c>
      <c r="B1412" s="57">
        <v>175</v>
      </c>
      <c r="C1412" s="36">
        <v>0.36629629629629629</v>
      </c>
      <c r="D1412" s="16" t="s">
        <v>177</v>
      </c>
      <c r="E1412" s="52" t="s">
        <v>65</v>
      </c>
      <c r="F1412" s="16" t="s">
        <v>8759</v>
      </c>
      <c r="G1412" s="16" t="s">
        <v>1995</v>
      </c>
      <c r="H1412" s="14">
        <v>-1.2E-2</v>
      </c>
      <c r="I1412" s="14" t="s">
        <v>13882</v>
      </c>
      <c r="J1412" s="14" t="s">
        <v>13883</v>
      </c>
      <c r="K1412" s="14" t="s">
        <v>13884</v>
      </c>
      <c r="L1412" s="14" t="s">
        <v>13877</v>
      </c>
      <c r="O1412" s="14" t="s">
        <v>13878</v>
      </c>
      <c r="P1412" s="14" t="s">
        <v>13879</v>
      </c>
      <c r="Q1412" s="14">
        <v>413730.73</v>
      </c>
      <c r="R1412" s="14">
        <v>6191855.4699999997</v>
      </c>
      <c r="S1412" s="14" t="s">
        <v>13880</v>
      </c>
      <c r="T1412" s="14" t="s">
        <v>13881</v>
      </c>
      <c r="U1412" s="14">
        <v>413703.33</v>
      </c>
      <c r="V1412" s="14">
        <v>6191854.8300000001</v>
      </c>
      <c r="W1412" s="14">
        <v>179.09</v>
      </c>
      <c r="X1412" s="14">
        <v>150.05000000000001</v>
      </c>
    </row>
    <row r="1413" spans="1:24" s="14" customFormat="1" x14ac:dyDescent="0.25">
      <c r="A1413" s="50">
        <v>45101</v>
      </c>
      <c r="B1413" s="57">
        <v>175</v>
      </c>
      <c r="C1413" s="36">
        <v>0.36974537037037036</v>
      </c>
      <c r="D1413" s="16" t="s">
        <v>177</v>
      </c>
      <c r="E1413" s="52" t="s">
        <v>70</v>
      </c>
      <c r="F1413" s="16" t="s">
        <v>8759</v>
      </c>
      <c r="G1413" s="16" t="s">
        <v>1995</v>
      </c>
      <c r="H1413" s="14">
        <v>0.16700000000000001</v>
      </c>
      <c r="I1413" s="14" t="s">
        <v>13882</v>
      </c>
      <c r="J1413" s="14" t="s">
        <v>13883</v>
      </c>
      <c r="K1413" s="14" t="s">
        <v>13884</v>
      </c>
      <c r="L1413" s="14" t="s">
        <v>13877</v>
      </c>
      <c r="O1413" s="14" t="s">
        <v>13885</v>
      </c>
      <c r="P1413" s="14" t="s">
        <v>13886</v>
      </c>
      <c r="Q1413" s="14">
        <v>413728.38</v>
      </c>
      <c r="R1413" s="14">
        <v>6191675.1799999997</v>
      </c>
      <c r="S1413" s="14" t="s">
        <v>13887</v>
      </c>
      <c r="T1413" s="14" t="s">
        <v>13888</v>
      </c>
      <c r="U1413" s="14">
        <v>413703.34</v>
      </c>
      <c r="V1413" s="14">
        <v>6191675.7599999998</v>
      </c>
      <c r="W1413" s="14">
        <v>179.86</v>
      </c>
      <c r="X1413" s="14">
        <v>150.05000000000001</v>
      </c>
    </row>
    <row r="1414" spans="1:24" s="14" customFormat="1" x14ac:dyDescent="0.25">
      <c r="A1414" s="50">
        <v>45101</v>
      </c>
      <c r="B1414" s="57">
        <v>175</v>
      </c>
      <c r="C1414" s="36">
        <v>0.3722569444444444</v>
      </c>
      <c r="D1414" s="16" t="s">
        <v>177</v>
      </c>
      <c r="E1414" s="52" t="s">
        <v>65</v>
      </c>
      <c r="F1414" s="16" t="s">
        <v>8759</v>
      </c>
      <c r="G1414" s="16" t="s">
        <v>1996</v>
      </c>
      <c r="H1414" s="14">
        <v>0.16200000000000001</v>
      </c>
      <c r="I1414" s="14" t="s">
        <v>13893</v>
      </c>
      <c r="J1414" s="14" t="s">
        <v>13894</v>
      </c>
      <c r="K1414" s="14" t="s">
        <v>13895</v>
      </c>
      <c r="L1414" s="14" t="s">
        <v>13877</v>
      </c>
      <c r="O1414" s="14" t="s">
        <v>13889</v>
      </c>
      <c r="P1414" s="14" t="s">
        <v>13890</v>
      </c>
      <c r="Q1414" s="14">
        <v>413720.62</v>
      </c>
      <c r="R1414" s="14">
        <v>6191659</v>
      </c>
      <c r="S1414" s="14" t="s">
        <v>13891</v>
      </c>
      <c r="T1414" s="14" t="s">
        <v>13892</v>
      </c>
      <c r="U1414" s="14">
        <v>413694.4</v>
      </c>
      <c r="V1414" s="14">
        <v>6191670.1399999997</v>
      </c>
      <c r="W1414" s="14">
        <v>358.74</v>
      </c>
      <c r="X1414" s="14">
        <v>150.05000000000001</v>
      </c>
    </row>
    <row r="1415" spans="1:24" s="14" customFormat="1" x14ac:dyDescent="0.25">
      <c r="A1415" s="50">
        <v>45101</v>
      </c>
      <c r="B1415" s="57">
        <v>175</v>
      </c>
      <c r="C1415" s="36">
        <v>0.3758333333333333</v>
      </c>
      <c r="D1415" s="16" t="s">
        <v>177</v>
      </c>
      <c r="E1415" s="52" t="s">
        <v>70</v>
      </c>
      <c r="F1415" s="16" t="s">
        <v>8759</v>
      </c>
      <c r="G1415" s="16" t="s">
        <v>1996</v>
      </c>
      <c r="H1415" s="14">
        <v>-1.7000000000000001E-2</v>
      </c>
      <c r="I1415" s="14" t="s">
        <v>13893</v>
      </c>
      <c r="J1415" s="14" t="s">
        <v>13894</v>
      </c>
      <c r="K1415" s="14" t="s">
        <v>13895</v>
      </c>
      <c r="L1415" s="14" t="s">
        <v>13900</v>
      </c>
      <c r="O1415" s="14" t="s">
        <v>13896</v>
      </c>
      <c r="P1415" s="14" t="s">
        <v>13897</v>
      </c>
      <c r="Q1415" s="14">
        <v>413721.18</v>
      </c>
      <c r="R1415" s="14">
        <v>6191845.1399999997</v>
      </c>
      <c r="S1415" s="14" t="s">
        <v>13898</v>
      </c>
      <c r="T1415" s="14" t="s">
        <v>13899</v>
      </c>
      <c r="U1415" s="14">
        <v>413694.33</v>
      </c>
      <c r="V1415" s="14">
        <v>6191848.3300000001</v>
      </c>
      <c r="W1415" s="14">
        <v>358.9</v>
      </c>
      <c r="X1415" s="14">
        <v>150.05000000000001</v>
      </c>
    </row>
    <row r="1416" spans="1:24" s="14" customFormat="1" x14ac:dyDescent="0.25">
      <c r="A1416" s="50">
        <v>45101</v>
      </c>
      <c r="B1416" s="57">
        <v>175</v>
      </c>
      <c r="C1416" s="36">
        <v>0.3765162037037037</v>
      </c>
      <c r="D1416" s="16" t="s">
        <v>177</v>
      </c>
      <c r="E1416" s="116" t="s">
        <v>13905</v>
      </c>
      <c r="F1416" s="16" t="s">
        <v>8759</v>
      </c>
      <c r="G1416" s="16" t="s">
        <v>1996</v>
      </c>
      <c r="H1416" s="14">
        <v>-0.03</v>
      </c>
      <c r="O1416" s="14" t="s">
        <v>13901</v>
      </c>
      <c r="P1416" s="14" t="s">
        <v>13902</v>
      </c>
      <c r="Q1416" s="14">
        <v>413722.36</v>
      </c>
      <c r="R1416" s="14">
        <v>6191865.8099999996</v>
      </c>
      <c r="S1416" s="14" t="s">
        <v>13903</v>
      </c>
      <c r="T1416" s="14" t="s">
        <v>13904</v>
      </c>
      <c r="U1416" s="14">
        <v>413694.92</v>
      </c>
      <c r="V1416" s="14">
        <v>6191867.7699999996</v>
      </c>
      <c r="W1416" s="14">
        <v>263.77999999999997</v>
      </c>
      <c r="X1416" s="14">
        <v>150.05000000000001</v>
      </c>
    </row>
    <row r="1417" spans="1:24" s="126" customFormat="1" x14ac:dyDescent="0.25">
      <c r="A1417" s="78">
        <v>45101</v>
      </c>
      <c r="B1417" s="108">
        <v>175</v>
      </c>
      <c r="C1417" s="80">
        <v>0.38067129629629631</v>
      </c>
      <c r="D1417" s="79" t="s">
        <v>177</v>
      </c>
      <c r="E1417" s="127" t="s">
        <v>13911</v>
      </c>
      <c r="F1417" s="79" t="s">
        <v>11862</v>
      </c>
      <c r="G1417" s="79" t="s">
        <v>2305</v>
      </c>
      <c r="H1417" s="126">
        <v>-2.5179999999999998</v>
      </c>
      <c r="O1417" s="126" t="s">
        <v>13907</v>
      </c>
      <c r="P1417" s="126" t="s">
        <v>13908</v>
      </c>
      <c r="Q1417" s="126">
        <v>413722.25</v>
      </c>
      <c r="R1417" s="126">
        <v>6191868.1399999997</v>
      </c>
      <c r="S1417" s="126" t="s">
        <v>13909</v>
      </c>
      <c r="T1417" s="126" t="s">
        <v>13910</v>
      </c>
      <c r="U1417" s="126">
        <v>413709.5</v>
      </c>
      <c r="V1417" s="126">
        <v>6191870.7999999998</v>
      </c>
      <c r="W1417" s="126">
        <v>267.82</v>
      </c>
      <c r="X1417" s="126">
        <v>150.05000000000001</v>
      </c>
    </row>
    <row r="1418" spans="1:24" s="115" customFormat="1" x14ac:dyDescent="0.25">
      <c r="A1418" s="50">
        <v>45101</v>
      </c>
      <c r="B1418" s="57">
        <v>175</v>
      </c>
      <c r="C1418" s="36">
        <v>0.38067129629629631</v>
      </c>
      <c r="D1418" s="117" t="s">
        <v>177</v>
      </c>
      <c r="E1418" s="116" t="s">
        <v>13916</v>
      </c>
      <c r="F1418" s="117" t="s">
        <v>11862</v>
      </c>
      <c r="G1418" s="117" t="s">
        <v>2305</v>
      </c>
      <c r="H1418" s="115">
        <v>-2.5179999999999998</v>
      </c>
      <c r="O1418" s="115" t="s">
        <v>13907</v>
      </c>
      <c r="P1418" s="115" t="s">
        <v>13908</v>
      </c>
      <c r="Q1418" s="115">
        <v>413722.25</v>
      </c>
      <c r="R1418" s="115">
        <v>6191868.1399999997</v>
      </c>
      <c r="S1418" s="115" t="s">
        <v>13909</v>
      </c>
      <c r="T1418" s="115" t="s">
        <v>13910</v>
      </c>
      <c r="U1418" s="115">
        <v>413709.5</v>
      </c>
      <c r="V1418" s="115">
        <v>6191870.7999999998</v>
      </c>
      <c r="W1418" s="115">
        <v>267.82</v>
      </c>
      <c r="X1418" s="115">
        <v>150.05000000000001</v>
      </c>
    </row>
    <row r="1419" spans="1:24" s="14" customFormat="1" x14ac:dyDescent="0.25">
      <c r="A1419" s="50">
        <v>45101</v>
      </c>
      <c r="B1419" s="57">
        <v>175</v>
      </c>
      <c r="C1419" s="36">
        <v>0.38349537037037035</v>
      </c>
      <c r="D1419" s="16" t="s">
        <v>177</v>
      </c>
      <c r="E1419" s="116" t="s">
        <v>13906</v>
      </c>
      <c r="F1419" s="16" t="s">
        <v>11862</v>
      </c>
      <c r="G1419" s="16" t="s">
        <v>2305</v>
      </c>
      <c r="H1419" s="14">
        <v>-2.4870000000000001</v>
      </c>
      <c r="O1419" s="14" t="s">
        <v>13912</v>
      </c>
      <c r="P1419" s="14" t="s">
        <v>13913</v>
      </c>
      <c r="Q1419" s="14">
        <v>413511.98</v>
      </c>
      <c r="R1419" s="14">
        <v>6191847.4000000004</v>
      </c>
      <c r="S1419" s="14" t="s">
        <v>13914</v>
      </c>
      <c r="T1419" s="14" t="s">
        <v>13915</v>
      </c>
      <c r="U1419" s="14">
        <v>413521.02</v>
      </c>
      <c r="V1419" s="14">
        <v>6191842.2400000002</v>
      </c>
      <c r="W1419" s="14">
        <v>122.09</v>
      </c>
      <c r="X1419" s="14">
        <v>150.05000000000001</v>
      </c>
    </row>
    <row r="1420" spans="1:24" s="14" customFormat="1" x14ac:dyDescent="0.25">
      <c r="A1420" s="50">
        <v>45101</v>
      </c>
      <c r="B1420" s="57">
        <v>175</v>
      </c>
      <c r="C1420" s="36">
        <v>0.40251157407407406</v>
      </c>
      <c r="D1420" s="16" t="s">
        <v>177</v>
      </c>
      <c r="E1420" s="116" t="s">
        <v>6362</v>
      </c>
      <c r="F1420" s="16" t="s">
        <v>11862</v>
      </c>
      <c r="G1420" s="16" t="s">
        <v>2305</v>
      </c>
      <c r="H1420" s="14">
        <v>-4.9000000000000002E-2</v>
      </c>
      <c r="O1420" s="14" t="s">
        <v>13917</v>
      </c>
      <c r="P1420" s="14" t="s">
        <v>13918</v>
      </c>
      <c r="Q1420" s="14">
        <v>411796.78</v>
      </c>
      <c r="R1420" s="14">
        <v>6189401.6799999997</v>
      </c>
      <c r="S1420" s="14" t="s">
        <v>13919</v>
      </c>
      <c r="T1420" s="14" t="s">
        <v>13920</v>
      </c>
      <c r="U1420" s="14">
        <v>411786.17</v>
      </c>
      <c r="V1420" s="14">
        <v>6189402.6500000004</v>
      </c>
      <c r="W1420" s="14">
        <v>267.60000000000002</v>
      </c>
      <c r="X1420" s="14">
        <v>150.05000000000001</v>
      </c>
    </row>
    <row r="1421" spans="1:24" s="124" customFormat="1" x14ac:dyDescent="0.25">
      <c r="A1421" s="74">
        <v>45101</v>
      </c>
      <c r="B1421" s="105">
        <v>175</v>
      </c>
      <c r="C1421" s="76">
        <v>0.40263888888888894</v>
      </c>
      <c r="D1421" s="75" t="s">
        <v>177</v>
      </c>
      <c r="E1421" s="125" t="s">
        <v>13925</v>
      </c>
      <c r="F1421" s="75" t="s">
        <v>11862</v>
      </c>
      <c r="G1421" s="75" t="s">
        <v>2305</v>
      </c>
      <c r="H1421" s="124">
        <v>-4.9000000000000002E-2</v>
      </c>
      <c r="O1421" s="124" t="s">
        <v>13921</v>
      </c>
      <c r="P1421" s="124" t="s">
        <v>13922</v>
      </c>
      <c r="Q1421" s="124">
        <v>411796.5</v>
      </c>
      <c r="R1421" s="124">
        <v>6189401.5800000001</v>
      </c>
      <c r="S1421" s="124" t="s">
        <v>13923</v>
      </c>
      <c r="T1421" s="124" t="s">
        <v>13924</v>
      </c>
      <c r="U1421" s="124">
        <v>411785.46</v>
      </c>
      <c r="V1421" s="124">
        <v>6189402.5800000001</v>
      </c>
      <c r="W1421" s="124">
        <v>268.43</v>
      </c>
      <c r="X1421" s="124">
        <v>150.05000000000001</v>
      </c>
    </row>
    <row r="1422" spans="1:24" s="122" customFormat="1" x14ac:dyDescent="0.25">
      <c r="A1422" s="65">
        <v>45101</v>
      </c>
      <c r="B1422" s="106">
        <v>175</v>
      </c>
      <c r="C1422" s="67">
        <v>0.40560185185185182</v>
      </c>
      <c r="D1422" s="66" t="s">
        <v>177</v>
      </c>
      <c r="E1422" s="123" t="s">
        <v>13931</v>
      </c>
      <c r="F1422" s="66" t="s">
        <v>11862</v>
      </c>
      <c r="G1422" s="66" t="s">
        <v>2305</v>
      </c>
      <c r="H1422" s="122">
        <v>-4.7E-2</v>
      </c>
      <c r="M1422" s="122" t="s">
        <v>13926</v>
      </c>
      <c r="O1422" s="122" t="s">
        <v>13927</v>
      </c>
      <c r="P1422" s="122" t="s">
        <v>13928</v>
      </c>
      <c r="Q1422" s="122">
        <v>411796.24</v>
      </c>
      <c r="R1422" s="122">
        <v>6189401.1699999999</v>
      </c>
      <c r="S1422" s="122" t="s">
        <v>13929</v>
      </c>
      <c r="T1422" s="122" t="s">
        <v>13930</v>
      </c>
      <c r="U1422" s="122">
        <v>411778.01</v>
      </c>
      <c r="V1422" s="122">
        <v>6189404.6100000003</v>
      </c>
      <c r="W1422" s="122">
        <v>214.35</v>
      </c>
      <c r="X1422" s="122">
        <v>150.05000000000001</v>
      </c>
    </row>
    <row r="1423" spans="1:24" s="14" customFormat="1" x14ac:dyDescent="0.25">
      <c r="A1423" s="50">
        <v>45101</v>
      </c>
      <c r="B1423" s="57">
        <v>175</v>
      </c>
      <c r="C1423" s="36">
        <v>0.40769675925925924</v>
      </c>
      <c r="D1423" s="16" t="s">
        <v>177</v>
      </c>
      <c r="E1423" s="52" t="s">
        <v>65</v>
      </c>
      <c r="F1423" s="16" t="s">
        <v>11862</v>
      </c>
      <c r="G1423" s="16" t="s">
        <v>2305</v>
      </c>
      <c r="H1423" s="14">
        <v>-1.0999999999999999E-2</v>
      </c>
      <c r="I1423" s="14" t="s">
        <v>13936</v>
      </c>
      <c r="J1423" s="14" t="s">
        <v>13937</v>
      </c>
      <c r="K1423" s="14" t="s">
        <v>13938</v>
      </c>
      <c r="L1423" s="14" t="s">
        <v>13939</v>
      </c>
      <c r="O1423" s="14" t="s">
        <v>13932</v>
      </c>
      <c r="P1423" s="14" t="s">
        <v>13933</v>
      </c>
      <c r="Q1423" s="14">
        <v>411796.33</v>
      </c>
      <c r="R1423" s="14">
        <v>6189368.5</v>
      </c>
      <c r="S1423" s="14" t="s">
        <v>13934</v>
      </c>
      <c r="T1423" s="14" t="s">
        <v>13935</v>
      </c>
      <c r="U1423" s="14">
        <v>411773.66</v>
      </c>
      <c r="V1423" s="14">
        <v>6189369.3200000003</v>
      </c>
      <c r="W1423" s="14">
        <v>178.98</v>
      </c>
      <c r="X1423" s="14">
        <v>150.05000000000001</v>
      </c>
    </row>
    <row r="1424" spans="1:24" s="14" customFormat="1" x14ac:dyDescent="0.25">
      <c r="A1424" s="50">
        <v>45101</v>
      </c>
      <c r="B1424" s="57">
        <v>175</v>
      </c>
      <c r="C1424" s="36">
        <v>0.41112268518518519</v>
      </c>
      <c r="D1424" s="16" t="s">
        <v>177</v>
      </c>
      <c r="E1424" s="52" t="s">
        <v>70</v>
      </c>
      <c r="F1424" s="16" t="s">
        <v>11862</v>
      </c>
      <c r="G1424" s="16" t="s">
        <v>2305</v>
      </c>
      <c r="H1424" s="14">
        <v>0.17</v>
      </c>
      <c r="I1424" s="14" t="s">
        <v>13936</v>
      </c>
      <c r="J1424" s="14" t="s">
        <v>13937</v>
      </c>
      <c r="K1424" s="14" t="s">
        <v>13938</v>
      </c>
      <c r="L1424" s="14" t="s">
        <v>13939</v>
      </c>
      <c r="O1424" s="14" t="s">
        <v>13940</v>
      </c>
      <c r="P1424" s="14" t="s">
        <v>13941</v>
      </c>
      <c r="Q1424" s="14">
        <v>411797.02</v>
      </c>
      <c r="R1424" s="14">
        <v>6189187.0499999998</v>
      </c>
      <c r="S1424" s="14" t="s">
        <v>13942</v>
      </c>
      <c r="T1424" s="14" t="s">
        <v>13943</v>
      </c>
      <c r="U1424" s="14">
        <v>411773.73</v>
      </c>
      <c r="V1424" s="14">
        <v>6189188.3200000003</v>
      </c>
      <c r="W1424" s="14">
        <v>178.99</v>
      </c>
      <c r="X1424" s="14">
        <v>150.05000000000001</v>
      </c>
    </row>
    <row r="1425" spans="1:24" s="14" customFormat="1" x14ac:dyDescent="0.25">
      <c r="A1425" s="50">
        <v>45101</v>
      </c>
      <c r="B1425" s="57">
        <v>175</v>
      </c>
      <c r="C1425" s="36">
        <v>0.41346064814814815</v>
      </c>
      <c r="D1425" s="16" t="s">
        <v>177</v>
      </c>
      <c r="E1425" s="52" t="s">
        <v>65</v>
      </c>
      <c r="F1425" s="16" t="s">
        <v>11862</v>
      </c>
      <c r="G1425" s="16" t="s">
        <v>2304</v>
      </c>
      <c r="H1425" s="14">
        <v>0.16900000000000001</v>
      </c>
      <c r="I1425" s="14" t="s">
        <v>13948</v>
      </c>
      <c r="J1425" s="14" t="s">
        <v>13949</v>
      </c>
      <c r="K1425" s="14" t="s">
        <v>13950</v>
      </c>
      <c r="L1425" s="14" t="s">
        <v>13939</v>
      </c>
      <c r="O1425" s="14" t="s">
        <v>13944</v>
      </c>
      <c r="P1425" s="14" t="s">
        <v>13945</v>
      </c>
      <c r="Q1425" s="14">
        <v>411789.5</v>
      </c>
      <c r="R1425" s="14">
        <v>6189169.5199999996</v>
      </c>
      <c r="S1425" s="14" t="s">
        <v>13946</v>
      </c>
      <c r="T1425" s="14" t="s">
        <v>13947</v>
      </c>
      <c r="U1425" s="14">
        <v>411764.77</v>
      </c>
      <c r="V1425" s="14">
        <v>6189178.75</v>
      </c>
      <c r="W1425" s="14">
        <v>359.11</v>
      </c>
      <c r="X1425" s="14">
        <v>150.05000000000001</v>
      </c>
    </row>
    <row r="1426" spans="1:24" s="14" customFormat="1" x14ac:dyDescent="0.25">
      <c r="A1426" s="50">
        <v>45101</v>
      </c>
      <c r="B1426" s="57">
        <v>175</v>
      </c>
      <c r="C1426" s="36">
        <v>0.41722222222222222</v>
      </c>
      <c r="D1426" s="16" t="s">
        <v>97</v>
      </c>
      <c r="E1426" s="52" t="s">
        <v>70</v>
      </c>
      <c r="F1426" s="16" t="s">
        <v>11862</v>
      </c>
      <c r="G1426" s="16" t="s">
        <v>2304</v>
      </c>
      <c r="H1426" s="14">
        <v>-1.4999999999999999E-2</v>
      </c>
      <c r="I1426" s="14" t="s">
        <v>13948</v>
      </c>
      <c r="J1426" s="14" t="s">
        <v>13949</v>
      </c>
      <c r="K1426" s="14" t="s">
        <v>13950</v>
      </c>
      <c r="L1426" s="14" t="s">
        <v>13955</v>
      </c>
      <c r="O1426" s="14" t="s">
        <v>13951</v>
      </c>
      <c r="P1426" s="14" t="s">
        <v>13952</v>
      </c>
      <c r="Q1426" s="14">
        <v>411787.91</v>
      </c>
      <c r="R1426" s="14">
        <v>6189351.9500000002</v>
      </c>
      <c r="S1426" s="14" t="s">
        <v>13953</v>
      </c>
      <c r="T1426" s="14" t="s">
        <v>13954</v>
      </c>
      <c r="U1426" s="14">
        <v>411764.83</v>
      </c>
      <c r="V1426" s="14">
        <v>6189362.6399999997</v>
      </c>
      <c r="W1426" s="14">
        <v>358.68</v>
      </c>
      <c r="X1426" s="14">
        <v>150.05000000000001</v>
      </c>
    </row>
    <row r="1427" spans="1:24" s="14" customFormat="1" x14ac:dyDescent="0.25">
      <c r="A1427" s="50">
        <v>45101</v>
      </c>
      <c r="B1427" s="57">
        <v>175</v>
      </c>
      <c r="C1427" s="36">
        <v>0.41944444444444445</v>
      </c>
      <c r="D1427" s="117" t="s">
        <v>97</v>
      </c>
      <c r="E1427" s="52" t="s">
        <v>65</v>
      </c>
      <c r="F1427" s="16" t="s">
        <v>11862</v>
      </c>
      <c r="G1427" s="16" t="s">
        <v>2303</v>
      </c>
      <c r="H1427" s="14">
        <v>-8.0000000000000002E-3</v>
      </c>
      <c r="I1427" s="14" t="s">
        <v>13960</v>
      </c>
      <c r="J1427" s="14" t="s">
        <v>13961</v>
      </c>
      <c r="K1427" s="14" t="s">
        <v>13962</v>
      </c>
      <c r="L1427" s="14" t="s">
        <v>13955</v>
      </c>
      <c r="O1427" s="14" t="s">
        <v>13956</v>
      </c>
      <c r="P1427" s="14" t="s">
        <v>13957</v>
      </c>
      <c r="Q1427" s="14">
        <v>411780.59</v>
      </c>
      <c r="R1427" s="14">
        <v>6189369.8099999996</v>
      </c>
      <c r="S1427" s="14" t="s">
        <v>13958</v>
      </c>
      <c r="T1427" s="14" t="s">
        <v>13959</v>
      </c>
      <c r="U1427" s="14">
        <v>411755.77</v>
      </c>
      <c r="V1427" s="14">
        <v>6189366.4299999997</v>
      </c>
      <c r="W1427" s="14">
        <v>179.33</v>
      </c>
      <c r="X1427" s="14">
        <v>150.05000000000001</v>
      </c>
    </row>
    <row r="1428" spans="1:24" s="14" customFormat="1" x14ac:dyDescent="0.25">
      <c r="A1428" s="50">
        <v>45101</v>
      </c>
      <c r="B1428" s="57">
        <v>175</v>
      </c>
      <c r="C1428" s="36">
        <v>0.42285879629629625</v>
      </c>
      <c r="D1428" s="117" t="s">
        <v>97</v>
      </c>
      <c r="E1428" s="52" t="s">
        <v>70</v>
      </c>
      <c r="F1428" s="16" t="s">
        <v>11862</v>
      </c>
      <c r="G1428" s="16" t="s">
        <v>2303</v>
      </c>
      <c r="H1428" s="14">
        <v>0.17</v>
      </c>
      <c r="I1428" s="14" t="s">
        <v>13960</v>
      </c>
      <c r="J1428" s="14" t="s">
        <v>13961</v>
      </c>
      <c r="K1428" s="14" t="s">
        <v>13962</v>
      </c>
      <c r="L1428" s="14" t="s">
        <v>13955</v>
      </c>
      <c r="O1428" s="14" t="s">
        <v>13963</v>
      </c>
      <c r="P1428" s="14" t="s">
        <v>13964</v>
      </c>
      <c r="Q1428" s="14">
        <v>411780.86</v>
      </c>
      <c r="R1428" s="14">
        <v>6189192.9900000002</v>
      </c>
      <c r="S1428" s="14" t="s">
        <v>13965</v>
      </c>
      <c r="T1428" s="14" t="s">
        <v>13966</v>
      </c>
      <c r="U1428" s="14">
        <v>411755.7</v>
      </c>
      <c r="V1428" s="14">
        <v>6189188.9000000004</v>
      </c>
      <c r="W1428" s="14">
        <v>178.51</v>
      </c>
      <c r="X1428" s="14">
        <v>150.05000000000001</v>
      </c>
    </row>
    <row r="1429" spans="1:24" s="14" customFormat="1" x14ac:dyDescent="0.25">
      <c r="A1429" s="50">
        <v>45101</v>
      </c>
      <c r="B1429" s="57">
        <v>175</v>
      </c>
      <c r="C1429" s="36">
        <v>0.42495370370370367</v>
      </c>
      <c r="D1429" s="117" t="s">
        <v>97</v>
      </c>
      <c r="E1429" s="52" t="s">
        <v>65</v>
      </c>
      <c r="F1429" s="16" t="s">
        <v>11862</v>
      </c>
      <c r="G1429" s="16" t="s">
        <v>2302</v>
      </c>
      <c r="H1429" s="14">
        <v>0.16600000000000001</v>
      </c>
      <c r="I1429" s="14" t="s">
        <v>13971</v>
      </c>
      <c r="J1429" s="14" t="s">
        <v>13972</v>
      </c>
      <c r="K1429" s="14" t="s">
        <v>13973</v>
      </c>
      <c r="L1429" s="14" t="s">
        <v>13955</v>
      </c>
      <c r="O1429" s="14" t="s">
        <v>13967</v>
      </c>
      <c r="P1429" s="14" t="s">
        <v>13968</v>
      </c>
      <c r="Q1429" s="14">
        <v>411772.28</v>
      </c>
      <c r="R1429" s="14">
        <v>6189177.6900000004</v>
      </c>
      <c r="S1429" s="14" t="s">
        <v>13969</v>
      </c>
      <c r="T1429" s="14" t="s">
        <v>13970</v>
      </c>
      <c r="U1429" s="14">
        <v>411746.76</v>
      </c>
      <c r="V1429" s="14">
        <v>6189181.6500000004</v>
      </c>
      <c r="W1429" s="14">
        <v>359.64</v>
      </c>
      <c r="X1429" s="14">
        <v>150.05000000000001</v>
      </c>
    </row>
    <row r="1430" spans="1:24" s="14" customFormat="1" x14ac:dyDescent="0.25">
      <c r="A1430" s="50">
        <v>45101</v>
      </c>
      <c r="B1430" s="57">
        <v>175</v>
      </c>
      <c r="C1430" s="36">
        <v>0.42841435185185189</v>
      </c>
      <c r="D1430" s="117" t="s">
        <v>97</v>
      </c>
      <c r="E1430" s="52" t="s">
        <v>70</v>
      </c>
      <c r="F1430" s="16" t="s">
        <v>11862</v>
      </c>
      <c r="G1430" s="16" t="s">
        <v>2302</v>
      </c>
      <c r="H1430" s="14">
        <v>-1.4999999999999999E-2</v>
      </c>
      <c r="I1430" s="14" t="s">
        <v>13971</v>
      </c>
      <c r="J1430" s="14" t="s">
        <v>13972</v>
      </c>
      <c r="K1430" s="14" t="s">
        <v>13973</v>
      </c>
      <c r="L1430" s="14" t="s">
        <v>13978</v>
      </c>
      <c r="O1430" s="14" t="s">
        <v>13974</v>
      </c>
      <c r="P1430" s="14" t="s">
        <v>13975</v>
      </c>
      <c r="Q1430" s="14">
        <v>411771.23</v>
      </c>
      <c r="R1430" s="14">
        <v>6189357.2000000002</v>
      </c>
      <c r="S1430" s="14" t="s">
        <v>13976</v>
      </c>
      <c r="T1430" s="14" t="s">
        <v>13977</v>
      </c>
      <c r="U1430" s="14">
        <v>411746.81</v>
      </c>
      <c r="V1430" s="14">
        <v>6189363.0999999996</v>
      </c>
      <c r="W1430" s="14">
        <v>358.88</v>
      </c>
      <c r="X1430" s="14">
        <v>150.05000000000001</v>
      </c>
    </row>
    <row r="1431" spans="1:24" s="14" customFormat="1" x14ac:dyDescent="0.25">
      <c r="A1431" s="50">
        <v>45101</v>
      </c>
      <c r="B1431" s="57">
        <v>175</v>
      </c>
      <c r="C1431" s="36">
        <v>0.43067129629629625</v>
      </c>
      <c r="D1431" s="117" t="s">
        <v>97</v>
      </c>
      <c r="E1431" s="52" t="s">
        <v>65</v>
      </c>
      <c r="F1431" s="16" t="s">
        <v>11862</v>
      </c>
      <c r="G1431" s="16" t="s">
        <v>2301</v>
      </c>
      <c r="H1431" s="14">
        <v>-1.2E-2</v>
      </c>
      <c r="I1431" s="14" t="s">
        <v>13983</v>
      </c>
      <c r="J1431" s="14" t="s">
        <v>13984</v>
      </c>
      <c r="K1431" s="14" t="s">
        <v>13985</v>
      </c>
      <c r="L1431" s="14" t="s">
        <v>13978</v>
      </c>
      <c r="O1431" s="14" t="s">
        <v>13979</v>
      </c>
      <c r="P1431" s="14" t="s">
        <v>13980</v>
      </c>
      <c r="Q1431" s="14">
        <v>411763.91</v>
      </c>
      <c r="R1431" s="14">
        <v>6189369.0599999996</v>
      </c>
      <c r="S1431" s="14" t="s">
        <v>13981</v>
      </c>
      <c r="T1431" s="14" t="s">
        <v>13982</v>
      </c>
      <c r="U1431" s="14">
        <v>411737.85</v>
      </c>
      <c r="V1431" s="14">
        <v>6189370.4800000004</v>
      </c>
      <c r="W1431" s="14">
        <v>180.95</v>
      </c>
      <c r="X1431" s="14">
        <v>150.05000000000001</v>
      </c>
    </row>
    <row r="1432" spans="1:24" s="14" customFormat="1" x14ac:dyDescent="0.25">
      <c r="A1432" s="50">
        <v>45101</v>
      </c>
      <c r="B1432" s="57">
        <v>175</v>
      </c>
      <c r="C1432" s="36">
        <v>0.43412037037037038</v>
      </c>
      <c r="D1432" s="16" t="s">
        <v>97</v>
      </c>
      <c r="E1432" s="52" t="s">
        <v>70</v>
      </c>
      <c r="F1432" s="16" t="s">
        <v>11862</v>
      </c>
      <c r="G1432" s="16" t="s">
        <v>2301</v>
      </c>
      <c r="H1432" s="14">
        <v>0.17100000000000001</v>
      </c>
      <c r="I1432" s="14" t="s">
        <v>13983</v>
      </c>
      <c r="J1432" s="14" t="s">
        <v>13984</v>
      </c>
      <c r="K1432" s="14" t="s">
        <v>13985</v>
      </c>
      <c r="L1432" s="14" t="s">
        <v>13978</v>
      </c>
      <c r="O1432" s="14" t="s">
        <v>13986</v>
      </c>
      <c r="P1432" s="14" t="s">
        <v>13987</v>
      </c>
      <c r="Q1432" s="14">
        <v>411763.7</v>
      </c>
      <c r="R1432" s="14">
        <v>6189188.4100000001</v>
      </c>
      <c r="S1432" s="14" t="s">
        <v>13988</v>
      </c>
      <c r="T1432" s="14" t="s">
        <v>13989</v>
      </c>
      <c r="U1432" s="14">
        <v>411737.69</v>
      </c>
      <c r="V1432" s="14">
        <v>6189187.9900000002</v>
      </c>
      <c r="W1432" s="14">
        <v>179.51</v>
      </c>
      <c r="X1432" s="14">
        <v>150.05000000000001</v>
      </c>
    </row>
    <row r="1433" spans="1:24" s="14" customFormat="1" x14ac:dyDescent="0.25">
      <c r="A1433" s="50">
        <v>45101</v>
      </c>
      <c r="B1433" s="57">
        <v>175</v>
      </c>
      <c r="C1433" s="36">
        <v>0.43627314814814816</v>
      </c>
      <c r="D1433" s="16" t="s">
        <v>97</v>
      </c>
      <c r="E1433" s="52" t="s">
        <v>65</v>
      </c>
      <c r="F1433" s="16" t="s">
        <v>11862</v>
      </c>
      <c r="G1433" s="16" t="s">
        <v>2300</v>
      </c>
      <c r="H1433" s="14">
        <v>0.16700000000000001</v>
      </c>
      <c r="I1433" s="14" t="s">
        <v>13994</v>
      </c>
      <c r="J1433" s="14" t="s">
        <v>13995</v>
      </c>
      <c r="K1433" s="14" t="s">
        <v>13996</v>
      </c>
      <c r="L1433" s="14" t="s">
        <v>13978</v>
      </c>
      <c r="O1433" s="14" t="s">
        <v>13990</v>
      </c>
      <c r="P1433" s="14" t="s">
        <v>13991</v>
      </c>
      <c r="Q1433" s="14">
        <v>411755.35</v>
      </c>
      <c r="R1433" s="14">
        <v>6189181.5099999998</v>
      </c>
      <c r="S1433" s="14" t="s">
        <v>13992</v>
      </c>
      <c r="T1433" s="14" t="s">
        <v>13993</v>
      </c>
      <c r="U1433" s="14">
        <v>411728.78</v>
      </c>
      <c r="V1433" s="14">
        <v>6189180.7999999998</v>
      </c>
      <c r="W1433" s="14">
        <v>1.1299999999999999</v>
      </c>
      <c r="X1433" s="14">
        <v>150.05000000000001</v>
      </c>
    </row>
    <row r="1434" spans="1:24" s="14" customFormat="1" x14ac:dyDescent="0.25">
      <c r="A1434" s="50">
        <v>45101</v>
      </c>
      <c r="B1434" s="57">
        <v>175</v>
      </c>
      <c r="C1434" s="36">
        <v>0.43972222222222218</v>
      </c>
      <c r="D1434" s="16" t="s">
        <v>97</v>
      </c>
      <c r="E1434" s="52" t="s">
        <v>70</v>
      </c>
      <c r="F1434" s="16" t="s">
        <v>11862</v>
      </c>
      <c r="G1434" s="16" t="s">
        <v>2300</v>
      </c>
      <c r="H1434" s="14">
        <v>-1.4999999999999999E-2</v>
      </c>
      <c r="I1434" s="14" t="s">
        <v>13994</v>
      </c>
      <c r="J1434" s="14" t="s">
        <v>13995</v>
      </c>
      <c r="K1434" s="14" t="s">
        <v>13996</v>
      </c>
      <c r="L1434" s="14" t="s">
        <v>14001</v>
      </c>
      <c r="O1434" s="14" t="s">
        <v>13997</v>
      </c>
      <c r="P1434" s="14" t="s">
        <v>13998</v>
      </c>
      <c r="Q1434" s="14">
        <v>411754.6</v>
      </c>
      <c r="R1434" s="14">
        <v>6189362.0499999998</v>
      </c>
      <c r="S1434" s="14" t="s">
        <v>13999</v>
      </c>
      <c r="T1434" s="14" t="s">
        <v>14000</v>
      </c>
      <c r="U1434" s="14">
        <v>411728.79</v>
      </c>
      <c r="V1434" s="14">
        <v>6189363.0800000001</v>
      </c>
      <c r="W1434" s="14">
        <v>359.7</v>
      </c>
      <c r="X1434" s="14">
        <v>150.05000000000001</v>
      </c>
    </row>
    <row r="1435" spans="1:24" s="14" customFormat="1" x14ac:dyDescent="0.25">
      <c r="A1435" s="50">
        <v>45101</v>
      </c>
      <c r="B1435" s="57">
        <v>175</v>
      </c>
      <c r="C1435" s="36">
        <v>0.44206018518518514</v>
      </c>
      <c r="D1435" s="16" t="s">
        <v>97</v>
      </c>
      <c r="E1435" s="52" t="s">
        <v>65</v>
      </c>
      <c r="F1435" s="16" t="s">
        <v>11862</v>
      </c>
      <c r="G1435" s="16" t="s">
        <v>2294</v>
      </c>
      <c r="H1435" s="14">
        <v>-1.2999999999999999E-2</v>
      </c>
      <c r="I1435" s="14" t="s">
        <v>14006</v>
      </c>
      <c r="J1435" s="14" t="s">
        <v>14007</v>
      </c>
      <c r="K1435" s="14" t="s">
        <v>14008</v>
      </c>
      <c r="L1435" s="14" t="s">
        <v>14001</v>
      </c>
      <c r="O1435" s="14" t="s">
        <v>14002</v>
      </c>
      <c r="P1435" s="14" t="s">
        <v>14003</v>
      </c>
      <c r="Q1435" s="14">
        <v>411746.08</v>
      </c>
      <c r="R1435" s="14">
        <v>6189371.0099999998</v>
      </c>
      <c r="S1435" s="14" t="s">
        <v>14004</v>
      </c>
      <c r="T1435" s="14" t="s">
        <v>14005</v>
      </c>
      <c r="U1435" s="14">
        <v>411719.79</v>
      </c>
      <c r="V1435" s="14">
        <v>6189371.1900000004</v>
      </c>
      <c r="W1435" s="14">
        <v>180.9</v>
      </c>
      <c r="X1435" s="14">
        <v>150.05000000000001</v>
      </c>
    </row>
    <row r="1436" spans="1:24" s="14" customFormat="1" x14ac:dyDescent="0.25">
      <c r="A1436" s="50">
        <v>45101</v>
      </c>
      <c r="B1436" s="57">
        <v>175</v>
      </c>
      <c r="C1436" s="36">
        <v>0.4455324074074074</v>
      </c>
      <c r="D1436" s="16" t="s">
        <v>97</v>
      </c>
      <c r="E1436" s="52" t="s">
        <v>70</v>
      </c>
      <c r="F1436" s="16" t="s">
        <v>11862</v>
      </c>
      <c r="G1436" s="16" t="s">
        <v>2294</v>
      </c>
      <c r="H1436" s="14">
        <v>0.17</v>
      </c>
      <c r="I1436" s="14" t="s">
        <v>14006</v>
      </c>
      <c r="J1436" s="14" t="s">
        <v>14007</v>
      </c>
      <c r="K1436" s="14" t="s">
        <v>14008</v>
      </c>
      <c r="L1436" s="14" t="s">
        <v>14001</v>
      </c>
      <c r="O1436" s="14" t="s">
        <v>14009</v>
      </c>
      <c r="P1436" s="14" t="s">
        <v>14010</v>
      </c>
      <c r="Q1436" s="14">
        <v>411745.61</v>
      </c>
      <c r="R1436" s="14">
        <v>6189190</v>
      </c>
      <c r="S1436" s="14" t="s">
        <v>14011</v>
      </c>
      <c r="T1436" s="14" t="s">
        <v>14012</v>
      </c>
      <c r="U1436" s="14">
        <v>411719.78</v>
      </c>
      <c r="V1436" s="14">
        <v>6189188.6100000003</v>
      </c>
      <c r="W1436" s="14">
        <v>180.47</v>
      </c>
      <c r="X1436" s="14">
        <v>150.05000000000001</v>
      </c>
    </row>
    <row r="1437" spans="1:24" s="14" customFormat="1" x14ac:dyDescent="0.25">
      <c r="A1437" s="50">
        <v>45101</v>
      </c>
      <c r="B1437" s="57">
        <v>175</v>
      </c>
      <c r="C1437" s="36">
        <v>0.44782407407407404</v>
      </c>
      <c r="D1437" s="16" t="s">
        <v>97</v>
      </c>
      <c r="E1437" s="14" t="s">
        <v>65</v>
      </c>
      <c r="F1437" s="16" t="s">
        <v>11862</v>
      </c>
      <c r="G1437" s="16" t="s">
        <v>2295</v>
      </c>
      <c r="H1437" s="14">
        <v>0.16500000000000001</v>
      </c>
      <c r="I1437" s="14" t="s">
        <v>14017</v>
      </c>
      <c r="J1437" s="14" t="s">
        <v>14018</v>
      </c>
      <c r="K1437" s="14" t="s">
        <v>14019</v>
      </c>
      <c r="L1437" s="14" t="s">
        <v>14020</v>
      </c>
      <c r="O1437" s="14" t="s">
        <v>14013</v>
      </c>
      <c r="P1437" s="14" t="s">
        <v>14014</v>
      </c>
      <c r="Q1437" s="14">
        <v>411735.7</v>
      </c>
      <c r="R1437" s="14">
        <v>6189181.7000000002</v>
      </c>
      <c r="S1437" s="14" t="s">
        <v>14015</v>
      </c>
      <c r="T1437" s="14" t="s">
        <v>14016</v>
      </c>
      <c r="U1437" s="14">
        <v>411710.71999999997</v>
      </c>
      <c r="V1437" s="14">
        <v>6189183.0999999996</v>
      </c>
      <c r="W1437" s="14">
        <v>1.82</v>
      </c>
      <c r="X1437" s="14">
        <v>150.05000000000001</v>
      </c>
    </row>
    <row r="1438" spans="1:24" s="14" customFormat="1" x14ac:dyDescent="0.25">
      <c r="A1438" s="50">
        <v>45101</v>
      </c>
      <c r="B1438" s="57">
        <v>175</v>
      </c>
      <c r="C1438" s="36">
        <v>0.45124999999999998</v>
      </c>
      <c r="D1438" s="16" t="s">
        <v>97</v>
      </c>
      <c r="E1438" s="14" t="s">
        <v>70</v>
      </c>
      <c r="F1438" s="16" t="s">
        <v>11862</v>
      </c>
      <c r="G1438" s="16" t="s">
        <v>2295</v>
      </c>
      <c r="H1438" s="14">
        <v>-1.7000000000000001E-2</v>
      </c>
      <c r="I1438" s="14" t="s">
        <v>14017</v>
      </c>
      <c r="J1438" s="14" t="s">
        <v>14018</v>
      </c>
      <c r="K1438" s="14" t="s">
        <v>14019</v>
      </c>
      <c r="L1438" s="14" t="s">
        <v>14020</v>
      </c>
      <c r="O1438" s="14" t="s">
        <v>14021</v>
      </c>
      <c r="P1438" s="14" t="s">
        <v>14022</v>
      </c>
      <c r="Q1438" s="14">
        <v>411735.48</v>
      </c>
      <c r="R1438" s="14">
        <v>6189360.9900000002</v>
      </c>
      <c r="S1438" s="14" t="s">
        <v>14023</v>
      </c>
      <c r="T1438" s="14" t="s">
        <v>14024</v>
      </c>
      <c r="U1438" s="14">
        <v>411710.8</v>
      </c>
      <c r="V1438" s="14">
        <v>6189364.1399999997</v>
      </c>
      <c r="W1438" s="14">
        <v>359.66</v>
      </c>
      <c r="X1438" s="14">
        <v>150.05000000000001</v>
      </c>
    </row>
    <row r="1439" spans="1:24" s="14" customFormat="1" x14ac:dyDescent="0.25">
      <c r="A1439" s="50">
        <v>45101</v>
      </c>
      <c r="B1439" s="57">
        <v>175</v>
      </c>
      <c r="C1439" s="36">
        <v>0.45341435185185186</v>
      </c>
      <c r="D1439" s="16" t="s">
        <v>97</v>
      </c>
      <c r="E1439" s="52" t="s">
        <v>65</v>
      </c>
      <c r="F1439" s="16" t="s">
        <v>11862</v>
      </c>
      <c r="G1439" s="16" t="s">
        <v>2296</v>
      </c>
      <c r="H1439" s="14">
        <v>-1.2999999999999999E-2</v>
      </c>
      <c r="I1439" s="14" t="s">
        <v>14028</v>
      </c>
      <c r="J1439" s="14" t="s">
        <v>14029</v>
      </c>
      <c r="K1439" s="14" t="s">
        <v>14030</v>
      </c>
      <c r="L1439" s="14" t="s">
        <v>14020</v>
      </c>
      <c r="O1439" s="14" t="s">
        <v>14025</v>
      </c>
      <c r="P1439" s="14" t="s">
        <v>14026</v>
      </c>
      <c r="Q1439" s="14">
        <v>411727.92</v>
      </c>
      <c r="R1439" s="14">
        <v>6189374.4400000004</v>
      </c>
      <c r="S1439" s="14" t="s">
        <v>9506</v>
      </c>
      <c r="T1439" s="14" t="s">
        <v>14027</v>
      </c>
      <c r="U1439" s="14">
        <v>411701.83</v>
      </c>
      <c r="V1439" s="14">
        <v>6189371.9100000001</v>
      </c>
      <c r="W1439" s="14">
        <v>180.23</v>
      </c>
      <c r="X1439" s="14">
        <v>150.05000000000001</v>
      </c>
    </row>
    <row r="1440" spans="1:24" s="14" customFormat="1" x14ac:dyDescent="0.25">
      <c r="A1440" s="50">
        <v>45101</v>
      </c>
      <c r="B1440" s="57">
        <v>175</v>
      </c>
      <c r="C1440" s="36">
        <v>0.45686342592592594</v>
      </c>
      <c r="D1440" s="16" t="s">
        <v>97</v>
      </c>
      <c r="E1440" s="14" t="s">
        <v>70</v>
      </c>
      <c r="F1440" s="16" t="s">
        <v>11862</v>
      </c>
      <c r="G1440" s="16" t="s">
        <v>2296</v>
      </c>
      <c r="H1440" s="14">
        <v>0.16900000000000001</v>
      </c>
      <c r="I1440" s="14" t="s">
        <v>14028</v>
      </c>
      <c r="J1440" s="14" t="s">
        <v>14029</v>
      </c>
      <c r="K1440" s="14" t="s">
        <v>14030</v>
      </c>
      <c r="L1440" s="14" t="s">
        <v>14020</v>
      </c>
      <c r="O1440" s="14" t="s">
        <v>14031</v>
      </c>
      <c r="P1440" s="14" t="s">
        <v>14032</v>
      </c>
      <c r="Q1440" s="14">
        <v>411727.74</v>
      </c>
      <c r="R1440" s="14">
        <v>6189195.0499999998</v>
      </c>
      <c r="S1440" s="14" t="s">
        <v>14033</v>
      </c>
      <c r="T1440" s="14" t="s">
        <v>14034</v>
      </c>
      <c r="U1440" s="14">
        <v>411701.73</v>
      </c>
      <c r="V1440" s="14">
        <v>6189189.96</v>
      </c>
      <c r="W1440" s="14">
        <v>179.74</v>
      </c>
      <c r="X1440" s="14">
        <v>150.05000000000001</v>
      </c>
    </row>
    <row r="1441" spans="1:24" s="14" customFormat="1" x14ac:dyDescent="0.25">
      <c r="A1441" s="50">
        <v>45101</v>
      </c>
      <c r="B1441" s="57">
        <v>175</v>
      </c>
      <c r="C1441" s="36">
        <v>0.45903935185185185</v>
      </c>
      <c r="D1441" s="16" t="s">
        <v>97</v>
      </c>
      <c r="E1441" s="14" t="s">
        <v>65</v>
      </c>
      <c r="F1441" s="16" t="s">
        <v>11862</v>
      </c>
      <c r="G1441" s="16" t="s">
        <v>2297</v>
      </c>
      <c r="H1441" s="14">
        <v>0.16500000000000001</v>
      </c>
      <c r="I1441" s="14" t="s">
        <v>14039</v>
      </c>
      <c r="J1441" s="14" t="s">
        <v>14040</v>
      </c>
      <c r="K1441" s="14" t="s">
        <v>14041</v>
      </c>
      <c r="L1441" s="14" t="s">
        <v>14042</v>
      </c>
      <c r="O1441" s="14" t="s">
        <v>14035</v>
      </c>
      <c r="P1441" s="14" t="s">
        <v>14036</v>
      </c>
      <c r="Q1441" s="14">
        <v>411719.16</v>
      </c>
      <c r="R1441" s="14">
        <v>6189180.7000000002</v>
      </c>
      <c r="S1441" s="14" t="s">
        <v>14037</v>
      </c>
      <c r="T1441" s="14" t="s">
        <v>14038</v>
      </c>
      <c r="U1441" s="14">
        <v>411692.74</v>
      </c>
      <c r="V1441" s="14">
        <v>6189182.8099999996</v>
      </c>
      <c r="W1441" s="14">
        <v>359.91</v>
      </c>
      <c r="X1441" s="14">
        <v>150.05000000000001</v>
      </c>
    </row>
    <row r="1442" spans="1:24" s="14" customFormat="1" x14ac:dyDescent="0.25">
      <c r="A1442" s="50">
        <v>45101</v>
      </c>
      <c r="B1442" s="57">
        <v>175</v>
      </c>
      <c r="C1442" s="36">
        <v>0.46248842592592593</v>
      </c>
      <c r="D1442" s="16" t="s">
        <v>97</v>
      </c>
      <c r="E1442" s="14" t="s">
        <v>70</v>
      </c>
      <c r="F1442" s="16" t="s">
        <v>11862</v>
      </c>
      <c r="G1442" s="16" t="s">
        <v>2297</v>
      </c>
      <c r="H1442" s="14">
        <v>-1.7999999999999999E-2</v>
      </c>
      <c r="I1442" s="14" t="s">
        <v>14039</v>
      </c>
      <c r="J1442" s="14" t="s">
        <v>14040</v>
      </c>
      <c r="K1442" s="14" t="s">
        <v>14041</v>
      </c>
      <c r="L1442" s="14" t="s">
        <v>14042</v>
      </c>
      <c r="O1442" s="14" t="s">
        <v>14043</v>
      </c>
      <c r="P1442" s="14" t="s">
        <v>14044</v>
      </c>
      <c r="Q1442" s="14">
        <v>411718.51</v>
      </c>
      <c r="R1442" s="14">
        <v>6189362.0499999998</v>
      </c>
      <c r="S1442" s="14" t="s">
        <v>14045</v>
      </c>
      <c r="T1442" s="14" t="s">
        <v>14046</v>
      </c>
      <c r="U1442" s="14">
        <v>411692.67</v>
      </c>
      <c r="V1442" s="14">
        <v>6189365.3700000001</v>
      </c>
      <c r="W1442" s="14">
        <v>359.77</v>
      </c>
      <c r="X1442" s="14">
        <v>150.05000000000001</v>
      </c>
    </row>
    <row r="1443" spans="1:24" s="14" customFormat="1" x14ac:dyDescent="0.25">
      <c r="A1443" s="50">
        <v>45101</v>
      </c>
      <c r="B1443" s="57">
        <v>175</v>
      </c>
      <c r="C1443" s="36">
        <v>0.46451388888888889</v>
      </c>
      <c r="D1443" s="16" t="s">
        <v>97</v>
      </c>
      <c r="E1443" s="52" t="s">
        <v>65</v>
      </c>
      <c r="F1443" s="16" t="s">
        <v>11862</v>
      </c>
      <c r="G1443" s="16" t="s">
        <v>2298</v>
      </c>
      <c r="H1443" s="14">
        <v>-1.4E-2</v>
      </c>
      <c r="I1443" s="14" t="s">
        <v>14051</v>
      </c>
      <c r="J1443" s="14" t="s">
        <v>14052</v>
      </c>
      <c r="K1443" s="14" t="s">
        <v>14053</v>
      </c>
      <c r="L1443" s="14" t="s">
        <v>14042</v>
      </c>
      <c r="O1443" s="14" t="s">
        <v>14047</v>
      </c>
      <c r="P1443" s="14" t="s">
        <v>14048</v>
      </c>
      <c r="Q1443" s="14">
        <v>411709.74</v>
      </c>
      <c r="R1443" s="14">
        <v>6189370.9400000004</v>
      </c>
      <c r="S1443" s="14" t="s">
        <v>14049</v>
      </c>
      <c r="T1443" s="14" t="s">
        <v>14050</v>
      </c>
      <c r="U1443" s="14">
        <v>411683.68</v>
      </c>
      <c r="V1443" s="14">
        <v>6189373.0099999998</v>
      </c>
      <c r="W1443" s="14">
        <v>180.17</v>
      </c>
      <c r="X1443" s="14">
        <v>150.05000000000001</v>
      </c>
    </row>
    <row r="1444" spans="1:24" s="14" customFormat="1" x14ac:dyDescent="0.25">
      <c r="A1444" s="50">
        <v>45101</v>
      </c>
      <c r="B1444" s="57">
        <v>175</v>
      </c>
      <c r="C1444" s="36">
        <v>0.46798611111111116</v>
      </c>
      <c r="D1444" s="16" t="s">
        <v>97</v>
      </c>
      <c r="E1444" s="52" t="s">
        <v>70</v>
      </c>
      <c r="F1444" s="16" t="s">
        <v>11862</v>
      </c>
      <c r="G1444" s="16" t="s">
        <v>2298</v>
      </c>
      <c r="H1444" s="14">
        <v>0.16900000000000001</v>
      </c>
      <c r="I1444" s="14" t="s">
        <v>14051</v>
      </c>
      <c r="J1444" s="14" t="s">
        <v>14052</v>
      </c>
      <c r="K1444" s="14" t="s">
        <v>14053</v>
      </c>
      <c r="L1444" s="14" t="s">
        <v>14042</v>
      </c>
      <c r="O1444" s="14" t="s">
        <v>14054</v>
      </c>
      <c r="P1444" s="14" t="s">
        <v>14055</v>
      </c>
      <c r="Q1444" s="14">
        <v>411709.61</v>
      </c>
      <c r="R1444" s="14">
        <v>6189189.6399999997</v>
      </c>
      <c r="S1444" s="14" t="s">
        <v>14056</v>
      </c>
      <c r="T1444" s="14" t="s">
        <v>14057</v>
      </c>
      <c r="U1444" s="14">
        <v>411683.74</v>
      </c>
      <c r="V1444" s="14">
        <v>6189190.2000000002</v>
      </c>
      <c r="W1444" s="14">
        <v>180.26</v>
      </c>
      <c r="X1444" s="14">
        <v>150.05000000000001</v>
      </c>
    </row>
    <row r="1445" spans="1:24" s="14" customFormat="1" x14ac:dyDescent="0.25">
      <c r="A1445" s="50">
        <v>45101</v>
      </c>
      <c r="B1445" s="57">
        <v>175</v>
      </c>
      <c r="C1445" s="36">
        <v>0.46981481481481485</v>
      </c>
      <c r="D1445" s="16" t="s">
        <v>97</v>
      </c>
      <c r="E1445" s="52" t="s">
        <v>65</v>
      </c>
      <c r="F1445" s="16" t="s">
        <v>11862</v>
      </c>
      <c r="G1445" s="16" t="s">
        <v>2299</v>
      </c>
      <c r="H1445" s="14">
        <v>0.16300000000000001</v>
      </c>
      <c r="I1445" s="14" t="s">
        <v>14062</v>
      </c>
      <c r="J1445" s="14" t="s">
        <v>14063</v>
      </c>
      <c r="K1445" s="14" t="s">
        <v>14064</v>
      </c>
      <c r="L1445" s="14" t="s">
        <v>14065</v>
      </c>
      <c r="O1445" s="14" t="s">
        <v>14058</v>
      </c>
      <c r="P1445" s="14" t="s">
        <v>14059</v>
      </c>
      <c r="Q1445" s="14">
        <v>411700.43</v>
      </c>
      <c r="R1445" s="14">
        <v>6189181.5899999999</v>
      </c>
      <c r="S1445" s="14" t="s">
        <v>14060</v>
      </c>
      <c r="T1445" s="14" t="s">
        <v>14061</v>
      </c>
      <c r="U1445" s="14">
        <v>411674.76</v>
      </c>
      <c r="V1445" s="14">
        <v>6189184.2699999996</v>
      </c>
      <c r="W1445" s="14">
        <v>0.45</v>
      </c>
      <c r="X1445" s="14">
        <v>150.05000000000001</v>
      </c>
    </row>
    <row r="1446" spans="1:24" s="14" customFormat="1" x14ac:dyDescent="0.25">
      <c r="A1446" s="50">
        <v>45101</v>
      </c>
      <c r="B1446" s="57">
        <v>175</v>
      </c>
      <c r="C1446" s="36">
        <v>0.47324074074074068</v>
      </c>
      <c r="D1446" s="16" t="s">
        <v>97</v>
      </c>
      <c r="E1446" s="52" t="s">
        <v>70</v>
      </c>
      <c r="F1446" s="16" t="s">
        <v>11862</v>
      </c>
      <c r="G1446" s="16" t="s">
        <v>2299</v>
      </c>
      <c r="H1446" s="14">
        <v>-1.7999999999999999E-2</v>
      </c>
      <c r="I1446" s="14" t="s">
        <v>14062</v>
      </c>
      <c r="J1446" s="14" t="s">
        <v>14063</v>
      </c>
      <c r="K1446" s="14" t="s">
        <v>14064</v>
      </c>
      <c r="L1446" s="14" t="s">
        <v>14065</v>
      </c>
      <c r="O1446" s="14" t="s">
        <v>14066</v>
      </c>
      <c r="P1446" s="14" t="s">
        <v>14067</v>
      </c>
      <c r="Q1446" s="14">
        <v>411700.56</v>
      </c>
      <c r="R1446" s="14">
        <v>6189361.6600000001</v>
      </c>
      <c r="S1446" s="14" t="s">
        <v>14068</v>
      </c>
      <c r="T1446" s="14" t="s">
        <v>14069</v>
      </c>
      <c r="U1446" s="14">
        <v>411674.79</v>
      </c>
      <c r="V1446" s="14">
        <v>6189365.8200000003</v>
      </c>
      <c r="W1446" s="14">
        <v>359.6</v>
      </c>
      <c r="X1446" s="14">
        <v>150.05000000000001</v>
      </c>
    </row>
    <row r="1447" spans="1:24" s="14" customFormat="1" x14ac:dyDescent="0.25">
      <c r="A1447" s="50">
        <v>45101</v>
      </c>
      <c r="B1447" s="57">
        <v>175</v>
      </c>
      <c r="C1447" s="36">
        <v>0.47615740740740736</v>
      </c>
      <c r="D1447" s="16" t="s">
        <v>97</v>
      </c>
      <c r="E1447" s="52" t="s">
        <v>14075</v>
      </c>
      <c r="F1447" s="16" t="s">
        <v>12332</v>
      </c>
      <c r="G1447" s="16" t="s">
        <v>14070</v>
      </c>
      <c r="H1447" s="14">
        <v>-1.647</v>
      </c>
      <c r="O1447" s="14" t="s">
        <v>14071</v>
      </c>
      <c r="P1447" s="14" t="s">
        <v>14072</v>
      </c>
      <c r="Q1447" s="14">
        <v>411702.96</v>
      </c>
      <c r="R1447" s="14">
        <v>6189387.0800000001</v>
      </c>
      <c r="S1447" s="14" t="s">
        <v>14073</v>
      </c>
      <c r="T1447" s="14" t="s">
        <v>14074</v>
      </c>
      <c r="U1447" s="14">
        <v>411691.78</v>
      </c>
      <c r="V1447" s="14">
        <v>6189387.0099999998</v>
      </c>
      <c r="W1447" s="14">
        <v>271.68</v>
      </c>
      <c r="X1447" s="14">
        <v>150.04</v>
      </c>
    </row>
    <row r="1448" spans="1:24" s="14" customFormat="1" x14ac:dyDescent="0.25">
      <c r="A1448" s="50">
        <v>45101</v>
      </c>
      <c r="B1448" s="57">
        <v>175</v>
      </c>
      <c r="C1448" s="36">
        <v>0.4939351851851852</v>
      </c>
      <c r="D1448" s="16" t="s">
        <v>97</v>
      </c>
      <c r="E1448" s="52" t="s">
        <v>6362</v>
      </c>
      <c r="F1448" s="16" t="s">
        <v>12332</v>
      </c>
      <c r="G1448" s="16" t="s">
        <v>14070</v>
      </c>
      <c r="H1448" s="14">
        <v>-4.1000000000000002E-2</v>
      </c>
      <c r="O1448" s="14" t="s">
        <v>14076</v>
      </c>
      <c r="P1448" s="14" t="s">
        <v>14077</v>
      </c>
      <c r="Q1448" s="14">
        <v>409065.66</v>
      </c>
      <c r="R1448" s="14">
        <v>6187779.5099999998</v>
      </c>
      <c r="S1448" s="14" t="s">
        <v>14078</v>
      </c>
      <c r="T1448" s="14" t="s">
        <v>14079</v>
      </c>
      <c r="U1448" s="14">
        <v>409054.6</v>
      </c>
      <c r="V1448" s="14">
        <v>6187781.2400000002</v>
      </c>
      <c r="W1448" s="14">
        <v>273.05</v>
      </c>
      <c r="X1448" s="14">
        <v>150.04</v>
      </c>
    </row>
    <row r="1449" spans="1:24" s="14" customFormat="1" x14ac:dyDescent="0.25">
      <c r="A1449" s="50">
        <v>45101</v>
      </c>
      <c r="B1449" s="57">
        <v>175</v>
      </c>
      <c r="C1449" s="36">
        <v>0.49554398148148149</v>
      </c>
      <c r="D1449" s="16" t="s">
        <v>97</v>
      </c>
      <c r="E1449" s="116" t="s">
        <v>14084</v>
      </c>
      <c r="F1449" s="16" t="s">
        <v>12332</v>
      </c>
      <c r="G1449" s="16" t="s">
        <v>14070</v>
      </c>
      <c r="H1449" s="14">
        <v>-3.9E-2</v>
      </c>
      <c r="O1449" s="14" t="s">
        <v>14080</v>
      </c>
      <c r="P1449" s="14" t="s">
        <v>14081</v>
      </c>
      <c r="Q1449" s="14">
        <v>409063.85</v>
      </c>
      <c r="R1449" s="14">
        <v>6187779.54</v>
      </c>
      <c r="S1449" s="14" t="s">
        <v>14082</v>
      </c>
      <c r="T1449" s="14" t="s">
        <v>14083</v>
      </c>
      <c r="U1449" s="14">
        <v>409052.12</v>
      </c>
      <c r="V1449" s="14">
        <v>6187779.7000000002</v>
      </c>
      <c r="W1449" s="14">
        <v>262.61</v>
      </c>
      <c r="X1449" s="14">
        <v>150.04</v>
      </c>
    </row>
    <row r="1450" spans="1:24" s="122" customFormat="1" x14ac:dyDescent="0.25">
      <c r="A1450" s="65">
        <v>45101</v>
      </c>
      <c r="B1450" s="106">
        <v>175</v>
      </c>
      <c r="C1450" s="67">
        <v>0.49630787037037033</v>
      </c>
      <c r="D1450" s="66" t="s">
        <v>97</v>
      </c>
      <c r="E1450" s="123" t="s">
        <v>14090</v>
      </c>
      <c r="F1450" s="66" t="s">
        <v>12332</v>
      </c>
      <c r="G1450" s="66" t="s">
        <v>14070</v>
      </c>
      <c r="H1450" s="122">
        <v>-2.9000000000000001E-2</v>
      </c>
      <c r="M1450" s="122" t="s">
        <v>14085</v>
      </c>
      <c r="O1450" s="122" t="s">
        <v>14086</v>
      </c>
      <c r="P1450" s="122" t="s">
        <v>14087</v>
      </c>
      <c r="Q1450" s="122">
        <v>409061.16</v>
      </c>
      <c r="R1450" s="122">
        <v>6187779.2400000002</v>
      </c>
      <c r="S1450" s="122" t="s">
        <v>14088</v>
      </c>
      <c r="T1450" s="122" t="s">
        <v>14089</v>
      </c>
      <c r="U1450" s="122">
        <v>409039.23</v>
      </c>
      <c r="V1450" s="122">
        <v>6187772.1299999999</v>
      </c>
      <c r="W1450" s="122">
        <v>234.46</v>
      </c>
      <c r="X1450" s="122">
        <v>150.04</v>
      </c>
    </row>
    <row r="1451" spans="1:24" s="14" customFormat="1" x14ac:dyDescent="0.25">
      <c r="A1451" s="50">
        <v>45101</v>
      </c>
      <c r="B1451" s="57">
        <v>175</v>
      </c>
      <c r="C1451" s="36">
        <v>0.49959490740740736</v>
      </c>
      <c r="D1451" s="16" t="s">
        <v>97</v>
      </c>
      <c r="E1451" s="14" t="s">
        <v>14129</v>
      </c>
      <c r="F1451" s="16" t="s">
        <v>12332</v>
      </c>
      <c r="G1451" s="16" t="s">
        <v>14070</v>
      </c>
      <c r="H1451" s="14">
        <v>-1.0999999999999999E-2</v>
      </c>
      <c r="I1451" s="14" t="s">
        <v>14095</v>
      </c>
      <c r="L1451" s="14" t="s">
        <v>14096</v>
      </c>
      <c r="O1451" s="14" t="s">
        <v>14091</v>
      </c>
      <c r="P1451" s="14" t="s">
        <v>14092</v>
      </c>
      <c r="Q1451" s="14">
        <v>409061.86</v>
      </c>
      <c r="R1451" s="14">
        <v>6187760.25</v>
      </c>
      <c r="S1451" s="14" t="s">
        <v>14093</v>
      </c>
      <c r="T1451" s="14" t="s">
        <v>14094</v>
      </c>
      <c r="U1451" s="14">
        <v>409035.72</v>
      </c>
      <c r="V1451" s="14">
        <v>6187756.5300000003</v>
      </c>
      <c r="W1451" s="14">
        <v>180.7</v>
      </c>
      <c r="X1451" s="14">
        <v>150.04</v>
      </c>
    </row>
    <row r="1452" spans="1:24" s="14" customFormat="1" x14ac:dyDescent="0.25">
      <c r="A1452" s="50">
        <v>45101</v>
      </c>
      <c r="B1452" s="57">
        <v>175</v>
      </c>
      <c r="C1452" s="36">
        <v>0.50361111111111112</v>
      </c>
      <c r="D1452" s="16" t="s">
        <v>97</v>
      </c>
      <c r="E1452" s="14" t="s">
        <v>70</v>
      </c>
      <c r="F1452" s="16" t="s">
        <v>12332</v>
      </c>
      <c r="G1452" s="16" t="s">
        <v>14070</v>
      </c>
      <c r="H1452" s="14">
        <v>0.16700000000000001</v>
      </c>
      <c r="I1452" s="14" t="s">
        <v>14095</v>
      </c>
      <c r="L1452" s="14" t="s">
        <v>14101</v>
      </c>
      <c r="O1452" s="14" t="s">
        <v>14097</v>
      </c>
      <c r="P1452" s="14" t="s">
        <v>14098</v>
      </c>
      <c r="Q1452" s="14">
        <v>409060.83</v>
      </c>
      <c r="R1452" s="14">
        <v>6187585.3499999996</v>
      </c>
      <c r="S1452" s="14" t="s">
        <v>14099</v>
      </c>
      <c r="T1452" s="14" t="s">
        <v>14100</v>
      </c>
      <c r="U1452" s="14">
        <v>409035.69</v>
      </c>
      <c r="V1452" s="14">
        <v>6187579.2999999998</v>
      </c>
      <c r="W1452" s="14">
        <v>180.03</v>
      </c>
      <c r="X1452" s="14">
        <v>150.04</v>
      </c>
    </row>
    <row r="1453" spans="1:24" s="14" customFormat="1" x14ac:dyDescent="0.25">
      <c r="A1453" s="50">
        <v>45101</v>
      </c>
      <c r="B1453" s="57">
        <v>175</v>
      </c>
      <c r="C1453" s="36">
        <v>0.50709490740740748</v>
      </c>
      <c r="D1453" s="16" t="s">
        <v>97</v>
      </c>
      <c r="E1453" s="14" t="s">
        <v>65</v>
      </c>
      <c r="F1453" s="16" t="s">
        <v>12332</v>
      </c>
      <c r="G1453" s="16" t="s">
        <v>14102</v>
      </c>
      <c r="H1453" s="14">
        <v>0.159</v>
      </c>
      <c r="I1453" s="14" t="s">
        <v>14107</v>
      </c>
      <c r="L1453" s="14" t="s">
        <v>14101</v>
      </c>
      <c r="O1453" s="14" t="s">
        <v>14103</v>
      </c>
      <c r="P1453" s="14" t="s">
        <v>14104</v>
      </c>
      <c r="Q1453" s="14">
        <v>409006.22</v>
      </c>
      <c r="R1453" s="14">
        <v>6187574.1699999999</v>
      </c>
      <c r="S1453" s="14" t="s">
        <v>14105</v>
      </c>
      <c r="T1453" s="14" t="s">
        <v>14106</v>
      </c>
      <c r="U1453" s="14">
        <v>408981.55</v>
      </c>
      <c r="V1453" s="14">
        <v>6187575.5</v>
      </c>
      <c r="W1453" s="14">
        <v>2.15</v>
      </c>
      <c r="X1453" s="14">
        <v>150.04</v>
      </c>
    </row>
    <row r="1454" spans="1:24" s="14" customFormat="1" x14ac:dyDescent="0.25">
      <c r="A1454" s="50">
        <v>45101</v>
      </c>
      <c r="B1454" s="57">
        <v>175</v>
      </c>
      <c r="C1454" s="36">
        <v>0.51043981481481482</v>
      </c>
      <c r="D1454" s="16" t="s">
        <v>97</v>
      </c>
      <c r="E1454" s="14" t="s">
        <v>70</v>
      </c>
      <c r="F1454" s="16" t="s">
        <v>12332</v>
      </c>
      <c r="G1454" s="16" t="s">
        <v>14102</v>
      </c>
      <c r="H1454" s="14">
        <v>-1.7999999999999999E-2</v>
      </c>
      <c r="I1454" s="14" t="s">
        <v>14107</v>
      </c>
      <c r="L1454" s="14" t="s">
        <v>14112</v>
      </c>
      <c r="O1454" s="14" t="s">
        <v>14108</v>
      </c>
      <c r="P1454" s="14" t="s">
        <v>14109</v>
      </c>
      <c r="Q1454" s="14">
        <v>409008.67</v>
      </c>
      <c r="R1454" s="14">
        <v>6187742.7599999998</v>
      </c>
      <c r="S1454" s="14" t="s">
        <v>14110</v>
      </c>
      <c r="T1454" s="14" t="s">
        <v>14111</v>
      </c>
      <c r="U1454" s="14">
        <v>408981.68</v>
      </c>
      <c r="V1454" s="14">
        <v>6187752.3099999996</v>
      </c>
      <c r="W1454" s="14">
        <v>359.3</v>
      </c>
      <c r="X1454" s="14">
        <v>150.04</v>
      </c>
    </row>
    <row r="1455" spans="1:24" s="14" customFormat="1" x14ac:dyDescent="0.25">
      <c r="A1455" s="50">
        <v>45101</v>
      </c>
      <c r="B1455" s="57">
        <v>175</v>
      </c>
      <c r="C1455" s="36">
        <v>0.5120717592592593</v>
      </c>
      <c r="D1455" s="16" t="s">
        <v>97</v>
      </c>
      <c r="E1455" s="14" t="s">
        <v>65</v>
      </c>
      <c r="F1455" s="16" t="s">
        <v>12332</v>
      </c>
      <c r="G1455" s="16" t="s">
        <v>14113</v>
      </c>
      <c r="H1455" s="14">
        <v>-1.4E-2</v>
      </c>
      <c r="I1455" s="14" t="s">
        <v>14118</v>
      </c>
      <c r="L1455" s="14" t="s">
        <v>14112</v>
      </c>
      <c r="O1455" s="14" t="s">
        <v>14114</v>
      </c>
      <c r="P1455" s="14" t="s">
        <v>14115</v>
      </c>
      <c r="Q1455" s="14">
        <v>408999.43</v>
      </c>
      <c r="R1455" s="14">
        <v>6187756.3300000001</v>
      </c>
      <c r="S1455" s="14" t="s">
        <v>14116</v>
      </c>
      <c r="T1455" s="14" t="s">
        <v>14117</v>
      </c>
      <c r="U1455" s="14">
        <v>408972.73</v>
      </c>
      <c r="V1455" s="14">
        <v>6187759.9500000002</v>
      </c>
      <c r="W1455" s="14">
        <v>181.58</v>
      </c>
      <c r="X1455" s="14">
        <v>150.04</v>
      </c>
    </row>
    <row r="1456" spans="1:24" s="14" customFormat="1" x14ac:dyDescent="0.25">
      <c r="A1456" s="50">
        <v>45101</v>
      </c>
      <c r="B1456" s="57">
        <v>175</v>
      </c>
      <c r="C1456" s="36">
        <v>0.51543981481481482</v>
      </c>
      <c r="D1456" s="16" t="s">
        <v>97</v>
      </c>
      <c r="E1456" s="52" t="s">
        <v>70</v>
      </c>
      <c r="F1456" s="16" t="s">
        <v>12332</v>
      </c>
      <c r="G1456" s="16" t="s">
        <v>14113</v>
      </c>
      <c r="H1456" s="14">
        <v>0.16300000000000001</v>
      </c>
      <c r="I1456" s="14" t="s">
        <v>14118</v>
      </c>
      <c r="L1456" s="14" t="s">
        <v>14112</v>
      </c>
      <c r="O1456" s="14" t="s">
        <v>14119</v>
      </c>
      <c r="P1456" s="14" t="s">
        <v>14120</v>
      </c>
      <c r="Q1456" s="14">
        <v>408999.04</v>
      </c>
      <c r="R1456" s="14">
        <v>6187583.3700000001</v>
      </c>
      <c r="S1456" s="14" t="s">
        <v>14121</v>
      </c>
      <c r="T1456" s="14" t="s">
        <v>14122</v>
      </c>
      <c r="U1456" s="14">
        <v>408972.79</v>
      </c>
      <c r="V1456" s="14">
        <v>6187583.2000000002</v>
      </c>
      <c r="W1456" s="14">
        <v>180.36</v>
      </c>
      <c r="X1456" s="14">
        <v>150.04</v>
      </c>
    </row>
    <row r="1457" spans="1:24" s="14" customFormat="1" x14ac:dyDescent="0.25">
      <c r="A1457" s="50">
        <v>45101</v>
      </c>
      <c r="B1457" s="57">
        <v>175</v>
      </c>
      <c r="C1457" s="36">
        <v>0.51702546296296303</v>
      </c>
      <c r="D1457" s="16" t="s">
        <v>97</v>
      </c>
      <c r="E1457" s="52" t="s">
        <v>65</v>
      </c>
      <c r="F1457" s="16" t="s">
        <v>12332</v>
      </c>
      <c r="G1457" s="16" t="s">
        <v>14123</v>
      </c>
      <c r="H1457" s="14">
        <v>0.16300000000000001</v>
      </c>
      <c r="I1457" s="14" t="s">
        <v>14128</v>
      </c>
      <c r="L1457" s="14" t="s">
        <v>14112</v>
      </c>
      <c r="O1457" s="14" t="s">
        <v>14124</v>
      </c>
      <c r="P1457" s="14" t="s">
        <v>14125</v>
      </c>
      <c r="Q1457" s="14">
        <v>408989.76</v>
      </c>
      <c r="R1457" s="14">
        <v>6187567.9900000002</v>
      </c>
      <c r="S1457" s="14" t="s">
        <v>14126</v>
      </c>
      <c r="T1457" s="14" t="s">
        <v>14127</v>
      </c>
      <c r="U1457" s="14">
        <v>408963.63</v>
      </c>
      <c r="V1457" s="14">
        <v>6187571.4100000001</v>
      </c>
      <c r="W1457" s="14">
        <v>1.1000000000000001</v>
      </c>
      <c r="X1457" s="14">
        <v>150.04</v>
      </c>
    </row>
    <row r="1458" spans="1:24" s="14" customFormat="1" x14ac:dyDescent="0.25">
      <c r="A1458" s="50">
        <v>45101</v>
      </c>
      <c r="B1458" s="57">
        <v>175</v>
      </c>
      <c r="C1458" s="36">
        <v>0.52041666666666664</v>
      </c>
      <c r="D1458" s="16" t="s">
        <v>97</v>
      </c>
      <c r="E1458" s="52" t="s">
        <v>70</v>
      </c>
      <c r="F1458" s="16" t="s">
        <v>12332</v>
      </c>
      <c r="G1458" s="16" t="s">
        <v>14123</v>
      </c>
      <c r="H1458" s="14">
        <v>-1.6E-2</v>
      </c>
      <c r="I1458" s="14" t="s">
        <v>14128</v>
      </c>
      <c r="L1458" s="14" t="s">
        <v>14112</v>
      </c>
      <c r="O1458" s="14" t="s">
        <v>14130</v>
      </c>
      <c r="P1458" s="14" t="s">
        <v>14131</v>
      </c>
      <c r="Q1458" s="14">
        <v>408990.42</v>
      </c>
      <c r="R1458" s="14">
        <v>6187740.9299999997</v>
      </c>
      <c r="S1458" s="14" t="s">
        <v>14132</v>
      </c>
      <c r="T1458" s="14" t="s">
        <v>14133</v>
      </c>
      <c r="U1458" s="14">
        <v>408963.64</v>
      </c>
      <c r="V1458" s="14">
        <v>6187750.6399999997</v>
      </c>
      <c r="W1458" s="14">
        <v>0.16</v>
      </c>
      <c r="X1458" s="14">
        <v>150.04</v>
      </c>
    </row>
    <row r="1459" spans="1:24" s="14" customFormat="1" x14ac:dyDescent="0.25">
      <c r="A1459" s="50">
        <v>45101</v>
      </c>
      <c r="B1459" s="57">
        <v>175</v>
      </c>
      <c r="C1459" s="36">
        <v>0.52214120370370376</v>
      </c>
      <c r="D1459" s="16" t="s">
        <v>97</v>
      </c>
      <c r="E1459" s="52" t="s">
        <v>65</v>
      </c>
      <c r="F1459" s="16" t="s">
        <v>12332</v>
      </c>
      <c r="G1459" s="16" t="s">
        <v>14134</v>
      </c>
      <c r="H1459" s="14">
        <v>-0.01</v>
      </c>
      <c r="I1459" s="14" t="s">
        <v>14139</v>
      </c>
      <c r="L1459" s="14" t="s">
        <v>14140</v>
      </c>
      <c r="O1459" s="14" t="s">
        <v>14135</v>
      </c>
      <c r="P1459" s="14" t="s">
        <v>14136</v>
      </c>
      <c r="Q1459" s="14">
        <v>408981.49</v>
      </c>
      <c r="R1459" s="14">
        <v>6187751.0499999998</v>
      </c>
      <c r="S1459" s="14" t="s">
        <v>14137</v>
      </c>
      <c r="T1459" s="14" t="s">
        <v>14138</v>
      </c>
      <c r="U1459" s="14">
        <v>408954.73</v>
      </c>
      <c r="V1459" s="14">
        <v>6187755.5</v>
      </c>
      <c r="W1459" s="14">
        <v>182.22</v>
      </c>
      <c r="X1459" s="14">
        <v>150.04</v>
      </c>
    </row>
    <row r="1460" spans="1:24" s="14" customFormat="1" x14ac:dyDescent="0.25">
      <c r="A1460" s="50">
        <v>45101</v>
      </c>
      <c r="B1460" s="57">
        <v>175</v>
      </c>
      <c r="C1460" s="36">
        <v>0.52546296296296291</v>
      </c>
      <c r="D1460" s="16" t="s">
        <v>97</v>
      </c>
      <c r="E1460" s="52" t="s">
        <v>70</v>
      </c>
      <c r="F1460" s="16" t="s">
        <v>12332</v>
      </c>
      <c r="G1460" s="16" t="s">
        <v>14134</v>
      </c>
      <c r="H1460" s="14">
        <v>0.16300000000000001</v>
      </c>
      <c r="I1460" s="14" t="s">
        <v>14139</v>
      </c>
      <c r="L1460" s="14" t="s">
        <v>14140</v>
      </c>
      <c r="O1460" s="14" t="s">
        <v>14141</v>
      </c>
      <c r="P1460" s="14" t="s">
        <v>14142</v>
      </c>
      <c r="Q1460" s="14">
        <v>408981.04</v>
      </c>
      <c r="R1460" s="14">
        <v>6187578.8300000001</v>
      </c>
      <c r="S1460" s="14" t="s">
        <v>14143</v>
      </c>
      <c r="T1460" s="14" t="s">
        <v>14144</v>
      </c>
      <c r="U1460" s="14">
        <v>408954.68</v>
      </c>
      <c r="V1460" s="14">
        <v>6187582.4299999997</v>
      </c>
      <c r="W1460" s="14">
        <v>180.34</v>
      </c>
      <c r="X1460" s="14">
        <v>150.04</v>
      </c>
    </row>
    <row r="1461" spans="1:24" s="14" customFormat="1" x14ac:dyDescent="0.25">
      <c r="A1461" s="50">
        <v>45101</v>
      </c>
      <c r="B1461" s="57">
        <v>175</v>
      </c>
      <c r="C1461" s="36">
        <v>0.52857638888888892</v>
      </c>
      <c r="D1461" s="16" t="s">
        <v>97</v>
      </c>
      <c r="E1461" s="52" t="s">
        <v>14145</v>
      </c>
      <c r="F1461" s="16" t="s">
        <v>12332</v>
      </c>
      <c r="G1461" s="16" t="s">
        <v>2600</v>
      </c>
      <c r="H1461" s="14">
        <v>2.1160000000000001</v>
      </c>
      <c r="O1461" s="14" t="s">
        <v>14146</v>
      </c>
      <c r="P1461" s="14" t="s">
        <v>14147</v>
      </c>
      <c r="Q1461" s="14">
        <v>408986.44</v>
      </c>
      <c r="R1461" s="14">
        <v>6187633.1399999997</v>
      </c>
      <c r="S1461" s="14" t="s">
        <v>14148</v>
      </c>
      <c r="T1461" s="14" t="s">
        <v>14149</v>
      </c>
      <c r="U1461" s="14">
        <v>408975.35999999999</v>
      </c>
      <c r="V1461" s="14">
        <v>6187633</v>
      </c>
      <c r="W1461" s="14">
        <v>258.92</v>
      </c>
      <c r="X1461" s="14">
        <v>150.04</v>
      </c>
    </row>
    <row r="1462" spans="1:24" s="14" customFormat="1" x14ac:dyDescent="0.25">
      <c r="A1462" s="50">
        <v>45101</v>
      </c>
      <c r="B1462" s="57">
        <v>175</v>
      </c>
      <c r="C1462" s="36">
        <v>0.53937500000000005</v>
      </c>
      <c r="D1462" s="16" t="s">
        <v>97</v>
      </c>
      <c r="E1462" s="52" t="s">
        <v>6362</v>
      </c>
      <c r="F1462" s="16" t="s">
        <v>12332</v>
      </c>
      <c r="G1462" s="16" t="s">
        <v>2600</v>
      </c>
      <c r="H1462" s="14">
        <v>0.183</v>
      </c>
      <c r="O1462" s="14" t="s">
        <v>14150</v>
      </c>
      <c r="P1462" s="14" t="s">
        <v>14151</v>
      </c>
      <c r="Q1462" s="14">
        <v>408799.49</v>
      </c>
      <c r="R1462" s="14">
        <v>6189563.3600000003</v>
      </c>
      <c r="S1462" s="14" t="s">
        <v>14152</v>
      </c>
      <c r="T1462" s="14" t="s">
        <v>14153</v>
      </c>
      <c r="U1462" s="14">
        <v>408788.73</v>
      </c>
      <c r="V1462" s="14">
        <v>6189565.5300000003</v>
      </c>
      <c r="W1462" s="14">
        <v>266.82</v>
      </c>
      <c r="X1462" s="14">
        <v>150.04</v>
      </c>
    </row>
    <row r="1463" spans="1:24" s="14" customFormat="1" x14ac:dyDescent="0.25">
      <c r="A1463" s="50">
        <v>45101</v>
      </c>
      <c r="B1463" s="57">
        <v>175</v>
      </c>
      <c r="C1463" s="36">
        <v>0.54047453703703707</v>
      </c>
      <c r="D1463" s="16" t="s">
        <v>97</v>
      </c>
      <c r="E1463" s="52" t="s">
        <v>8026</v>
      </c>
      <c r="F1463" s="16" t="s">
        <v>12332</v>
      </c>
      <c r="G1463" s="16" t="s">
        <v>2600</v>
      </c>
      <c r="H1463" s="14">
        <v>0.183</v>
      </c>
      <c r="O1463" s="14" t="s">
        <v>14154</v>
      </c>
      <c r="P1463" s="14" t="s">
        <v>14155</v>
      </c>
      <c r="Q1463" s="14">
        <v>408799.64</v>
      </c>
      <c r="R1463" s="14">
        <v>6189563.2599999998</v>
      </c>
      <c r="S1463" s="14" t="s">
        <v>14156</v>
      </c>
      <c r="T1463" s="14" t="s">
        <v>14157</v>
      </c>
      <c r="U1463" s="14">
        <v>408788.73</v>
      </c>
      <c r="V1463" s="14">
        <v>6189565.4500000002</v>
      </c>
      <c r="W1463" s="14">
        <v>266.77</v>
      </c>
      <c r="X1463" s="14">
        <v>150.04</v>
      </c>
    </row>
    <row r="1464" spans="1:24" s="122" customFormat="1" x14ac:dyDescent="0.25">
      <c r="A1464" s="65">
        <v>45101</v>
      </c>
      <c r="B1464" s="106">
        <v>175</v>
      </c>
      <c r="C1464" s="67">
        <v>0.54265046296296293</v>
      </c>
      <c r="D1464" s="66" t="s">
        <v>97</v>
      </c>
      <c r="E1464" s="123" t="s">
        <v>14163</v>
      </c>
      <c r="F1464" s="66" t="s">
        <v>12332</v>
      </c>
      <c r="G1464" s="66" t="s">
        <v>2600</v>
      </c>
      <c r="H1464" s="122">
        <v>0.18099999999999999</v>
      </c>
      <c r="M1464" s="122" t="s">
        <v>14158</v>
      </c>
      <c r="O1464" s="122" t="s">
        <v>14159</v>
      </c>
      <c r="P1464" s="122" t="s">
        <v>14160</v>
      </c>
      <c r="Q1464" s="122">
        <v>408799.26</v>
      </c>
      <c r="R1464" s="122">
        <v>6189563.4299999997</v>
      </c>
      <c r="S1464" s="122" t="s">
        <v>14161</v>
      </c>
      <c r="T1464" s="122" t="s">
        <v>14162</v>
      </c>
      <c r="U1464" s="122">
        <v>408775.07</v>
      </c>
      <c r="V1464" s="122">
        <v>6189561.9900000002</v>
      </c>
      <c r="W1464" s="122">
        <v>5.98</v>
      </c>
      <c r="X1464" s="122">
        <v>150.04</v>
      </c>
    </row>
    <row r="1465" spans="1:24" s="120" customFormat="1" x14ac:dyDescent="0.25">
      <c r="A1465" s="93">
        <v>45101</v>
      </c>
      <c r="B1465" s="92">
        <v>175</v>
      </c>
      <c r="C1465" s="83">
        <v>0.54511574074074076</v>
      </c>
      <c r="D1465" s="135" t="s">
        <v>97</v>
      </c>
      <c r="E1465" s="121" t="s">
        <v>14175</v>
      </c>
      <c r="F1465" s="135" t="s">
        <v>12332</v>
      </c>
      <c r="G1465" s="135" t="s">
        <v>2600</v>
      </c>
      <c r="H1465" s="120">
        <v>0.161</v>
      </c>
      <c r="I1465" s="120" t="s">
        <v>14168</v>
      </c>
      <c r="J1465" s="120" t="s">
        <v>14169</v>
      </c>
      <c r="L1465" s="120" t="s">
        <v>14170</v>
      </c>
      <c r="O1465" s="120" t="s">
        <v>14164</v>
      </c>
      <c r="P1465" s="120" t="s">
        <v>14165</v>
      </c>
      <c r="Q1465" s="120">
        <v>408802.02</v>
      </c>
      <c r="R1465" s="120">
        <v>6189581.1299999999</v>
      </c>
      <c r="S1465" s="120" t="s">
        <v>14166</v>
      </c>
      <c r="T1465" s="120" t="s">
        <v>14167</v>
      </c>
      <c r="U1465" s="120">
        <v>408775.33</v>
      </c>
      <c r="V1465" s="120">
        <v>6189581.2800000003</v>
      </c>
      <c r="W1465" s="120">
        <v>359.44</v>
      </c>
      <c r="X1465" s="120">
        <v>150.04</v>
      </c>
    </row>
    <row r="1466" spans="1:24" s="120" customFormat="1" x14ac:dyDescent="0.25">
      <c r="A1466" s="93">
        <v>45101</v>
      </c>
      <c r="B1466" s="92">
        <v>175</v>
      </c>
      <c r="C1466" s="83">
        <v>0.54855324074074074</v>
      </c>
      <c r="D1466" s="135" t="s">
        <v>97</v>
      </c>
      <c r="E1466" s="121" t="s">
        <v>70</v>
      </c>
      <c r="F1466" s="135" t="s">
        <v>12332</v>
      </c>
      <c r="G1466" s="135" t="s">
        <v>2600</v>
      </c>
      <c r="H1466" s="120">
        <v>-1.9E-2</v>
      </c>
      <c r="I1466" s="120" t="s">
        <v>14168</v>
      </c>
      <c r="J1466" s="120" t="s">
        <v>14169</v>
      </c>
      <c r="L1466" s="120" t="s">
        <v>14170</v>
      </c>
      <c r="O1466" s="120" t="s">
        <v>14171</v>
      </c>
      <c r="P1466" s="120" t="s">
        <v>14172</v>
      </c>
      <c r="Q1466" s="120">
        <v>408800.34</v>
      </c>
      <c r="R1466" s="120">
        <v>6189762.3399999999</v>
      </c>
      <c r="S1466" s="120" t="s">
        <v>14173</v>
      </c>
      <c r="T1466" s="120" t="s">
        <v>14174</v>
      </c>
      <c r="U1466" s="120">
        <v>408775.39</v>
      </c>
      <c r="V1466" s="120">
        <v>6189761.5</v>
      </c>
      <c r="W1466" s="120">
        <v>358.87</v>
      </c>
      <c r="X1466" s="120">
        <v>150.04</v>
      </c>
    </row>
    <row r="1467" spans="1:24" s="14" customFormat="1" x14ac:dyDescent="0.25">
      <c r="A1467" s="50">
        <v>45101</v>
      </c>
      <c r="B1467" s="57">
        <v>175</v>
      </c>
      <c r="C1467" s="36">
        <v>0.55142361111111116</v>
      </c>
      <c r="D1467" s="16" t="s">
        <v>97</v>
      </c>
      <c r="E1467" s="52" t="s">
        <v>65</v>
      </c>
      <c r="F1467" s="16" t="s">
        <v>12332</v>
      </c>
      <c r="G1467" s="16" t="s">
        <v>2600</v>
      </c>
      <c r="H1467" s="14">
        <v>-1.4E-2</v>
      </c>
      <c r="I1467" s="14" t="s">
        <v>14180</v>
      </c>
      <c r="J1467" s="14" t="s">
        <v>14181</v>
      </c>
      <c r="K1467" s="14" t="s">
        <v>14182</v>
      </c>
      <c r="L1467" s="14" t="s">
        <v>14170</v>
      </c>
      <c r="O1467" s="14" t="s">
        <v>14176</v>
      </c>
      <c r="P1467" s="14" t="s">
        <v>14177</v>
      </c>
      <c r="Q1467" s="14">
        <v>408801.32</v>
      </c>
      <c r="R1467" s="14">
        <v>6189768.8399999999</v>
      </c>
      <c r="S1467" s="14" t="s">
        <v>14178</v>
      </c>
      <c r="T1467" s="14" t="s">
        <v>14179</v>
      </c>
      <c r="U1467" s="14">
        <v>408775.24</v>
      </c>
      <c r="V1467" s="14">
        <v>6189767.8099999996</v>
      </c>
      <c r="W1467" s="14">
        <v>178.5</v>
      </c>
      <c r="X1467" s="14">
        <v>150.04</v>
      </c>
    </row>
    <row r="1468" spans="1:24" s="14" customFormat="1" x14ac:dyDescent="0.25">
      <c r="A1468" s="50">
        <v>45101</v>
      </c>
      <c r="B1468" s="57">
        <v>175</v>
      </c>
      <c r="C1468" s="36">
        <v>0.55482638888888891</v>
      </c>
      <c r="D1468" s="16" t="s">
        <v>97</v>
      </c>
      <c r="E1468" s="52" t="s">
        <v>70</v>
      </c>
      <c r="F1468" s="16" t="s">
        <v>12332</v>
      </c>
      <c r="G1468" s="16" t="s">
        <v>2600</v>
      </c>
      <c r="H1468" s="14">
        <v>0.16500000000000001</v>
      </c>
      <c r="I1468" s="14" t="s">
        <v>14180</v>
      </c>
      <c r="J1468" s="14" t="s">
        <v>14181</v>
      </c>
      <c r="K1468" s="14" t="s">
        <v>14182</v>
      </c>
      <c r="L1468" s="14" t="s">
        <v>14187</v>
      </c>
      <c r="O1468" s="14" t="s">
        <v>14183</v>
      </c>
      <c r="P1468" s="14" t="s">
        <v>14184</v>
      </c>
      <c r="Q1468" s="14">
        <v>408801.15</v>
      </c>
      <c r="R1468" s="14">
        <v>6189590.3099999996</v>
      </c>
      <c r="S1468" s="14" t="s">
        <v>14185</v>
      </c>
      <c r="T1468" s="14" t="s">
        <v>14186</v>
      </c>
      <c r="U1468" s="14">
        <v>408775.32</v>
      </c>
      <c r="V1468" s="14">
        <v>6189588.8399999999</v>
      </c>
      <c r="W1468" s="14">
        <v>179.17</v>
      </c>
      <c r="X1468" s="14">
        <v>150.04</v>
      </c>
    </row>
    <row r="1469" spans="1:24" s="14" customFormat="1" x14ac:dyDescent="0.25">
      <c r="A1469" s="50">
        <v>45101</v>
      </c>
      <c r="B1469" s="57">
        <v>175</v>
      </c>
      <c r="C1469" s="36">
        <v>0.5575</v>
      </c>
      <c r="D1469" s="16" t="s">
        <v>97</v>
      </c>
      <c r="E1469" s="52" t="s">
        <v>65</v>
      </c>
      <c r="F1469" s="16" t="s">
        <v>12332</v>
      </c>
      <c r="G1469" s="16" t="s">
        <v>2599</v>
      </c>
      <c r="H1469" s="14">
        <v>0.16</v>
      </c>
      <c r="I1469" s="14" t="s">
        <v>14192</v>
      </c>
      <c r="J1469" s="14" t="s">
        <v>14193</v>
      </c>
      <c r="K1469" s="14" t="s">
        <v>14194</v>
      </c>
      <c r="L1469" s="14" t="s">
        <v>14187</v>
      </c>
      <c r="O1469" s="14" t="s">
        <v>14188</v>
      </c>
      <c r="P1469" s="14" t="s">
        <v>14189</v>
      </c>
      <c r="Q1469" s="14">
        <v>408809.57</v>
      </c>
      <c r="R1469" s="14">
        <v>6189578.4699999997</v>
      </c>
      <c r="S1469" s="14" t="s">
        <v>14190</v>
      </c>
      <c r="T1469" s="14" t="s">
        <v>14191</v>
      </c>
      <c r="U1469" s="14">
        <v>408784.35</v>
      </c>
      <c r="V1469" s="14">
        <v>6189582.6900000004</v>
      </c>
      <c r="W1469" s="14">
        <v>358.85</v>
      </c>
      <c r="X1469" s="14">
        <v>150.04</v>
      </c>
    </row>
    <row r="1470" spans="1:24" s="14" customFormat="1" x14ac:dyDescent="0.25">
      <c r="A1470" s="50">
        <v>45101</v>
      </c>
      <c r="B1470" s="57">
        <v>175</v>
      </c>
      <c r="C1470" s="36">
        <v>0.56094907407407402</v>
      </c>
      <c r="D1470" s="16" t="s">
        <v>97</v>
      </c>
      <c r="E1470" s="52" t="s">
        <v>70</v>
      </c>
      <c r="F1470" s="16" t="s">
        <v>12332</v>
      </c>
      <c r="G1470" s="16" t="s">
        <v>2599</v>
      </c>
      <c r="H1470" s="14">
        <v>-2.1999999999999999E-2</v>
      </c>
      <c r="I1470" s="14" t="s">
        <v>14192</v>
      </c>
      <c r="J1470" s="14" t="s">
        <v>14193</v>
      </c>
      <c r="K1470" s="14" t="s">
        <v>14194</v>
      </c>
      <c r="L1470" s="14" t="s">
        <v>14187</v>
      </c>
      <c r="O1470" s="14" t="s">
        <v>14195</v>
      </c>
      <c r="P1470" s="14" t="s">
        <v>14196</v>
      </c>
      <c r="Q1470" s="14">
        <v>408810.23999999999</v>
      </c>
      <c r="R1470" s="14">
        <v>6189760.71</v>
      </c>
      <c r="S1470" s="14" t="s">
        <v>14197</v>
      </c>
      <c r="T1470" s="14" t="s">
        <v>14198</v>
      </c>
      <c r="U1470" s="14">
        <v>408784.32</v>
      </c>
      <c r="V1470" s="14">
        <v>6189764.5899999999</v>
      </c>
      <c r="W1470" s="14">
        <v>358.69</v>
      </c>
      <c r="X1470" s="14">
        <v>150.04</v>
      </c>
    </row>
    <row r="1471" spans="1:24" s="14" customFormat="1" x14ac:dyDescent="0.25">
      <c r="A1471" s="50">
        <v>45101</v>
      </c>
      <c r="B1471" s="57">
        <v>175</v>
      </c>
      <c r="C1471" s="36">
        <v>0.56331018518518516</v>
      </c>
      <c r="D1471" s="16" t="s">
        <v>97</v>
      </c>
      <c r="E1471" s="52" t="s">
        <v>65</v>
      </c>
      <c r="F1471" s="16" t="s">
        <v>12332</v>
      </c>
      <c r="G1471" s="16" t="s">
        <v>2598</v>
      </c>
      <c r="H1471" s="14">
        <v>-1.4999999999999999E-2</v>
      </c>
      <c r="I1471" s="14" t="s">
        <v>14203</v>
      </c>
      <c r="J1471" s="14" t="s">
        <v>14204</v>
      </c>
      <c r="K1471" s="14" t="s">
        <v>14205</v>
      </c>
      <c r="L1471" s="14" t="s">
        <v>14206</v>
      </c>
      <c r="O1471" s="14" t="s">
        <v>14199</v>
      </c>
      <c r="P1471" s="14" t="s">
        <v>14200</v>
      </c>
      <c r="Q1471" s="14">
        <v>408818.38</v>
      </c>
      <c r="R1471" s="14">
        <v>6189762.1399999997</v>
      </c>
      <c r="S1471" s="14" t="s">
        <v>14201</v>
      </c>
      <c r="T1471" s="14" t="s">
        <v>14202</v>
      </c>
      <c r="U1471" s="14">
        <v>408793.39</v>
      </c>
      <c r="V1471" s="14">
        <v>6189768.1200000001</v>
      </c>
      <c r="W1471" s="14">
        <v>180.38</v>
      </c>
      <c r="X1471" s="14">
        <v>150.04</v>
      </c>
    </row>
    <row r="1472" spans="1:24" s="14" customFormat="1" x14ac:dyDescent="0.25">
      <c r="A1472" s="50">
        <v>45101</v>
      </c>
      <c r="B1472" s="57">
        <v>175</v>
      </c>
      <c r="C1472" s="36">
        <v>0.56677083333333333</v>
      </c>
      <c r="D1472" s="16" t="s">
        <v>97</v>
      </c>
      <c r="E1472" s="52" t="s">
        <v>70</v>
      </c>
      <c r="F1472" s="16" t="s">
        <v>12332</v>
      </c>
      <c r="G1472" s="16" t="s">
        <v>2598</v>
      </c>
      <c r="H1472" s="14">
        <v>0.17</v>
      </c>
      <c r="I1472" s="14" t="s">
        <v>14203</v>
      </c>
      <c r="J1472" s="14" t="s">
        <v>14204</v>
      </c>
      <c r="K1472" s="14" t="s">
        <v>14205</v>
      </c>
      <c r="L1472" s="14" t="s">
        <v>14206</v>
      </c>
      <c r="O1472" s="14" t="s">
        <v>14207</v>
      </c>
      <c r="P1472" s="14" t="s">
        <v>14208</v>
      </c>
      <c r="Q1472" s="14">
        <v>408818.91</v>
      </c>
      <c r="R1472" s="14">
        <v>6189581.0300000003</v>
      </c>
      <c r="S1472" s="14" t="s">
        <v>14209</v>
      </c>
      <c r="T1472" s="14" t="s">
        <v>14210</v>
      </c>
      <c r="U1472" s="14">
        <v>408793.29</v>
      </c>
      <c r="V1472" s="14">
        <v>6189583.3099999996</v>
      </c>
      <c r="W1472" s="14">
        <v>178.61</v>
      </c>
      <c r="X1472" s="14">
        <v>150.04</v>
      </c>
    </row>
    <row r="1473" spans="1:24" s="14" customFormat="1" x14ac:dyDescent="0.25">
      <c r="A1473" s="50">
        <v>45101</v>
      </c>
      <c r="B1473" s="57">
        <v>175</v>
      </c>
      <c r="C1473" s="36">
        <v>0.56905092592592588</v>
      </c>
      <c r="D1473" s="16" t="s">
        <v>97</v>
      </c>
      <c r="E1473" s="52" t="s">
        <v>65</v>
      </c>
      <c r="F1473" s="16" t="s">
        <v>12332</v>
      </c>
      <c r="G1473" s="16" t="s">
        <v>2597</v>
      </c>
      <c r="H1473" s="14">
        <v>0.16500000000000001</v>
      </c>
      <c r="I1473" s="14" t="s">
        <v>14215</v>
      </c>
      <c r="J1473" s="14" t="s">
        <v>14216</v>
      </c>
      <c r="K1473" s="14" t="s">
        <v>14217</v>
      </c>
      <c r="L1473" s="14" t="s">
        <v>14206</v>
      </c>
      <c r="O1473" s="14" t="s">
        <v>14211</v>
      </c>
      <c r="P1473" s="14" t="s">
        <v>14212</v>
      </c>
      <c r="Q1473" s="14">
        <v>408827.1</v>
      </c>
      <c r="R1473" s="14">
        <v>6189568.4699999997</v>
      </c>
      <c r="S1473" s="14" t="s">
        <v>14213</v>
      </c>
      <c r="T1473" s="14" t="s">
        <v>14214</v>
      </c>
      <c r="U1473" s="14">
        <v>408802.3</v>
      </c>
      <c r="V1473" s="14">
        <v>6189577.46</v>
      </c>
      <c r="W1473" s="14">
        <v>358.55</v>
      </c>
      <c r="X1473" s="14">
        <v>150.04</v>
      </c>
    </row>
    <row r="1474" spans="1:24" s="14" customFormat="1" x14ac:dyDescent="0.25">
      <c r="A1474" s="50">
        <v>45101</v>
      </c>
      <c r="B1474" s="57">
        <v>175</v>
      </c>
      <c r="C1474" s="36">
        <v>0.5727430555555556</v>
      </c>
      <c r="D1474" s="16" t="s">
        <v>97</v>
      </c>
      <c r="E1474" s="52" t="s">
        <v>70</v>
      </c>
      <c r="F1474" s="16" t="s">
        <v>12332</v>
      </c>
      <c r="G1474" s="16" t="s">
        <v>2597</v>
      </c>
      <c r="H1474" s="14">
        <v>-0.02</v>
      </c>
      <c r="I1474" s="14" t="s">
        <v>14215</v>
      </c>
      <c r="J1474" s="14" t="s">
        <v>14216</v>
      </c>
      <c r="K1474" s="14" t="s">
        <v>14217</v>
      </c>
      <c r="L1474" s="14" t="s">
        <v>14222</v>
      </c>
      <c r="O1474" s="14" t="s">
        <v>14218</v>
      </c>
      <c r="P1474" s="14" t="s">
        <v>14219</v>
      </c>
      <c r="Q1474" s="14">
        <v>408827.32</v>
      </c>
      <c r="R1474" s="14">
        <v>6189763.6299999999</v>
      </c>
      <c r="S1474" s="14" t="s">
        <v>14220</v>
      </c>
      <c r="T1474" s="14" t="s">
        <v>14221</v>
      </c>
      <c r="U1474" s="14">
        <v>408802.36</v>
      </c>
      <c r="V1474" s="14">
        <v>6189762.1500000004</v>
      </c>
      <c r="W1474" s="14">
        <v>358.51</v>
      </c>
      <c r="X1474" s="14">
        <v>150.04</v>
      </c>
    </row>
    <row r="1475" spans="1:24" s="14" customFormat="1" x14ac:dyDescent="0.25">
      <c r="A1475" s="50">
        <v>45101</v>
      </c>
      <c r="B1475" s="57">
        <v>175</v>
      </c>
      <c r="C1475" s="36">
        <v>0.57508101851851856</v>
      </c>
      <c r="D1475" s="16" t="s">
        <v>97</v>
      </c>
      <c r="E1475" s="52" t="s">
        <v>65</v>
      </c>
      <c r="F1475" s="16" t="s">
        <v>12332</v>
      </c>
      <c r="G1475" s="16" t="s">
        <v>2596</v>
      </c>
      <c r="H1475" s="14">
        <v>-1.6E-2</v>
      </c>
      <c r="I1475" s="14" t="s">
        <v>14227</v>
      </c>
      <c r="J1475" s="14" t="s">
        <v>14228</v>
      </c>
      <c r="K1475" s="14" t="s">
        <v>14229</v>
      </c>
      <c r="L1475" s="14" t="s">
        <v>14222</v>
      </c>
      <c r="O1475" s="14" t="s">
        <v>14223</v>
      </c>
      <c r="P1475" s="14" t="s">
        <v>14224</v>
      </c>
      <c r="Q1475" s="14">
        <v>408836.89</v>
      </c>
      <c r="R1475" s="14">
        <v>6189771.0499999998</v>
      </c>
      <c r="S1475" s="14" t="s">
        <v>14225</v>
      </c>
      <c r="T1475" s="14" t="s">
        <v>14226</v>
      </c>
      <c r="U1475" s="14">
        <v>408811.3</v>
      </c>
      <c r="V1475" s="14">
        <v>6189769.6399999997</v>
      </c>
      <c r="W1475" s="14">
        <v>179.58</v>
      </c>
      <c r="X1475" s="14">
        <v>150.04</v>
      </c>
    </row>
    <row r="1476" spans="1:24" s="14" customFormat="1" x14ac:dyDescent="0.25">
      <c r="A1476" s="50">
        <v>45101</v>
      </c>
      <c r="B1476" s="57">
        <v>175</v>
      </c>
      <c r="C1476" s="36">
        <v>0.57863425925925926</v>
      </c>
      <c r="D1476" s="16" t="s">
        <v>97</v>
      </c>
      <c r="E1476" s="14" t="s">
        <v>70</v>
      </c>
      <c r="F1476" s="16" t="s">
        <v>12332</v>
      </c>
      <c r="G1476" s="16" t="s">
        <v>2596</v>
      </c>
      <c r="H1476" s="14">
        <v>0.17199999999999999</v>
      </c>
      <c r="I1476" s="14" t="s">
        <v>14227</v>
      </c>
      <c r="J1476" s="14" t="s">
        <v>14228</v>
      </c>
      <c r="K1476" s="14" t="s">
        <v>14229</v>
      </c>
      <c r="L1476" s="14" t="s">
        <v>14222</v>
      </c>
      <c r="O1476" s="14" t="s">
        <v>14230</v>
      </c>
      <c r="P1476" s="14" t="s">
        <v>14231</v>
      </c>
      <c r="Q1476" s="14">
        <v>408836.86</v>
      </c>
      <c r="R1476" s="14">
        <v>6189584.3099999996</v>
      </c>
      <c r="S1476" s="14" t="s">
        <v>14232</v>
      </c>
      <c r="T1476" s="14" t="s">
        <v>14233</v>
      </c>
      <c r="U1476" s="14">
        <v>408811.25</v>
      </c>
      <c r="V1476" s="14">
        <v>6189581.5899999999</v>
      </c>
      <c r="W1476" s="14">
        <v>178.51</v>
      </c>
      <c r="X1476" s="14">
        <v>150.04</v>
      </c>
    </row>
    <row r="1477" spans="1:24" s="14" customFormat="1" x14ac:dyDescent="0.25">
      <c r="A1477" s="50">
        <v>45101</v>
      </c>
      <c r="B1477" s="57">
        <v>175</v>
      </c>
      <c r="C1477" s="36">
        <v>0.58099537037037041</v>
      </c>
      <c r="D1477" s="16" t="s">
        <v>97</v>
      </c>
      <c r="E1477" s="14" t="s">
        <v>65</v>
      </c>
      <c r="F1477" s="16" t="s">
        <v>12332</v>
      </c>
      <c r="G1477" s="16" t="s">
        <v>2595</v>
      </c>
      <c r="H1477" s="14">
        <v>0.16700000000000001</v>
      </c>
      <c r="I1477" s="14" t="s">
        <v>14238</v>
      </c>
      <c r="J1477" s="14" t="s">
        <v>14239</v>
      </c>
      <c r="K1477" s="14" t="s">
        <v>14240</v>
      </c>
      <c r="L1477" s="14" t="s">
        <v>14222</v>
      </c>
      <c r="O1477" s="14" t="s">
        <v>14234</v>
      </c>
      <c r="P1477" s="14" t="s">
        <v>14235</v>
      </c>
      <c r="Q1477" s="14">
        <v>408845.97</v>
      </c>
      <c r="R1477" s="14">
        <v>6189574.4000000004</v>
      </c>
      <c r="S1477" s="14" t="s">
        <v>14236</v>
      </c>
      <c r="T1477" s="14" t="s">
        <v>14237</v>
      </c>
      <c r="U1477" s="14">
        <v>408820.29</v>
      </c>
      <c r="V1477" s="14">
        <v>6189575.4100000001</v>
      </c>
      <c r="W1477" s="14">
        <v>1.1499999999999999</v>
      </c>
      <c r="X1477" s="14">
        <v>150.04</v>
      </c>
    </row>
    <row r="1478" spans="1:24" s="14" customFormat="1" x14ac:dyDescent="0.25">
      <c r="A1478" s="50">
        <v>45101</v>
      </c>
      <c r="B1478" s="57">
        <v>175</v>
      </c>
      <c r="C1478" s="36">
        <v>0.58453703703703697</v>
      </c>
      <c r="D1478" s="16" t="s">
        <v>97</v>
      </c>
      <c r="E1478" s="14" t="s">
        <v>70</v>
      </c>
      <c r="F1478" s="16" t="s">
        <v>12332</v>
      </c>
      <c r="G1478" s="16" t="s">
        <v>2595</v>
      </c>
      <c r="H1478" s="14">
        <v>-0.02</v>
      </c>
      <c r="I1478" s="14" t="s">
        <v>14238</v>
      </c>
      <c r="J1478" s="14" t="s">
        <v>14239</v>
      </c>
      <c r="K1478" s="14" t="s">
        <v>14240</v>
      </c>
      <c r="L1478" s="14" t="s">
        <v>14245</v>
      </c>
      <c r="O1478" s="14" t="s">
        <v>14241</v>
      </c>
      <c r="P1478" s="14" t="s">
        <v>14242</v>
      </c>
      <c r="Q1478" s="14">
        <v>408846.52</v>
      </c>
      <c r="R1478" s="14">
        <v>6189760.7999999998</v>
      </c>
      <c r="S1478" s="14" t="s">
        <v>14243</v>
      </c>
      <c r="T1478" s="14" t="s">
        <v>14244</v>
      </c>
      <c r="U1478" s="14">
        <v>408820.31</v>
      </c>
      <c r="V1478" s="14">
        <v>6189762.4900000002</v>
      </c>
      <c r="W1478" s="14">
        <v>359.74</v>
      </c>
      <c r="X1478" s="14">
        <v>150.04</v>
      </c>
    </row>
    <row r="1479" spans="1:24" s="14" customFormat="1" x14ac:dyDescent="0.25">
      <c r="A1479" s="50">
        <v>45101</v>
      </c>
      <c r="B1479" s="57">
        <v>175</v>
      </c>
      <c r="C1479" s="36">
        <v>0.58680555555555558</v>
      </c>
      <c r="D1479" s="16" t="s">
        <v>97</v>
      </c>
      <c r="E1479" s="14" t="s">
        <v>65</v>
      </c>
      <c r="F1479" s="16" t="s">
        <v>12332</v>
      </c>
      <c r="G1479" s="16" t="s">
        <v>2601</v>
      </c>
      <c r="H1479" s="14">
        <v>-1.4999999999999999E-2</v>
      </c>
      <c r="I1479" s="14" t="s">
        <v>14250</v>
      </c>
      <c r="J1479" s="14" t="s">
        <v>14251</v>
      </c>
      <c r="K1479" s="14" t="s">
        <v>14252</v>
      </c>
      <c r="L1479" s="14" t="s">
        <v>14245</v>
      </c>
      <c r="O1479" s="14" t="s">
        <v>14246</v>
      </c>
      <c r="P1479" s="14" t="s">
        <v>14247</v>
      </c>
      <c r="Q1479" s="14">
        <v>408855.35</v>
      </c>
      <c r="R1479" s="14">
        <v>6189769.8899999997</v>
      </c>
      <c r="S1479" s="14" t="s">
        <v>14248</v>
      </c>
      <c r="T1479" s="14" t="s">
        <v>14249</v>
      </c>
      <c r="U1479" s="14">
        <v>408829.23</v>
      </c>
      <c r="V1479" s="14">
        <v>6189768.2000000002</v>
      </c>
      <c r="W1479" s="14">
        <v>180.41</v>
      </c>
      <c r="X1479" s="14">
        <v>150.04</v>
      </c>
    </row>
    <row r="1480" spans="1:24" s="14" customFormat="1" x14ac:dyDescent="0.25">
      <c r="A1480" s="50">
        <v>45101</v>
      </c>
      <c r="B1480" s="57">
        <v>175</v>
      </c>
      <c r="C1480" s="36">
        <v>0.5904166666666667</v>
      </c>
      <c r="D1480" s="16" t="s">
        <v>97</v>
      </c>
      <c r="E1480" s="14" t="s">
        <v>70</v>
      </c>
      <c r="F1480" s="16" t="s">
        <v>12332</v>
      </c>
      <c r="G1480" s="16" t="s">
        <v>2601</v>
      </c>
      <c r="H1480" s="14">
        <v>0.17599999999999999</v>
      </c>
      <c r="I1480" s="14" t="s">
        <v>14250</v>
      </c>
      <c r="J1480" s="14" t="s">
        <v>14251</v>
      </c>
      <c r="K1480" s="14" t="s">
        <v>14252</v>
      </c>
      <c r="L1480" s="14" t="s">
        <v>14245</v>
      </c>
      <c r="O1480" s="14" t="s">
        <v>14253</v>
      </c>
      <c r="P1480" s="14" t="s">
        <v>14254</v>
      </c>
      <c r="Q1480" s="14">
        <v>408856.01</v>
      </c>
      <c r="R1480" s="14">
        <v>6189580.4400000004</v>
      </c>
      <c r="S1480" s="14" t="s">
        <v>14255</v>
      </c>
      <c r="T1480" s="14" t="s">
        <v>14256</v>
      </c>
      <c r="U1480" s="14">
        <v>408829.24</v>
      </c>
      <c r="V1480" s="14">
        <v>6189577.9800000004</v>
      </c>
      <c r="W1480" s="14">
        <v>179.63</v>
      </c>
      <c r="X1480" s="14">
        <v>150.04</v>
      </c>
    </row>
    <row r="1481" spans="1:24" s="14" customFormat="1" x14ac:dyDescent="0.25">
      <c r="A1481" s="50">
        <v>45101</v>
      </c>
      <c r="B1481" s="57">
        <v>175</v>
      </c>
      <c r="C1481" s="36">
        <v>0.59290509259259261</v>
      </c>
      <c r="D1481" s="16" t="s">
        <v>97</v>
      </c>
      <c r="E1481" s="115" t="s">
        <v>14266</v>
      </c>
      <c r="F1481" s="16" t="s">
        <v>12332</v>
      </c>
      <c r="G1481" s="16" t="s">
        <v>2602</v>
      </c>
      <c r="H1481" s="14">
        <v>0.17799999999999999</v>
      </c>
      <c r="O1481" s="14" t="s">
        <v>14257</v>
      </c>
      <c r="P1481" s="14" t="s">
        <v>14258</v>
      </c>
      <c r="Q1481" s="14">
        <v>408864.97</v>
      </c>
      <c r="R1481" s="14">
        <v>6189553.1799999997</v>
      </c>
      <c r="S1481" s="14" t="s">
        <v>14259</v>
      </c>
      <c r="T1481" s="14" t="s">
        <v>14260</v>
      </c>
      <c r="U1481" s="14">
        <v>408840.7</v>
      </c>
      <c r="V1481" s="14">
        <v>6189565.5800000001</v>
      </c>
      <c r="W1481" s="14">
        <v>327.56</v>
      </c>
      <c r="X1481" s="14">
        <v>150.04</v>
      </c>
    </row>
    <row r="1482" spans="1:24" s="126" customFormat="1" x14ac:dyDescent="0.25">
      <c r="A1482" s="78">
        <v>45101</v>
      </c>
      <c r="B1482" s="108">
        <v>175</v>
      </c>
      <c r="C1482" s="80">
        <v>0.59989583333333341</v>
      </c>
      <c r="D1482" s="79" t="s">
        <v>97</v>
      </c>
      <c r="E1482" s="126" t="s">
        <v>14265</v>
      </c>
      <c r="F1482" s="79" t="s">
        <v>12332</v>
      </c>
      <c r="G1482" s="79" t="s">
        <v>2602</v>
      </c>
      <c r="H1482" s="126">
        <v>0.192</v>
      </c>
      <c r="O1482" s="126" t="s">
        <v>14261</v>
      </c>
      <c r="P1482" s="126" t="s">
        <v>14262</v>
      </c>
      <c r="Q1482" s="126">
        <v>408864.36</v>
      </c>
      <c r="R1482" s="126">
        <v>6189553.5</v>
      </c>
      <c r="S1482" s="126" t="s">
        <v>14263</v>
      </c>
      <c r="T1482" s="126" t="s">
        <v>14264</v>
      </c>
      <c r="U1482" s="126">
        <v>408852.25</v>
      </c>
      <c r="V1482" s="126">
        <v>6189555.7000000002</v>
      </c>
      <c r="W1482" s="126">
        <v>268.25</v>
      </c>
      <c r="X1482" s="126">
        <v>150.04</v>
      </c>
    </row>
    <row r="1483" spans="1:24" s="115" customFormat="1" x14ac:dyDescent="0.25">
      <c r="A1483" s="50">
        <v>45101</v>
      </c>
      <c r="B1483" s="57">
        <v>175</v>
      </c>
      <c r="C1483" s="36">
        <v>0.60197916666666662</v>
      </c>
      <c r="D1483" s="117" t="s">
        <v>97</v>
      </c>
      <c r="E1483" s="115" t="s">
        <v>14272</v>
      </c>
      <c r="F1483" s="117" t="s">
        <v>12332</v>
      </c>
      <c r="G1483" s="117" t="s">
        <v>2602</v>
      </c>
      <c r="H1483" s="115">
        <v>0.192</v>
      </c>
      <c r="O1483" s="115" t="s">
        <v>14261</v>
      </c>
      <c r="P1483" s="115" t="s">
        <v>14262</v>
      </c>
      <c r="Q1483" s="115">
        <v>408864.36</v>
      </c>
      <c r="R1483" s="115">
        <v>6189553.5</v>
      </c>
      <c r="S1483" s="115" t="s">
        <v>14263</v>
      </c>
      <c r="T1483" s="115" t="s">
        <v>14264</v>
      </c>
      <c r="U1483" s="115">
        <v>408852.25</v>
      </c>
      <c r="V1483" s="115">
        <v>6189555.7000000002</v>
      </c>
      <c r="W1483" s="115">
        <v>268.25</v>
      </c>
      <c r="X1483" s="115">
        <v>150.04</v>
      </c>
    </row>
    <row r="1484" spans="1:24" s="124" customFormat="1" x14ac:dyDescent="0.25">
      <c r="A1484" s="74">
        <v>45101</v>
      </c>
      <c r="B1484" s="105">
        <v>175</v>
      </c>
      <c r="C1484" s="76">
        <v>0.60537037037037034</v>
      </c>
      <c r="D1484" s="75" t="s">
        <v>97</v>
      </c>
      <c r="E1484" s="124" t="s">
        <v>14271</v>
      </c>
      <c r="F1484" s="75" t="s">
        <v>12332</v>
      </c>
      <c r="G1484" s="75" t="s">
        <v>2602</v>
      </c>
      <c r="H1484" s="124">
        <v>0.19600000000000001</v>
      </c>
      <c r="O1484" s="124" t="s">
        <v>14267</v>
      </c>
      <c r="P1484" s="124" t="s">
        <v>14268</v>
      </c>
      <c r="Q1484" s="124">
        <v>408857.15</v>
      </c>
      <c r="R1484" s="124">
        <v>6189556.9800000004</v>
      </c>
      <c r="S1484" s="124" t="s">
        <v>14269</v>
      </c>
      <c r="T1484" s="124" t="s">
        <v>14270</v>
      </c>
      <c r="U1484" s="124">
        <v>408868</v>
      </c>
      <c r="V1484" s="124">
        <v>6189552.9800000004</v>
      </c>
      <c r="W1484" s="124">
        <v>97.1</v>
      </c>
      <c r="X1484" s="124">
        <v>150.04</v>
      </c>
    </row>
    <row r="1485" spans="1:24" s="14" customFormat="1" x14ac:dyDescent="0.25">
      <c r="A1485" s="50">
        <v>45101</v>
      </c>
      <c r="B1485" s="57">
        <v>175</v>
      </c>
      <c r="C1485" s="36">
        <v>0.61408564814814814</v>
      </c>
      <c r="D1485" s="16" t="s">
        <v>97</v>
      </c>
      <c r="E1485" s="14" t="s">
        <v>65</v>
      </c>
      <c r="F1485" s="16" t="s">
        <v>12332</v>
      </c>
      <c r="G1485" s="16" t="s">
        <v>2602</v>
      </c>
      <c r="H1485" s="14">
        <v>0.16600000000000001</v>
      </c>
      <c r="I1485" s="14" t="s">
        <v>14277</v>
      </c>
      <c r="J1485" s="14" t="s">
        <v>14278</v>
      </c>
      <c r="K1485" s="14" t="s">
        <v>14279</v>
      </c>
      <c r="L1485" s="14" t="s">
        <v>14280</v>
      </c>
      <c r="O1485" s="14" t="s">
        <v>14273</v>
      </c>
      <c r="P1485" s="14" t="s">
        <v>14274</v>
      </c>
      <c r="Q1485" s="14">
        <v>408814.54</v>
      </c>
      <c r="R1485" s="14">
        <v>6189569.0099999998</v>
      </c>
      <c r="S1485" s="14" t="s">
        <v>14275</v>
      </c>
      <c r="T1485" s="14" t="s">
        <v>14276</v>
      </c>
      <c r="U1485" s="14">
        <v>408838.3</v>
      </c>
      <c r="V1485" s="14">
        <v>6189576.6699999999</v>
      </c>
      <c r="W1485" s="14">
        <v>0.65</v>
      </c>
      <c r="X1485" s="14">
        <v>150.04</v>
      </c>
    </row>
    <row r="1486" spans="1:24" s="14" customFormat="1" x14ac:dyDescent="0.25">
      <c r="A1486" s="50">
        <v>45101</v>
      </c>
      <c r="B1486" s="57">
        <v>175</v>
      </c>
      <c r="C1486" s="36">
        <v>0.61767361111111108</v>
      </c>
      <c r="D1486" s="16" t="s">
        <v>97</v>
      </c>
      <c r="E1486" s="52" t="s">
        <v>70</v>
      </c>
      <c r="F1486" s="16" t="s">
        <v>12332</v>
      </c>
      <c r="G1486" s="16" t="s">
        <v>2602</v>
      </c>
      <c r="H1486" s="14">
        <v>-1.9E-2</v>
      </c>
      <c r="I1486" s="14" t="s">
        <v>14277</v>
      </c>
      <c r="J1486" s="14" t="s">
        <v>14278</v>
      </c>
      <c r="K1486" s="14" t="s">
        <v>14279</v>
      </c>
      <c r="L1486" s="14" t="s">
        <v>14285</v>
      </c>
      <c r="O1486" s="14" t="s">
        <v>14281</v>
      </c>
      <c r="P1486" s="14" t="s">
        <v>14282</v>
      </c>
      <c r="Q1486" s="14">
        <v>408814.96</v>
      </c>
      <c r="R1486" s="14">
        <v>6189754.8700000001</v>
      </c>
      <c r="S1486" s="14" t="s">
        <v>14283</v>
      </c>
      <c r="T1486" s="14" t="s">
        <v>14284</v>
      </c>
      <c r="U1486" s="14">
        <v>408838.28</v>
      </c>
      <c r="V1486" s="14">
        <v>6189761.4699999997</v>
      </c>
      <c r="W1486" s="14">
        <v>0.18</v>
      </c>
      <c r="X1486" s="14">
        <v>150.04</v>
      </c>
    </row>
    <row r="1487" spans="1:24" s="14" customFormat="1" x14ac:dyDescent="0.25">
      <c r="A1487" s="50">
        <v>45101</v>
      </c>
      <c r="B1487" s="57">
        <v>175</v>
      </c>
      <c r="C1487" s="36">
        <v>0.61987268518518512</v>
      </c>
      <c r="D1487" s="16" t="s">
        <v>97</v>
      </c>
      <c r="E1487" s="52" t="s">
        <v>65</v>
      </c>
      <c r="F1487" s="16" t="s">
        <v>12332</v>
      </c>
      <c r="G1487" s="16" t="s">
        <v>2603</v>
      </c>
      <c r="H1487" s="14">
        <v>-1.4999999999999999E-2</v>
      </c>
      <c r="I1487" s="14" t="s">
        <v>14290</v>
      </c>
      <c r="J1487" s="14" t="s">
        <v>14291</v>
      </c>
      <c r="K1487" s="14" t="s">
        <v>14292</v>
      </c>
      <c r="L1487" s="14" t="s">
        <v>14285</v>
      </c>
      <c r="O1487" s="14" t="s">
        <v>14286</v>
      </c>
      <c r="P1487" s="14" t="s">
        <v>14287</v>
      </c>
      <c r="Q1487" s="14">
        <v>408823.06</v>
      </c>
      <c r="R1487" s="14">
        <v>6189770.5300000003</v>
      </c>
      <c r="S1487" s="14" t="s">
        <v>14288</v>
      </c>
      <c r="T1487" s="14" t="s">
        <v>14289</v>
      </c>
      <c r="U1487" s="14">
        <v>408847.46</v>
      </c>
      <c r="V1487" s="14">
        <v>6189768.8899999997</v>
      </c>
      <c r="W1487" s="14">
        <v>180.52</v>
      </c>
      <c r="X1487" s="14">
        <v>150.04</v>
      </c>
    </row>
    <row r="1488" spans="1:24" s="14" customFormat="1" x14ac:dyDescent="0.25">
      <c r="A1488" s="50">
        <v>45101</v>
      </c>
      <c r="B1488" s="57">
        <v>175</v>
      </c>
      <c r="C1488" s="36">
        <v>0.62290509259259264</v>
      </c>
      <c r="D1488" s="16" t="s">
        <v>97</v>
      </c>
      <c r="E1488" s="52" t="s">
        <v>70</v>
      </c>
      <c r="F1488" s="16" t="s">
        <v>12332</v>
      </c>
      <c r="G1488" s="16" t="s">
        <v>2603</v>
      </c>
      <c r="H1488" s="14">
        <v>0.14000000000000001</v>
      </c>
      <c r="I1488" s="14" t="s">
        <v>14290</v>
      </c>
      <c r="J1488" s="14" t="s">
        <v>14291</v>
      </c>
      <c r="K1488" s="14" t="s">
        <v>14292</v>
      </c>
      <c r="L1488" s="14" t="s">
        <v>14285</v>
      </c>
      <c r="O1488" s="14" t="s">
        <v>14293</v>
      </c>
      <c r="P1488" s="14" t="s">
        <v>14294</v>
      </c>
      <c r="Q1488" s="14">
        <v>408820.84</v>
      </c>
      <c r="R1488" s="14">
        <v>6189623.7199999997</v>
      </c>
      <c r="S1488" s="14" t="s">
        <v>14295</v>
      </c>
      <c r="T1488" s="14" t="s">
        <v>14296</v>
      </c>
      <c r="U1488" s="14">
        <v>408848.36</v>
      </c>
      <c r="V1488" s="14">
        <v>6189613.2800000003</v>
      </c>
      <c r="W1488" s="14">
        <v>179.96</v>
      </c>
      <c r="X1488" s="14">
        <v>150.04</v>
      </c>
    </row>
    <row r="1489" spans="1:24" s="14" customFormat="1" x14ac:dyDescent="0.25">
      <c r="A1489" s="50">
        <v>45101</v>
      </c>
      <c r="B1489" s="57">
        <v>175</v>
      </c>
      <c r="C1489" s="36">
        <v>0.62302083333333336</v>
      </c>
      <c r="D1489" s="16" t="s">
        <v>97</v>
      </c>
      <c r="E1489" s="52" t="s">
        <v>14301</v>
      </c>
      <c r="F1489" s="16" t="s">
        <v>12332</v>
      </c>
      <c r="G1489" s="16" t="s">
        <v>2603</v>
      </c>
      <c r="H1489" s="14">
        <v>0.14199999999999999</v>
      </c>
      <c r="O1489" s="14" t="s">
        <v>14297</v>
      </c>
      <c r="P1489" s="14" t="s">
        <v>14298</v>
      </c>
      <c r="Q1489" s="14">
        <v>408820.81</v>
      </c>
      <c r="R1489" s="14">
        <v>6189626.3099999996</v>
      </c>
      <c r="S1489" s="14" t="s">
        <v>14299</v>
      </c>
      <c r="T1489" s="14" t="s">
        <v>14300</v>
      </c>
      <c r="U1489" s="14">
        <v>408848.38</v>
      </c>
      <c r="V1489" s="14">
        <v>6189611.5499999998</v>
      </c>
      <c r="W1489" s="14">
        <v>177.84</v>
      </c>
      <c r="X1489" s="14">
        <v>150.04</v>
      </c>
    </row>
    <row r="1490" spans="1:24" s="120" customFormat="1" x14ac:dyDescent="0.25">
      <c r="A1490" s="93">
        <v>45101</v>
      </c>
      <c r="B1490" s="92">
        <v>175</v>
      </c>
      <c r="C1490" s="83">
        <v>0.62377314814814822</v>
      </c>
      <c r="D1490" s="135" t="s">
        <v>97</v>
      </c>
      <c r="E1490" s="121" t="s">
        <v>11477</v>
      </c>
      <c r="F1490" s="135" t="s">
        <v>12332</v>
      </c>
      <c r="G1490" s="135" t="s">
        <v>2603</v>
      </c>
      <c r="H1490" s="120">
        <v>0.14199999999999999</v>
      </c>
      <c r="I1490" s="120" t="s">
        <v>14306</v>
      </c>
      <c r="J1490" s="120" t="s">
        <v>14291</v>
      </c>
      <c r="K1490" s="120" t="s">
        <v>14292</v>
      </c>
      <c r="L1490" s="120" t="s">
        <v>14285</v>
      </c>
      <c r="O1490" s="120" t="s">
        <v>14302</v>
      </c>
      <c r="P1490" s="120" t="s">
        <v>14303</v>
      </c>
      <c r="Q1490" s="120">
        <v>408821.96</v>
      </c>
      <c r="R1490" s="120">
        <v>6189621.0700000003</v>
      </c>
      <c r="S1490" s="120" t="s">
        <v>14304</v>
      </c>
      <c r="T1490" s="120" t="s">
        <v>14305</v>
      </c>
      <c r="U1490" s="120">
        <v>408847.5</v>
      </c>
      <c r="V1490" s="120">
        <v>6189611.3300000001</v>
      </c>
      <c r="W1490" s="120">
        <v>175.44</v>
      </c>
      <c r="X1490" s="120">
        <v>150.04</v>
      </c>
    </row>
    <row r="1491" spans="1:24" s="120" customFormat="1" x14ac:dyDescent="0.25">
      <c r="A1491" s="93">
        <v>45101</v>
      </c>
      <c r="B1491" s="92">
        <v>175</v>
      </c>
      <c r="C1491" s="83">
        <v>0.62383101851851852</v>
      </c>
      <c r="D1491" s="135" t="s">
        <v>97</v>
      </c>
      <c r="E1491" s="120" t="s">
        <v>70</v>
      </c>
      <c r="F1491" s="135" t="s">
        <v>12332</v>
      </c>
      <c r="G1491" s="135" t="s">
        <v>2603</v>
      </c>
      <c r="H1491" s="120">
        <v>0.14199999999999999</v>
      </c>
      <c r="I1491" s="120" t="s">
        <v>14306</v>
      </c>
      <c r="J1491" s="120" t="s">
        <v>14291</v>
      </c>
      <c r="K1491" s="120" t="s">
        <v>14292</v>
      </c>
      <c r="L1491" s="120" t="s">
        <v>14285</v>
      </c>
      <c r="O1491" s="120" t="s">
        <v>14307</v>
      </c>
      <c r="P1491" s="120" t="s">
        <v>14308</v>
      </c>
      <c r="Q1491" s="120">
        <v>408821.96</v>
      </c>
      <c r="R1491" s="120">
        <v>6189621.21</v>
      </c>
      <c r="S1491" s="120" t="s">
        <v>14309</v>
      </c>
      <c r="T1491" s="120" t="s">
        <v>14310</v>
      </c>
      <c r="U1491" s="120">
        <v>408847.47</v>
      </c>
      <c r="V1491" s="120">
        <v>6189611.0300000003</v>
      </c>
      <c r="W1491" s="120">
        <v>176.56</v>
      </c>
      <c r="X1491" s="120">
        <v>150.04</v>
      </c>
    </row>
    <row r="1492" spans="1:24" s="14" customFormat="1" x14ac:dyDescent="0.25">
      <c r="A1492" s="50">
        <v>45101</v>
      </c>
      <c r="B1492" s="57">
        <v>175</v>
      </c>
      <c r="C1492" s="36">
        <v>0.62936342592592587</v>
      </c>
      <c r="D1492" s="16" t="s">
        <v>97</v>
      </c>
      <c r="E1492" s="14" t="s">
        <v>65</v>
      </c>
      <c r="F1492" s="16" t="s">
        <v>12332</v>
      </c>
      <c r="G1492" s="16" t="s">
        <v>14311</v>
      </c>
      <c r="H1492" s="14">
        <v>0.19600000000000001</v>
      </c>
      <c r="I1492" s="14" t="s">
        <v>14316</v>
      </c>
      <c r="J1492" s="14" t="s">
        <v>14317</v>
      </c>
      <c r="K1492" s="14" t="s">
        <v>14318</v>
      </c>
      <c r="L1492" s="14" t="s">
        <v>14319</v>
      </c>
      <c r="O1492" s="14" t="s">
        <v>14312</v>
      </c>
      <c r="P1492" s="14" t="s">
        <v>14313</v>
      </c>
      <c r="Q1492" s="14">
        <v>408821.65</v>
      </c>
      <c r="R1492" s="14">
        <v>6189573.6500000004</v>
      </c>
      <c r="S1492" s="14" t="s">
        <v>14314</v>
      </c>
      <c r="T1492" s="14" t="s">
        <v>14315</v>
      </c>
      <c r="U1492" s="14">
        <v>408847.3</v>
      </c>
      <c r="V1492" s="14">
        <v>6189576.2599999998</v>
      </c>
      <c r="W1492" s="14">
        <v>0.08</v>
      </c>
      <c r="X1492" s="14">
        <v>52.49</v>
      </c>
    </row>
    <row r="1493" spans="1:24" s="14" customFormat="1" x14ac:dyDescent="0.25">
      <c r="A1493" s="50">
        <v>45101</v>
      </c>
      <c r="B1493" s="57">
        <v>175</v>
      </c>
      <c r="C1493" s="36">
        <v>0.63112268518518522</v>
      </c>
      <c r="D1493" s="16" t="s">
        <v>97</v>
      </c>
      <c r="E1493" s="14" t="s">
        <v>70</v>
      </c>
      <c r="F1493" s="16" t="s">
        <v>12332</v>
      </c>
      <c r="G1493" s="16" t="s">
        <v>14311</v>
      </c>
      <c r="H1493" s="14">
        <v>-0.04</v>
      </c>
      <c r="I1493" s="14" t="s">
        <v>14316</v>
      </c>
      <c r="J1493" s="14" t="s">
        <v>14317</v>
      </c>
      <c r="K1493" s="14" t="s">
        <v>14318</v>
      </c>
      <c r="L1493" s="14" t="s">
        <v>14319</v>
      </c>
      <c r="O1493" s="14" t="s">
        <v>14320</v>
      </c>
      <c r="P1493" s="14" t="s">
        <v>14321</v>
      </c>
      <c r="Q1493" s="14">
        <v>408822.68</v>
      </c>
      <c r="R1493" s="14">
        <v>6189662.8300000001</v>
      </c>
      <c r="S1493" s="14" t="s">
        <v>14322</v>
      </c>
      <c r="T1493" s="14" t="s">
        <v>14323</v>
      </c>
      <c r="U1493" s="14">
        <v>408847.35999999999</v>
      </c>
      <c r="V1493" s="14">
        <v>6189658.6399999997</v>
      </c>
      <c r="W1493" s="14">
        <v>359.84</v>
      </c>
      <c r="X1493" s="14">
        <v>52.49</v>
      </c>
    </row>
    <row r="1494" spans="1:24" s="14" customFormat="1" x14ac:dyDescent="0.25">
      <c r="A1494" s="50">
        <v>45101</v>
      </c>
      <c r="B1494" s="57">
        <v>175</v>
      </c>
      <c r="C1494" s="36">
        <v>0.63784722222222223</v>
      </c>
      <c r="D1494" s="16" t="s">
        <v>97</v>
      </c>
      <c r="E1494" s="14" t="s">
        <v>65</v>
      </c>
      <c r="F1494" s="16" t="s">
        <v>12332</v>
      </c>
      <c r="G1494" s="16" t="s">
        <v>2604</v>
      </c>
      <c r="H1494" s="14">
        <v>0.16500000000000001</v>
      </c>
      <c r="I1494" s="14" t="s">
        <v>14328</v>
      </c>
      <c r="J1494" s="14" t="s">
        <v>14329</v>
      </c>
      <c r="K1494" s="14" t="s">
        <v>14330</v>
      </c>
      <c r="L1494" s="14" t="s">
        <v>14331</v>
      </c>
      <c r="O1494" s="14" t="s">
        <v>14324</v>
      </c>
      <c r="P1494" s="14" t="s">
        <v>14325</v>
      </c>
      <c r="Q1494" s="14">
        <v>408831.51</v>
      </c>
      <c r="R1494" s="14">
        <v>6189580.1500000004</v>
      </c>
      <c r="S1494" s="14" t="s">
        <v>14326</v>
      </c>
      <c r="T1494" s="14" t="s">
        <v>14327</v>
      </c>
      <c r="U1494" s="14">
        <v>408856.24</v>
      </c>
      <c r="V1494" s="14">
        <v>6189577.5099999998</v>
      </c>
      <c r="W1494" s="14">
        <v>0.25</v>
      </c>
      <c r="X1494" s="14">
        <v>150.04</v>
      </c>
    </row>
    <row r="1495" spans="1:24" s="14" customFormat="1" x14ac:dyDescent="0.25">
      <c r="A1495" s="50">
        <v>45101</v>
      </c>
      <c r="B1495" s="57">
        <v>175</v>
      </c>
      <c r="C1495" s="36">
        <v>0.64141203703703698</v>
      </c>
      <c r="D1495" s="16" t="s">
        <v>97</v>
      </c>
      <c r="E1495" s="14" t="s">
        <v>70</v>
      </c>
      <c r="F1495" s="16" t="s">
        <v>12332</v>
      </c>
      <c r="G1495" s="16" t="s">
        <v>2604</v>
      </c>
      <c r="H1495" s="14">
        <v>-1.7999999999999999E-2</v>
      </c>
      <c r="I1495" s="14" t="s">
        <v>14328</v>
      </c>
      <c r="J1495" s="14" t="s">
        <v>14329</v>
      </c>
      <c r="K1495" s="14" t="s">
        <v>14330</v>
      </c>
      <c r="L1495" s="14" t="s">
        <v>14331</v>
      </c>
      <c r="O1495" s="14" t="s">
        <v>14332</v>
      </c>
      <c r="P1495" s="14" t="s">
        <v>14333</v>
      </c>
      <c r="Q1495" s="14">
        <v>408831.5</v>
      </c>
      <c r="R1495" s="14">
        <v>6189762.5</v>
      </c>
      <c r="S1495" s="14" t="s">
        <v>14334</v>
      </c>
      <c r="T1495" s="14" t="s">
        <v>14335</v>
      </c>
      <c r="U1495" s="14">
        <v>408856.31</v>
      </c>
      <c r="V1495" s="14">
        <v>6189760.7199999997</v>
      </c>
      <c r="W1495" s="14">
        <v>0.12</v>
      </c>
      <c r="X1495" s="14">
        <v>150.04</v>
      </c>
    </row>
    <row r="1496" spans="1:24" s="14" customFormat="1" x14ac:dyDescent="0.25">
      <c r="A1496" s="50">
        <v>45101</v>
      </c>
      <c r="B1496" s="57">
        <v>175</v>
      </c>
      <c r="C1496" s="36">
        <v>0.64356481481481487</v>
      </c>
      <c r="D1496" s="16" t="s">
        <v>97</v>
      </c>
      <c r="E1496" s="14" t="s">
        <v>65</v>
      </c>
      <c r="F1496" s="16" t="s">
        <v>12332</v>
      </c>
      <c r="G1496" s="16" t="s">
        <v>2605</v>
      </c>
      <c r="H1496" s="14">
        <v>-1.6E-2</v>
      </c>
      <c r="I1496" s="14" t="s">
        <v>14340</v>
      </c>
      <c r="J1496" s="14" t="s">
        <v>14341</v>
      </c>
      <c r="K1496" s="14" t="s">
        <v>14342</v>
      </c>
      <c r="L1496" s="14" t="s">
        <v>14331</v>
      </c>
      <c r="O1496" s="14" t="s">
        <v>14336</v>
      </c>
      <c r="P1496" s="14" t="s">
        <v>14337</v>
      </c>
      <c r="Q1496" s="14">
        <v>408839.74</v>
      </c>
      <c r="R1496" s="14">
        <v>6189775.1600000001</v>
      </c>
      <c r="S1496" s="14" t="s">
        <v>14338</v>
      </c>
      <c r="T1496" s="14" t="s">
        <v>14339</v>
      </c>
      <c r="U1496" s="14">
        <v>408865.36</v>
      </c>
      <c r="V1496" s="14">
        <v>6189769.1100000003</v>
      </c>
      <c r="W1496" s="14">
        <v>179.78</v>
      </c>
      <c r="X1496" s="14">
        <v>150.04</v>
      </c>
    </row>
    <row r="1497" spans="1:24" s="14" customFormat="1" x14ac:dyDescent="0.25">
      <c r="A1497" s="50">
        <v>45101</v>
      </c>
      <c r="B1497" s="57">
        <v>175</v>
      </c>
      <c r="C1497" s="36">
        <v>0.64714120370370376</v>
      </c>
      <c r="D1497" s="16" t="s">
        <v>97</v>
      </c>
      <c r="E1497" s="52" t="s">
        <v>70</v>
      </c>
      <c r="F1497" s="16" t="s">
        <v>12332</v>
      </c>
      <c r="G1497" s="16" t="s">
        <v>2605</v>
      </c>
      <c r="H1497" s="14">
        <v>0.17</v>
      </c>
      <c r="I1497" s="14" t="s">
        <v>14340</v>
      </c>
      <c r="J1497" s="14" t="s">
        <v>14341</v>
      </c>
      <c r="K1497" s="14" t="s">
        <v>14342</v>
      </c>
      <c r="L1497" s="14" t="s">
        <v>14347</v>
      </c>
      <c r="O1497" s="14" t="s">
        <v>14343</v>
      </c>
      <c r="P1497" s="14" t="s">
        <v>14344</v>
      </c>
      <c r="Q1497" s="14">
        <v>408839.95</v>
      </c>
      <c r="R1497" s="14">
        <v>6189588.4100000001</v>
      </c>
      <c r="S1497" s="14" t="s">
        <v>14345</v>
      </c>
      <c r="T1497" s="14" t="s">
        <v>14346</v>
      </c>
      <c r="U1497" s="14">
        <v>408865.28000000003</v>
      </c>
      <c r="V1497" s="14">
        <v>6189583.6699999999</v>
      </c>
      <c r="W1497" s="14">
        <v>178.71</v>
      </c>
      <c r="X1497" s="14">
        <v>150.04</v>
      </c>
    </row>
    <row r="1498" spans="1:24" s="14" customFormat="1" x14ac:dyDescent="0.25">
      <c r="A1498" s="50">
        <v>45101</v>
      </c>
      <c r="B1498" s="57">
        <v>175</v>
      </c>
      <c r="C1498" s="36">
        <v>0.64937500000000004</v>
      </c>
      <c r="D1498" s="16" t="s">
        <v>97</v>
      </c>
      <c r="E1498" s="52" t="s">
        <v>65</v>
      </c>
      <c r="F1498" s="16" t="s">
        <v>12332</v>
      </c>
      <c r="G1498" s="16" t="s">
        <v>2606</v>
      </c>
      <c r="H1498" s="14">
        <v>0.16700000000000001</v>
      </c>
      <c r="I1498" s="14" t="s">
        <v>14352</v>
      </c>
      <c r="J1498" s="14" t="s">
        <v>14353</v>
      </c>
      <c r="K1498" s="14" t="s">
        <v>14354</v>
      </c>
      <c r="L1498" s="14" t="s">
        <v>14347</v>
      </c>
      <c r="O1498" s="14" t="s">
        <v>14348</v>
      </c>
      <c r="P1498" s="14" t="s">
        <v>14349</v>
      </c>
      <c r="Q1498" s="14">
        <v>408848.78</v>
      </c>
      <c r="R1498" s="14">
        <v>6189572.3600000003</v>
      </c>
      <c r="S1498" s="14" t="s">
        <v>14350</v>
      </c>
      <c r="T1498" s="14" t="s">
        <v>14351</v>
      </c>
      <c r="U1498" s="14">
        <v>408874.36</v>
      </c>
      <c r="V1498" s="14">
        <v>6189575.29</v>
      </c>
      <c r="W1498" s="14">
        <v>359.65</v>
      </c>
      <c r="X1498" s="14">
        <v>150.04</v>
      </c>
    </row>
    <row r="1499" spans="1:24" s="14" customFormat="1" x14ac:dyDescent="0.25">
      <c r="A1499" s="50">
        <v>45101</v>
      </c>
      <c r="B1499" s="57">
        <v>175</v>
      </c>
      <c r="C1499" s="36">
        <v>0.65341435185185182</v>
      </c>
      <c r="D1499" s="16" t="s">
        <v>97</v>
      </c>
      <c r="E1499" s="52" t="s">
        <v>70</v>
      </c>
      <c r="F1499" s="16" t="s">
        <v>12332</v>
      </c>
      <c r="G1499" s="16" t="s">
        <v>2606</v>
      </c>
      <c r="H1499" s="14">
        <v>-3.5999999999999997E-2</v>
      </c>
      <c r="I1499" s="14" t="s">
        <v>14352</v>
      </c>
      <c r="J1499" s="14" t="s">
        <v>14353</v>
      </c>
      <c r="K1499" s="14" t="s">
        <v>14354</v>
      </c>
      <c r="L1499" s="14" t="s">
        <v>14347</v>
      </c>
      <c r="O1499" s="14" t="s">
        <v>14355</v>
      </c>
      <c r="P1499" s="14" t="s">
        <v>14356</v>
      </c>
      <c r="Q1499" s="14">
        <v>408850.3</v>
      </c>
      <c r="R1499" s="14">
        <v>6189783.0899999999</v>
      </c>
      <c r="S1499" s="14" t="s">
        <v>14357</v>
      </c>
      <c r="T1499" s="14" t="s">
        <v>14358</v>
      </c>
      <c r="U1499" s="14">
        <v>408874.27</v>
      </c>
      <c r="V1499" s="14">
        <v>6189777.8300000001</v>
      </c>
      <c r="W1499" s="14">
        <v>0.28000000000000003</v>
      </c>
      <c r="X1499" s="14">
        <v>150.04</v>
      </c>
    </row>
    <row r="1500" spans="1:24" s="14" customFormat="1" x14ac:dyDescent="0.25">
      <c r="A1500" s="50">
        <v>45101</v>
      </c>
      <c r="B1500" s="57">
        <v>175</v>
      </c>
      <c r="C1500" s="36">
        <v>0.65697916666666667</v>
      </c>
      <c r="D1500" s="16" t="s">
        <v>97</v>
      </c>
      <c r="E1500" s="116" t="s">
        <v>14363</v>
      </c>
      <c r="F1500" s="16" t="s">
        <v>12332</v>
      </c>
      <c r="G1500" s="16" t="s">
        <v>2431</v>
      </c>
      <c r="H1500" s="14">
        <v>0.33200000000000002</v>
      </c>
      <c r="O1500" s="14" t="s">
        <v>14359</v>
      </c>
      <c r="P1500" s="14" t="s">
        <v>14360</v>
      </c>
      <c r="Q1500" s="14">
        <v>408848.21</v>
      </c>
      <c r="R1500" s="14">
        <v>6189813.6900000004</v>
      </c>
      <c r="S1500" s="14" t="s">
        <v>14361</v>
      </c>
      <c r="T1500" s="14" t="s">
        <v>14362</v>
      </c>
      <c r="U1500" s="14">
        <v>408859.06</v>
      </c>
      <c r="V1500" s="14">
        <v>6189811.3099999996</v>
      </c>
      <c r="W1500" s="14">
        <v>89.21</v>
      </c>
      <c r="X1500" s="14">
        <v>200.06</v>
      </c>
    </row>
    <row r="1501" spans="1:24" s="14" customFormat="1" x14ac:dyDescent="0.25">
      <c r="A1501" s="50">
        <v>45101</v>
      </c>
      <c r="B1501" s="57">
        <v>175</v>
      </c>
      <c r="C1501" s="36">
        <v>0.66788194444444438</v>
      </c>
      <c r="D1501" s="16" t="s">
        <v>7408</v>
      </c>
      <c r="E1501" s="116" t="s">
        <v>6362</v>
      </c>
      <c r="F1501" s="16" t="s">
        <v>12332</v>
      </c>
      <c r="G1501" s="16" t="s">
        <v>2431</v>
      </c>
      <c r="H1501" s="14">
        <v>0.23400000000000001</v>
      </c>
      <c r="O1501" s="14" t="s">
        <v>14364</v>
      </c>
      <c r="P1501" s="14" t="s">
        <v>14365</v>
      </c>
      <c r="Q1501" s="14">
        <v>410437.92</v>
      </c>
      <c r="R1501" s="14">
        <v>6189905.8899999997</v>
      </c>
      <c r="S1501" s="14" t="s">
        <v>14366</v>
      </c>
      <c r="T1501" s="14" t="s">
        <v>14367</v>
      </c>
      <c r="U1501" s="14">
        <v>410455.62</v>
      </c>
      <c r="V1501" s="14">
        <v>6189906.4000000004</v>
      </c>
      <c r="W1501" s="14">
        <v>53.36</v>
      </c>
      <c r="X1501" s="14">
        <v>200.06</v>
      </c>
    </row>
    <row r="1502" spans="1:24" s="14" customFormat="1" x14ac:dyDescent="0.25">
      <c r="A1502" s="50">
        <v>45101</v>
      </c>
      <c r="B1502" s="57">
        <v>175</v>
      </c>
      <c r="C1502" s="36">
        <v>0.66802083333333329</v>
      </c>
      <c r="D1502" s="16" t="s">
        <v>7408</v>
      </c>
      <c r="E1502" s="116" t="s">
        <v>8026</v>
      </c>
      <c r="F1502" s="16" t="s">
        <v>12332</v>
      </c>
      <c r="G1502" s="16" t="s">
        <v>2431</v>
      </c>
      <c r="H1502" s="14">
        <v>0.23400000000000001</v>
      </c>
      <c r="O1502" s="14" t="s">
        <v>14368</v>
      </c>
      <c r="P1502" s="14" t="s">
        <v>14369</v>
      </c>
      <c r="Q1502" s="14">
        <v>410437.91</v>
      </c>
      <c r="R1502" s="14">
        <v>6189905.9500000002</v>
      </c>
      <c r="S1502" s="14" t="s">
        <v>14370</v>
      </c>
      <c r="T1502" s="14" t="s">
        <v>14371</v>
      </c>
      <c r="U1502" s="14">
        <v>410455.89</v>
      </c>
      <c r="V1502" s="14">
        <v>6189906.5</v>
      </c>
      <c r="W1502" s="14">
        <v>57.76</v>
      </c>
      <c r="X1502" s="14">
        <v>200.06</v>
      </c>
    </row>
    <row r="1503" spans="1:24" s="122" customFormat="1" x14ac:dyDescent="0.25">
      <c r="A1503" s="65">
        <v>45101</v>
      </c>
      <c r="B1503" s="106">
        <v>175</v>
      </c>
      <c r="C1503" s="67">
        <v>0.66942129629629632</v>
      </c>
      <c r="D1503" s="66" t="s">
        <v>7408</v>
      </c>
      <c r="E1503" s="123" t="s">
        <v>14375</v>
      </c>
      <c r="F1503" s="66" t="s">
        <v>12332</v>
      </c>
      <c r="G1503" s="66" t="s">
        <v>2431</v>
      </c>
      <c r="H1503" s="122">
        <v>0.23400000000000001</v>
      </c>
      <c r="M1503" s="122" t="s">
        <v>14372</v>
      </c>
      <c r="O1503" s="122" t="s">
        <v>14373</v>
      </c>
      <c r="P1503" s="122" t="s">
        <v>14374</v>
      </c>
      <c r="Q1503" s="122">
        <v>410437.91</v>
      </c>
      <c r="R1503" s="122">
        <v>6189905.9500000002</v>
      </c>
      <c r="S1503" s="122" t="s">
        <v>14370</v>
      </c>
      <c r="T1503" s="122" t="s">
        <v>14371</v>
      </c>
      <c r="U1503" s="122">
        <v>410455.89</v>
      </c>
      <c r="V1503" s="122">
        <v>6189906.5</v>
      </c>
      <c r="W1503" s="122">
        <v>57.76</v>
      </c>
      <c r="X1503" s="122">
        <v>200.06</v>
      </c>
    </row>
    <row r="1504" spans="1:24" s="14" customFormat="1" x14ac:dyDescent="0.25">
      <c r="A1504" s="50">
        <v>45101</v>
      </c>
      <c r="B1504" s="57">
        <v>175</v>
      </c>
      <c r="C1504" s="36">
        <v>0.67355324074074074</v>
      </c>
      <c r="D1504" s="16" t="s">
        <v>7408</v>
      </c>
      <c r="E1504" s="52" t="s">
        <v>65</v>
      </c>
      <c r="F1504" s="16" t="s">
        <v>12332</v>
      </c>
      <c r="G1504" s="16" t="s">
        <v>2431</v>
      </c>
      <c r="H1504" s="14">
        <v>0.21099999999999999</v>
      </c>
      <c r="I1504" s="14" t="s">
        <v>14380</v>
      </c>
      <c r="J1504" s="14" t="s">
        <v>14381</v>
      </c>
      <c r="K1504" s="14" t="s">
        <v>14382</v>
      </c>
      <c r="L1504" s="14" t="s">
        <v>14383</v>
      </c>
      <c r="O1504" s="14" t="s">
        <v>14376</v>
      </c>
      <c r="P1504" s="14" t="s">
        <v>14377</v>
      </c>
      <c r="Q1504" s="14">
        <v>410437.49</v>
      </c>
      <c r="R1504" s="14">
        <v>6189933.7300000004</v>
      </c>
      <c r="S1504" s="14" t="s">
        <v>14378</v>
      </c>
      <c r="T1504" s="14" t="s">
        <v>14379</v>
      </c>
      <c r="U1504" s="14">
        <v>410463.2</v>
      </c>
      <c r="V1504" s="14">
        <v>6189927.4100000001</v>
      </c>
      <c r="W1504" s="14">
        <v>359.02</v>
      </c>
      <c r="X1504" s="14">
        <v>200.06</v>
      </c>
    </row>
    <row r="1505" spans="1:24" s="14" customFormat="1" x14ac:dyDescent="0.25">
      <c r="A1505" s="50">
        <v>45101</v>
      </c>
      <c r="B1505" s="57">
        <v>175</v>
      </c>
      <c r="C1505" s="36">
        <v>0.67871527777777774</v>
      </c>
      <c r="D1505" s="16" t="s">
        <v>7408</v>
      </c>
      <c r="E1505" s="52" t="s">
        <v>70</v>
      </c>
      <c r="F1505" s="16" t="s">
        <v>12332</v>
      </c>
      <c r="G1505" s="16" t="s">
        <v>2431</v>
      </c>
      <c r="H1505" s="14">
        <v>-0.02</v>
      </c>
      <c r="I1505" s="14" t="s">
        <v>14380</v>
      </c>
      <c r="J1505" s="14" t="s">
        <v>14381</v>
      </c>
      <c r="K1505" s="14" t="s">
        <v>14382</v>
      </c>
      <c r="L1505" s="14" t="s">
        <v>14388</v>
      </c>
      <c r="O1505" s="14" t="s">
        <v>14384</v>
      </c>
      <c r="P1505" s="14" t="s">
        <v>14385</v>
      </c>
      <c r="Q1505" s="14">
        <v>410438.27</v>
      </c>
      <c r="R1505" s="14">
        <v>6190160.25</v>
      </c>
      <c r="S1505" s="14" t="s">
        <v>14386</v>
      </c>
      <c r="T1505" s="14" t="s">
        <v>14387</v>
      </c>
      <c r="U1505" s="14">
        <v>410463.03</v>
      </c>
      <c r="V1505" s="14">
        <v>6190157.8200000003</v>
      </c>
      <c r="W1505" s="14">
        <v>0.23</v>
      </c>
      <c r="X1505" s="14">
        <v>200.06</v>
      </c>
    </row>
    <row r="1506" spans="1:24" s="14" customFormat="1" x14ac:dyDescent="0.25">
      <c r="A1506" s="50">
        <v>45101</v>
      </c>
      <c r="B1506" s="57">
        <v>175</v>
      </c>
      <c r="C1506" s="36">
        <v>0.68156250000000007</v>
      </c>
      <c r="D1506" s="16" t="s">
        <v>7408</v>
      </c>
      <c r="E1506" s="52" t="s">
        <v>65</v>
      </c>
      <c r="F1506" s="16" t="s">
        <v>12332</v>
      </c>
      <c r="G1506" s="16" t="s">
        <v>2430</v>
      </c>
      <c r="H1506" s="14">
        <v>-1.4999999999999999E-2</v>
      </c>
      <c r="I1506" s="14" t="s">
        <v>14393</v>
      </c>
      <c r="J1506" s="14" t="s">
        <v>14394</v>
      </c>
      <c r="K1506" s="14" t="s">
        <v>14395</v>
      </c>
      <c r="L1506" s="14" t="s">
        <v>14388</v>
      </c>
      <c r="O1506" s="14" t="s">
        <v>14389</v>
      </c>
      <c r="P1506" s="14" t="s">
        <v>14390</v>
      </c>
      <c r="Q1506" s="14">
        <v>410447.45</v>
      </c>
      <c r="R1506" s="14">
        <v>6190166.1399999997</v>
      </c>
      <c r="S1506" s="14" t="s">
        <v>14391</v>
      </c>
      <c r="T1506" s="14" t="s">
        <v>14392</v>
      </c>
      <c r="U1506" s="14">
        <v>410472.27</v>
      </c>
      <c r="V1506" s="14">
        <v>6190163.8799999999</v>
      </c>
      <c r="W1506" s="14">
        <v>182.63</v>
      </c>
      <c r="X1506" s="14">
        <v>200.06</v>
      </c>
    </row>
    <row r="1507" spans="1:24" s="14" customFormat="1" x14ac:dyDescent="0.25">
      <c r="A1507" s="50">
        <v>45101</v>
      </c>
      <c r="B1507" s="57">
        <v>175</v>
      </c>
      <c r="C1507" s="36">
        <v>0.68668981481481473</v>
      </c>
      <c r="D1507" s="16" t="s">
        <v>7408</v>
      </c>
      <c r="E1507" s="14" t="s">
        <v>70</v>
      </c>
      <c r="F1507" s="16" t="s">
        <v>12332</v>
      </c>
      <c r="G1507" s="16" t="s">
        <v>2430</v>
      </c>
      <c r="H1507" s="14">
        <v>0.215</v>
      </c>
      <c r="I1507" s="14" t="s">
        <v>14393</v>
      </c>
      <c r="J1507" s="14" t="s">
        <v>14394</v>
      </c>
      <c r="K1507" s="14" t="s">
        <v>14395</v>
      </c>
      <c r="L1507" s="14" t="s">
        <v>14388</v>
      </c>
      <c r="O1507" s="14" t="s">
        <v>14396</v>
      </c>
      <c r="P1507" s="14" t="s">
        <v>14397</v>
      </c>
      <c r="Q1507" s="14">
        <v>410447.47</v>
      </c>
      <c r="R1507" s="14">
        <v>6189939.5700000003</v>
      </c>
      <c r="S1507" s="14" t="s">
        <v>14398</v>
      </c>
      <c r="T1507" s="14" t="s">
        <v>14399</v>
      </c>
      <c r="U1507" s="14">
        <v>410472.08</v>
      </c>
      <c r="V1507" s="14">
        <v>6189934.2300000004</v>
      </c>
      <c r="W1507" s="14">
        <v>180.63</v>
      </c>
      <c r="X1507" s="14">
        <v>200.06</v>
      </c>
    </row>
    <row r="1508" spans="1:24" s="14" customFormat="1" x14ac:dyDescent="0.25">
      <c r="A1508" s="50">
        <v>45101</v>
      </c>
      <c r="B1508" s="57">
        <v>175</v>
      </c>
      <c r="C1508" s="36">
        <v>0.68953703703703706</v>
      </c>
      <c r="D1508" s="16" t="s">
        <v>7408</v>
      </c>
      <c r="E1508" s="14" t="s">
        <v>65</v>
      </c>
      <c r="F1508" s="16" t="s">
        <v>12332</v>
      </c>
      <c r="G1508" s="16" t="s">
        <v>2429</v>
      </c>
      <c r="H1508" s="14">
        <v>0.21099999999999999</v>
      </c>
      <c r="I1508" s="14" t="s">
        <v>14404</v>
      </c>
      <c r="J1508" s="14" t="s">
        <v>14405</v>
      </c>
      <c r="K1508" s="14" t="s">
        <v>14406</v>
      </c>
      <c r="L1508" s="14" t="s">
        <v>14407</v>
      </c>
      <c r="O1508" s="14" t="s">
        <v>14400</v>
      </c>
      <c r="P1508" s="14" t="s">
        <v>14401</v>
      </c>
      <c r="Q1508" s="14">
        <v>410455.74</v>
      </c>
      <c r="R1508" s="14">
        <v>6189931.2599999998</v>
      </c>
      <c r="S1508" s="14" t="s">
        <v>14402</v>
      </c>
      <c r="T1508" s="14" t="s">
        <v>14403</v>
      </c>
      <c r="U1508" s="14">
        <v>410481.08</v>
      </c>
      <c r="V1508" s="14">
        <v>6189927.5199999996</v>
      </c>
      <c r="W1508" s="14">
        <v>359.88</v>
      </c>
      <c r="X1508" s="14">
        <v>200.06</v>
      </c>
    </row>
    <row r="1509" spans="1:24" s="14" customFormat="1" x14ac:dyDescent="0.25">
      <c r="A1509" s="50">
        <v>45101</v>
      </c>
      <c r="B1509" s="57">
        <v>175</v>
      </c>
      <c r="C1509" s="36">
        <v>0.69476851851851851</v>
      </c>
      <c r="D1509" s="16" t="s">
        <v>7408</v>
      </c>
      <c r="E1509" s="14" t="s">
        <v>70</v>
      </c>
      <c r="F1509" s="16" t="s">
        <v>12332</v>
      </c>
      <c r="G1509" s="16" t="s">
        <v>2429</v>
      </c>
      <c r="H1509" s="14">
        <v>-0.02</v>
      </c>
      <c r="I1509" s="14" t="s">
        <v>14404</v>
      </c>
      <c r="J1509" s="14" t="s">
        <v>14405</v>
      </c>
      <c r="K1509" s="14" t="s">
        <v>14406</v>
      </c>
      <c r="L1509" s="14" t="s">
        <v>14407</v>
      </c>
      <c r="O1509" s="14" t="s">
        <v>14408</v>
      </c>
      <c r="P1509" s="14" t="s">
        <v>14409</v>
      </c>
      <c r="Q1509" s="14">
        <v>410456.36</v>
      </c>
      <c r="R1509" s="14">
        <v>6190161.21</v>
      </c>
      <c r="S1509" s="14" t="s">
        <v>14410</v>
      </c>
      <c r="T1509" s="14" t="s">
        <v>14411</v>
      </c>
      <c r="U1509" s="14">
        <v>410481.05</v>
      </c>
      <c r="V1509" s="14">
        <v>6190157.96</v>
      </c>
      <c r="W1509" s="14">
        <v>0.66</v>
      </c>
      <c r="X1509" s="14">
        <v>200.06</v>
      </c>
    </row>
    <row r="1510" spans="1:24" s="14" customFormat="1" x14ac:dyDescent="0.25">
      <c r="A1510" s="50">
        <v>45101</v>
      </c>
      <c r="B1510" s="57">
        <v>175</v>
      </c>
      <c r="C1510" s="36">
        <v>0.69758101851851861</v>
      </c>
      <c r="D1510" s="16" t="s">
        <v>7408</v>
      </c>
      <c r="E1510" s="14" t="s">
        <v>65</v>
      </c>
      <c r="F1510" s="16" t="s">
        <v>12332</v>
      </c>
      <c r="G1510" s="16" t="s">
        <v>2428</v>
      </c>
      <c r="H1510" s="14">
        <v>-1.4999999999999999E-2</v>
      </c>
      <c r="I1510" s="14" t="s">
        <v>14416</v>
      </c>
      <c r="J1510" s="14" t="s">
        <v>14417</v>
      </c>
      <c r="K1510" s="14" t="s">
        <v>14418</v>
      </c>
      <c r="L1510" s="14" t="s">
        <v>14419</v>
      </c>
      <c r="O1510" s="14" t="s">
        <v>14412</v>
      </c>
      <c r="P1510" s="14" t="s">
        <v>14413</v>
      </c>
      <c r="Q1510" s="14">
        <v>410465.3</v>
      </c>
      <c r="R1510" s="14">
        <v>6190166.5300000003</v>
      </c>
      <c r="S1510" s="14" t="s">
        <v>14414</v>
      </c>
      <c r="T1510" s="14" t="s">
        <v>14415</v>
      </c>
      <c r="U1510" s="14">
        <v>410490.2</v>
      </c>
      <c r="V1510" s="14">
        <v>6190164.5499999998</v>
      </c>
      <c r="W1510" s="14">
        <v>181.26</v>
      </c>
      <c r="X1510" s="14">
        <v>200.06</v>
      </c>
    </row>
    <row r="1511" spans="1:24" s="14" customFormat="1" x14ac:dyDescent="0.25">
      <c r="A1511" s="50">
        <v>45101</v>
      </c>
      <c r="B1511" s="57">
        <v>175</v>
      </c>
      <c r="C1511" s="36">
        <v>0.70274305555555561</v>
      </c>
      <c r="D1511" s="16" t="s">
        <v>7408</v>
      </c>
      <c r="E1511" s="14" t="s">
        <v>70</v>
      </c>
      <c r="F1511" s="16" t="s">
        <v>12332</v>
      </c>
      <c r="G1511" s="16" t="s">
        <v>2428</v>
      </c>
      <c r="H1511" s="14">
        <v>0.216</v>
      </c>
      <c r="I1511" s="14" t="s">
        <v>14416</v>
      </c>
      <c r="J1511" s="14" t="s">
        <v>14417</v>
      </c>
      <c r="K1511" s="14" t="s">
        <v>14418</v>
      </c>
      <c r="L1511" s="14" t="s">
        <v>14419</v>
      </c>
      <c r="O1511" s="14" t="s">
        <v>14420</v>
      </c>
      <c r="P1511" s="14" t="s">
        <v>14421</v>
      </c>
      <c r="Q1511" s="14">
        <v>410465.29</v>
      </c>
      <c r="R1511" s="14">
        <v>6189937.3200000003</v>
      </c>
      <c r="S1511" s="14" t="s">
        <v>14422</v>
      </c>
      <c r="T1511" s="14" t="s">
        <v>14423</v>
      </c>
      <c r="U1511" s="14">
        <v>410490.11</v>
      </c>
      <c r="V1511" s="14">
        <v>6189933.6699999999</v>
      </c>
      <c r="W1511" s="14">
        <v>180.81</v>
      </c>
      <c r="X1511" s="14">
        <v>200.06</v>
      </c>
    </row>
    <row r="1512" spans="1:24" s="14" customFormat="1" x14ac:dyDescent="0.25">
      <c r="A1512" s="50">
        <v>45101</v>
      </c>
      <c r="B1512" s="57">
        <v>175</v>
      </c>
      <c r="C1512" s="36">
        <v>0.70537037037037031</v>
      </c>
      <c r="D1512" s="16" t="s">
        <v>7408</v>
      </c>
      <c r="E1512" s="14" t="s">
        <v>65</v>
      </c>
      <c r="F1512" s="16" t="s">
        <v>12332</v>
      </c>
      <c r="G1512" s="16" t="s">
        <v>2427</v>
      </c>
      <c r="H1512" s="14">
        <v>0.21099999999999999</v>
      </c>
      <c r="I1512" s="14" t="s">
        <v>14428</v>
      </c>
      <c r="J1512" s="14" t="s">
        <v>14429</v>
      </c>
      <c r="K1512" s="14" t="s">
        <v>14430</v>
      </c>
      <c r="L1512" s="14" t="s">
        <v>14419</v>
      </c>
      <c r="O1512" s="14" t="s">
        <v>14424</v>
      </c>
      <c r="P1512" s="14" t="s">
        <v>14425</v>
      </c>
      <c r="Q1512" s="14">
        <v>410473.63</v>
      </c>
      <c r="R1512" s="14">
        <v>6189930.9900000002</v>
      </c>
      <c r="S1512" s="14" t="s">
        <v>14426</v>
      </c>
      <c r="T1512" s="14" t="s">
        <v>14427</v>
      </c>
      <c r="U1512" s="14">
        <v>410499.1</v>
      </c>
      <c r="V1512" s="14">
        <v>6189927.21</v>
      </c>
      <c r="W1512" s="14">
        <v>359.59</v>
      </c>
      <c r="X1512" s="14">
        <v>200.06</v>
      </c>
    </row>
    <row r="1513" spans="1:24" s="14" customFormat="1" x14ac:dyDescent="0.25">
      <c r="A1513" s="50">
        <v>45101</v>
      </c>
      <c r="B1513" s="57">
        <v>175</v>
      </c>
      <c r="C1513" s="36">
        <v>0.71060185185185187</v>
      </c>
      <c r="D1513" s="16" t="s">
        <v>7408</v>
      </c>
      <c r="E1513" s="14" t="s">
        <v>70</v>
      </c>
      <c r="F1513" s="16" t="s">
        <v>12332</v>
      </c>
      <c r="G1513" s="16" t="s">
        <v>2427</v>
      </c>
      <c r="H1513" s="14">
        <v>-0.02</v>
      </c>
      <c r="I1513" s="14" t="s">
        <v>14428</v>
      </c>
      <c r="J1513" s="14" t="s">
        <v>14429</v>
      </c>
      <c r="K1513" s="14" t="s">
        <v>14430</v>
      </c>
      <c r="L1513" s="14" t="s">
        <v>14435</v>
      </c>
      <c r="O1513" s="14" t="s">
        <v>14431</v>
      </c>
      <c r="P1513" s="14" t="s">
        <v>14432</v>
      </c>
      <c r="Q1513" s="14">
        <v>410474.4</v>
      </c>
      <c r="R1513" s="14">
        <v>6190160.4400000004</v>
      </c>
      <c r="S1513" s="14" t="s">
        <v>14433</v>
      </c>
      <c r="T1513" s="14" t="s">
        <v>14434</v>
      </c>
      <c r="U1513" s="14">
        <v>410499.1</v>
      </c>
      <c r="V1513" s="14">
        <v>6190157.7000000002</v>
      </c>
      <c r="W1513" s="14">
        <v>359.48</v>
      </c>
      <c r="X1513" s="14">
        <v>200.06</v>
      </c>
    </row>
    <row r="1514" spans="1:24" s="14" customFormat="1" x14ac:dyDescent="0.25">
      <c r="A1514" s="50">
        <v>45101</v>
      </c>
      <c r="B1514" s="57">
        <v>175</v>
      </c>
      <c r="C1514" s="36">
        <v>0.71302083333333333</v>
      </c>
      <c r="D1514" s="16" t="s">
        <v>7408</v>
      </c>
      <c r="E1514" s="14" t="s">
        <v>65</v>
      </c>
      <c r="F1514" s="16" t="s">
        <v>12332</v>
      </c>
      <c r="G1514" s="16" t="s">
        <v>2426</v>
      </c>
      <c r="H1514" s="14">
        <v>-1.4999999999999999E-2</v>
      </c>
      <c r="I1514" s="14" t="s">
        <v>14440</v>
      </c>
      <c r="J1514" s="14" t="s">
        <v>14441</v>
      </c>
      <c r="K1514" s="14" t="s">
        <v>14442</v>
      </c>
      <c r="L1514" s="14" t="s">
        <v>14435</v>
      </c>
      <c r="O1514" s="14" t="s">
        <v>14436</v>
      </c>
      <c r="P1514" s="14" t="s">
        <v>14437</v>
      </c>
      <c r="Q1514" s="14">
        <v>410483.08</v>
      </c>
      <c r="R1514" s="14">
        <v>6190165.3200000003</v>
      </c>
      <c r="S1514" s="14" t="s">
        <v>14438</v>
      </c>
      <c r="T1514" s="14" t="s">
        <v>14439</v>
      </c>
      <c r="U1514" s="14">
        <v>410508.1</v>
      </c>
      <c r="V1514" s="14">
        <v>6190164.2999999998</v>
      </c>
      <c r="W1514" s="14">
        <v>179.87</v>
      </c>
      <c r="X1514" s="14">
        <v>200.06</v>
      </c>
    </row>
    <row r="1515" spans="1:24" s="14" customFormat="1" x14ac:dyDescent="0.25">
      <c r="A1515" s="50">
        <v>45101</v>
      </c>
      <c r="B1515" s="57">
        <v>175</v>
      </c>
      <c r="C1515" s="36">
        <v>0.71820601851851851</v>
      </c>
      <c r="D1515" s="16" t="s">
        <v>7408</v>
      </c>
      <c r="E1515" s="14" t="s">
        <v>70</v>
      </c>
      <c r="F1515" s="16" t="s">
        <v>12332</v>
      </c>
      <c r="G1515" s="16" t="s">
        <v>2426</v>
      </c>
      <c r="H1515" s="14">
        <v>0.216</v>
      </c>
      <c r="I1515" s="14" t="s">
        <v>14440</v>
      </c>
      <c r="J1515" s="14" t="s">
        <v>14441</v>
      </c>
      <c r="K1515" s="14" t="s">
        <v>14442</v>
      </c>
      <c r="L1515" s="14" t="s">
        <v>14435</v>
      </c>
      <c r="O1515" s="14" t="s">
        <v>14443</v>
      </c>
      <c r="P1515" s="14" t="s">
        <v>14444</v>
      </c>
      <c r="Q1515" s="14">
        <v>410482.99</v>
      </c>
      <c r="R1515" s="14">
        <v>6189935.21</v>
      </c>
      <c r="S1515" s="14" t="s">
        <v>14445</v>
      </c>
      <c r="T1515" s="14" t="s">
        <v>14446</v>
      </c>
      <c r="U1515" s="14">
        <v>410508.14</v>
      </c>
      <c r="V1515" s="14">
        <v>6189933.3700000001</v>
      </c>
      <c r="W1515" s="14">
        <v>180.82</v>
      </c>
      <c r="X1515" s="14">
        <v>200.06</v>
      </c>
    </row>
    <row r="1516" spans="1:24" s="14" customFormat="1" x14ac:dyDescent="0.25">
      <c r="A1516" s="50">
        <v>45101</v>
      </c>
      <c r="B1516" s="57">
        <v>175</v>
      </c>
      <c r="C1516" s="36">
        <v>0.7205787037037038</v>
      </c>
      <c r="D1516" s="16" t="s">
        <v>7408</v>
      </c>
      <c r="E1516" s="14" t="s">
        <v>65</v>
      </c>
      <c r="F1516" s="16" t="s">
        <v>12332</v>
      </c>
      <c r="G1516" s="16" t="s">
        <v>2425</v>
      </c>
      <c r="H1516" s="14">
        <v>0.21099999999999999</v>
      </c>
      <c r="I1516" s="14" t="s">
        <v>14451</v>
      </c>
      <c r="J1516" s="14" t="s">
        <v>14452</v>
      </c>
      <c r="K1516" s="14" t="s">
        <v>14453</v>
      </c>
      <c r="L1516" s="14" t="s">
        <v>14454</v>
      </c>
      <c r="O1516" s="14" t="s">
        <v>14447</v>
      </c>
      <c r="P1516" s="14" t="s">
        <v>14448</v>
      </c>
      <c r="Q1516" s="14">
        <v>410491</v>
      </c>
      <c r="R1516" s="14">
        <v>6189926.6699999999</v>
      </c>
      <c r="S1516" s="14" t="s">
        <v>14449</v>
      </c>
      <c r="T1516" s="14" t="s">
        <v>14450</v>
      </c>
      <c r="U1516" s="14">
        <v>410517.05</v>
      </c>
      <c r="V1516" s="14">
        <v>6189926.96</v>
      </c>
      <c r="W1516" s="14">
        <v>359.57</v>
      </c>
      <c r="X1516" s="14">
        <v>200.06</v>
      </c>
    </row>
    <row r="1517" spans="1:24" s="14" customFormat="1" x14ac:dyDescent="0.25">
      <c r="A1517" s="50">
        <v>45101</v>
      </c>
      <c r="B1517" s="57">
        <v>175</v>
      </c>
      <c r="C1517" s="36">
        <v>0.72572916666666665</v>
      </c>
      <c r="D1517" s="16" t="s">
        <v>7408</v>
      </c>
      <c r="E1517" s="14" t="s">
        <v>70</v>
      </c>
      <c r="F1517" s="16" t="s">
        <v>12332</v>
      </c>
      <c r="G1517" s="16" t="s">
        <v>2425</v>
      </c>
      <c r="H1517" s="14">
        <v>-0.02</v>
      </c>
      <c r="I1517" s="14" t="s">
        <v>14451</v>
      </c>
      <c r="J1517" s="14" t="s">
        <v>14452</v>
      </c>
      <c r="K1517" s="14" t="s">
        <v>14453</v>
      </c>
      <c r="L1517" s="14" t="s">
        <v>14454</v>
      </c>
      <c r="O1517" s="14" t="s">
        <v>14455</v>
      </c>
      <c r="P1517" s="14" t="s">
        <v>14456</v>
      </c>
      <c r="Q1517" s="14">
        <v>410491.03</v>
      </c>
      <c r="R1517" s="14">
        <v>6190153.1699999999</v>
      </c>
      <c r="S1517" s="14" t="s">
        <v>14457</v>
      </c>
      <c r="T1517" s="14" t="s">
        <v>14458</v>
      </c>
      <c r="U1517" s="14">
        <v>410517.08</v>
      </c>
      <c r="V1517" s="14">
        <v>6190157.7999999998</v>
      </c>
      <c r="W1517" s="14">
        <v>0.22</v>
      </c>
      <c r="X1517" s="14">
        <v>200.06</v>
      </c>
    </row>
    <row r="1518" spans="1:24" s="14" customFormat="1" x14ac:dyDescent="0.25">
      <c r="A1518" s="50">
        <v>45101</v>
      </c>
      <c r="B1518" s="57">
        <v>175</v>
      </c>
      <c r="C1518" s="36">
        <v>0.72821759259259267</v>
      </c>
      <c r="D1518" s="16" t="s">
        <v>7408</v>
      </c>
      <c r="E1518" s="52" t="s">
        <v>65</v>
      </c>
      <c r="F1518" s="16" t="s">
        <v>12332</v>
      </c>
      <c r="G1518" s="16" t="s">
        <v>2424</v>
      </c>
      <c r="H1518" s="14">
        <v>-1.4E-2</v>
      </c>
      <c r="I1518" s="14" t="s">
        <v>14463</v>
      </c>
      <c r="J1518" s="14" t="s">
        <v>14464</v>
      </c>
      <c r="K1518" s="14" t="s">
        <v>14465</v>
      </c>
      <c r="L1518" s="14" t="s">
        <v>14454</v>
      </c>
      <c r="O1518" s="14" t="s">
        <v>14459</v>
      </c>
      <c r="P1518" s="14" t="s">
        <v>14460</v>
      </c>
      <c r="Q1518" s="14">
        <v>410501.55</v>
      </c>
      <c r="R1518" s="14">
        <v>6190163.7199999997</v>
      </c>
      <c r="S1518" s="14" t="s">
        <v>14461</v>
      </c>
      <c r="T1518" s="14" t="s">
        <v>14462</v>
      </c>
      <c r="U1518" s="14">
        <v>410526.14</v>
      </c>
      <c r="V1518" s="14">
        <v>6190163.3099999996</v>
      </c>
      <c r="W1518" s="14">
        <v>181</v>
      </c>
      <c r="X1518" s="14">
        <v>200.06</v>
      </c>
    </row>
    <row r="1519" spans="1:24" s="14" customFormat="1" x14ac:dyDescent="0.25">
      <c r="A1519" s="50">
        <v>45101</v>
      </c>
      <c r="B1519" s="57">
        <v>175</v>
      </c>
      <c r="C1519" s="36">
        <v>0.73350694444444453</v>
      </c>
      <c r="D1519" s="16" t="s">
        <v>7408</v>
      </c>
      <c r="E1519" s="52" t="s">
        <v>70</v>
      </c>
      <c r="F1519" s="16" t="s">
        <v>12332</v>
      </c>
      <c r="G1519" s="16" t="s">
        <v>2424</v>
      </c>
      <c r="H1519" s="14">
        <v>0.216</v>
      </c>
      <c r="I1519" s="14" t="s">
        <v>14463</v>
      </c>
      <c r="J1519" s="14" t="s">
        <v>14464</v>
      </c>
      <c r="K1519" s="14" t="s">
        <v>14465</v>
      </c>
      <c r="L1519" s="14" t="s">
        <v>14470</v>
      </c>
      <c r="O1519" s="14" t="s">
        <v>14466</v>
      </c>
      <c r="P1519" s="14" t="s">
        <v>14467</v>
      </c>
      <c r="Q1519" s="14">
        <v>410501.28</v>
      </c>
      <c r="R1519" s="14">
        <v>6189929.8099999996</v>
      </c>
      <c r="S1519" s="14" t="s">
        <v>14468</v>
      </c>
      <c r="T1519" s="14" t="s">
        <v>14469</v>
      </c>
      <c r="U1519" s="14">
        <v>410526.13</v>
      </c>
      <c r="V1519" s="14">
        <v>6189933.2400000002</v>
      </c>
      <c r="W1519" s="14">
        <v>180.39</v>
      </c>
      <c r="X1519" s="14">
        <v>200.06</v>
      </c>
    </row>
    <row r="1520" spans="1:24" s="14" customFormat="1" x14ac:dyDescent="0.25">
      <c r="A1520" s="50">
        <v>45101</v>
      </c>
      <c r="B1520" s="57">
        <v>175</v>
      </c>
      <c r="C1520" s="36">
        <v>0.73633101851851857</v>
      </c>
      <c r="D1520" s="16" t="s">
        <v>7408</v>
      </c>
      <c r="E1520" s="52" t="s">
        <v>65</v>
      </c>
      <c r="F1520" s="16" t="s">
        <v>12332</v>
      </c>
      <c r="G1520" s="16" t="s">
        <v>2423</v>
      </c>
      <c r="H1520" s="14">
        <v>0.21099999999999999</v>
      </c>
      <c r="I1520" s="14" t="s">
        <v>14475</v>
      </c>
      <c r="J1520" s="14" t="s">
        <v>14476</v>
      </c>
      <c r="K1520" s="14" t="s">
        <v>14477</v>
      </c>
      <c r="L1520" s="14" t="s">
        <v>14470</v>
      </c>
      <c r="O1520" s="14" t="s">
        <v>14471</v>
      </c>
      <c r="P1520" s="14" t="s">
        <v>14472</v>
      </c>
      <c r="Q1520" s="14">
        <v>410509.98</v>
      </c>
      <c r="R1520" s="14">
        <v>6189932.2400000002</v>
      </c>
      <c r="S1520" s="14" t="s">
        <v>14473</v>
      </c>
      <c r="T1520" s="14" t="s">
        <v>14474</v>
      </c>
      <c r="U1520" s="14">
        <v>410535.1</v>
      </c>
      <c r="V1520" s="14">
        <v>6189927.2400000002</v>
      </c>
      <c r="W1520" s="14">
        <v>359.12</v>
      </c>
      <c r="X1520" s="14">
        <v>200.06</v>
      </c>
    </row>
    <row r="1521" spans="1:24" s="14" customFormat="1" x14ac:dyDescent="0.25">
      <c r="A1521" s="50">
        <v>45101</v>
      </c>
      <c r="B1521" s="57">
        <v>175</v>
      </c>
      <c r="C1521" s="36">
        <v>0.74155092592592586</v>
      </c>
      <c r="D1521" s="16" t="s">
        <v>7408</v>
      </c>
      <c r="E1521" s="52" t="s">
        <v>70</v>
      </c>
      <c r="F1521" s="16" t="s">
        <v>12332</v>
      </c>
      <c r="G1521" s="16" t="s">
        <v>2423</v>
      </c>
      <c r="H1521" s="14">
        <v>-1.9E-2</v>
      </c>
      <c r="I1521" s="14" t="s">
        <v>14475</v>
      </c>
      <c r="J1521" s="14" t="s">
        <v>14476</v>
      </c>
      <c r="K1521" s="14" t="s">
        <v>14477</v>
      </c>
      <c r="L1521" s="14" t="s">
        <v>14482</v>
      </c>
      <c r="O1521" s="14" t="s">
        <v>14478</v>
      </c>
      <c r="P1521" s="14" t="s">
        <v>14479</v>
      </c>
      <c r="Q1521" s="14">
        <v>410510.54</v>
      </c>
      <c r="R1521" s="14">
        <v>6190163.3099999996</v>
      </c>
      <c r="S1521" s="14" t="s">
        <v>14480</v>
      </c>
      <c r="T1521" s="14" t="s">
        <v>14481</v>
      </c>
      <c r="U1521" s="14">
        <v>410535.07</v>
      </c>
      <c r="V1521" s="14">
        <v>6190156.8300000001</v>
      </c>
      <c r="W1521" s="14">
        <v>0.14000000000000001</v>
      </c>
      <c r="X1521" s="14">
        <v>200.06</v>
      </c>
    </row>
    <row r="1522" spans="1:24" s="14" customFormat="1" x14ac:dyDescent="0.25">
      <c r="A1522" s="50">
        <v>45101</v>
      </c>
      <c r="B1522" s="57">
        <v>175</v>
      </c>
      <c r="C1522" s="36">
        <v>0.74427083333333333</v>
      </c>
      <c r="D1522" s="16" t="s">
        <v>7408</v>
      </c>
      <c r="E1522" s="52" t="s">
        <v>65</v>
      </c>
      <c r="F1522" s="16" t="s">
        <v>12332</v>
      </c>
      <c r="G1522" s="16" t="s">
        <v>2432</v>
      </c>
      <c r="H1522" s="14">
        <v>-1.2999999999999999E-2</v>
      </c>
      <c r="I1522" s="14" t="s">
        <v>14487</v>
      </c>
      <c r="J1522" s="14" t="s">
        <v>14488</v>
      </c>
      <c r="K1522" s="14" t="s">
        <v>14489</v>
      </c>
      <c r="L1522" s="14" t="s">
        <v>14482</v>
      </c>
      <c r="O1522" s="14" t="s">
        <v>14483</v>
      </c>
      <c r="P1522" s="14" t="s">
        <v>14484</v>
      </c>
      <c r="Q1522" s="14">
        <v>410519.28</v>
      </c>
      <c r="R1522" s="14">
        <v>6190158.2199999997</v>
      </c>
      <c r="S1522" s="14" t="s">
        <v>14485</v>
      </c>
      <c r="T1522" s="14" t="s">
        <v>14486</v>
      </c>
      <c r="U1522" s="14">
        <v>410544.1</v>
      </c>
      <c r="V1522" s="14">
        <v>6190162.0899999999</v>
      </c>
      <c r="W1522" s="14">
        <v>181.31</v>
      </c>
      <c r="X1522" s="14">
        <v>200.06</v>
      </c>
    </row>
    <row r="1523" spans="1:24" s="14" customFormat="1" x14ac:dyDescent="0.25">
      <c r="A1523" s="50">
        <v>45101</v>
      </c>
      <c r="B1523" s="57">
        <v>175</v>
      </c>
      <c r="C1523" s="36">
        <v>0.74932870370370364</v>
      </c>
      <c r="D1523" s="16" t="s">
        <v>7408</v>
      </c>
      <c r="E1523" s="52" t="s">
        <v>70</v>
      </c>
      <c r="F1523" s="16" t="s">
        <v>12332</v>
      </c>
      <c r="G1523" s="16" t="s">
        <v>2432</v>
      </c>
      <c r="H1523" s="14">
        <v>0.216</v>
      </c>
      <c r="I1523" s="14" t="s">
        <v>14487</v>
      </c>
      <c r="J1523" s="14" t="s">
        <v>14488</v>
      </c>
      <c r="K1523" s="14" t="s">
        <v>14489</v>
      </c>
      <c r="L1523" s="14" t="s">
        <v>14482</v>
      </c>
      <c r="O1523" s="14" t="s">
        <v>14490</v>
      </c>
      <c r="P1523" s="14" t="s">
        <v>14491</v>
      </c>
      <c r="Q1523" s="14">
        <v>410518.92</v>
      </c>
      <c r="R1523" s="14">
        <v>6189933.0199999996</v>
      </c>
      <c r="S1523" s="14" t="s">
        <v>14492</v>
      </c>
      <c r="T1523" s="14" t="s">
        <v>14493</v>
      </c>
      <c r="U1523" s="14">
        <v>410543.98</v>
      </c>
      <c r="V1523" s="14">
        <v>6189933.3700000001</v>
      </c>
      <c r="W1523" s="14">
        <v>179.96</v>
      </c>
      <c r="X1523" s="14">
        <v>200.06</v>
      </c>
    </row>
    <row r="1524" spans="1:24" s="14" customFormat="1" x14ac:dyDescent="0.25">
      <c r="A1524" s="50">
        <v>45101</v>
      </c>
      <c r="B1524" s="57">
        <v>175</v>
      </c>
      <c r="C1524" s="36">
        <v>0.75194444444444442</v>
      </c>
      <c r="D1524" s="16" t="s">
        <v>7408</v>
      </c>
      <c r="E1524" s="52" t="s">
        <v>65</v>
      </c>
      <c r="F1524" s="16" t="s">
        <v>12332</v>
      </c>
      <c r="G1524" s="16" t="s">
        <v>2433</v>
      </c>
      <c r="H1524" s="14">
        <v>0.21</v>
      </c>
      <c r="I1524" s="14" t="s">
        <v>14498</v>
      </c>
      <c r="J1524" s="14" t="s">
        <v>14499</v>
      </c>
      <c r="K1524" s="14" t="s">
        <v>14500</v>
      </c>
      <c r="L1524" s="14" t="s">
        <v>14501</v>
      </c>
      <c r="O1524" s="14" t="s">
        <v>14494</v>
      </c>
      <c r="P1524" s="14" t="s">
        <v>14495</v>
      </c>
      <c r="Q1524" s="14">
        <v>410527.57</v>
      </c>
      <c r="R1524" s="14">
        <v>6189925.5300000003</v>
      </c>
      <c r="S1524" s="14" t="s">
        <v>14496</v>
      </c>
      <c r="T1524" s="14" t="s">
        <v>14497</v>
      </c>
      <c r="U1524" s="14">
        <v>410553.11</v>
      </c>
      <c r="V1524" s="14">
        <v>6189927.7800000003</v>
      </c>
      <c r="W1524" s="14">
        <v>0.04</v>
      </c>
      <c r="X1524" s="14">
        <v>200.06</v>
      </c>
    </row>
    <row r="1525" spans="1:24" s="14" customFormat="1" x14ac:dyDescent="0.25">
      <c r="A1525" s="50">
        <v>45101</v>
      </c>
      <c r="B1525" s="57">
        <v>175</v>
      </c>
      <c r="C1525" s="36">
        <v>0.75709490740740737</v>
      </c>
      <c r="D1525" s="16" t="s">
        <v>7408</v>
      </c>
      <c r="E1525" s="52" t="s">
        <v>70</v>
      </c>
      <c r="F1525" s="16" t="s">
        <v>12332</v>
      </c>
      <c r="G1525" s="16" t="s">
        <v>2433</v>
      </c>
      <c r="H1525" s="14">
        <v>-1.7999999999999999E-2</v>
      </c>
      <c r="I1525" s="14" t="s">
        <v>14498</v>
      </c>
      <c r="J1525" s="14" t="s">
        <v>14499</v>
      </c>
      <c r="K1525" s="14" t="s">
        <v>14500</v>
      </c>
      <c r="L1525" s="14" t="s">
        <v>14501</v>
      </c>
      <c r="O1525" s="14" t="s">
        <v>14502</v>
      </c>
      <c r="P1525" s="14" t="s">
        <v>14503</v>
      </c>
      <c r="Q1525" s="14">
        <v>410527.92</v>
      </c>
      <c r="R1525" s="14">
        <v>6190152.2400000002</v>
      </c>
      <c r="S1525" s="14" t="s">
        <v>14504</v>
      </c>
      <c r="T1525" s="14" t="s">
        <v>14505</v>
      </c>
      <c r="U1525" s="14">
        <v>410553.17</v>
      </c>
      <c r="V1525" s="14">
        <v>6190156.2699999996</v>
      </c>
      <c r="W1525" s="14">
        <v>359.71</v>
      </c>
      <c r="X1525" s="14">
        <v>200.06</v>
      </c>
    </row>
    <row r="1526" spans="1:24" s="14" customFormat="1" x14ac:dyDescent="0.25">
      <c r="A1526" s="50">
        <v>45101</v>
      </c>
      <c r="B1526" s="57">
        <v>175</v>
      </c>
      <c r="C1526" s="36">
        <v>0.7596180555555555</v>
      </c>
      <c r="D1526" s="16" t="s">
        <v>7408</v>
      </c>
      <c r="E1526" s="52" t="s">
        <v>65</v>
      </c>
      <c r="F1526" s="16" t="s">
        <v>12332</v>
      </c>
      <c r="G1526" s="16" t="s">
        <v>2434</v>
      </c>
      <c r="H1526" s="14">
        <v>-1.4E-2</v>
      </c>
      <c r="I1526" s="14" t="s">
        <v>14510</v>
      </c>
      <c r="J1526" s="14" t="s">
        <v>14511</v>
      </c>
      <c r="K1526" s="14" t="s">
        <v>14512</v>
      </c>
      <c r="L1526" s="14" t="s">
        <v>14501</v>
      </c>
      <c r="O1526" s="14" t="s">
        <v>14506</v>
      </c>
      <c r="P1526" s="14" t="s">
        <v>14507</v>
      </c>
      <c r="Q1526" s="14">
        <v>410536.93</v>
      </c>
      <c r="R1526" s="14">
        <v>6190162.96</v>
      </c>
      <c r="S1526" s="14" t="s">
        <v>14508</v>
      </c>
      <c r="T1526" s="14" t="s">
        <v>14509</v>
      </c>
      <c r="U1526" s="14">
        <v>410562.22</v>
      </c>
      <c r="V1526" s="14">
        <v>6190163.3300000001</v>
      </c>
      <c r="W1526" s="14">
        <v>182.06</v>
      </c>
      <c r="X1526" s="14">
        <v>200.06</v>
      </c>
    </row>
    <row r="1527" spans="1:24" s="14" customFormat="1" x14ac:dyDescent="0.25">
      <c r="A1527" s="50">
        <v>45101</v>
      </c>
      <c r="B1527" s="57">
        <v>175</v>
      </c>
      <c r="C1527" s="36">
        <v>0.76481481481481473</v>
      </c>
      <c r="D1527" s="16" t="s">
        <v>7408</v>
      </c>
      <c r="E1527" s="14" t="s">
        <v>70</v>
      </c>
      <c r="F1527" s="16" t="s">
        <v>12332</v>
      </c>
      <c r="G1527" s="16" t="s">
        <v>2434</v>
      </c>
      <c r="H1527" s="14">
        <v>0.216</v>
      </c>
      <c r="I1527" s="14" t="s">
        <v>14510</v>
      </c>
      <c r="J1527" s="14" t="s">
        <v>14511</v>
      </c>
      <c r="K1527" s="14" t="s">
        <v>14512</v>
      </c>
      <c r="L1527" s="14" t="s">
        <v>14517</v>
      </c>
      <c r="O1527" s="14" t="s">
        <v>14513</v>
      </c>
      <c r="P1527" s="14" t="s">
        <v>14514</v>
      </c>
      <c r="Q1527" s="14">
        <v>410536.06</v>
      </c>
      <c r="R1527" s="14">
        <v>6189932.7699999996</v>
      </c>
      <c r="S1527" s="14" t="s">
        <v>14515</v>
      </c>
      <c r="T1527" s="14" t="s">
        <v>14516</v>
      </c>
      <c r="U1527" s="14">
        <v>410562.05</v>
      </c>
      <c r="V1527" s="14">
        <v>6189933.7199999997</v>
      </c>
      <c r="W1527" s="14">
        <v>180.61</v>
      </c>
      <c r="X1527" s="14">
        <v>200.06</v>
      </c>
    </row>
    <row r="1528" spans="1:24" s="14" customFormat="1" x14ac:dyDescent="0.25">
      <c r="A1528" s="50">
        <v>45101</v>
      </c>
      <c r="B1528" s="57">
        <v>175</v>
      </c>
      <c r="C1528" s="36">
        <v>0.76760416666666664</v>
      </c>
      <c r="D1528" s="16" t="s">
        <v>7408</v>
      </c>
      <c r="E1528" s="14" t="s">
        <v>65</v>
      </c>
      <c r="F1528" s="16" t="s">
        <v>12332</v>
      </c>
      <c r="G1528" s="16" t="s">
        <v>2435</v>
      </c>
      <c r="H1528" s="14">
        <v>0.21099999999999999</v>
      </c>
      <c r="I1528" s="14" t="s">
        <v>14522</v>
      </c>
      <c r="J1528" s="14" t="s">
        <v>14523</v>
      </c>
      <c r="K1528" s="14" t="s">
        <v>14524</v>
      </c>
      <c r="L1528" s="14" t="s">
        <v>14517</v>
      </c>
      <c r="O1528" s="14" t="s">
        <v>14518</v>
      </c>
      <c r="P1528" s="14" t="s">
        <v>14519</v>
      </c>
      <c r="Q1528" s="14">
        <v>410545.49</v>
      </c>
      <c r="R1528" s="14">
        <v>6189930.1299999999</v>
      </c>
      <c r="S1528" s="14" t="s">
        <v>14520</v>
      </c>
      <c r="T1528" s="14" t="s">
        <v>14521</v>
      </c>
      <c r="U1528" s="14">
        <v>410571.1</v>
      </c>
      <c r="V1528" s="14">
        <v>6189927.5</v>
      </c>
      <c r="W1528" s="14">
        <v>359.66</v>
      </c>
      <c r="X1528" s="14">
        <v>200.06</v>
      </c>
    </row>
    <row r="1529" spans="1:24" s="14" customFormat="1" x14ac:dyDescent="0.25">
      <c r="A1529" s="50">
        <v>45101</v>
      </c>
      <c r="B1529" s="57">
        <v>175</v>
      </c>
      <c r="C1529" s="36">
        <v>0.7727546296296296</v>
      </c>
      <c r="D1529" s="16" t="s">
        <v>7408</v>
      </c>
      <c r="E1529" s="14" t="s">
        <v>70</v>
      </c>
      <c r="F1529" s="16" t="s">
        <v>12332</v>
      </c>
      <c r="G1529" s="16" t="s">
        <v>2435</v>
      </c>
      <c r="H1529" s="14">
        <v>-1.7999999999999999E-2</v>
      </c>
      <c r="I1529" s="14" t="s">
        <v>14522</v>
      </c>
      <c r="J1529" s="14" t="s">
        <v>14523</v>
      </c>
      <c r="K1529" s="14" t="s">
        <v>14524</v>
      </c>
      <c r="L1529" s="14" t="s">
        <v>14529</v>
      </c>
      <c r="O1529" s="14" t="s">
        <v>14525</v>
      </c>
      <c r="P1529" s="14" t="s">
        <v>14526</v>
      </c>
      <c r="Q1529" s="14">
        <v>410545.6</v>
      </c>
      <c r="R1529" s="14">
        <v>6190157.6799999997</v>
      </c>
      <c r="S1529" s="14" t="s">
        <v>14527</v>
      </c>
      <c r="T1529" s="14" t="s">
        <v>14528</v>
      </c>
      <c r="U1529" s="14">
        <v>410571.1</v>
      </c>
      <c r="V1529" s="14">
        <v>6190155.9400000004</v>
      </c>
      <c r="W1529" s="14">
        <v>359.66</v>
      </c>
      <c r="X1529" s="14">
        <v>200.06</v>
      </c>
    </row>
    <row r="1530" spans="1:24" s="14" customFormat="1" x14ac:dyDescent="0.25">
      <c r="A1530" s="50">
        <v>45101</v>
      </c>
      <c r="B1530" s="57">
        <v>175</v>
      </c>
      <c r="C1530" s="36">
        <v>0.77523148148148147</v>
      </c>
      <c r="D1530" s="16" t="s">
        <v>7408</v>
      </c>
      <c r="E1530" s="52" t="s">
        <v>65</v>
      </c>
      <c r="F1530" s="16" t="s">
        <v>12332</v>
      </c>
      <c r="G1530" s="16" t="s">
        <v>2436</v>
      </c>
      <c r="H1530" s="14">
        <v>-1.2999999999999999E-2</v>
      </c>
      <c r="I1530" s="14" t="s">
        <v>14534</v>
      </c>
      <c r="J1530" s="14" t="s">
        <v>14535</v>
      </c>
      <c r="K1530" s="14" t="s">
        <v>14536</v>
      </c>
      <c r="L1530" s="14" t="s">
        <v>14529</v>
      </c>
      <c r="O1530" s="14" t="s">
        <v>14530</v>
      </c>
      <c r="P1530" s="14" t="s">
        <v>14531</v>
      </c>
      <c r="Q1530" s="14">
        <v>410555.66</v>
      </c>
      <c r="R1530" s="14">
        <v>6190169.6100000003</v>
      </c>
      <c r="S1530" s="14" t="s">
        <v>14532</v>
      </c>
      <c r="T1530" s="14" t="s">
        <v>14533</v>
      </c>
      <c r="U1530" s="14">
        <v>410580.12</v>
      </c>
      <c r="V1530" s="14">
        <v>6190162.3700000001</v>
      </c>
      <c r="W1530" s="14">
        <v>179.83</v>
      </c>
      <c r="X1530" s="14">
        <v>200.06</v>
      </c>
    </row>
    <row r="1531" spans="1:24" s="14" customFormat="1" x14ac:dyDescent="0.25">
      <c r="A1531" s="50">
        <v>45101</v>
      </c>
      <c r="B1531" s="57">
        <v>175</v>
      </c>
      <c r="C1531" s="36">
        <v>0.78052083333333344</v>
      </c>
      <c r="D1531" s="16" t="s">
        <v>7408</v>
      </c>
      <c r="E1531" s="52" t="s">
        <v>70</v>
      </c>
      <c r="F1531" s="16" t="s">
        <v>12332</v>
      </c>
      <c r="G1531" s="16" t="s">
        <v>2436</v>
      </c>
      <c r="H1531" s="14">
        <v>0.216</v>
      </c>
      <c r="I1531" s="14" t="s">
        <v>14534</v>
      </c>
      <c r="J1531" s="14" t="s">
        <v>14535</v>
      </c>
      <c r="K1531" s="14" t="s">
        <v>14536</v>
      </c>
      <c r="L1531" s="14" t="s">
        <v>14529</v>
      </c>
      <c r="O1531" s="14" t="s">
        <v>14537</v>
      </c>
      <c r="P1531" s="14" t="s">
        <v>14538</v>
      </c>
      <c r="Q1531" s="14">
        <v>410555.01</v>
      </c>
      <c r="R1531" s="14">
        <v>6189935.54</v>
      </c>
      <c r="S1531" s="14" t="s">
        <v>14539</v>
      </c>
      <c r="T1531" s="14" t="s">
        <v>14540</v>
      </c>
      <c r="U1531" s="14">
        <v>410580.05</v>
      </c>
      <c r="V1531" s="14">
        <v>6189933.0899999999</v>
      </c>
      <c r="W1531" s="14">
        <v>179.91</v>
      </c>
      <c r="X1531" s="14">
        <v>200.06</v>
      </c>
    </row>
    <row r="1532" spans="1:24" s="14" customFormat="1" x14ac:dyDescent="0.25">
      <c r="A1532" s="50">
        <v>45101</v>
      </c>
      <c r="B1532" s="57">
        <v>175</v>
      </c>
      <c r="C1532" s="36">
        <v>0.78336805555555555</v>
      </c>
      <c r="D1532" s="16" t="s">
        <v>7408</v>
      </c>
      <c r="E1532" s="52" t="s">
        <v>65</v>
      </c>
      <c r="F1532" s="16" t="s">
        <v>12332</v>
      </c>
      <c r="G1532" s="16" t="s">
        <v>2437</v>
      </c>
      <c r="H1532" s="14">
        <v>0.21199999999999999</v>
      </c>
      <c r="I1532" s="14" t="s">
        <v>14545</v>
      </c>
      <c r="J1532" s="14" t="s">
        <v>14546</v>
      </c>
      <c r="K1532" s="14" t="s">
        <v>14547</v>
      </c>
      <c r="L1532" s="14" t="s">
        <v>14548</v>
      </c>
      <c r="O1532" s="14" t="s">
        <v>14541</v>
      </c>
      <c r="P1532" s="14" t="s">
        <v>14542</v>
      </c>
      <c r="Q1532" s="14">
        <v>410564.17</v>
      </c>
      <c r="R1532" s="14">
        <v>6189924.7300000004</v>
      </c>
      <c r="S1532" s="14" t="s">
        <v>14543</v>
      </c>
      <c r="T1532" s="14" t="s">
        <v>14544</v>
      </c>
      <c r="U1532" s="14">
        <v>410589.07</v>
      </c>
      <c r="V1532" s="14">
        <v>6189926.0300000003</v>
      </c>
      <c r="W1532" s="14">
        <v>0.62</v>
      </c>
      <c r="X1532" s="14">
        <v>200.06</v>
      </c>
    </row>
    <row r="1533" spans="1:24" s="14" customFormat="1" x14ac:dyDescent="0.25">
      <c r="A1533" s="50">
        <v>45101</v>
      </c>
      <c r="B1533" s="57">
        <v>175</v>
      </c>
      <c r="C1533" s="36">
        <v>0.788599537037037</v>
      </c>
      <c r="D1533" s="16" t="s">
        <v>7408</v>
      </c>
      <c r="E1533" s="52" t="s">
        <v>70</v>
      </c>
      <c r="F1533" s="16" t="s">
        <v>12332</v>
      </c>
      <c r="G1533" s="16" t="s">
        <v>2437</v>
      </c>
      <c r="H1533" s="14">
        <v>-1.9E-2</v>
      </c>
      <c r="I1533" s="14" t="s">
        <v>14545</v>
      </c>
      <c r="J1533" s="14" t="s">
        <v>14546</v>
      </c>
      <c r="K1533" s="14" t="s">
        <v>14547</v>
      </c>
      <c r="L1533" s="14" t="s">
        <v>14548</v>
      </c>
      <c r="O1533" s="14" t="s">
        <v>14549</v>
      </c>
      <c r="P1533" s="14" t="s">
        <v>14550</v>
      </c>
      <c r="Q1533" s="14">
        <v>410564.09</v>
      </c>
      <c r="R1533" s="14">
        <v>6190156.3300000001</v>
      </c>
      <c r="S1533" s="14" t="s">
        <v>14551</v>
      </c>
      <c r="T1533" s="14" t="s">
        <v>14552</v>
      </c>
      <c r="U1533" s="14">
        <v>410589.16</v>
      </c>
      <c r="V1533" s="14">
        <v>6190156.9900000002</v>
      </c>
      <c r="W1533" s="14">
        <v>0.1</v>
      </c>
      <c r="X1533" s="14">
        <v>200.06</v>
      </c>
    </row>
    <row r="1534" spans="1:24" s="14" customFormat="1" x14ac:dyDescent="0.25">
      <c r="A1534" s="50">
        <v>45101</v>
      </c>
      <c r="B1534" s="57">
        <v>175</v>
      </c>
      <c r="C1534" s="36">
        <v>0.79061342592592598</v>
      </c>
      <c r="D1534" s="16" t="s">
        <v>7408</v>
      </c>
      <c r="E1534" s="52" t="s">
        <v>65</v>
      </c>
      <c r="F1534" s="16" t="s">
        <v>12332</v>
      </c>
      <c r="G1534" s="16" t="s">
        <v>2438</v>
      </c>
      <c r="H1534" s="14">
        <v>-1.4E-2</v>
      </c>
      <c r="I1534" s="14" t="s">
        <v>14557</v>
      </c>
      <c r="J1534" s="14" t="s">
        <v>14558</v>
      </c>
      <c r="K1534" s="14" t="s">
        <v>14559</v>
      </c>
      <c r="L1534" s="14" t="s">
        <v>14548</v>
      </c>
      <c r="O1534" s="14" t="s">
        <v>14553</v>
      </c>
      <c r="P1534" s="14" t="s">
        <v>14554</v>
      </c>
      <c r="Q1534" s="14">
        <v>410573.68</v>
      </c>
      <c r="R1534" s="14">
        <v>6190168.4100000001</v>
      </c>
      <c r="S1534" s="14" t="s">
        <v>14555</v>
      </c>
      <c r="T1534" s="14" t="s">
        <v>14556</v>
      </c>
      <c r="U1534" s="14">
        <v>410598.16</v>
      </c>
      <c r="V1534" s="14">
        <v>6190162.9900000002</v>
      </c>
      <c r="W1534" s="14">
        <v>179.84</v>
      </c>
      <c r="X1534" s="14">
        <v>200.06</v>
      </c>
    </row>
    <row r="1535" spans="1:24" s="14" customFormat="1" x14ac:dyDescent="0.25">
      <c r="A1535" s="50">
        <v>45101</v>
      </c>
      <c r="B1535" s="57">
        <v>175</v>
      </c>
      <c r="C1535" s="36">
        <v>0.79583333333333339</v>
      </c>
      <c r="D1535" s="16" t="s">
        <v>7408</v>
      </c>
      <c r="E1535" s="52" t="s">
        <v>70</v>
      </c>
      <c r="F1535" s="16" t="s">
        <v>12332</v>
      </c>
      <c r="G1535" s="16" t="s">
        <v>2438</v>
      </c>
      <c r="H1535" s="14">
        <v>0.216</v>
      </c>
      <c r="I1535" s="14" t="s">
        <v>14557</v>
      </c>
      <c r="J1535" s="14" t="s">
        <v>14558</v>
      </c>
      <c r="K1535" s="14" t="s">
        <v>14559</v>
      </c>
      <c r="L1535" s="14" t="s">
        <v>14564</v>
      </c>
      <c r="O1535" s="14" t="s">
        <v>14560</v>
      </c>
      <c r="P1535" s="14" t="s">
        <v>14561</v>
      </c>
      <c r="Q1535" s="14">
        <v>410572.93</v>
      </c>
      <c r="R1535" s="14">
        <v>6189937.5700000003</v>
      </c>
      <c r="S1535" s="14" t="s">
        <v>14562</v>
      </c>
      <c r="T1535" s="14" t="s">
        <v>14563</v>
      </c>
      <c r="U1535" s="14">
        <v>410598.19</v>
      </c>
      <c r="V1535" s="14">
        <v>6189933.2599999998</v>
      </c>
      <c r="W1535" s="14">
        <v>180.48</v>
      </c>
      <c r="X1535" s="14">
        <v>200.06</v>
      </c>
    </row>
    <row r="1536" spans="1:24" s="14" customFormat="1" x14ac:dyDescent="0.25">
      <c r="A1536" s="50">
        <v>45101</v>
      </c>
      <c r="B1536" s="57">
        <v>175</v>
      </c>
      <c r="C1536" s="36">
        <v>0.79842592592592598</v>
      </c>
      <c r="D1536" s="16" t="s">
        <v>7408</v>
      </c>
      <c r="E1536" s="52" t="s">
        <v>65</v>
      </c>
      <c r="F1536" s="16" t="s">
        <v>12332</v>
      </c>
      <c r="G1536" s="16" t="s">
        <v>2439</v>
      </c>
      <c r="H1536" s="14">
        <v>0.21099999999999999</v>
      </c>
      <c r="I1536" s="14" t="s">
        <v>14569</v>
      </c>
      <c r="J1536" s="14" t="s">
        <v>14570</v>
      </c>
      <c r="K1536" s="14" t="s">
        <v>14571</v>
      </c>
      <c r="L1536" s="14" t="s">
        <v>14564</v>
      </c>
      <c r="O1536" s="14" t="s">
        <v>14565</v>
      </c>
      <c r="P1536" s="14" t="s">
        <v>14566</v>
      </c>
      <c r="Q1536" s="14">
        <v>410581.97</v>
      </c>
      <c r="R1536" s="14">
        <v>6189925.6200000001</v>
      </c>
      <c r="S1536" s="14" t="s">
        <v>14567</v>
      </c>
      <c r="T1536" s="14" t="s">
        <v>14568</v>
      </c>
      <c r="U1536" s="14">
        <v>410607.05</v>
      </c>
      <c r="V1536" s="14">
        <v>6189926.6399999997</v>
      </c>
      <c r="W1536" s="14">
        <v>0.87</v>
      </c>
      <c r="X1536" s="14">
        <v>200.06</v>
      </c>
    </row>
    <row r="1537" spans="1:24" s="14" customFormat="1" x14ac:dyDescent="0.25">
      <c r="A1537" s="50">
        <v>45101</v>
      </c>
      <c r="B1537" s="57">
        <v>175</v>
      </c>
      <c r="C1537" s="36">
        <v>0.80363425925925924</v>
      </c>
      <c r="D1537" s="16" t="s">
        <v>7408</v>
      </c>
      <c r="E1537" s="14" t="s">
        <v>70</v>
      </c>
      <c r="F1537" s="16" t="s">
        <v>12332</v>
      </c>
      <c r="G1537" s="16" t="s">
        <v>2439</v>
      </c>
      <c r="H1537" s="14">
        <v>-1.7000000000000001E-2</v>
      </c>
      <c r="I1537" s="14" t="s">
        <v>14569</v>
      </c>
      <c r="J1537" s="14" t="s">
        <v>14570</v>
      </c>
      <c r="K1537" s="14" t="s">
        <v>14571</v>
      </c>
      <c r="L1537" s="14" t="s">
        <v>14576</v>
      </c>
      <c r="O1537" s="14" t="s">
        <v>14572</v>
      </c>
      <c r="P1537" s="14" t="s">
        <v>14573</v>
      </c>
      <c r="Q1537" s="14">
        <v>410582.24</v>
      </c>
      <c r="R1537" s="14">
        <v>6190155.0700000003</v>
      </c>
      <c r="S1537" s="14" t="s">
        <v>14574</v>
      </c>
      <c r="T1537" s="14" t="s">
        <v>14575</v>
      </c>
      <c r="U1537" s="14">
        <v>410607.05</v>
      </c>
      <c r="V1537" s="14">
        <v>6190155.54</v>
      </c>
      <c r="W1537" s="14">
        <v>0.34</v>
      </c>
      <c r="X1537" s="14">
        <v>200.06</v>
      </c>
    </row>
    <row r="1538" spans="1:24" s="14" customFormat="1" x14ac:dyDescent="0.25">
      <c r="A1538" s="50">
        <v>45101</v>
      </c>
      <c r="B1538" s="57">
        <v>175</v>
      </c>
      <c r="C1538" s="36">
        <v>0.80715277777777772</v>
      </c>
      <c r="D1538" s="16" t="s">
        <v>7408</v>
      </c>
      <c r="E1538" s="116" t="s">
        <v>14584</v>
      </c>
      <c r="F1538" s="16" t="s">
        <v>12332</v>
      </c>
      <c r="G1538" s="16" t="s">
        <v>2239</v>
      </c>
      <c r="H1538" s="14">
        <v>0.41599999999999998</v>
      </c>
      <c r="O1538" s="14" t="s">
        <v>14580</v>
      </c>
      <c r="P1538" s="14" t="s">
        <v>14581</v>
      </c>
      <c r="Q1538" s="14">
        <v>411157.17</v>
      </c>
      <c r="R1538" s="14">
        <v>6191915.1600000001</v>
      </c>
      <c r="S1538" s="14" t="s">
        <v>14582</v>
      </c>
      <c r="T1538" s="14" t="s">
        <v>14583</v>
      </c>
      <c r="U1538" s="14">
        <v>411147.54</v>
      </c>
      <c r="V1538" s="14">
        <v>6191920.2699999996</v>
      </c>
      <c r="W1538" s="14">
        <v>293.39</v>
      </c>
      <c r="X1538" s="14">
        <v>150.05000000000001</v>
      </c>
    </row>
    <row r="1539" spans="1:24" s="14" customFormat="1" x14ac:dyDescent="0.25">
      <c r="A1539" s="50">
        <v>45101</v>
      </c>
      <c r="B1539" s="57">
        <v>175</v>
      </c>
      <c r="C1539" s="36">
        <v>0.81284722222222217</v>
      </c>
      <c r="D1539" s="16" t="s">
        <v>7408</v>
      </c>
      <c r="E1539" s="116" t="s">
        <v>14589</v>
      </c>
      <c r="F1539" s="16" t="s">
        <v>12332</v>
      </c>
      <c r="G1539" s="16" t="s">
        <v>2239</v>
      </c>
      <c r="H1539" s="14">
        <v>0.27300000000000002</v>
      </c>
      <c r="O1539" s="14" t="s">
        <v>14585</v>
      </c>
      <c r="P1539" s="14" t="s">
        <v>14586</v>
      </c>
      <c r="Q1539" s="14">
        <v>411205.12</v>
      </c>
      <c r="R1539" s="14">
        <v>6192058.1200000001</v>
      </c>
      <c r="S1539" s="14" t="s">
        <v>14587</v>
      </c>
      <c r="T1539" s="14" t="s">
        <v>14588</v>
      </c>
      <c r="U1539" s="14">
        <v>411195.25</v>
      </c>
      <c r="V1539" s="14">
        <v>6192062.6100000003</v>
      </c>
      <c r="W1539" s="14">
        <v>290.79000000000002</v>
      </c>
      <c r="X1539" s="14">
        <v>150.05000000000001</v>
      </c>
    </row>
    <row r="1540" spans="1:24" s="122" customFormat="1" x14ac:dyDescent="0.25">
      <c r="A1540" s="65">
        <v>45101</v>
      </c>
      <c r="B1540" s="106">
        <v>175</v>
      </c>
      <c r="C1540" s="67">
        <v>0.82145833333333329</v>
      </c>
      <c r="D1540" s="66" t="s">
        <v>7408</v>
      </c>
      <c r="E1540" s="123" t="s">
        <v>14595</v>
      </c>
      <c r="F1540" s="66" t="s">
        <v>11862</v>
      </c>
      <c r="G1540" s="66" t="s">
        <v>2239</v>
      </c>
      <c r="H1540" s="122">
        <v>0.19800000000000001</v>
      </c>
      <c r="M1540" s="122" t="s">
        <v>14590</v>
      </c>
      <c r="O1540" s="122" t="s">
        <v>14591</v>
      </c>
      <c r="P1540" s="122" t="s">
        <v>14592</v>
      </c>
      <c r="Q1540" s="122">
        <v>411259.47</v>
      </c>
      <c r="R1540" s="122">
        <v>6192142.75</v>
      </c>
      <c r="S1540" s="122" t="s">
        <v>14593</v>
      </c>
      <c r="T1540" s="122" t="s">
        <v>14594</v>
      </c>
      <c r="U1540" s="122">
        <v>411277.3</v>
      </c>
      <c r="V1540" s="122">
        <v>6192139.29</v>
      </c>
      <c r="W1540" s="122">
        <v>77.83</v>
      </c>
      <c r="X1540" s="122">
        <v>150.05000000000001</v>
      </c>
    </row>
    <row r="1541" spans="1:24" s="14" customFormat="1" x14ac:dyDescent="0.25">
      <c r="A1541" s="50">
        <v>45101</v>
      </c>
      <c r="B1541" s="57">
        <v>175</v>
      </c>
      <c r="C1541" s="36">
        <v>0.82520833333333332</v>
      </c>
      <c r="D1541" s="16" t="s">
        <v>7408</v>
      </c>
      <c r="E1541" s="52" t="s">
        <v>65</v>
      </c>
      <c r="F1541" s="16" t="s">
        <v>11862</v>
      </c>
      <c r="G1541" s="16" t="s">
        <v>2239</v>
      </c>
      <c r="H1541" s="14">
        <v>0.16800000000000001</v>
      </c>
      <c r="I1541" s="14" t="s">
        <v>14600</v>
      </c>
      <c r="J1541" s="14" t="s">
        <v>14601</v>
      </c>
      <c r="K1541" s="14" t="s">
        <v>14602</v>
      </c>
      <c r="L1541" s="14" t="s">
        <v>14603</v>
      </c>
      <c r="O1541" s="14" t="s">
        <v>14596</v>
      </c>
      <c r="P1541" s="14" t="s">
        <v>14597</v>
      </c>
      <c r="Q1541" s="14">
        <v>411258.87</v>
      </c>
      <c r="R1541" s="14">
        <v>6192166.5700000003</v>
      </c>
      <c r="S1541" s="14" t="s">
        <v>14598</v>
      </c>
      <c r="T1541" s="14" t="s">
        <v>14599</v>
      </c>
      <c r="U1541" s="14">
        <v>411283.45</v>
      </c>
      <c r="V1541" s="14">
        <v>6192164.1699999999</v>
      </c>
      <c r="W1541" s="14">
        <v>1.19</v>
      </c>
      <c r="X1541" s="14">
        <v>150.05000000000001</v>
      </c>
    </row>
    <row r="1542" spans="1:24" s="14" customFormat="1" x14ac:dyDescent="0.25">
      <c r="A1542" s="50">
        <v>45101</v>
      </c>
      <c r="B1542" s="57">
        <v>175</v>
      </c>
      <c r="C1542" s="36">
        <v>0.82945601851851858</v>
      </c>
      <c r="D1542" s="16" t="s">
        <v>7408</v>
      </c>
      <c r="E1542" s="52" t="s">
        <v>70</v>
      </c>
      <c r="F1542" s="16" t="s">
        <v>11862</v>
      </c>
      <c r="G1542" s="16" t="s">
        <v>2239</v>
      </c>
      <c r="H1542" s="14">
        <v>-1.7999999999999999E-2</v>
      </c>
      <c r="I1542" s="14" t="s">
        <v>14600</v>
      </c>
      <c r="J1542" s="14" t="s">
        <v>14601</v>
      </c>
      <c r="K1542" s="14" t="s">
        <v>14602</v>
      </c>
      <c r="L1542" s="14" t="s">
        <v>14603</v>
      </c>
      <c r="O1542" s="14" t="s">
        <v>14604</v>
      </c>
      <c r="P1542" s="14" t="s">
        <v>14605</v>
      </c>
      <c r="Q1542" s="14">
        <v>411258.46</v>
      </c>
      <c r="R1542" s="14">
        <v>6192352</v>
      </c>
      <c r="S1542" s="14" t="s">
        <v>14606</v>
      </c>
      <c r="T1542" s="14" t="s">
        <v>14607</v>
      </c>
      <c r="U1542" s="14">
        <v>411283.42</v>
      </c>
      <c r="V1542" s="14">
        <v>6192350.3099999996</v>
      </c>
      <c r="W1542" s="14">
        <v>0.23</v>
      </c>
      <c r="X1542" s="14">
        <v>150.05000000000001</v>
      </c>
    </row>
    <row r="1543" spans="1:24" s="14" customFormat="1" x14ac:dyDescent="0.25">
      <c r="A1543" s="50">
        <v>45101</v>
      </c>
      <c r="B1543" s="57">
        <v>175</v>
      </c>
      <c r="C1543" s="36">
        <v>0.83188657407407407</v>
      </c>
      <c r="D1543" s="16" t="s">
        <v>7408</v>
      </c>
      <c r="E1543" s="52" t="s">
        <v>65</v>
      </c>
      <c r="F1543" s="16" t="s">
        <v>11862</v>
      </c>
      <c r="G1543" s="16" t="s">
        <v>2238</v>
      </c>
      <c r="H1543" s="14">
        <v>-1.2999999999999999E-2</v>
      </c>
      <c r="I1543" s="14" t="s">
        <v>14612</v>
      </c>
      <c r="J1543" s="14" t="s">
        <v>14613</v>
      </c>
      <c r="K1543" s="14" t="s">
        <v>14614</v>
      </c>
      <c r="L1543" s="14" t="s">
        <v>14603</v>
      </c>
      <c r="O1543" s="14" t="s">
        <v>14608</v>
      </c>
      <c r="P1543" s="14" t="s">
        <v>14609</v>
      </c>
      <c r="Q1543" s="14">
        <v>411268.05</v>
      </c>
      <c r="R1543" s="14">
        <v>6192365.1200000001</v>
      </c>
      <c r="S1543" s="14" t="s">
        <v>14610</v>
      </c>
      <c r="T1543" s="14" t="s">
        <v>14611</v>
      </c>
      <c r="U1543" s="14">
        <v>411292.4</v>
      </c>
      <c r="V1543" s="14">
        <v>6192356.5300000003</v>
      </c>
      <c r="W1543" s="14">
        <v>180.96</v>
      </c>
      <c r="X1543" s="14">
        <v>150.05000000000001</v>
      </c>
    </row>
    <row r="1544" spans="1:24" s="14" customFormat="1" x14ac:dyDescent="0.25">
      <c r="A1544" s="50">
        <v>45101</v>
      </c>
      <c r="B1544" s="57">
        <v>175</v>
      </c>
      <c r="C1544" s="36">
        <v>0.83609953703703699</v>
      </c>
      <c r="D1544" s="16" t="s">
        <v>7408</v>
      </c>
      <c r="E1544" s="52" t="s">
        <v>70</v>
      </c>
      <c r="F1544" s="16" t="s">
        <v>11862</v>
      </c>
      <c r="G1544" s="16" t="s">
        <v>2238</v>
      </c>
      <c r="H1544" s="14">
        <v>0.16900000000000001</v>
      </c>
      <c r="I1544" s="14" t="s">
        <v>14612</v>
      </c>
      <c r="J1544" s="14" t="s">
        <v>14613</v>
      </c>
      <c r="K1544" s="14" t="s">
        <v>14614</v>
      </c>
      <c r="L1544" s="14" t="s">
        <v>14619</v>
      </c>
      <c r="O1544" s="14" t="s">
        <v>14615</v>
      </c>
      <c r="P1544" s="14" t="s">
        <v>14616</v>
      </c>
      <c r="Q1544" s="14">
        <v>411266.46</v>
      </c>
      <c r="R1544" s="14">
        <v>6192179.4500000002</v>
      </c>
      <c r="S1544" s="14" t="s">
        <v>14617</v>
      </c>
      <c r="T1544" s="14" t="s">
        <v>14618</v>
      </c>
      <c r="U1544" s="14">
        <v>411292.45</v>
      </c>
      <c r="V1544" s="14">
        <v>6192174.3700000001</v>
      </c>
      <c r="W1544" s="14">
        <v>180.08</v>
      </c>
      <c r="X1544" s="14">
        <v>150.05000000000001</v>
      </c>
    </row>
    <row r="1545" spans="1:24" s="14" customFormat="1" x14ac:dyDescent="0.25">
      <c r="A1545" s="50">
        <v>45101</v>
      </c>
      <c r="B1545" s="57">
        <v>175</v>
      </c>
      <c r="C1545" s="36">
        <v>0.83851851851851855</v>
      </c>
      <c r="D1545" s="16" t="s">
        <v>7408</v>
      </c>
      <c r="E1545" s="52" t="s">
        <v>65</v>
      </c>
      <c r="F1545" s="16" t="s">
        <v>11862</v>
      </c>
      <c r="G1545" s="16" t="s">
        <v>2237</v>
      </c>
      <c r="H1545" s="14">
        <v>0.16400000000000001</v>
      </c>
      <c r="I1545" s="14" t="s">
        <v>14624</v>
      </c>
      <c r="J1545" s="14" t="s">
        <v>14625</v>
      </c>
      <c r="K1545" s="14" t="s">
        <v>14626</v>
      </c>
      <c r="L1545" s="14" t="s">
        <v>14619</v>
      </c>
      <c r="O1545" s="14" t="s">
        <v>14620</v>
      </c>
      <c r="P1545" s="14" t="s">
        <v>14621</v>
      </c>
      <c r="Q1545" s="14">
        <v>411276.01</v>
      </c>
      <c r="R1545" s="14">
        <v>6192167.9699999997</v>
      </c>
      <c r="S1545" s="14" t="s">
        <v>14622</v>
      </c>
      <c r="T1545" s="14" t="s">
        <v>14623</v>
      </c>
      <c r="U1545" s="14">
        <v>411301.53</v>
      </c>
      <c r="V1545" s="14">
        <v>6192168.0899999999</v>
      </c>
      <c r="W1545" s="14">
        <v>359.77</v>
      </c>
      <c r="X1545" s="14">
        <v>150.05000000000001</v>
      </c>
    </row>
    <row r="1546" spans="1:24" s="14" customFormat="1" x14ac:dyDescent="0.25">
      <c r="A1546" s="50">
        <v>45101</v>
      </c>
      <c r="B1546" s="57">
        <v>175</v>
      </c>
      <c r="C1546" s="36">
        <v>0.84267361111111105</v>
      </c>
      <c r="D1546" s="16" t="s">
        <v>7408</v>
      </c>
      <c r="E1546" s="52" t="s">
        <v>70</v>
      </c>
      <c r="F1546" s="16" t="s">
        <v>11862</v>
      </c>
      <c r="G1546" s="16" t="s">
        <v>2237</v>
      </c>
      <c r="H1546" s="14">
        <v>-1.7999999999999999E-2</v>
      </c>
      <c r="I1546" s="14" t="s">
        <v>14624</v>
      </c>
      <c r="J1546" s="14" t="s">
        <v>14625</v>
      </c>
      <c r="K1546" s="14" t="s">
        <v>14626</v>
      </c>
      <c r="L1546" s="14" t="s">
        <v>14619</v>
      </c>
      <c r="O1546" s="14" t="s">
        <v>14627</v>
      </c>
      <c r="P1546" s="14" t="s">
        <v>14628</v>
      </c>
      <c r="Q1546" s="14">
        <v>411277.37</v>
      </c>
      <c r="R1546" s="14">
        <v>6192349.5999999996</v>
      </c>
      <c r="S1546" s="14" t="s">
        <v>14629</v>
      </c>
      <c r="T1546" s="14" t="s">
        <v>14630</v>
      </c>
      <c r="U1546" s="14">
        <v>411301.55</v>
      </c>
      <c r="V1546" s="14">
        <v>6192350.2000000002</v>
      </c>
      <c r="W1546" s="14">
        <v>359.75</v>
      </c>
      <c r="X1546" s="14">
        <v>150.05000000000001</v>
      </c>
    </row>
    <row r="1547" spans="1:24" s="14" customFormat="1" x14ac:dyDescent="0.25">
      <c r="A1547" s="50">
        <v>45101</v>
      </c>
      <c r="B1547" s="57">
        <v>175</v>
      </c>
      <c r="C1547" s="36">
        <v>0.84658564814814818</v>
      </c>
      <c r="D1547" s="16" t="s">
        <v>7408</v>
      </c>
      <c r="E1547" s="52" t="s">
        <v>65</v>
      </c>
      <c r="F1547" s="16" t="s">
        <v>11862</v>
      </c>
      <c r="G1547" s="16" t="s">
        <v>2236</v>
      </c>
      <c r="H1547" s="14">
        <v>-1.6E-2</v>
      </c>
      <c r="I1547" s="14" t="s">
        <v>14635</v>
      </c>
      <c r="J1547" s="14" t="s">
        <v>14636</v>
      </c>
      <c r="K1547" s="14" t="s">
        <v>14637</v>
      </c>
      <c r="L1547" s="14" t="s">
        <v>14638</v>
      </c>
      <c r="O1547" s="14" t="s">
        <v>14631</v>
      </c>
      <c r="P1547" s="14" t="s">
        <v>14632</v>
      </c>
      <c r="Q1547" s="14">
        <v>411285.39</v>
      </c>
      <c r="R1547" s="14">
        <v>6192361.8300000001</v>
      </c>
      <c r="S1547" s="14" t="s">
        <v>14633</v>
      </c>
      <c r="T1547" s="14" t="s">
        <v>14634</v>
      </c>
      <c r="U1547" s="14">
        <v>411310.61</v>
      </c>
      <c r="V1547" s="14">
        <v>6192359.2699999996</v>
      </c>
      <c r="W1547" s="14">
        <v>180.64</v>
      </c>
      <c r="X1547" s="14">
        <v>150.05000000000001</v>
      </c>
    </row>
    <row r="1548" spans="1:24" s="14" customFormat="1" x14ac:dyDescent="0.25">
      <c r="A1548" s="50">
        <v>45101</v>
      </c>
      <c r="B1548" s="57">
        <v>175</v>
      </c>
      <c r="C1548" s="36">
        <v>0.85083333333333344</v>
      </c>
      <c r="D1548" s="16" t="s">
        <v>7408</v>
      </c>
      <c r="E1548" s="52" t="s">
        <v>70</v>
      </c>
      <c r="F1548" s="16" t="s">
        <v>11862</v>
      </c>
      <c r="G1548" s="16" t="s">
        <v>2236</v>
      </c>
      <c r="H1548" s="14">
        <v>0.17</v>
      </c>
      <c r="I1548" s="14" t="s">
        <v>14635</v>
      </c>
      <c r="J1548" s="14" t="s">
        <v>14636</v>
      </c>
      <c r="K1548" s="14" t="s">
        <v>14637</v>
      </c>
      <c r="L1548" s="14" t="s">
        <v>14638</v>
      </c>
      <c r="O1548" s="14" t="s">
        <v>14639</v>
      </c>
      <c r="P1548" s="14" t="s">
        <v>14640</v>
      </c>
      <c r="Q1548" s="14">
        <v>411284.61</v>
      </c>
      <c r="R1548" s="14">
        <v>6192174.9000000004</v>
      </c>
      <c r="S1548" s="14" t="s">
        <v>14641</v>
      </c>
      <c r="T1548" s="14" t="s">
        <v>14642</v>
      </c>
      <c r="U1548" s="14">
        <v>411310.54</v>
      </c>
      <c r="V1548" s="14">
        <v>6192173.6299999999</v>
      </c>
      <c r="W1548" s="14">
        <v>179.92</v>
      </c>
      <c r="X1548" s="14">
        <v>150.05000000000001</v>
      </c>
    </row>
    <row r="1549" spans="1:24" s="14" customFormat="1" x14ac:dyDescent="0.25">
      <c r="A1549" s="50">
        <v>45101</v>
      </c>
      <c r="B1549" s="57">
        <v>175</v>
      </c>
      <c r="C1549" s="36">
        <v>0.8533912037037038</v>
      </c>
      <c r="D1549" s="16" t="s">
        <v>7408</v>
      </c>
      <c r="E1549" s="52" t="s">
        <v>65</v>
      </c>
      <c r="F1549" s="16" t="s">
        <v>11862</v>
      </c>
      <c r="G1549" s="16" t="s">
        <v>2235</v>
      </c>
      <c r="H1549" s="14">
        <v>0.16500000000000001</v>
      </c>
      <c r="I1549" s="14" t="s">
        <v>14647</v>
      </c>
      <c r="J1549" s="14" t="s">
        <v>14648</v>
      </c>
      <c r="K1549" s="14" t="s">
        <v>14649</v>
      </c>
      <c r="L1549" s="14" t="s">
        <v>14638</v>
      </c>
      <c r="O1549" s="14" t="s">
        <v>14643</v>
      </c>
      <c r="P1549" s="14" t="s">
        <v>14644</v>
      </c>
      <c r="Q1549" s="14">
        <v>411294.02</v>
      </c>
      <c r="R1549" s="14">
        <v>6192169.0099999998</v>
      </c>
      <c r="S1549" s="14" t="s">
        <v>14645</v>
      </c>
      <c r="T1549" s="14" t="s">
        <v>14646</v>
      </c>
      <c r="U1549" s="14">
        <v>411319.45</v>
      </c>
      <c r="V1549" s="14">
        <v>6192167.3499999996</v>
      </c>
      <c r="W1549" s="14">
        <v>0.78</v>
      </c>
      <c r="X1549" s="14">
        <v>150.05000000000001</v>
      </c>
    </row>
    <row r="1550" spans="1:24" s="14" customFormat="1" x14ac:dyDescent="0.25">
      <c r="A1550" s="50">
        <v>45101</v>
      </c>
      <c r="B1550" s="57">
        <v>175</v>
      </c>
      <c r="C1550" s="36">
        <v>0.8575694444444445</v>
      </c>
      <c r="D1550" s="16" t="s">
        <v>7408</v>
      </c>
      <c r="E1550" s="52" t="s">
        <v>70</v>
      </c>
      <c r="F1550" s="16" t="s">
        <v>11862</v>
      </c>
      <c r="G1550" s="16" t="s">
        <v>2235</v>
      </c>
      <c r="H1550" s="14">
        <v>-1.9E-2</v>
      </c>
      <c r="I1550" s="14" t="s">
        <v>14647</v>
      </c>
      <c r="J1550" s="14" t="s">
        <v>14648</v>
      </c>
      <c r="K1550" s="14" t="s">
        <v>14649</v>
      </c>
      <c r="L1550" s="14" t="s">
        <v>14654</v>
      </c>
      <c r="O1550" s="14" t="s">
        <v>14650</v>
      </c>
      <c r="P1550" s="14" t="s">
        <v>14651</v>
      </c>
      <c r="Q1550" s="14">
        <v>411295.05</v>
      </c>
      <c r="R1550" s="14">
        <v>6192353</v>
      </c>
      <c r="S1550" s="14" t="s">
        <v>14652</v>
      </c>
      <c r="T1550" s="14" t="s">
        <v>14653</v>
      </c>
      <c r="U1550" s="14">
        <v>411319.54</v>
      </c>
      <c r="V1550" s="14">
        <v>6192351.1799999997</v>
      </c>
      <c r="W1550" s="14">
        <v>0.24</v>
      </c>
      <c r="X1550" s="14">
        <v>150.05000000000001</v>
      </c>
    </row>
    <row r="1551" spans="1:24" s="14" customFormat="1" x14ac:dyDescent="0.25">
      <c r="A1551" s="50">
        <v>45101</v>
      </c>
      <c r="B1551" s="57">
        <v>175</v>
      </c>
      <c r="C1551" s="36">
        <v>0.86016203703703698</v>
      </c>
      <c r="D1551" s="16" t="s">
        <v>7408</v>
      </c>
      <c r="E1551" s="52" t="s">
        <v>65</v>
      </c>
      <c r="F1551" s="16" t="s">
        <v>11862</v>
      </c>
      <c r="G1551" s="16" t="s">
        <v>2234</v>
      </c>
      <c r="H1551" s="14">
        <v>-1.4E-2</v>
      </c>
      <c r="I1551" s="14" t="s">
        <v>14659</v>
      </c>
      <c r="J1551" s="14" t="s">
        <v>14660</v>
      </c>
      <c r="K1551" s="14" t="s">
        <v>14661</v>
      </c>
      <c r="L1551" s="14" t="s">
        <v>14654</v>
      </c>
      <c r="O1551" s="14" t="s">
        <v>14655</v>
      </c>
      <c r="P1551" s="14" t="s">
        <v>14656</v>
      </c>
      <c r="Q1551" s="14">
        <v>411304.4</v>
      </c>
      <c r="R1551" s="14">
        <v>6192363.3499999996</v>
      </c>
      <c r="S1551" s="14" t="s">
        <v>14657</v>
      </c>
      <c r="T1551" s="14" t="s">
        <v>14658</v>
      </c>
      <c r="U1551" s="14">
        <v>411328.47</v>
      </c>
      <c r="V1551" s="14">
        <v>6192357.4500000002</v>
      </c>
      <c r="W1551" s="14">
        <v>179.74</v>
      </c>
      <c r="X1551" s="14">
        <v>150.05000000000001</v>
      </c>
    </row>
    <row r="1552" spans="1:24" s="128" customFormat="1" x14ac:dyDescent="0.25">
      <c r="A1552" s="50">
        <v>45101</v>
      </c>
      <c r="B1552" s="57">
        <v>175</v>
      </c>
      <c r="C1552" s="36">
        <v>0.86444444444444446</v>
      </c>
      <c r="D1552" s="117" t="s">
        <v>7408</v>
      </c>
      <c r="E1552" s="136" t="s">
        <v>70</v>
      </c>
      <c r="F1552" s="117" t="s">
        <v>11862</v>
      </c>
      <c r="G1552" s="117" t="s">
        <v>2234</v>
      </c>
      <c r="H1552" s="137">
        <v>0.17</v>
      </c>
      <c r="I1552" s="128" t="s">
        <v>14659</v>
      </c>
      <c r="J1552" s="128" t="s">
        <v>14660</v>
      </c>
      <c r="K1552" s="128" t="s">
        <v>14661</v>
      </c>
      <c r="L1552" s="128" t="s">
        <v>14666</v>
      </c>
      <c r="O1552" s="128" t="s">
        <v>14662</v>
      </c>
      <c r="P1552" s="128" t="s">
        <v>14663</v>
      </c>
      <c r="Q1552" s="137">
        <v>411303.55</v>
      </c>
      <c r="R1552" s="137">
        <v>6192174.6399999997</v>
      </c>
      <c r="S1552" s="137" t="s">
        <v>14664</v>
      </c>
      <c r="T1552" s="137" t="s">
        <v>14665</v>
      </c>
      <c r="U1552" s="137">
        <v>411328.56</v>
      </c>
      <c r="V1552" s="137">
        <v>6192173.9800000004</v>
      </c>
      <c r="W1552" s="137">
        <v>180.71</v>
      </c>
      <c r="X1552" s="137">
        <v>150.05000000000001</v>
      </c>
    </row>
    <row r="1553" spans="1:24" s="14" customFormat="1" x14ac:dyDescent="0.25">
      <c r="A1553" s="50">
        <v>45101</v>
      </c>
      <c r="B1553" s="57">
        <v>175</v>
      </c>
      <c r="C1553" s="36">
        <v>0.86711805555555566</v>
      </c>
      <c r="D1553" s="16" t="s">
        <v>7408</v>
      </c>
      <c r="E1553" s="52" t="s">
        <v>65</v>
      </c>
      <c r="F1553" s="16" t="s">
        <v>11862</v>
      </c>
      <c r="G1553" s="16" t="s">
        <v>2240</v>
      </c>
      <c r="H1553" s="14">
        <v>0.16500000000000001</v>
      </c>
      <c r="I1553" s="14" t="s">
        <v>14671</v>
      </c>
      <c r="J1553" s="14" t="s">
        <v>14672</v>
      </c>
      <c r="K1553" s="14" t="s">
        <v>14673</v>
      </c>
      <c r="L1553" s="14" t="s">
        <v>14666</v>
      </c>
      <c r="O1553" s="14" t="s">
        <v>14667</v>
      </c>
      <c r="P1553" s="14" t="s">
        <v>14668</v>
      </c>
      <c r="Q1553" s="14">
        <v>411312.45</v>
      </c>
      <c r="R1553" s="14">
        <v>6192171.1299999999</v>
      </c>
      <c r="S1553" s="14" t="s">
        <v>14669</v>
      </c>
      <c r="T1553" s="14" t="s">
        <v>14670</v>
      </c>
      <c r="U1553" s="14">
        <v>411337.68</v>
      </c>
      <c r="V1553" s="14">
        <v>6192167.0800000001</v>
      </c>
      <c r="W1553" s="14">
        <v>359.62</v>
      </c>
      <c r="X1553" s="14">
        <v>150.05000000000001</v>
      </c>
    </row>
    <row r="1554" spans="1:24" s="14" customFormat="1" x14ac:dyDescent="0.25">
      <c r="A1554" s="50">
        <v>45101</v>
      </c>
      <c r="B1554" s="57">
        <v>175</v>
      </c>
      <c r="C1554" s="36">
        <v>0.87130787037037039</v>
      </c>
      <c r="D1554" s="16" t="s">
        <v>7408</v>
      </c>
      <c r="E1554" s="52" t="s">
        <v>70</v>
      </c>
      <c r="F1554" s="16" t="s">
        <v>11862</v>
      </c>
      <c r="G1554" s="16" t="s">
        <v>2240</v>
      </c>
      <c r="H1554" s="14">
        <v>-1.7999999999999999E-2</v>
      </c>
      <c r="I1554" s="14" t="s">
        <v>14671</v>
      </c>
      <c r="J1554" s="14" t="s">
        <v>14672</v>
      </c>
      <c r="K1554" s="14" t="s">
        <v>14673</v>
      </c>
      <c r="L1554" s="14" t="s">
        <v>14666</v>
      </c>
      <c r="O1554" s="14" t="s">
        <v>14674</v>
      </c>
      <c r="P1554" s="14" t="s">
        <v>14675</v>
      </c>
      <c r="Q1554" s="14">
        <v>411313.32</v>
      </c>
      <c r="R1554" s="14">
        <v>6192355.7400000002</v>
      </c>
      <c r="S1554" s="14" t="s">
        <v>14676</v>
      </c>
      <c r="T1554" s="14" t="s">
        <v>14677</v>
      </c>
      <c r="U1554" s="14">
        <v>411337.59</v>
      </c>
      <c r="V1554" s="14">
        <v>6192350.5300000003</v>
      </c>
      <c r="W1554" s="14">
        <v>359.61</v>
      </c>
      <c r="X1554" s="14">
        <v>150.05000000000001</v>
      </c>
    </row>
    <row r="1555" spans="1:24" s="14" customFormat="1" x14ac:dyDescent="0.25">
      <c r="A1555" s="50">
        <v>45101</v>
      </c>
      <c r="B1555" s="57">
        <v>175</v>
      </c>
      <c r="C1555" s="36">
        <v>0.87379629629629629</v>
      </c>
      <c r="D1555" s="16" t="s">
        <v>7408</v>
      </c>
      <c r="E1555" s="52" t="s">
        <v>65</v>
      </c>
      <c r="F1555" s="16" t="s">
        <v>11862</v>
      </c>
      <c r="G1555" s="16" t="s">
        <v>2241</v>
      </c>
      <c r="H1555" s="14">
        <v>-1.2999999999999999E-2</v>
      </c>
      <c r="I1555" s="14" t="s">
        <v>14682</v>
      </c>
      <c r="J1555" s="14" t="s">
        <v>14683</v>
      </c>
      <c r="K1555" s="14" t="s">
        <v>14684</v>
      </c>
      <c r="L1555" s="14" t="s">
        <v>14666</v>
      </c>
      <c r="O1555" s="14" t="s">
        <v>14678</v>
      </c>
      <c r="P1555" s="14" t="s">
        <v>14679</v>
      </c>
      <c r="Q1555" s="14">
        <v>411322.12</v>
      </c>
      <c r="R1555" s="14">
        <v>6192359.7599999998</v>
      </c>
      <c r="S1555" s="14" t="s">
        <v>14680</v>
      </c>
      <c r="T1555" s="14" t="s">
        <v>14681</v>
      </c>
      <c r="U1555" s="14">
        <v>411346.59</v>
      </c>
      <c r="V1555" s="14">
        <v>6192356.9699999997</v>
      </c>
      <c r="W1555" s="14">
        <v>180.3</v>
      </c>
      <c r="X1555" s="14">
        <v>150.05000000000001</v>
      </c>
    </row>
    <row r="1556" spans="1:24" s="14" customFormat="1" x14ac:dyDescent="0.25">
      <c r="A1556" s="50">
        <v>45101</v>
      </c>
      <c r="B1556" s="57">
        <v>175</v>
      </c>
      <c r="C1556" s="36">
        <v>0.87796296296296295</v>
      </c>
      <c r="D1556" s="16" t="s">
        <v>7408</v>
      </c>
      <c r="E1556" s="52" t="s">
        <v>70</v>
      </c>
      <c r="F1556" s="16" t="s">
        <v>11862</v>
      </c>
      <c r="G1556" s="16" t="s">
        <v>2241</v>
      </c>
      <c r="H1556" s="14">
        <v>0.17</v>
      </c>
      <c r="I1556" s="14" t="s">
        <v>14682</v>
      </c>
      <c r="J1556" s="14" t="s">
        <v>14683</v>
      </c>
      <c r="K1556" s="14" t="s">
        <v>14684</v>
      </c>
      <c r="L1556" s="14" t="s">
        <v>14689</v>
      </c>
      <c r="O1556" s="14" t="s">
        <v>14685</v>
      </c>
      <c r="P1556" s="14" t="s">
        <v>14686</v>
      </c>
      <c r="Q1556" s="14">
        <v>411321.68</v>
      </c>
      <c r="R1556" s="14">
        <v>6192175.0300000003</v>
      </c>
      <c r="S1556" s="14" t="s">
        <v>14687</v>
      </c>
      <c r="T1556" s="14" t="s">
        <v>14688</v>
      </c>
      <c r="U1556" s="14">
        <v>411346.54</v>
      </c>
      <c r="V1556" s="14">
        <v>6192173.2699999996</v>
      </c>
      <c r="W1556" s="14">
        <v>179.98</v>
      </c>
      <c r="X1556" s="14">
        <v>150.05000000000001</v>
      </c>
    </row>
    <row r="1557" spans="1:24" s="14" customFormat="1" x14ac:dyDescent="0.25">
      <c r="A1557" s="50">
        <v>45101</v>
      </c>
      <c r="B1557" s="57">
        <v>175</v>
      </c>
      <c r="C1557" s="36">
        <v>0.88059027777777776</v>
      </c>
      <c r="D1557" s="16" t="s">
        <v>7408</v>
      </c>
      <c r="E1557" s="52" t="s">
        <v>65</v>
      </c>
      <c r="F1557" s="16" t="s">
        <v>11862</v>
      </c>
      <c r="G1557" s="16" t="s">
        <v>2242</v>
      </c>
      <c r="H1557" s="14">
        <v>0.16400000000000001</v>
      </c>
      <c r="I1557" s="14" t="s">
        <v>14694</v>
      </c>
      <c r="J1557" s="14" t="s">
        <v>14695</v>
      </c>
      <c r="K1557" s="14" t="s">
        <v>14696</v>
      </c>
      <c r="L1557" s="14" t="s">
        <v>14689</v>
      </c>
      <c r="O1557" s="14" t="s">
        <v>14690</v>
      </c>
      <c r="P1557" s="14" t="s">
        <v>14691</v>
      </c>
      <c r="Q1557" s="14">
        <v>411330.91</v>
      </c>
      <c r="R1557" s="14">
        <v>6192171.2400000002</v>
      </c>
      <c r="S1557" s="14" t="s">
        <v>14692</v>
      </c>
      <c r="T1557" s="14" t="s">
        <v>14693</v>
      </c>
      <c r="U1557" s="14">
        <v>411355.47</v>
      </c>
      <c r="V1557" s="14">
        <v>6192168.3499999996</v>
      </c>
      <c r="W1557" s="14">
        <v>1.08</v>
      </c>
      <c r="X1557" s="14">
        <v>150.05000000000001</v>
      </c>
    </row>
    <row r="1558" spans="1:24" s="14" customFormat="1" x14ac:dyDescent="0.25">
      <c r="A1558" s="50">
        <v>45101</v>
      </c>
      <c r="B1558" s="57">
        <v>175</v>
      </c>
      <c r="C1558" s="36">
        <v>0.88473379629629623</v>
      </c>
      <c r="D1558" s="16" t="s">
        <v>7408</v>
      </c>
      <c r="E1558" s="52" t="s">
        <v>70</v>
      </c>
      <c r="F1558" s="16" t="s">
        <v>11862</v>
      </c>
      <c r="G1558" s="16" t="s">
        <v>2242</v>
      </c>
      <c r="H1558" s="14">
        <v>-1.7999999999999999E-2</v>
      </c>
      <c r="I1558" s="14" t="s">
        <v>14694</v>
      </c>
      <c r="J1558" s="14" t="s">
        <v>14695</v>
      </c>
      <c r="K1558" s="14" t="s">
        <v>14696</v>
      </c>
      <c r="L1558" s="14" t="s">
        <v>14689</v>
      </c>
      <c r="O1558" s="14" t="s">
        <v>14697</v>
      </c>
      <c r="P1558" s="14" t="s">
        <v>14698</v>
      </c>
      <c r="Q1558" s="14">
        <v>411331.8</v>
      </c>
      <c r="R1558" s="14">
        <v>6192352.5099999998</v>
      </c>
      <c r="S1558" s="14" t="s">
        <v>14699</v>
      </c>
      <c r="T1558" s="14" t="s">
        <v>14700</v>
      </c>
      <c r="U1558" s="14">
        <v>411355.52</v>
      </c>
      <c r="V1558" s="14">
        <v>6192350.5999999996</v>
      </c>
      <c r="W1558" s="14">
        <v>359.74</v>
      </c>
      <c r="X1558" s="14">
        <v>150.05000000000001</v>
      </c>
    </row>
    <row r="1559" spans="1:24" s="14" customFormat="1" x14ac:dyDescent="0.25">
      <c r="A1559" s="50">
        <v>45101</v>
      </c>
      <c r="B1559" s="57">
        <v>175</v>
      </c>
      <c r="C1559" s="36">
        <v>0.88726851851851851</v>
      </c>
      <c r="D1559" s="16" t="s">
        <v>7408</v>
      </c>
      <c r="E1559" s="52" t="s">
        <v>65</v>
      </c>
      <c r="F1559" s="16" t="s">
        <v>11862</v>
      </c>
      <c r="G1559" s="16" t="s">
        <v>2243</v>
      </c>
      <c r="H1559" s="14">
        <v>-1.2999999999999999E-2</v>
      </c>
      <c r="I1559" s="14" t="s">
        <v>14705</v>
      </c>
      <c r="J1559" s="14" t="s">
        <v>14706</v>
      </c>
      <c r="K1559" s="14" t="s">
        <v>14707</v>
      </c>
      <c r="L1559" s="14" t="s">
        <v>14708</v>
      </c>
      <c r="O1559" s="14" t="s">
        <v>14701</v>
      </c>
      <c r="P1559" s="14" t="s">
        <v>14702</v>
      </c>
      <c r="Q1559" s="14">
        <v>411340.82</v>
      </c>
      <c r="R1559" s="14">
        <v>6192359.4000000004</v>
      </c>
      <c r="S1559" s="14" t="s">
        <v>14703</v>
      </c>
      <c r="T1559" s="14" t="s">
        <v>14704</v>
      </c>
      <c r="U1559" s="14">
        <v>411364.61</v>
      </c>
      <c r="V1559" s="14">
        <v>6192356.2699999996</v>
      </c>
      <c r="W1559" s="14">
        <v>180.33</v>
      </c>
      <c r="X1559" s="14">
        <v>150.05000000000001</v>
      </c>
    </row>
    <row r="1560" spans="1:24" s="14" customFormat="1" x14ac:dyDescent="0.25">
      <c r="A1560" s="50">
        <v>45101</v>
      </c>
      <c r="B1560" s="57">
        <v>175</v>
      </c>
      <c r="C1560" s="36">
        <v>0.89140046296296294</v>
      </c>
      <c r="D1560" s="16" t="s">
        <v>7408</v>
      </c>
      <c r="E1560" s="52" t="s">
        <v>70</v>
      </c>
      <c r="F1560" s="16" t="s">
        <v>11862</v>
      </c>
      <c r="G1560" s="16" t="s">
        <v>2243</v>
      </c>
      <c r="H1560" s="14">
        <v>0.17</v>
      </c>
      <c r="I1560" s="14" t="s">
        <v>14705</v>
      </c>
      <c r="J1560" s="14" t="s">
        <v>14706</v>
      </c>
      <c r="K1560" s="14" t="s">
        <v>14707</v>
      </c>
      <c r="L1560" s="14" t="s">
        <v>14708</v>
      </c>
      <c r="O1560" s="14" t="s">
        <v>14709</v>
      </c>
      <c r="P1560" s="14" t="s">
        <v>14710</v>
      </c>
      <c r="Q1560" s="14">
        <v>411339.46</v>
      </c>
      <c r="R1560" s="14">
        <v>6192176.9500000002</v>
      </c>
      <c r="S1560" s="14" t="s">
        <v>14711</v>
      </c>
      <c r="T1560" s="14" t="s">
        <v>14712</v>
      </c>
      <c r="U1560" s="14">
        <v>411364.62</v>
      </c>
      <c r="V1560" s="14">
        <v>6192173.75</v>
      </c>
      <c r="W1560" s="14">
        <v>180.42</v>
      </c>
      <c r="X1560" s="14">
        <v>150.05000000000001</v>
      </c>
    </row>
    <row r="1561" spans="1:24" s="14" customFormat="1" x14ac:dyDescent="0.25">
      <c r="A1561" s="50">
        <v>45101</v>
      </c>
      <c r="B1561" s="57">
        <v>175</v>
      </c>
      <c r="C1561" s="36">
        <v>0.89379629629629631</v>
      </c>
      <c r="D1561" s="16" t="s">
        <v>7408</v>
      </c>
      <c r="E1561" s="52" t="s">
        <v>65</v>
      </c>
      <c r="F1561" s="16" t="s">
        <v>11862</v>
      </c>
      <c r="G1561" s="16" t="s">
        <v>2244</v>
      </c>
      <c r="H1561" s="14">
        <v>0.16600000000000001</v>
      </c>
      <c r="I1561" s="14" t="s">
        <v>14717</v>
      </c>
      <c r="J1561" s="14" t="s">
        <v>14718</v>
      </c>
      <c r="K1561" s="14" t="s">
        <v>14719</v>
      </c>
      <c r="L1561" s="14" t="s">
        <v>14708</v>
      </c>
      <c r="O1561" s="14" t="s">
        <v>14713</v>
      </c>
      <c r="P1561" s="14" t="s">
        <v>14714</v>
      </c>
      <c r="Q1561" s="14">
        <v>411349.13</v>
      </c>
      <c r="R1561" s="14">
        <v>6192170.3600000003</v>
      </c>
      <c r="S1561" s="14" t="s">
        <v>14715</v>
      </c>
      <c r="T1561" s="14" t="s">
        <v>14716</v>
      </c>
      <c r="U1561" s="14">
        <v>411373.32</v>
      </c>
      <c r="V1561" s="14">
        <v>6192166.6100000003</v>
      </c>
      <c r="W1561" s="14">
        <v>0.6</v>
      </c>
      <c r="X1561" s="14">
        <v>150.05000000000001</v>
      </c>
    </row>
    <row r="1562" spans="1:24" s="14" customFormat="1" x14ac:dyDescent="0.25">
      <c r="A1562" s="50">
        <v>45101</v>
      </c>
      <c r="B1562" s="57">
        <v>175</v>
      </c>
      <c r="C1562" s="36">
        <v>0.8979166666666667</v>
      </c>
      <c r="D1562" s="16" t="s">
        <v>7408</v>
      </c>
      <c r="E1562" s="52" t="s">
        <v>70</v>
      </c>
      <c r="F1562" s="16" t="s">
        <v>11862</v>
      </c>
      <c r="G1562" s="16" t="s">
        <v>2244</v>
      </c>
      <c r="H1562" s="14">
        <v>-1.7999999999999999E-2</v>
      </c>
      <c r="I1562" s="14" t="s">
        <v>14717</v>
      </c>
      <c r="J1562" s="14" t="s">
        <v>14718</v>
      </c>
      <c r="K1562" s="14" t="s">
        <v>14719</v>
      </c>
      <c r="L1562" s="14" t="s">
        <v>14724</v>
      </c>
      <c r="O1562" s="14" t="s">
        <v>14720</v>
      </c>
      <c r="P1562" s="14" t="s">
        <v>14721</v>
      </c>
      <c r="Q1562" s="14">
        <v>411349.76000000001</v>
      </c>
      <c r="R1562" s="14">
        <v>6192351.0300000003</v>
      </c>
      <c r="S1562" s="14" t="s">
        <v>14722</v>
      </c>
      <c r="T1562" s="14" t="s">
        <v>14723</v>
      </c>
      <c r="U1562" s="14">
        <v>411373.41</v>
      </c>
      <c r="V1562" s="14">
        <v>6192350.1699999999</v>
      </c>
      <c r="W1562" s="14">
        <v>359.64</v>
      </c>
      <c r="X1562" s="14">
        <v>150.05000000000001</v>
      </c>
    </row>
    <row r="1563" spans="1:24" s="14" customFormat="1" x14ac:dyDescent="0.25">
      <c r="A1563" s="50">
        <v>45101</v>
      </c>
      <c r="B1563" s="57">
        <v>175</v>
      </c>
      <c r="C1563" s="36">
        <v>0.90033564814814815</v>
      </c>
      <c r="D1563" s="16" t="s">
        <v>7408</v>
      </c>
      <c r="E1563" s="52" t="s">
        <v>65</v>
      </c>
      <c r="F1563" s="16" t="s">
        <v>11862</v>
      </c>
      <c r="G1563" s="16" t="s">
        <v>2245</v>
      </c>
      <c r="H1563" s="14">
        <v>-1.2999999999999999E-2</v>
      </c>
      <c r="I1563" s="14" t="s">
        <v>14729</v>
      </c>
      <c r="J1563" s="14" t="s">
        <v>14730</v>
      </c>
      <c r="K1563" s="14" t="s">
        <v>14731</v>
      </c>
      <c r="L1563" s="14" t="s">
        <v>14724</v>
      </c>
      <c r="O1563" s="14" t="s">
        <v>14725</v>
      </c>
      <c r="P1563" s="14" t="s">
        <v>14726</v>
      </c>
      <c r="Q1563" s="14">
        <v>411360.05</v>
      </c>
      <c r="R1563" s="14">
        <v>6192361.8600000003</v>
      </c>
      <c r="S1563" s="14" t="s">
        <v>14727</v>
      </c>
      <c r="T1563" s="14" t="s">
        <v>14728</v>
      </c>
      <c r="U1563" s="14">
        <v>411382.49</v>
      </c>
      <c r="V1563" s="14">
        <v>6192356.5800000001</v>
      </c>
      <c r="W1563" s="14">
        <v>180.13</v>
      </c>
      <c r="X1563" s="14">
        <v>150.05000000000001</v>
      </c>
    </row>
    <row r="1564" spans="1:24" s="14" customFormat="1" x14ac:dyDescent="0.25">
      <c r="A1564" s="50">
        <v>45101</v>
      </c>
      <c r="B1564" s="57">
        <v>175</v>
      </c>
      <c r="C1564" s="36">
        <v>0.90445601851851853</v>
      </c>
      <c r="D1564" s="16" t="s">
        <v>7408</v>
      </c>
      <c r="E1564" s="52" t="s">
        <v>70</v>
      </c>
      <c r="F1564" s="16" t="s">
        <v>11862</v>
      </c>
      <c r="G1564" s="16" t="s">
        <v>2245</v>
      </c>
      <c r="H1564" s="14">
        <v>0.17</v>
      </c>
      <c r="I1564" s="14" t="s">
        <v>14729</v>
      </c>
      <c r="J1564" s="14" t="s">
        <v>14730</v>
      </c>
      <c r="K1564" s="14" t="s">
        <v>14731</v>
      </c>
      <c r="L1564" s="14" t="s">
        <v>14724</v>
      </c>
      <c r="O1564" s="14" t="s">
        <v>14732</v>
      </c>
      <c r="P1564" s="14" t="s">
        <v>14733</v>
      </c>
      <c r="Q1564" s="14">
        <v>411358.39</v>
      </c>
      <c r="R1564" s="14">
        <v>6192179.8899999997</v>
      </c>
      <c r="S1564" s="14" t="s">
        <v>14734</v>
      </c>
      <c r="T1564" s="14" t="s">
        <v>14735</v>
      </c>
      <c r="U1564" s="14">
        <v>411382.51</v>
      </c>
      <c r="V1564" s="14">
        <v>6192173.4299999997</v>
      </c>
      <c r="W1564" s="14">
        <v>180.08</v>
      </c>
      <c r="X1564" s="14">
        <v>150.05000000000001</v>
      </c>
    </row>
    <row r="1565" spans="1:24" s="14" customFormat="1" x14ac:dyDescent="0.25">
      <c r="A1565" s="50">
        <v>45101</v>
      </c>
      <c r="B1565" s="57">
        <v>175</v>
      </c>
      <c r="C1565" s="36">
        <v>0.90935185185185186</v>
      </c>
      <c r="D1565" s="16" t="s">
        <v>7408</v>
      </c>
      <c r="E1565" s="116" t="s">
        <v>14736</v>
      </c>
      <c r="F1565" s="16" t="s">
        <v>11862</v>
      </c>
      <c r="G1565" s="16" t="s">
        <v>2020</v>
      </c>
      <c r="H1565" s="14">
        <v>1.897</v>
      </c>
      <c r="O1565" s="14" t="s">
        <v>14737</v>
      </c>
      <c r="P1565" s="14" t="s">
        <v>14738</v>
      </c>
      <c r="Q1565" s="14">
        <v>411358.24</v>
      </c>
      <c r="R1565" s="14">
        <v>6192161.0099999998</v>
      </c>
      <c r="S1565" s="14" t="s">
        <v>14739</v>
      </c>
      <c r="T1565" s="14" t="s">
        <v>14740</v>
      </c>
      <c r="U1565" s="14">
        <v>411368.28</v>
      </c>
      <c r="V1565" s="14">
        <v>6192159.75</v>
      </c>
      <c r="W1565" s="14">
        <v>85.77</v>
      </c>
      <c r="X1565" s="14">
        <v>150.05000000000001</v>
      </c>
    </row>
    <row r="1566" spans="1:24" s="122" customFormat="1" x14ac:dyDescent="0.25">
      <c r="A1566" s="65">
        <v>45101</v>
      </c>
      <c r="B1566" s="106">
        <v>175</v>
      </c>
      <c r="C1566" s="67">
        <v>0.93232638888888886</v>
      </c>
      <c r="D1566" s="66" t="s">
        <v>175</v>
      </c>
      <c r="E1566" s="123" t="s">
        <v>14746</v>
      </c>
      <c r="F1566" s="66" t="s">
        <v>8759</v>
      </c>
      <c r="G1566" s="66" t="s">
        <v>2020</v>
      </c>
      <c r="H1566" s="122">
        <v>0.19900000000000001</v>
      </c>
      <c r="M1566" s="122" t="s">
        <v>14741</v>
      </c>
      <c r="O1566" s="122" t="s">
        <v>14742</v>
      </c>
      <c r="P1566" s="122" t="s">
        <v>14743</v>
      </c>
      <c r="Q1566" s="122">
        <v>414465.26</v>
      </c>
      <c r="R1566" s="122">
        <v>6193863.3899999997</v>
      </c>
      <c r="S1566" s="122" t="s">
        <v>14744</v>
      </c>
      <c r="T1566" s="122" t="s">
        <v>14745</v>
      </c>
      <c r="U1566" s="122">
        <v>414476.29</v>
      </c>
      <c r="V1566" s="122">
        <v>6193857.8700000001</v>
      </c>
      <c r="W1566" s="122">
        <v>91.85</v>
      </c>
      <c r="X1566" s="122">
        <v>150.05000000000001</v>
      </c>
    </row>
    <row r="1567" spans="1:24" s="14" customFormat="1" x14ac:dyDescent="0.25">
      <c r="A1567" s="50">
        <v>45101</v>
      </c>
      <c r="B1567" s="57">
        <v>175</v>
      </c>
      <c r="C1567" s="36">
        <v>0.93474537037037031</v>
      </c>
      <c r="D1567" s="16" t="s">
        <v>175</v>
      </c>
      <c r="E1567" s="52" t="s">
        <v>65</v>
      </c>
      <c r="F1567" s="16" t="s">
        <v>8759</v>
      </c>
      <c r="G1567" s="16" t="s">
        <v>2020</v>
      </c>
      <c r="H1567" s="14">
        <v>0.161</v>
      </c>
      <c r="I1567" s="14" t="s">
        <v>14751</v>
      </c>
      <c r="J1567" s="14" t="s">
        <v>14752</v>
      </c>
      <c r="K1567" s="14" t="s">
        <v>14753</v>
      </c>
      <c r="L1567" s="14" t="s">
        <v>14754</v>
      </c>
      <c r="O1567" s="14" t="s">
        <v>14747</v>
      </c>
      <c r="P1567" s="14" t="s">
        <v>14748</v>
      </c>
      <c r="Q1567" s="14">
        <v>414465.22</v>
      </c>
      <c r="R1567" s="14">
        <v>6193895.1200000001</v>
      </c>
      <c r="S1567" s="14" t="s">
        <v>14749</v>
      </c>
      <c r="T1567" s="14" t="s">
        <v>14750</v>
      </c>
      <c r="U1567" s="14">
        <v>414492.1</v>
      </c>
      <c r="V1567" s="14">
        <v>6193890.21</v>
      </c>
      <c r="W1567" s="14">
        <v>0.14000000000000001</v>
      </c>
      <c r="X1567" s="14">
        <v>150.05000000000001</v>
      </c>
    </row>
    <row r="1568" spans="1:24" s="14" customFormat="1" x14ac:dyDescent="0.25">
      <c r="A1568" s="50">
        <v>45101</v>
      </c>
      <c r="B1568" s="57">
        <v>175</v>
      </c>
      <c r="C1568" s="36">
        <v>0.93885416666666666</v>
      </c>
      <c r="D1568" s="16" t="s">
        <v>175</v>
      </c>
      <c r="E1568" s="52" t="s">
        <v>70</v>
      </c>
      <c r="F1568" s="16" t="s">
        <v>8759</v>
      </c>
      <c r="G1568" s="16" t="s">
        <v>2020</v>
      </c>
      <c r="H1568" s="14">
        <v>-1.9E-2</v>
      </c>
      <c r="I1568" s="14" t="s">
        <v>14751</v>
      </c>
      <c r="J1568" s="14" t="s">
        <v>14752</v>
      </c>
      <c r="K1568" s="14" t="s">
        <v>14753</v>
      </c>
      <c r="L1568" s="14" t="s">
        <v>14759</v>
      </c>
      <c r="O1568" s="14" t="s">
        <v>14755</v>
      </c>
      <c r="P1568" s="14" t="s">
        <v>14756</v>
      </c>
      <c r="Q1568" s="14">
        <v>414465.34</v>
      </c>
      <c r="R1568" s="14">
        <v>6194076.4800000004</v>
      </c>
      <c r="S1568" s="14" t="s">
        <v>14757</v>
      </c>
      <c r="T1568" s="14" t="s">
        <v>14758</v>
      </c>
      <c r="U1568" s="14">
        <v>414492.22</v>
      </c>
      <c r="V1568" s="14">
        <v>6194070.7199999997</v>
      </c>
      <c r="W1568" s="14">
        <v>359.69</v>
      </c>
      <c r="X1568" s="14">
        <v>150.05000000000001</v>
      </c>
    </row>
    <row r="1569" spans="1:24" s="14" customFormat="1" x14ac:dyDescent="0.25">
      <c r="A1569" s="50">
        <v>45101</v>
      </c>
      <c r="B1569" s="57">
        <v>175</v>
      </c>
      <c r="C1569" s="36">
        <v>0.9412962962962963</v>
      </c>
      <c r="D1569" s="16" t="s">
        <v>175</v>
      </c>
      <c r="E1569" s="52" t="s">
        <v>65</v>
      </c>
      <c r="F1569" s="16" t="s">
        <v>8759</v>
      </c>
      <c r="G1569" s="16" t="s">
        <v>2019</v>
      </c>
      <c r="H1569" s="14">
        <v>-1.4E-2</v>
      </c>
      <c r="I1569" s="14" t="s">
        <v>14764</v>
      </c>
      <c r="J1569" s="14" t="s">
        <v>14765</v>
      </c>
      <c r="K1569" s="14" t="s">
        <v>14766</v>
      </c>
      <c r="L1569" s="14" t="s">
        <v>14759</v>
      </c>
      <c r="O1569" s="14" t="s">
        <v>14760</v>
      </c>
      <c r="P1569" s="14" t="s">
        <v>14761</v>
      </c>
      <c r="Q1569" s="14">
        <v>414475.19</v>
      </c>
      <c r="R1569" s="14">
        <v>6194082.3700000001</v>
      </c>
      <c r="S1569" s="14" t="s">
        <v>14762</v>
      </c>
      <c r="T1569" s="14" t="s">
        <v>14763</v>
      </c>
      <c r="U1569" s="14">
        <v>414501.28</v>
      </c>
      <c r="V1569" s="14">
        <v>6194076.71</v>
      </c>
      <c r="W1569" s="14">
        <v>181.67</v>
      </c>
      <c r="X1569" s="14">
        <v>150.05000000000001</v>
      </c>
    </row>
    <row r="1570" spans="1:24" s="14" customFormat="1" x14ac:dyDescent="0.25">
      <c r="A1570" s="50">
        <v>45101</v>
      </c>
      <c r="B1570" s="57">
        <v>175</v>
      </c>
      <c r="C1570" s="36">
        <v>0.94547453703703699</v>
      </c>
      <c r="D1570" s="16" t="s">
        <v>175</v>
      </c>
      <c r="E1570" s="52" t="s">
        <v>70</v>
      </c>
      <c r="F1570" s="16" t="s">
        <v>8759</v>
      </c>
      <c r="G1570" s="16" t="s">
        <v>2019</v>
      </c>
      <c r="H1570" s="14">
        <v>0.16600000000000001</v>
      </c>
      <c r="I1570" s="14" t="s">
        <v>14764</v>
      </c>
      <c r="J1570" s="14" t="s">
        <v>14765</v>
      </c>
      <c r="K1570" s="14" t="s">
        <v>14766</v>
      </c>
      <c r="L1570" s="14" t="s">
        <v>14759</v>
      </c>
      <c r="O1570" s="14" t="s">
        <v>14767</v>
      </c>
      <c r="P1570" s="14" t="s">
        <v>14768</v>
      </c>
      <c r="Q1570" s="14">
        <v>414474.46</v>
      </c>
      <c r="R1570" s="14">
        <v>6193899.7699999996</v>
      </c>
      <c r="S1570" s="14" t="s">
        <v>14769</v>
      </c>
      <c r="T1570" s="14" t="s">
        <v>14770</v>
      </c>
      <c r="U1570" s="14">
        <v>414501.22</v>
      </c>
      <c r="V1570" s="14">
        <v>6193896.3700000001</v>
      </c>
      <c r="W1570" s="14">
        <v>179.95</v>
      </c>
      <c r="X1570" s="14">
        <v>150.05000000000001</v>
      </c>
    </row>
    <row r="1571" spans="1:24" s="14" customFormat="1" x14ac:dyDescent="0.25">
      <c r="A1571" s="50">
        <v>45101</v>
      </c>
      <c r="B1571" s="57">
        <v>175</v>
      </c>
      <c r="C1571" s="36">
        <v>0.94817129629629626</v>
      </c>
      <c r="D1571" s="16" t="s">
        <v>175</v>
      </c>
      <c r="E1571" s="52" t="s">
        <v>65</v>
      </c>
      <c r="F1571" s="16" t="s">
        <v>8759</v>
      </c>
      <c r="G1571" s="16" t="s">
        <v>2018</v>
      </c>
      <c r="H1571" s="14">
        <v>0.161</v>
      </c>
      <c r="I1571" s="14" t="s">
        <v>14775</v>
      </c>
      <c r="J1571" s="115" t="s">
        <v>14776</v>
      </c>
      <c r="K1571" s="14" t="s">
        <v>14777</v>
      </c>
      <c r="L1571" s="14" t="s">
        <v>14778</v>
      </c>
      <c r="O1571" s="14" t="s">
        <v>14771</v>
      </c>
      <c r="P1571" s="14" t="s">
        <v>14772</v>
      </c>
      <c r="Q1571" s="14">
        <v>414482.31</v>
      </c>
      <c r="R1571" s="14">
        <v>6193892.0099999998</v>
      </c>
      <c r="S1571" s="14" t="s">
        <v>14773</v>
      </c>
      <c r="T1571" s="14" t="s">
        <v>14774</v>
      </c>
      <c r="U1571" s="14">
        <v>414510.22</v>
      </c>
      <c r="V1571" s="14">
        <v>6193889.8799999999</v>
      </c>
      <c r="W1571" s="14">
        <v>0.23</v>
      </c>
      <c r="X1571" s="14">
        <v>150.05000000000001</v>
      </c>
    </row>
    <row r="1572" spans="1:24" s="14" customFormat="1" x14ac:dyDescent="0.25">
      <c r="A1572" s="50">
        <v>45101</v>
      </c>
      <c r="B1572" s="57">
        <v>175</v>
      </c>
      <c r="C1572" s="36">
        <v>0.95225694444444453</v>
      </c>
      <c r="D1572" s="16" t="s">
        <v>175</v>
      </c>
      <c r="E1572" s="52" t="s">
        <v>70</v>
      </c>
      <c r="F1572" s="16" t="s">
        <v>8759</v>
      </c>
      <c r="G1572" s="16" t="s">
        <v>2018</v>
      </c>
      <c r="H1572" s="14">
        <v>-1.9E-2</v>
      </c>
      <c r="I1572" s="14" t="s">
        <v>14775</v>
      </c>
      <c r="J1572" s="115" t="s">
        <v>15194</v>
      </c>
      <c r="K1572" s="14" t="s">
        <v>14777</v>
      </c>
      <c r="L1572" s="14" t="s">
        <v>14778</v>
      </c>
      <c r="O1572" s="14" t="s">
        <v>14779</v>
      </c>
      <c r="P1572" s="14" t="s">
        <v>14780</v>
      </c>
      <c r="Q1572" s="14">
        <v>414483.1</v>
      </c>
      <c r="R1572" s="14">
        <v>6194072.79</v>
      </c>
      <c r="S1572" s="14" t="s">
        <v>14781</v>
      </c>
      <c r="T1572" s="14" t="s">
        <v>14782</v>
      </c>
      <c r="U1572" s="14">
        <v>414510.25</v>
      </c>
      <c r="V1572" s="14">
        <v>6194069.8099999996</v>
      </c>
      <c r="W1572" s="14">
        <v>0.26</v>
      </c>
      <c r="X1572" s="14">
        <v>150.05000000000001</v>
      </c>
    </row>
    <row r="1573" spans="1:24" s="14" customFormat="1" x14ac:dyDescent="0.25">
      <c r="A1573" s="50">
        <v>45101</v>
      </c>
      <c r="B1573" s="57">
        <v>175</v>
      </c>
      <c r="C1573" s="36">
        <v>0.95488425925925924</v>
      </c>
      <c r="D1573" s="16" t="s">
        <v>175</v>
      </c>
      <c r="E1573" s="52" t="s">
        <v>65</v>
      </c>
      <c r="F1573" s="16" t="s">
        <v>8759</v>
      </c>
      <c r="G1573" s="16" t="s">
        <v>2017</v>
      </c>
      <c r="H1573" s="14">
        <v>-1.2999999999999999E-2</v>
      </c>
      <c r="I1573" s="14" t="s">
        <v>14787</v>
      </c>
      <c r="J1573" s="14" t="s">
        <v>14788</v>
      </c>
      <c r="K1573" s="14" t="s">
        <v>14789</v>
      </c>
      <c r="L1573" s="14" t="s">
        <v>14778</v>
      </c>
      <c r="O1573" s="14" t="s">
        <v>14783</v>
      </c>
      <c r="P1573" s="14" t="s">
        <v>14784</v>
      </c>
      <c r="Q1573" s="14">
        <v>414493.1</v>
      </c>
      <c r="R1573" s="14">
        <v>6194078.8899999997</v>
      </c>
      <c r="S1573" s="14" t="s">
        <v>14785</v>
      </c>
      <c r="T1573" s="14" t="s">
        <v>14786</v>
      </c>
      <c r="U1573" s="14">
        <v>414519.39</v>
      </c>
      <c r="V1573" s="14">
        <v>6194075.7800000003</v>
      </c>
      <c r="W1573" s="14">
        <v>181.55</v>
      </c>
      <c r="X1573" s="14">
        <v>150.05000000000001</v>
      </c>
    </row>
    <row r="1574" spans="1:24" s="14" customFormat="1" x14ac:dyDescent="0.25">
      <c r="A1574" s="50">
        <v>45101</v>
      </c>
      <c r="B1574" s="57">
        <v>175</v>
      </c>
      <c r="C1574" s="36">
        <v>0.95898148148148143</v>
      </c>
      <c r="D1574" s="16" t="s">
        <v>175</v>
      </c>
      <c r="E1574" s="52" t="s">
        <v>70</v>
      </c>
      <c r="F1574" s="16" t="s">
        <v>8759</v>
      </c>
      <c r="G1574" s="16" t="s">
        <v>2017</v>
      </c>
      <c r="H1574" s="14">
        <v>0.16600000000000001</v>
      </c>
      <c r="I1574" s="14" t="s">
        <v>14787</v>
      </c>
      <c r="J1574" s="14" t="s">
        <v>14788</v>
      </c>
      <c r="K1574" s="14" t="s">
        <v>14789</v>
      </c>
      <c r="L1574" s="14" t="s">
        <v>14794</v>
      </c>
      <c r="O1574" s="14" t="s">
        <v>14790</v>
      </c>
      <c r="P1574" s="14" t="s">
        <v>14791</v>
      </c>
      <c r="Q1574" s="14">
        <v>414492.52</v>
      </c>
      <c r="R1574" s="14">
        <v>6193898.7000000002</v>
      </c>
      <c r="S1574" s="14" t="s">
        <v>14792</v>
      </c>
      <c r="T1574" s="14" t="s">
        <v>14793</v>
      </c>
      <c r="U1574" s="14">
        <v>414519.28</v>
      </c>
      <c r="V1574" s="14">
        <v>6193896.0599999996</v>
      </c>
      <c r="W1574" s="14">
        <v>180.44</v>
      </c>
      <c r="X1574" s="14">
        <v>150.05000000000001</v>
      </c>
    </row>
    <row r="1575" spans="1:24" s="14" customFormat="1" x14ac:dyDescent="0.25">
      <c r="A1575" s="50">
        <v>45101</v>
      </c>
      <c r="B1575" s="57">
        <v>175</v>
      </c>
      <c r="C1575" s="36">
        <v>0.96053240740740742</v>
      </c>
      <c r="D1575" s="16" t="s">
        <v>175</v>
      </c>
      <c r="E1575" s="52" t="s">
        <v>14799</v>
      </c>
      <c r="F1575" s="16" t="s">
        <v>8759</v>
      </c>
      <c r="G1575" s="16" t="s">
        <v>2016</v>
      </c>
      <c r="H1575" s="14">
        <v>0.187</v>
      </c>
      <c r="O1575" s="14" t="s">
        <v>14795</v>
      </c>
      <c r="P1575" s="14" t="s">
        <v>14796</v>
      </c>
      <c r="Q1575" s="14">
        <v>414501.23</v>
      </c>
      <c r="R1575" s="14">
        <v>6193865.9800000004</v>
      </c>
      <c r="S1575" s="14" t="s">
        <v>14797</v>
      </c>
      <c r="T1575" s="14" t="s">
        <v>14798</v>
      </c>
      <c r="U1575" s="14">
        <v>414528.15</v>
      </c>
      <c r="V1575" s="14">
        <v>6193864.5899999999</v>
      </c>
      <c r="W1575" s="14">
        <v>0.86</v>
      </c>
      <c r="X1575" s="14">
        <v>150.05000000000001</v>
      </c>
    </row>
    <row r="1576" spans="1:24" s="14" customFormat="1" x14ac:dyDescent="0.25">
      <c r="A1576" s="50">
        <v>45101</v>
      </c>
      <c r="B1576" s="57">
        <v>175</v>
      </c>
      <c r="C1576" s="36">
        <v>0.9616203703703704</v>
      </c>
      <c r="D1576" s="16" t="s">
        <v>175</v>
      </c>
      <c r="E1576" s="52" t="s">
        <v>65</v>
      </c>
      <c r="F1576" s="16" t="s">
        <v>8759</v>
      </c>
      <c r="G1576" s="16" t="s">
        <v>2016</v>
      </c>
      <c r="H1576" s="14">
        <v>0.16200000000000001</v>
      </c>
      <c r="I1576" s="14" t="s">
        <v>14804</v>
      </c>
      <c r="J1576" s="14" t="s">
        <v>14805</v>
      </c>
      <c r="K1576" s="14" t="s">
        <v>14806</v>
      </c>
      <c r="L1576" s="14" t="s">
        <v>14794</v>
      </c>
      <c r="O1576" s="14" t="s">
        <v>14800</v>
      </c>
      <c r="P1576" s="14" t="s">
        <v>14801</v>
      </c>
      <c r="Q1576" s="14">
        <v>414501.71</v>
      </c>
      <c r="R1576" s="14">
        <v>6193891.0300000003</v>
      </c>
      <c r="S1576" s="14" t="s">
        <v>14802</v>
      </c>
      <c r="T1576" s="14" t="s">
        <v>14803</v>
      </c>
      <c r="U1576" s="14">
        <v>414528.27</v>
      </c>
      <c r="V1576" s="14">
        <v>6193889.21</v>
      </c>
      <c r="W1576" s="14">
        <v>359.58</v>
      </c>
      <c r="X1576" s="14">
        <v>150.05000000000001</v>
      </c>
    </row>
    <row r="1577" spans="1:24" s="14" customFormat="1" x14ac:dyDescent="0.25">
      <c r="A1577" s="50">
        <v>45101</v>
      </c>
      <c r="B1577" s="57">
        <v>175</v>
      </c>
      <c r="C1577" s="36">
        <v>0.96574074074074068</v>
      </c>
      <c r="D1577" s="16" t="s">
        <v>175</v>
      </c>
      <c r="E1577" s="52" t="s">
        <v>70</v>
      </c>
      <c r="F1577" s="16" t="s">
        <v>8759</v>
      </c>
      <c r="G1577" s="16" t="s">
        <v>2016</v>
      </c>
      <c r="H1577" s="14">
        <v>-1.7999999999999999E-2</v>
      </c>
      <c r="I1577" s="14" t="s">
        <v>14804</v>
      </c>
      <c r="J1577" s="14" t="s">
        <v>14805</v>
      </c>
      <c r="K1577" s="14" t="s">
        <v>14806</v>
      </c>
      <c r="L1577" s="14" t="s">
        <v>14794</v>
      </c>
      <c r="O1577" s="14" t="s">
        <v>14807</v>
      </c>
      <c r="P1577" s="14" t="s">
        <v>14808</v>
      </c>
      <c r="Q1577" s="14">
        <v>414501.89</v>
      </c>
      <c r="R1577" s="14">
        <v>6194072.8700000001</v>
      </c>
      <c r="S1577" s="14" t="s">
        <v>14809</v>
      </c>
      <c r="T1577" s="14" t="s">
        <v>14810</v>
      </c>
      <c r="U1577" s="14">
        <v>414528.22</v>
      </c>
      <c r="V1577" s="14">
        <v>6194069.6600000001</v>
      </c>
      <c r="W1577" s="14">
        <v>0.27</v>
      </c>
      <c r="X1577" s="14">
        <v>150.05000000000001</v>
      </c>
    </row>
    <row r="1578" spans="1:24" s="14" customFormat="1" x14ac:dyDescent="0.25">
      <c r="A1578" s="50">
        <v>45101</v>
      </c>
      <c r="B1578" s="57">
        <v>175</v>
      </c>
      <c r="C1578" s="36">
        <v>0.968287037037037</v>
      </c>
      <c r="D1578" s="16" t="s">
        <v>175</v>
      </c>
      <c r="E1578" s="52" t="s">
        <v>65</v>
      </c>
      <c r="F1578" s="16" t="s">
        <v>8759</v>
      </c>
      <c r="G1578" s="16" t="s">
        <v>2015</v>
      </c>
      <c r="H1578" s="14">
        <v>-1.2999999999999999E-2</v>
      </c>
      <c r="I1578" s="14" t="s">
        <v>14815</v>
      </c>
      <c r="J1578" s="14" t="s">
        <v>14816</v>
      </c>
      <c r="K1578" s="14" t="s">
        <v>14817</v>
      </c>
      <c r="L1578" s="14" t="s">
        <v>14794</v>
      </c>
      <c r="O1578" s="14" t="s">
        <v>14811</v>
      </c>
      <c r="P1578" s="14" t="s">
        <v>14812</v>
      </c>
      <c r="Q1578" s="14">
        <v>414513.58</v>
      </c>
      <c r="R1578" s="14">
        <v>6194077.5800000001</v>
      </c>
      <c r="S1578" s="14" t="s">
        <v>14813</v>
      </c>
      <c r="T1578" s="14" t="s">
        <v>14814</v>
      </c>
      <c r="U1578" s="14">
        <v>414537.29</v>
      </c>
      <c r="V1578" s="14">
        <v>6194075.7300000004</v>
      </c>
      <c r="W1578" s="14">
        <v>180.87</v>
      </c>
      <c r="X1578" s="14">
        <v>150.05000000000001</v>
      </c>
    </row>
    <row r="1579" spans="1:24" s="14" customFormat="1" x14ac:dyDescent="0.25">
      <c r="A1579" s="50">
        <v>45101</v>
      </c>
      <c r="B1579" s="57">
        <v>175</v>
      </c>
      <c r="C1579" s="36">
        <v>0.97236111111111112</v>
      </c>
      <c r="D1579" s="16" t="s">
        <v>175</v>
      </c>
      <c r="E1579" s="52" t="s">
        <v>70</v>
      </c>
      <c r="F1579" s="16" t="s">
        <v>8759</v>
      </c>
      <c r="G1579" s="16" t="s">
        <v>2015</v>
      </c>
      <c r="H1579" s="14">
        <v>0.16700000000000001</v>
      </c>
      <c r="I1579" s="14" t="s">
        <v>14815</v>
      </c>
      <c r="J1579" s="14" t="s">
        <v>14816</v>
      </c>
      <c r="K1579" s="14" t="s">
        <v>14817</v>
      </c>
      <c r="L1579" s="14" t="s">
        <v>14822</v>
      </c>
      <c r="O1579" s="14" t="s">
        <v>14818</v>
      </c>
      <c r="P1579" s="14" t="s">
        <v>14819</v>
      </c>
      <c r="Q1579" s="14">
        <v>414512.5</v>
      </c>
      <c r="R1579" s="14">
        <v>6193897.5700000003</v>
      </c>
      <c r="S1579" s="14" t="s">
        <v>14820</v>
      </c>
      <c r="T1579" s="14" t="s">
        <v>14821</v>
      </c>
      <c r="U1579" s="14">
        <v>414537.24</v>
      </c>
      <c r="V1579" s="14">
        <v>6193895.25</v>
      </c>
      <c r="W1579" s="14">
        <v>180.57</v>
      </c>
      <c r="X1579" s="14">
        <v>150.05000000000001</v>
      </c>
    </row>
    <row r="1580" spans="1:24" s="14" customFormat="1" x14ac:dyDescent="0.25">
      <c r="A1580" s="50">
        <v>45101</v>
      </c>
      <c r="B1580" s="57">
        <v>175</v>
      </c>
      <c r="C1580" s="36">
        <v>0.97511574074074081</v>
      </c>
      <c r="D1580" s="16" t="s">
        <v>175</v>
      </c>
      <c r="E1580" s="52" t="s">
        <v>65</v>
      </c>
      <c r="F1580" s="16" t="s">
        <v>8759</v>
      </c>
      <c r="G1580" s="16" t="s">
        <v>2021</v>
      </c>
      <c r="H1580" s="14">
        <v>0.16200000000000001</v>
      </c>
      <c r="I1580" s="14" t="s">
        <v>14827</v>
      </c>
      <c r="J1580" s="14" t="s">
        <v>14828</v>
      </c>
      <c r="K1580" s="14" t="s">
        <v>14829</v>
      </c>
      <c r="L1580" s="14" t="s">
        <v>14822</v>
      </c>
      <c r="O1580" s="14" t="s">
        <v>14823</v>
      </c>
      <c r="P1580" s="14" t="s">
        <v>14824</v>
      </c>
      <c r="Q1580" s="14">
        <v>414520.94</v>
      </c>
      <c r="R1580" s="14">
        <v>6193892.7400000002</v>
      </c>
      <c r="S1580" s="14" t="s">
        <v>14825</v>
      </c>
      <c r="T1580" s="14" t="s">
        <v>14826</v>
      </c>
      <c r="U1580" s="14">
        <v>414546.27</v>
      </c>
      <c r="V1580" s="14">
        <v>6193889.7599999998</v>
      </c>
      <c r="W1580" s="14">
        <v>0.87</v>
      </c>
      <c r="X1580" s="14">
        <v>150.05000000000001</v>
      </c>
    </row>
    <row r="1581" spans="1:24" s="14" customFormat="1" x14ac:dyDescent="0.25">
      <c r="A1581" s="50">
        <v>45101</v>
      </c>
      <c r="B1581" s="57">
        <v>175</v>
      </c>
      <c r="C1581" s="36">
        <v>0.97916666666666663</v>
      </c>
      <c r="D1581" s="16" t="s">
        <v>175</v>
      </c>
      <c r="E1581" s="14" t="s">
        <v>70</v>
      </c>
      <c r="F1581" s="16" t="s">
        <v>8759</v>
      </c>
      <c r="G1581" s="16" t="s">
        <v>2021</v>
      </c>
      <c r="H1581" s="14">
        <v>-1.7999999999999999E-2</v>
      </c>
      <c r="I1581" s="14" t="s">
        <v>14827</v>
      </c>
      <c r="J1581" s="14" t="s">
        <v>14828</v>
      </c>
      <c r="K1581" s="14" t="s">
        <v>14829</v>
      </c>
      <c r="L1581" s="14" t="s">
        <v>14834</v>
      </c>
      <c r="O1581" s="14" t="s">
        <v>14830</v>
      </c>
      <c r="P1581" s="14" t="s">
        <v>14831</v>
      </c>
      <c r="Q1581" s="14">
        <v>414520.58</v>
      </c>
      <c r="R1581" s="14">
        <v>6194072.8300000001</v>
      </c>
      <c r="S1581" s="14" t="s">
        <v>14832</v>
      </c>
      <c r="T1581" s="14" t="s">
        <v>14833</v>
      </c>
      <c r="U1581" s="14">
        <v>414546.26</v>
      </c>
      <c r="V1581" s="14">
        <v>6194068.8099999996</v>
      </c>
      <c r="W1581" s="14">
        <v>359.92</v>
      </c>
      <c r="X1581" s="14">
        <v>150.05000000000001</v>
      </c>
    </row>
    <row r="1582" spans="1:24" s="14" customFormat="1" x14ac:dyDescent="0.25">
      <c r="A1582" s="50">
        <v>45101</v>
      </c>
      <c r="B1582" s="57">
        <v>175</v>
      </c>
      <c r="C1582" s="36">
        <v>0.98166666666666658</v>
      </c>
      <c r="D1582" s="16" t="s">
        <v>175</v>
      </c>
      <c r="E1582" s="14" t="s">
        <v>65</v>
      </c>
      <c r="F1582" s="16" t="s">
        <v>8759</v>
      </c>
      <c r="G1582" s="16" t="s">
        <v>2022</v>
      </c>
      <c r="H1582" s="14">
        <v>-1.2999999999999999E-2</v>
      </c>
      <c r="I1582" s="14" t="s">
        <v>14839</v>
      </c>
      <c r="J1582" s="14" t="s">
        <v>14840</v>
      </c>
      <c r="K1582" s="14" t="s">
        <v>14841</v>
      </c>
      <c r="L1582" s="14" t="s">
        <v>14834</v>
      </c>
      <c r="O1582" s="14" t="s">
        <v>14835</v>
      </c>
      <c r="P1582" s="14" t="s">
        <v>14836</v>
      </c>
      <c r="Q1582" s="14">
        <v>414531.59</v>
      </c>
      <c r="R1582" s="14">
        <v>6194077.8899999997</v>
      </c>
      <c r="S1582" s="14" t="s">
        <v>14837</v>
      </c>
      <c r="T1582" s="14" t="s">
        <v>14838</v>
      </c>
      <c r="U1582" s="14">
        <v>414555.29</v>
      </c>
      <c r="V1582" s="14">
        <v>6194074.9699999997</v>
      </c>
      <c r="W1582" s="14">
        <v>181.07</v>
      </c>
      <c r="X1582" s="14">
        <v>150.05000000000001</v>
      </c>
    </row>
    <row r="1583" spans="1:24" s="14" customFormat="1" x14ac:dyDescent="0.25">
      <c r="A1583" s="50">
        <v>45101</v>
      </c>
      <c r="B1583" s="57">
        <v>175</v>
      </c>
      <c r="C1583" s="36">
        <v>0.98581018518518526</v>
      </c>
      <c r="D1583" s="16" t="s">
        <v>175</v>
      </c>
      <c r="E1583" s="52" t="s">
        <v>70</v>
      </c>
      <c r="F1583" s="16" t="s">
        <v>8759</v>
      </c>
      <c r="G1583" s="16" t="s">
        <v>2022</v>
      </c>
      <c r="H1583" s="14">
        <v>0.17</v>
      </c>
      <c r="I1583" s="14" t="s">
        <v>14839</v>
      </c>
      <c r="J1583" s="14" t="s">
        <v>14840</v>
      </c>
      <c r="K1583" s="14" t="s">
        <v>14841</v>
      </c>
      <c r="L1583" s="14" t="s">
        <v>14834</v>
      </c>
      <c r="O1583" s="14" t="s">
        <v>14842</v>
      </c>
      <c r="P1583" s="14" t="s">
        <v>14843</v>
      </c>
      <c r="Q1583" s="14">
        <v>414530.53</v>
      </c>
      <c r="R1583" s="14">
        <v>6193896.2199999997</v>
      </c>
      <c r="S1583" s="14" t="s">
        <v>14844</v>
      </c>
      <c r="T1583" s="14" t="s">
        <v>14845</v>
      </c>
      <c r="U1583" s="14">
        <v>414555.27</v>
      </c>
      <c r="V1583" s="14">
        <v>6193892</v>
      </c>
      <c r="W1583" s="14">
        <v>180.45</v>
      </c>
      <c r="X1583" s="14">
        <v>150.05000000000001</v>
      </c>
    </row>
    <row r="1584" spans="1:24" s="14" customFormat="1" x14ac:dyDescent="0.25">
      <c r="A1584" s="50">
        <v>45101</v>
      </c>
      <c r="B1584" s="57">
        <v>175</v>
      </c>
      <c r="C1584" s="36">
        <v>0.98835648148148147</v>
      </c>
      <c r="D1584" s="16" t="s">
        <v>175</v>
      </c>
      <c r="E1584" s="52" t="s">
        <v>65</v>
      </c>
      <c r="F1584" s="16" t="s">
        <v>8759</v>
      </c>
      <c r="G1584" s="16" t="s">
        <v>2023</v>
      </c>
      <c r="H1584" s="14">
        <v>0.16500000000000001</v>
      </c>
      <c r="I1584" s="14" t="s">
        <v>14850</v>
      </c>
      <c r="J1584" s="14" t="s">
        <v>14851</v>
      </c>
      <c r="K1584" s="14" t="s">
        <v>14852</v>
      </c>
      <c r="L1584" s="14" t="s">
        <v>14834</v>
      </c>
      <c r="O1584" s="14" t="s">
        <v>14846</v>
      </c>
      <c r="P1584" s="14" t="s">
        <v>14847</v>
      </c>
      <c r="Q1584" s="14">
        <v>414539.16</v>
      </c>
      <c r="R1584" s="14">
        <v>6193893.7199999997</v>
      </c>
      <c r="S1584" s="14" t="s">
        <v>14848</v>
      </c>
      <c r="T1584" s="14" t="s">
        <v>14849</v>
      </c>
      <c r="U1584" s="14">
        <v>414564.19</v>
      </c>
      <c r="V1584" s="14">
        <v>6193886</v>
      </c>
      <c r="W1584" s="14">
        <v>0.79</v>
      </c>
      <c r="X1584" s="14">
        <v>150.05000000000001</v>
      </c>
    </row>
    <row r="1585" spans="1:24" s="14" customFormat="1" x14ac:dyDescent="0.25">
      <c r="A1585" s="50">
        <v>45101</v>
      </c>
      <c r="B1585" s="57">
        <v>175</v>
      </c>
      <c r="C1585" s="36">
        <v>0.9924884259259259</v>
      </c>
      <c r="D1585" s="16" t="s">
        <v>175</v>
      </c>
      <c r="E1585" s="52" t="s">
        <v>70</v>
      </c>
      <c r="F1585" s="16" t="s">
        <v>8759</v>
      </c>
      <c r="G1585" s="16" t="s">
        <v>2023</v>
      </c>
      <c r="H1585" s="14">
        <v>-1.7000000000000001E-2</v>
      </c>
      <c r="I1585" s="14" t="s">
        <v>14850</v>
      </c>
      <c r="J1585" s="14" t="s">
        <v>14851</v>
      </c>
      <c r="K1585" s="14" t="s">
        <v>14852</v>
      </c>
      <c r="L1585" s="14" t="s">
        <v>14857</v>
      </c>
      <c r="O1585" s="14" t="s">
        <v>14853</v>
      </c>
      <c r="P1585" s="14" t="s">
        <v>14854</v>
      </c>
      <c r="Q1585" s="14">
        <v>414538.67</v>
      </c>
      <c r="R1585" s="14">
        <v>6194076.7800000003</v>
      </c>
      <c r="S1585" s="14" t="s">
        <v>14855</v>
      </c>
      <c r="T1585" s="14" t="s">
        <v>14856</v>
      </c>
      <c r="U1585" s="14">
        <v>414564.22</v>
      </c>
      <c r="V1585" s="14">
        <v>6194068.1299999999</v>
      </c>
      <c r="W1585" s="14">
        <v>0.33</v>
      </c>
      <c r="X1585" s="14">
        <v>150.05000000000001</v>
      </c>
    </row>
    <row r="1586" spans="1:24" s="14" customFormat="1" x14ac:dyDescent="0.25">
      <c r="A1586" s="50">
        <v>45101</v>
      </c>
      <c r="B1586" s="57">
        <v>175</v>
      </c>
      <c r="C1586" s="36">
        <v>0.99530092592592589</v>
      </c>
      <c r="D1586" s="16" t="s">
        <v>175</v>
      </c>
      <c r="E1586" s="52" t="s">
        <v>65</v>
      </c>
      <c r="F1586" s="16" t="s">
        <v>8759</v>
      </c>
      <c r="G1586" s="16" t="s">
        <v>2024</v>
      </c>
      <c r="H1586" s="14">
        <v>-1.2E-2</v>
      </c>
      <c r="I1586" s="14" t="s">
        <v>14862</v>
      </c>
      <c r="J1586" s="14" t="s">
        <v>14863</v>
      </c>
      <c r="K1586" s="14" t="s">
        <v>14864</v>
      </c>
      <c r="L1586" s="14" t="s">
        <v>14857</v>
      </c>
      <c r="O1586" s="14" t="s">
        <v>14858</v>
      </c>
      <c r="P1586" s="14" t="s">
        <v>14859</v>
      </c>
      <c r="Q1586" s="14">
        <v>414549.15</v>
      </c>
      <c r="R1586" s="14">
        <v>6194080.25</v>
      </c>
      <c r="S1586" s="14" t="s">
        <v>14860</v>
      </c>
      <c r="T1586" s="14" t="s">
        <v>14861</v>
      </c>
      <c r="U1586" s="14">
        <v>414573.36</v>
      </c>
      <c r="V1586" s="14">
        <v>6194074.1399999997</v>
      </c>
      <c r="W1586" s="14">
        <v>181.19</v>
      </c>
      <c r="X1586" s="14">
        <v>150.05000000000001</v>
      </c>
    </row>
    <row r="1587" spans="1:24" s="14" customFormat="1" x14ac:dyDescent="0.25">
      <c r="A1587" s="50">
        <v>45101</v>
      </c>
      <c r="B1587" s="57">
        <v>175</v>
      </c>
      <c r="C1587" s="36">
        <v>0.99944444444444447</v>
      </c>
      <c r="D1587" s="16" t="s">
        <v>175</v>
      </c>
      <c r="E1587" s="52" t="s">
        <v>70</v>
      </c>
      <c r="F1587" s="16" t="s">
        <v>8759</v>
      </c>
      <c r="G1587" s="16" t="s">
        <v>2024</v>
      </c>
      <c r="H1587" s="14">
        <v>0.17100000000000001</v>
      </c>
      <c r="I1587" s="14" t="s">
        <v>14862</v>
      </c>
      <c r="J1587" s="14" t="s">
        <v>14863</v>
      </c>
      <c r="K1587" s="14" t="s">
        <v>14864</v>
      </c>
      <c r="L1587" s="14" t="s">
        <v>14857</v>
      </c>
      <c r="O1587" s="14" t="s">
        <v>14865</v>
      </c>
      <c r="P1587" s="14" t="s">
        <v>14866</v>
      </c>
      <c r="Q1587" s="14">
        <v>414548.37</v>
      </c>
      <c r="R1587" s="14">
        <v>6193898.9800000004</v>
      </c>
      <c r="S1587" s="14" t="s">
        <v>14867</v>
      </c>
      <c r="T1587" s="14" t="s">
        <v>14868</v>
      </c>
      <c r="U1587" s="14">
        <v>414573.27</v>
      </c>
      <c r="V1587" s="14">
        <v>6193891.9000000004</v>
      </c>
      <c r="W1587" s="14">
        <v>180.21</v>
      </c>
      <c r="X1587" s="14">
        <v>150.05000000000001</v>
      </c>
    </row>
    <row r="1588" spans="1:24" s="112" customFormat="1" x14ac:dyDescent="0.25">
      <c r="A1588" s="69">
        <v>45102</v>
      </c>
      <c r="B1588" s="103">
        <v>176</v>
      </c>
      <c r="C1588" s="71">
        <v>1.1574074074074073E-5</v>
      </c>
      <c r="D1588" s="70" t="s">
        <v>175</v>
      </c>
      <c r="E1588" s="113" t="s">
        <v>77</v>
      </c>
      <c r="F1588" s="70" t="s">
        <v>8759</v>
      </c>
      <c r="G1588" s="70" t="s">
        <v>2025</v>
      </c>
      <c r="H1588" s="112">
        <v>0.188</v>
      </c>
      <c r="O1588" s="112" t="s">
        <v>14869</v>
      </c>
      <c r="P1588" s="112" t="s">
        <v>14870</v>
      </c>
      <c r="Q1588" s="112">
        <v>414548.37</v>
      </c>
      <c r="R1588" s="112">
        <v>6193877.9199999999</v>
      </c>
      <c r="S1588" s="112" t="s">
        <v>14871</v>
      </c>
      <c r="T1588" s="112" t="s">
        <v>14872</v>
      </c>
      <c r="U1588" s="112">
        <v>414574.88</v>
      </c>
      <c r="V1588" s="112">
        <v>6193868.2300000004</v>
      </c>
      <c r="W1588" s="112">
        <v>86.55</v>
      </c>
      <c r="X1588" s="112">
        <v>150.05000000000001</v>
      </c>
    </row>
    <row r="1589" spans="1:24" s="14" customFormat="1" x14ac:dyDescent="0.25">
      <c r="A1589" s="50">
        <v>45102</v>
      </c>
      <c r="B1589" s="57">
        <v>176</v>
      </c>
      <c r="C1589" s="36">
        <v>1.8287037037037037E-3</v>
      </c>
      <c r="D1589" s="16" t="s">
        <v>175</v>
      </c>
      <c r="E1589" s="52" t="s">
        <v>65</v>
      </c>
      <c r="F1589" s="16" t="s">
        <v>8759</v>
      </c>
      <c r="G1589" s="16" t="s">
        <v>2025</v>
      </c>
      <c r="H1589" s="14">
        <v>0.16500000000000001</v>
      </c>
      <c r="I1589" s="14" t="s">
        <v>14877</v>
      </c>
      <c r="J1589" s="14" t="s">
        <v>14878</v>
      </c>
      <c r="K1589" s="14" t="s">
        <v>14879</v>
      </c>
      <c r="L1589" s="14" t="s">
        <v>14880</v>
      </c>
      <c r="O1589" s="14" t="s">
        <v>14873</v>
      </c>
      <c r="P1589" s="14" t="s">
        <v>14874</v>
      </c>
      <c r="Q1589" s="14">
        <v>414557.2</v>
      </c>
      <c r="R1589" s="14">
        <v>6193888.2800000003</v>
      </c>
      <c r="S1589" s="14" t="s">
        <v>14875</v>
      </c>
      <c r="T1589" s="14" t="s">
        <v>14876</v>
      </c>
      <c r="U1589" s="14">
        <v>414582.25</v>
      </c>
      <c r="V1589" s="14">
        <v>6193885.8700000001</v>
      </c>
      <c r="W1589" s="14">
        <v>359.96</v>
      </c>
      <c r="X1589" s="14">
        <v>150.05000000000001</v>
      </c>
    </row>
    <row r="1590" spans="1:24" s="14" customFormat="1" x14ac:dyDescent="0.25">
      <c r="A1590" s="50">
        <v>45102</v>
      </c>
      <c r="B1590" s="57">
        <v>176</v>
      </c>
      <c r="C1590" s="36">
        <v>5.9837962962962961E-3</v>
      </c>
      <c r="D1590" s="16" t="s">
        <v>175</v>
      </c>
      <c r="E1590" s="14" t="s">
        <v>70</v>
      </c>
      <c r="F1590" s="16" t="s">
        <v>8759</v>
      </c>
      <c r="G1590" s="16" t="s">
        <v>2025</v>
      </c>
      <c r="H1590" s="14">
        <v>-1.7999999999999999E-2</v>
      </c>
      <c r="I1590" s="14" t="s">
        <v>14877</v>
      </c>
      <c r="J1590" s="14" t="s">
        <v>14878</v>
      </c>
      <c r="K1590" s="14" t="s">
        <v>14879</v>
      </c>
      <c r="L1590" s="14" t="s">
        <v>14880</v>
      </c>
      <c r="O1590" s="14" t="s">
        <v>14881</v>
      </c>
      <c r="P1590" s="14" t="s">
        <v>14882</v>
      </c>
      <c r="Q1590" s="14">
        <v>414556.68</v>
      </c>
      <c r="R1590" s="14">
        <v>6194071.4199999999</v>
      </c>
      <c r="S1590" s="14" t="s">
        <v>14883</v>
      </c>
      <c r="T1590" s="14" t="s">
        <v>14884</v>
      </c>
      <c r="U1590" s="14">
        <v>414582.27</v>
      </c>
      <c r="V1590" s="14">
        <v>6194068.9900000002</v>
      </c>
      <c r="W1590" s="14">
        <v>359.51</v>
      </c>
      <c r="X1590" s="14">
        <v>150.05000000000001</v>
      </c>
    </row>
    <row r="1591" spans="1:24" s="14" customFormat="1" x14ac:dyDescent="0.25">
      <c r="A1591" s="50">
        <v>45102</v>
      </c>
      <c r="B1591" s="57">
        <v>176</v>
      </c>
      <c r="C1591" s="36">
        <v>9.4097222222222238E-3</v>
      </c>
      <c r="D1591" s="16" t="s">
        <v>175</v>
      </c>
      <c r="E1591" s="14" t="s">
        <v>65</v>
      </c>
      <c r="F1591" s="16" t="s">
        <v>8759</v>
      </c>
      <c r="G1591" s="16" t="s">
        <v>2026</v>
      </c>
      <c r="H1591" s="14">
        <v>-1.2999999999999999E-2</v>
      </c>
      <c r="I1591" s="14" t="s">
        <v>14889</v>
      </c>
      <c r="J1591" s="14" t="s">
        <v>14890</v>
      </c>
      <c r="K1591" s="14" t="s">
        <v>14891</v>
      </c>
      <c r="L1591" s="14" t="s">
        <v>14880</v>
      </c>
      <c r="O1591" s="14" t="s">
        <v>14885</v>
      </c>
      <c r="P1591" s="14" t="s">
        <v>14886</v>
      </c>
      <c r="Q1591" s="14">
        <v>414566.92</v>
      </c>
      <c r="R1591" s="14">
        <v>6194078.8399999999</v>
      </c>
      <c r="S1591" s="14" t="s">
        <v>14887</v>
      </c>
      <c r="T1591" s="14" t="s">
        <v>14888</v>
      </c>
      <c r="U1591" s="14">
        <v>414591.16</v>
      </c>
      <c r="V1591" s="14">
        <v>6194075.1200000001</v>
      </c>
      <c r="W1591" s="14">
        <v>180.07</v>
      </c>
      <c r="X1591" s="14">
        <v>150.05000000000001</v>
      </c>
    </row>
    <row r="1592" spans="1:24" s="14" customFormat="1" x14ac:dyDescent="0.25">
      <c r="A1592" s="50">
        <v>45102</v>
      </c>
      <c r="B1592" s="57">
        <v>176</v>
      </c>
      <c r="C1592" s="36">
        <v>1.357638888888889E-2</v>
      </c>
      <c r="D1592" s="16" t="s">
        <v>175</v>
      </c>
      <c r="E1592" s="52" t="s">
        <v>70</v>
      </c>
      <c r="F1592" s="16" t="s">
        <v>8759</v>
      </c>
      <c r="G1592" s="16" t="s">
        <v>2026</v>
      </c>
      <c r="H1592" s="14">
        <v>0.17100000000000001</v>
      </c>
      <c r="I1592" s="14" t="s">
        <v>14889</v>
      </c>
      <c r="J1592" s="14" t="s">
        <v>14890</v>
      </c>
      <c r="K1592" s="14" t="s">
        <v>14891</v>
      </c>
      <c r="L1592" s="14" t="s">
        <v>14896</v>
      </c>
      <c r="O1592" s="14" t="s">
        <v>14892</v>
      </c>
      <c r="P1592" s="14" t="s">
        <v>14893</v>
      </c>
      <c r="Q1592" s="14">
        <v>414566.32</v>
      </c>
      <c r="R1592" s="14">
        <v>6193894.5999999996</v>
      </c>
      <c r="S1592" s="14" t="s">
        <v>14894</v>
      </c>
      <c r="T1592" s="14" t="s">
        <v>14895</v>
      </c>
      <c r="U1592" s="14">
        <v>414591.23</v>
      </c>
      <c r="V1592" s="14">
        <v>6193891.25</v>
      </c>
      <c r="W1592" s="14">
        <v>179.87</v>
      </c>
      <c r="X1592" s="14">
        <v>150.05000000000001</v>
      </c>
    </row>
    <row r="1593" spans="1:24" s="14" customFormat="1" x14ac:dyDescent="0.25">
      <c r="A1593" s="50">
        <v>45102</v>
      </c>
      <c r="B1593" s="57">
        <v>176</v>
      </c>
      <c r="C1593" s="36">
        <v>2.0092592592592592E-2</v>
      </c>
      <c r="D1593" s="16" t="s">
        <v>175</v>
      </c>
      <c r="E1593" s="52" t="s">
        <v>65</v>
      </c>
      <c r="F1593" s="16" t="s">
        <v>8759</v>
      </c>
      <c r="G1593" s="16" t="s">
        <v>14897</v>
      </c>
      <c r="H1593" s="14">
        <v>0.191</v>
      </c>
      <c r="I1593" s="14" t="s">
        <v>14902</v>
      </c>
      <c r="J1593" s="14" t="s">
        <v>14903</v>
      </c>
      <c r="K1593" s="14" t="s">
        <v>14904</v>
      </c>
      <c r="L1593" s="14" t="s">
        <v>14896</v>
      </c>
      <c r="O1593" s="14" t="s">
        <v>14898</v>
      </c>
      <c r="P1593" s="14" t="s">
        <v>14899</v>
      </c>
      <c r="Q1593" s="14">
        <v>414493.71</v>
      </c>
      <c r="R1593" s="14">
        <v>6193883.3700000001</v>
      </c>
      <c r="S1593" s="14" t="s">
        <v>14900</v>
      </c>
      <c r="T1593" s="14" t="s">
        <v>14901</v>
      </c>
      <c r="U1593" s="14">
        <v>414519.18</v>
      </c>
      <c r="V1593" s="14">
        <v>6193883.3899999997</v>
      </c>
      <c r="W1593" s="14">
        <v>0.13</v>
      </c>
      <c r="X1593" s="14">
        <v>64.739999999999995</v>
      </c>
    </row>
    <row r="1594" spans="1:24" s="14" customFormat="1" x14ac:dyDescent="0.25">
      <c r="A1594" s="50">
        <v>45102</v>
      </c>
      <c r="B1594" s="57">
        <v>176</v>
      </c>
      <c r="C1594" s="36">
        <v>2.2523148148148143E-2</v>
      </c>
      <c r="D1594" s="16" t="s">
        <v>175</v>
      </c>
      <c r="E1594" s="14" t="s">
        <v>70</v>
      </c>
      <c r="F1594" s="16" t="s">
        <v>8759</v>
      </c>
      <c r="G1594" s="16" t="s">
        <v>14897</v>
      </c>
      <c r="H1594" s="14">
        <v>-5.5E-2</v>
      </c>
      <c r="I1594" s="14" t="s">
        <v>14902</v>
      </c>
      <c r="J1594" s="14" t="s">
        <v>14903</v>
      </c>
      <c r="K1594" s="14" t="s">
        <v>14904</v>
      </c>
      <c r="L1594" s="14" t="s">
        <v>14909</v>
      </c>
      <c r="O1594" s="14" t="s">
        <v>14905</v>
      </c>
      <c r="P1594" s="14" t="s">
        <v>14906</v>
      </c>
      <c r="Q1594" s="14">
        <v>414493.72</v>
      </c>
      <c r="R1594" s="14">
        <v>6193988.9299999997</v>
      </c>
      <c r="S1594" s="14" t="s">
        <v>14907</v>
      </c>
      <c r="T1594" s="14" t="s">
        <v>14908</v>
      </c>
      <c r="U1594" s="14">
        <v>414519.23</v>
      </c>
      <c r="V1594" s="14">
        <v>6193989.9000000004</v>
      </c>
      <c r="W1594" s="14">
        <v>7.0000000000000007E-2</v>
      </c>
      <c r="X1594" s="14">
        <v>64.739999999999995</v>
      </c>
    </row>
    <row r="1595" spans="1:24" s="14" customFormat="1" x14ac:dyDescent="0.25">
      <c r="A1595" s="50">
        <v>45102</v>
      </c>
      <c r="B1595" s="57">
        <v>176</v>
      </c>
      <c r="C1595" s="36">
        <v>2.7152777777777779E-2</v>
      </c>
      <c r="D1595" s="16" t="s">
        <v>175</v>
      </c>
      <c r="E1595" s="116" t="s">
        <v>14910</v>
      </c>
      <c r="F1595" s="16" t="s">
        <v>1098</v>
      </c>
      <c r="G1595" s="16" t="s">
        <v>1560</v>
      </c>
      <c r="H1595" s="14">
        <v>0.53700000000000003</v>
      </c>
      <c r="O1595" s="14" t="s">
        <v>14912</v>
      </c>
      <c r="P1595" s="14" t="s">
        <v>14913</v>
      </c>
      <c r="Q1595" s="14">
        <v>414496.06</v>
      </c>
      <c r="R1595" s="14">
        <v>6193999.1900000004</v>
      </c>
      <c r="S1595" s="14" t="s">
        <v>14914</v>
      </c>
      <c r="T1595" s="14" t="s">
        <v>14915</v>
      </c>
      <c r="U1595" s="14">
        <v>414506.22</v>
      </c>
      <c r="V1595" s="14">
        <v>6193997.1100000003</v>
      </c>
      <c r="W1595" s="14">
        <v>96.57</v>
      </c>
      <c r="X1595" s="14">
        <v>150.05000000000001</v>
      </c>
    </row>
    <row r="1596" spans="1:24" s="14" customFormat="1" x14ac:dyDescent="0.25">
      <c r="A1596" s="50">
        <v>45102</v>
      </c>
      <c r="B1596" s="57">
        <v>176</v>
      </c>
      <c r="C1596" s="36">
        <v>4.2037037037037039E-2</v>
      </c>
      <c r="D1596" s="16" t="s">
        <v>175</v>
      </c>
      <c r="E1596" s="52" t="s">
        <v>14911</v>
      </c>
      <c r="F1596" s="16" t="s">
        <v>1098</v>
      </c>
      <c r="G1596" s="16" t="s">
        <v>1560</v>
      </c>
      <c r="H1596" s="14">
        <v>0.20399999999999999</v>
      </c>
      <c r="O1596" s="14" t="s">
        <v>14916</v>
      </c>
      <c r="P1596" s="14" t="s">
        <v>14917</v>
      </c>
      <c r="Q1596" s="14">
        <v>416665.41</v>
      </c>
      <c r="R1596" s="14">
        <v>6194331.9500000002</v>
      </c>
      <c r="S1596" s="14" t="s">
        <v>14918</v>
      </c>
      <c r="T1596" s="14" t="s">
        <v>14919</v>
      </c>
      <c r="U1596" s="14">
        <v>416676.51</v>
      </c>
      <c r="V1596" s="14">
        <v>6194329.7199999997</v>
      </c>
      <c r="W1596" s="14">
        <v>94.17</v>
      </c>
      <c r="X1596" s="14">
        <v>150.05000000000001</v>
      </c>
    </row>
    <row r="1597" spans="1:24" s="122" customFormat="1" x14ac:dyDescent="0.25">
      <c r="A1597" s="65">
        <v>45102</v>
      </c>
      <c r="B1597" s="106">
        <v>176</v>
      </c>
      <c r="C1597" s="67">
        <v>4.4918981481481483E-2</v>
      </c>
      <c r="D1597" s="66" t="s">
        <v>175</v>
      </c>
      <c r="E1597" s="123" t="s">
        <v>14925</v>
      </c>
      <c r="F1597" s="66" t="s">
        <v>1098</v>
      </c>
      <c r="G1597" s="66" t="s">
        <v>1560</v>
      </c>
      <c r="H1597" s="122">
        <v>0.21099999999999999</v>
      </c>
      <c r="M1597" s="122" t="s">
        <v>14920</v>
      </c>
      <c r="O1597" s="122" t="s">
        <v>14921</v>
      </c>
      <c r="P1597" s="122" t="s">
        <v>14922</v>
      </c>
      <c r="Q1597" s="122">
        <v>416665.35</v>
      </c>
      <c r="R1597" s="122">
        <v>6194331.8099999996</v>
      </c>
      <c r="S1597" s="122" t="s">
        <v>14923</v>
      </c>
      <c r="T1597" s="122" t="s">
        <v>14924</v>
      </c>
      <c r="U1597" s="122">
        <v>416684.63</v>
      </c>
      <c r="V1597" s="122">
        <v>6194323.7999999998</v>
      </c>
      <c r="W1597" s="122">
        <v>103.22</v>
      </c>
      <c r="X1597" s="122">
        <v>150.05000000000001</v>
      </c>
    </row>
    <row r="1598" spans="1:24" s="14" customFormat="1" x14ac:dyDescent="0.25">
      <c r="A1598" s="50">
        <v>45102</v>
      </c>
      <c r="B1598" s="57">
        <v>176</v>
      </c>
      <c r="C1598" s="36">
        <v>4.8078703703703707E-2</v>
      </c>
      <c r="D1598" s="16" t="s">
        <v>175</v>
      </c>
      <c r="E1598" s="52" t="s">
        <v>65</v>
      </c>
      <c r="F1598" s="16" t="s">
        <v>1098</v>
      </c>
      <c r="G1598" s="16" t="s">
        <v>1560</v>
      </c>
      <c r="H1598" s="14">
        <v>0.16</v>
      </c>
      <c r="I1598" s="14" t="s">
        <v>14930</v>
      </c>
      <c r="J1598" s="14" t="s">
        <v>14931</v>
      </c>
      <c r="K1598" s="14" t="s">
        <v>14932</v>
      </c>
      <c r="L1598" s="14" t="s">
        <v>14933</v>
      </c>
      <c r="O1598" s="14" t="s">
        <v>14926</v>
      </c>
      <c r="P1598" s="14" t="s">
        <v>14927</v>
      </c>
      <c r="Q1598" s="14">
        <v>416664.37</v>
      </c>
      <c r="R1598" s="14">
        <v>6194368.5800000001</v>
      </c>
      <c r="S1598" s="14" t="s">
        <v>14928</v>
      </c>
      <c r="T1598" s="14" t="s">
        <v>14929</v>
      </c>
      <c r="U1598" s="14">
        <v>416691.17</v>
      </c>
      <c r="V1598" s="14">
        <v>6194367.54</v>
      </c>
      <c r="W1598" s="14">
        <v>0.09</v>
      </c>
      <c r="X1598" s="14">
        <v>150.05000000000001</v>
      </c>
    </row>
    <row r="1599" spans="1:24" s="14" customFormat="1" x14ac:dyDescent="0.25">
      <c r="A1599" s="50">
        <v>45102</v>
      </c>
      <c r="B1599" s="57">
        <v>176</v>
      </c>
      <c r="C1599" s="36">
        <v>5.2187499999999998E-2</v>
      </c>
      <c r="D1599" s="16" t="s">
        <v>175</v>
      </c>
      <c r="E1599" s="52" t="s">
        <v>70</v>
      </c>
      <c r="F1599" s="16" t="s">
        <v>1098</v>
      </c>
      <c r="G1599" s="16" t="s">
        <v>1560</v>
      </c>
      <c r="H1599" s="14">
        <v>-1.9E-2</v>
      </c>
      <c r="I1599" s="14" t="s">
        <v>14930</v>
      </c>
      <c r="J1599" s="14" t="s">
        <v>14931</v>
      </c>
      <c r="K1599" s="14" t="s">
        <v>14932</v>
      </c>
      <c r="L1599" s="14" t="s">
        <v>14938</v>
      </c>
      <c r="O1599" s="14" t="s">
        <v>14934</v>
      </c>
      <c r="P1599" s="14" t="s">
        <v>14935</v>
      </c>
      <c r="Q1599" s="14">
        <v>416664.58</v>
      </c>
      <c r="R1599" s="14">
        <v>6194551.5599999996</v>
      </c>
      <c r="S1599" s="14" t="s">
        <v>14936</v>
      </c>
      <c r="T1599" s="14" t="s">
        <v>14937</v>
      </c>
      <c r="U1599" s="14">
        <v>416691.18</v>
      </c>
      <c r="V1599" s="14">
        <v>6194546.6500000004</v>
      </c>
      <c r="W1599" s="14">
        <v>0.15</v>
      </c>
      <c r="X1599" s="14">
        <v>150.05000000000001</v>
      </c>
    </row>
    <row r="1600" spans="1:24" s="14" customFormat="1" x14ac:dyDescent="0.25">
      <c r="A1600" s="50">
        <v>45102</v>
      </c>
      <c r="B1600" s="57">
        <v>176</v>
      </c>
      <c r="C1600" s="36">
        <v>5.4560185185185184E-2</v>
      </c>
      <c r="D1600" s="16" t="s">
        <v>175</v>
      </c>
      <c r="E1600" s="52" t="s">
        <v>65</v>
      </c>
      <c r="F1600" s="16" t="s">
        <v>1098</v>
      </c>
      <c r="G1600" s="16" t="s">
        <v>1559</v>
      </c>
      <c r="H1600" s="14">
        <v>-1.4999999999999999E-2</v>
      </c>
      <c r="I1600" s="14" t="s">
        <v>14943</v>
      </c>
      <c r="J1600" s="14" t="s">
        <v>14944</v>
      </c>
      <c r="K1600" s="14" t="s">
        <v>14945</v>
      </c>
      <c r="L1600" s="14" t="s">
        <v>14938</v>
      </c>
      <c r="O1600" s="14" t="s">
        <v>14939</v>
      </c>
      <c r="P1600" s="14" t="s">
        <v>14940</v>
      </c>
      <c r="Q1600" s="14">
        <v>416675.64</v>
      </c>
      <c r="R1600" s="14">
        <v>6194567.8799999999</v>
      </c>
      <c r="S1600" s="14" t="s">
        <v>14941</v>
      </c>
      <c r="T1600" s="14" t="s">
        <v>14942</v>
      </c>
      <c r="U1600" s="14">
        <v>416700.11</v>
      </c>
      <c r="V1600" s="14">
        <v>6194554.3200000003</v>
      </c>
      <c r="W1600" s="14">
        <v>178.98</v>
      </c>
      <c r="X1600" s="14">
        <v>150.05000000000001</v>
      </c>
    </row>
    <row r="1601" spans="1:24" s="14" customFormat="1" x14ac:dyDescent="0.25">
      <c r="A1601" s="50">
        <v>45102</v>
      </c>
      <c r="B1601" s="57">
        <v>176</v>
      </c>
      <c r="C1601" s="36">
        <v>5.8819444444444445E-2</v>
      </c>
      <c r="D1601" s="16" t="s">
        <v>175</v>
      </c>
      <c r="E1601" s="52" t="s">
        <v>70</v>
      </c>
      <c r="F1601" s="16" t="s">
        <v>1098</v>
      </c>
      <c r="G1601" s="16" t="s">
        <v>1559</v>
      </c>
      <c r="H1601" s="14">
        <v>0.16700000000000001</v>
      </c>
      <c r="I1601" s="14" t="s">
        <v>14943</v>
      </c>
      <c r="J1601" s="14" t="s">
        <v>14944</v>
      </c>
      <c r="K1601" s="14" t="s">
        <v>14945</v>
      </c>
      <c r="L1601" s="14" t="s">
        <v>14938</v>
      </c>
      <c r="O1601" s="14" t="s">
        <v>14946</v>
      </c>
      <c r="P1601" s="14" t="s">
        <v>14947</v>
      </c>
      <c r="Q1601" s="14">
        <v>416674.9</v>
      </c>
      <c r="R1601" s="14">
        <v>6194381.6900000004</v>
      </c>
      <c r="S1601" s="14" t="s">
        <v>14948</v>
      </c>
      <c r="T1601" s="14" t="s">
        <v>14949</v>
      </c>
      <c r="U1601" s="14">
        <v>416700.18</v>
      </c>
      <c r="V1601" s="14">
        <v>6194372.4500000002</v>
      </c>
      <c r="W1601" s="14">
        <v>180.04</v>
      </c>
      <c r="X1601" s="14">
        <v>150.05000000000001</v>
      </c>
    </row>
    <row r="1602" spans="1:24" s="14" customFormat="1" x14ac:dyDescent="0.25">
      <c r="A1602" s="50">
        <v>45102</v>
      </c>
      <c r="B1602" s="57">
        <v>176</v>
      </c>
      <c r="C1602" s="36">
        <v>6.1631944444444448E-2</v>
      </c>
      <c r="D1602" s="16" t="s">
        <v>175</v>
      </c>
      <c r="E1602" s="52" t="s">
        <v>65</v>
      </c>
      <c r="F1602" s="16" t="s">
        <v>1098</v>
      </c>
      <c r="G1602" s="16" t="s">
        <v>1558</v>
      </c>
      <c r="H1602" s="14">
        <v>0.16</v>
      </c>
      <c r="I1602" s="14" t="s">
        <v>14954</v>
      </c>
      <c r="J1602" s="14" t="s">
        <v>14955</v>
      </c>
      <c r="K1602" s="14" t="s">
        <v>14956</v>
      </c>
      <c r="L1602" s="14" t="s">
        <v>14938</v>
      </c>
      <c r="O1602" s="14" t="s">
        <v>14950</v>
      </c>
      <c r="P1602" s="14" t="s">
        <v>14951</v>
      </c>
      <c r="Q1602" s="14">
        <v>416683.01</v>
      </c>
      <c r="R1602" s="14">
        <v>6194370.3799999999</v>
      </c>
      <c r="S1602" s="14" t="s">
        <v>14952</v>
      </c>
      <c r="T1602" s="14" t="s">
        <v>14953</v>
      </c>
      <c r="U1602" s="14">
        <v>416709.25</v>
      </c>
      <c r="V1602" s="14">
        <v>6194367.5199999996</v>
      </c>
      <c r="W1602" s="14">
        <v>359.66</v>
      </c>
      <c r="X1602" s="14">
        <v>150.05000000000001</v>
      </c>
    </row>
    <row r="1603" spans="1:24" s="14" customFormat="1" x14ac:dyDescent="0.25">
      <c r="A1603" s="50">
        <v>45102</v>
      </c>
      <c r="B1603" s="57">
        <v>176</v>
      </c>
      <c r="C1603" s="36">
        <v>6.5740740740740738E-2</v>
      </c>
      <c r="D1603" s="16" t="s">
        <v>175</v>
      </c>
      <c r="E1603" s="52" t="s">
        <v>70</v>
      </c>
      <c r="F1603" s="16" t="s">
        <v>1098</v>
      </c>
      <c r="G1603" s="16" t="s">
        <v>1558</v>
      </c>
      <c r="H1603" s="14">
        <v>-0.02</v>
      </c>
      <c r="I1603" s="14" t="s">
        <v>14954</v>
      </c>
      <c r="J1603" s="14" t="s">
        <v>14955</v>
      </c>
      <c r="K1603" s="14" t="s">
        <v>14956</v>
      </c>
      <c r="L1603" s="14" t="s">
        <v>14961</v>
      </c>
      <c r="O1603" s="14" t="s">
        <v>14957</v>
      </c>
      <c r="P1603" s="14" t="s">
        <v>14958</v>
      </c>
      <c r="Q1603" s="14">
        <v>416683.52000000002</v>
      </c>
      <c r="R1603" s="14">
        <v>6194552.9100000001</v>
      </c>
      <c r="S1603" s="14" t="s">
        <v>14959</v>
      </c>
      <c r="T1603" s="14" t="s">
        <v>14960</v>
      </c>
      <c r="U1603" s="14">
        <v>416709.21</v>
      </c>
      <c r="V1603" s="14">
        <v>6194547.71</v>
      </c>
      <c r="W1603" s="14">
        <v>0.13</v>
      </c>
      <c r="X1603" s="14">
        <v>150.05000000000001</v>
      </c>
    </row>
    <row r="1604" spans="1:24" s="14" customFormat="1" x14ac:dyDescent="0.25">
      <c r="A1604" s="50">
        <v>45102</v>
      </c>
      <c r="B1604" s="57">
        <v>176</v>
      </c>
      <c r="C1604" s="36">
        <v>6.8368055555555557E-2</v>
      </c>
      <c r="D1604" s="16" t="s">
        <v>175</v>
      </c>
      <c r="E1604" s="52" t="s">
        <v>65</v>
      </c>
      <c r="F1604" s="16" t="s">
        <v>1098</v>
      </c>
      <c r="G1604" s="16" t="s">
        <v>1557</v>
      </c>
      <c r="H1604" s="14">
        <v>-1.7000000000000001E-2</v>
      </c>
      <c r="I1604" s="14" t="s">
        <v>14966</v>
      </c>
      <c r="J1604" s="14" t="s">
        <v>14967</v>
      </c>
      <c r="K1604" s="14" t="s">
        <v>14968</v>
      </c>
      <c r="L1604" s="14" t="s">
        <v>14961</v>
      </c>
      <c r="O1604" s="14" t="s">
        <v>14962</v>
      </c>
      <c r="P1604" s="14" t="s">
        <v>14963</v>
      </c>
      <c r="Q1604" s="14">
        <v>416693.38</v>
      </c>
      <c r="R1604" s="14">
        <v>6194562.8899999997</v>
      </c>
      <c r="S1604" s="14" t="s">
        <v>14964</v>
      </c>
      <c r="T1604" s="14" t="s">
        <v>14965</v>
      </c>
      <c r="U1604" s="14">
        <v>416718.18</v>
      </c>
      <c r="V1604" s="14">
        <v>6194556.4199999999</v>
      </c>
      <c r="W1604" s="14">
        <v>179.79</v>
      </c>
      <c r="X1604" s="14">
        <v>150.05000000000001</v>
      </c>
    </row>
    <row r="1605" spans="1:24" s="14" customFormat="1" x14ac:dyDescent="0.25">
      <c r="A1605" s="50">
        <v>45102</v>
      </c>
      <c r="B1605" s="57">
        <v>176</v>
      </c>
      <c r="C1605" s="36">
        <v>7.255787037037037E-2</v>
      </c>
      <c r="D1605" s="16" t="s">
        <v>175</v>
      </c>
      <c r="E1605" s="52" t="s">
        <v>70</v>
      </c>
      <c r="F1605" s="16" t="s">
        <v>1098</v>
      </c>
      <c r="G1605" s="16" t="s">
        <v>1557</v>
      </c>
      <c r="H1605" s="14">
        <v>0.16600000000000001</v>
      </c>
      <c r="I1605" s="14" t="s">
        <v>14966</v>
      </c>
      <c r="J1605" s="14" t="s">
        <v>14967</v>
      </c>
      <c r="K1605" s="14" t="s">
        <v>14968</v>
      </c>
      <c r="L1605" s="14" t="s">
        <v>14973</v>
      </c>
      <c r="O1605" s="14" t="s">
        <v>14969</v>
      </c>
      <c r="P1605" s="14" t="s">
        <v>14970</v>
      </c>
      <c r="Q1605" s="14">
        <v>416692.75</v>
      </c>
      <c r="R1605" s="14">
        <v>6194379.1299999999</v>
      </c>
      <c r="S1605" s="14" t="s">
        <v>14971</v>
      </c>
      <c r="T1605" s="14" t="s">
        <v>14972</v>
      </c>
      <c r="U1605" s="14">
        <v>416718.18</v>
      </c>
      <c r="V1605" s="14">
        <v>6194372.6100000003</v>
      </c>
      <c r="W1605" s="14">
        <v>180.07</v>
      </c>
      <c r="X1605" s="14">
        <v>150.05000000000001</v>
      </c>
    </row>
    <row r="1606" spans="1:24" s="14" customFormat="1" x14ac:dyDescent="0.25">
      <c r="A1606" s="50">
        <v>45102</v>
      </c>
      <c r="B1606" s="57">
        <v>176</v>
      </c>
      <c r="C1606" s="36">
        <v>7.5497685185185182E-2</v>
      </c>
      <c r="D1606" s="16" t="s">
        <v>175</v>
      </c>
      <c r="E1606" s="52" t="s">
        <v>65</v>
      </c>
      <c r="F1606" s="16" t="s">
        <v>1098</v>
      </c>
      <c r="G1606" s="16" t="s">
        <v>1556</v>
      </c>
      <c r="H1606" s="14">
        <v>0.16300000000000001</v>
      </c>
      <c r="I1606" s="14" t="s">
        <v>14978</v>
      </c>
      <c r="J1606" s="14" t="s">
        <v>14979</v>
      </c>
      <c r="K1606" s="14" t="s">
        <v>14980</v>
      </c>
      <c r="L1606" s="14" t="s">
        <v>14973</v>
      </c>
      <c r="O1606" s="14" t="s">
        <v>14974</v>
      </c>
      <c r="P1606" s="14" t="s">
        <v>14975</v>
      </c>
      <c r="Q1606" s="14">
        <v>416700.89</v>
      </c>
      <c r="R1606" s="14">
        <v>6194362.25</v>
      </c>
      <c r="S1606" s="14" t="s">
        <v>14976</v>
      </c>
      <c r="T1606" s="14" t="s">
        <v>14977</v>
      </c>
      <c r="U1606" s="14">
        <v>416727.16</v>
      </c>
      <c r="V1606" s="14">
        <v>6194364.6799999997</v>
      </c>
      <c r="W1606" s="14">
        <v>359.57</v>
      </c>
      <c r="X1606" s="14">
        <v>150.05000000000001</v>
      </c>
    </row>
    <row r="1607" spans="1:24" s="14" customFormat="1" x14ac:dyDescent="0.25">
      <c r="A1607" s="50">
        <v>45102</v>
      </c>
      <c r="B1607" s="57">
        <v>176</v>
      </c>
      <c r="C1607" s="36">
        <v>7.9791666666666664E-2</v>
      </c>
      <c r="D1607" s="16" t="s">
        <v>175</v>
      </c>
      <c r="E1607" s="52" t="s">
        <v>70</v>
      </c>
      <c r="F1607" s="16" t="s">
        <v>1098</v>
      </c>
      <c r="G1607" s="16" t="s">
        <v>1556</v>
      </c>
      <c r="H1607" s="14">
        <v>-2.4E-2</v>
      </c>
      <c r="I1607" s="14" t="s">
        <v>14978</v>
      </c>
      <c r="J1607" s="14" t="s">
        <v>14979</v>
      </c>
      <c r="K1607" s="14" t="s">
        <v>14980</v>
      </c>
      <c r="L1607" s="14" t="s">
        <v>14973</v>
      </c>
      <c r="O1607" s="14" t="s">
        <v>14981</v>
      </c>
      <c r="P1607" s="14" t="s">
        <v>14982</v>
      </c>
      <c r="Q1607" s="14">
        <v>416701.82</v>
      </c>
      <c r="R1607" s="14">
        <v>6194552.1500000004</v>
      </c>
      <c r="S1607" s="14" t="s">
        <v>14983</v>
      </c>
      <c r="T1607" s="14" t="s">
        <v>14984</v>
      </c>
      <c r="U1607" s="14">
        <v>416727.15</v>
      </c>
      <c r="V1607" s="14">
        <v>6194551.79</v>
      </c>
      <c r="W1607" s="14">
        <v>359.89</v>
      </c>
      <c r="X1607" s="14">
        <v>150.05000000000001</v>
      </c>
    </row>
    <row r="1608" spans="1:24" s="14" customFormat="1" x14ac:dyDescent="0.25">
      <c r="A1608" s="50">
        <v>45102</v>
      </c>
      <c r="B1608" s="57">
        <v>176</v>
      </c>
      <c r="C1608" s="36">
        <v>8.0416666666666664E-2</v>
      </c>
      <c r="D1608" s="16" t="s">
        <v>175</v>
      </c>
      <c r="E1608" s="52" t="s">
        <v>14989</v>
      </c>
      <c r="F1608" s="16" t="s">
        <v>1098</v>
      </c>
      <c r="G1608" s="16" t="s">
        <v>1556</v>
      </c>
      <c r="H1608" s="14">
        <v>-4.9000000000000002E-2</v>
      </c>
      <c r="O1608" s="14" t="s">
        <v>14985</v>
      </c>
      <c r="P1608" s="14" t="s">
        <v>14986</v>
      </c>
      <c r="Q1608" s="14">
        <v>416701.81</v>
      </c>
      <c r="R1608" s="14">
        <v>6194580.4000000004</v>
      </c>
      <c r="S1608" s="14" t="s">
        <v>14987</v>
      </c>
      <c r="T1608" s="14" t="s">
        <v>14988</v>
      </c>
      <c r="U1608" s="14">
        <v>416732.31</v>
      </c>
      <c r="V1608" s="14">
        <v>6194577.0899999999</v>
      </c>
      <c r="W1608" s="14">
        <v>23.6</v>
      </c>
      <c r="X1608" s="14">
        <v>150.05000000000001</v>
      </c>
    </row>
    <row r="1609" spans="1:24" s="126" customFormat="1" x14ac:dyDescent="0.25">
      <c r="A1609" s="78">
        <v>45102</v>
      </c>
      <c r="B1609" s="108">
        <v>176</v>
      </c>
      <c r="C1609" s="80">
        <v>8.998842592592593E-2</v>
      </c>
      <c r="D1609" s="79" t="s">
        <v>175</v>
      </c>
      <c r="E1609" s="127" t="s">
        <v>14994</v>
      </c>
      <c r="F1609" s="79" t="s">
        <v>1098</v>
      </c>
      <c r="G1609" s="79" t="s">
        <v>1556</v>
      </c>
      <c r="H1609" s="126">
        <v>-5.7000000000000002E-2</v>
      </c>
      <c r="O1609" s="126" t="s">
        <v>14990</v>
      </c>
      <c r="P1609" s="126" t="s">
        <v>14991</v>
      </c>
      <c r="Q1609" s="126">
        <v>416702.17</v>
      </c>
      <c r="R1609" s="126">
        <v>6194591.6500000004</v>
      </c>
      <c r="S1609" s="126" t="s">
        <v>14992</v>
      </c>
      <c r="T1609" s="126" t="s">
        <v>14993</v>
      </c>
      <c r="U1609" s="126">
        <v>416713.33</v>
      </c>
      <c r="V1609" s="126">
        <v>6194589.6900000004</v>
      </c>
      <c r="W1609" s="126">
        <v>86.2</v>
      </c>
      <c r="X1609" s="126">
        <v>150.05000000000001</v>
      </c>
    </row>
    <row r="1610" spans="1:24" s="14" customFormat="1" x14ac:dyDescent="0.25">
      <c r="A1610" s="50">
        <v>45102</v>
      </c>
      <c r="B1610" s="57">
        <v>176</v>
      </c>
      <c r="C1610" s="36">
        <v>9.0752314814814813E-2</v>
      </c>
      <c r="D1610" s="16" t="s">
        <v>175</v>
      </c>
      <c r="E1610" s="116" t="s">
        <v>15004</v>
      </c>
      <c r="F1610" s="16" t="s">
        <v>1098</v>
      </c>
      <c r="G1610" s="16" t="s">
        <v>1556</v>
      </c>
      <c r="H1610" s="14">
        <v>-5.7000000000000002E-2</v>
      </c>
      <c r="O1610" s="14" t="s">
        <v>14995</v>
      </c>
      <c r="P1610" s="14" t="s">
        <v>14996</v>
      </c>
      <c r="Q1610" s="14">
        <v>416701.85</v>
      </c>
      <c r="R1610" s="14">
        <v>6194591.75</v>
      </c>
      <c r="S1610" s="14" t="s">
        <v>14997</v>
      </c>
      <c r="T1610" s="14" t="s">
        <v>14998</v>
      </c>
      <c r="U1610" s="14">
        <v>416713</v>
      </c>
      <c r="V1610" s="14">
        <v>6194589.8099999996</v>
      </c>
      <c r="W1610" s="14">
        <v>86.11</v>
      </c>
      <c r="X1610" s="14">
        <v>150.05000000000001</v>
      </c>
    </row>
    <row r="1611" spans="1:24" s="124" customFormat="1" x14ac:dyDescent="0.25">
      <c r="A1611" s="74">
        <v>45102</v>
      </c>
      <c r="B1611" s="105">
        <v>176</v>
      </c>
      <c r="C1611" s="76">
        <v>9.4236111111111118E-2</v>
      </c>
      <c r="D1611" s="75" t="s">
        <v>175</v>
      </c>
      <c r="E1611" s="125" t="s">
        <v>15003</v>
      </c>
      <c r="F1611" s="75" t="s">
        <v>1098</v>
      </c>
      <c r="G1611" s="75" t="s">
        <v>1556</v>
      </c>
      <c r="H1611" s="124">
        <v>-5.7000000000000002E-2</v>
      </c>
      <c r="O1611" s="124" t="s">
        <v>14999</v>
      </c>
      <c r="P1611" s="124" t="s">
        <v>15000</v>
      </c>
      <c r="Q1611" s="124">
        <v>416701.91</v>
      </c>
      <c r="R1611" s="124">
        <v>6194591.7000000002</v>
      </c>
      <c r="S1611" s="124" t="s">
        <v>15001</v>
      </c>
      <c r="T1611" s="124" t="s">
        <v>15002</v>
      </c>
      <c r="U1611" s="124">
        <v>416713</v>
      </c>
      <c r="V1611" s="124">
        <v>6194589.79</v>
      </c>
      <c r="W1611" s="124">
        <v>86.04</v>
      </c>
      <c r="X1611" s="124">
        <v>150.05000000000001</v>
      </c>
    </row>
    <row r="1612" spans="1:24" s="14" customFormat="1" x14ac:dyDescent="0.25">
      <c r="A1612" s="50">
        <v>45102</v>
      </c>
      <c r="B1612" s="57">
        <v>176</v>
      </c>
      <c r="C1612" s="36">
        <v>0.10283564814814815</v>
      </c>
      <c r="D1612" s="16" t="s">
        <v>175</v>
      </c>
      <c r="E1612" s="52" t="s">
        <v>65</v>
      </c>
      <c r="F1612" s="16" t="s">
        <v>1098</v>
      </c>
      <c r="G1612" s="16" t="s">
        <v>1555</v>
      </c>
      <c r="H1612" s="14">
        <v>-1.4E-2</v>
      </c>
      <c r="I1612" s="14" t="s">
        <v>15009</v>
      </c>
      <c r="J1612" s="14" t="s">
        <v>15010</v>
      </c>
      <c r="K1612" s="14" t="s">
        <v>15011</v>
      </c>
      <c r="L1612" s="14" t="s">
        <v>15012</v>
      </c>
      <c r="O1612" s="14" t="s">
        <v>15005</v>
      </c>
      <c r="P1612" s="14" t="s">
        <v>15006</v>
      </c>
      <c r="Q1612" s="14">
        <v>416711.5</v>
      </c>
      <c r="R1612" s="14">
        <v>6194558.7300000004</v>
      </c>
      <c r="S1612" s="14" t="s">
        <v>15007</v>
      </c>
      <c r="T1612" s="14" t="s">
        <v>15008</v>
      </c>
      <c r="U1612" s="14">
        <v>416736.3</v>
      </c>
      <c r="V1612" s="14">
        <v>6194552.5899999999</v>
      </c>
      <c r="W1612" s="14">
        <v>180.9</v>
      </c>
      <c r="X1612" s="14">
        <v>150.05000000000001</v>
      </c>
    </row>
    <row r="1613" spans="1:24" s="14" customFormat="1" x14ac:dyDescent="0.25">
      <c r="A1613" s="50">
        <v>45102</v>
      </c>
      <c r="B1613" s="57">
        <v>176</v>
      </c>
      <c r="C1613" s="36">
        <v>0.10530092592592592</v>
      </c>
      <c r="D1613" s="16" t="s">
        <v>175</v>
      </c>
      <c r="E1613" s="52" t="s">
        <v>15017</v>
      </c>
      <c r="F1613" s="16" t="s">
        <v>1098</v>
      </c>
      <c r="G1613" s="16" t="s">
        <v>1555</v>
      </c>
      <c r="H1613" s="14">
        <v>9.6000000000000002E-2</v>
      </c>
      <c r="O1613" s="14" t="s">
        <v>15013</v>
      </c>
      <c r="P1613" s="14" t="s">
        <v>15014</v>
      </c>
      <c r="Q1613" s="14">
        <v>416711.15</v>
      </c>
      <c r="R1613" s="14">
        <v>6194449.6900000004</v>
      </c>
      <c r="S1613" s="14" t="s">
        <v>15015</v>
      </c>
      <c r="T1613" s="14" t="s">
        <v>15016</v>
      </c>
      <c r="U1613" s="14">
        <v>416736.24</v>
      </c>
      <c r="V1613" s="14">
        <v>6194443.0499999998</v>
      </c>
      <c r="W1613" s="14">
        <v>180.64</v>
      </c>
      <c r="X1613" s="14">
        <v>150.05000000000001</v>
      </c>
    </row>
    <row r="1614" spans="1:24" s="14" customFormat="1" x14ac:dyDescent="0.25">
      <c r="A1614" s="50">
        <v>45102</v>
      </c>
      <c r="B1614" s="57">
        <v>176</v>
      </c>
      <c r="C1614" s="36">
        <v>0.10695601851851851</v>
      </c>
      <c r="D1614" s="16" t="s">
        <v>175</v>
      </c>
      <c r="E1614" s="52" t="s">
        <v>70</v>
      </c>
      <c r="F1614" s="16" t="s">
        <v>1098</v>
      </c>
      <c r="G1614" s="16" t="s">
        <v>1555</v>
      </c>
      <c r="H1614" s="14">
        <v>0.16800000000000001</v>
      </c>
      <c r="I1614" s="14" t="s">
        <v>15009</v>
      </c>
      <c r="J1614" s="14" t="s">
        <v>15010</v>
      </c>
      <c r="K1614" s="14" t="s">
        <v>15011</v>
      </c>
      <c r="L1614" s="14" t="s">
        <v>15022</v>
      </c>
      <c r="O1614" s="14" t="s">
        <v>15018</v>
      </c>
      <c r="P1614" s="14" t="s">
        <v>15019</v>
      </c>
      <c r="Q1614" s="14">
        <v>416711.05</v>
      </c>
      <c r="R1614" s="14">
        <v>6194376.7300000004</v>
      </c>
      <c r="S1614" s="14" t="s">
        <v>15020</v>
      </c>
      <c r="T1614" s="14" t="s">
        <v>15021</v>
      </c>
      <c r="U1614" s="14">
        <v>416736.23</v>
      </c>
      <c r="V1614" s="14">
        <v>6194370.6299999999</v>
      </c>
      <c r="W1614" s="14">
        <v>180.09</v>
      </c>
      <c r="X1614" s="14">
        <v>150.05000000000001</v>
      </c>
    </row>
    <row r="1615" spans="1:24" s="115" customFormat="1" x14ac:dyDescent="0.25">
      <c r="A1615" s="50">
        <v>45102</v>
      </c>
      <c r="B1615" s="57">
        <v>176</v>
      </c>
      <c r="C1615" s="36">
        <v>0.10695601851851851</v>
      </c>
      <c r="D1615" s="117" t="s">
        <v>175</v>
      </c>
      <c r="E1615" s="116" t="s">
        <v>15054</v>
      </c>
      <c r="F1615" s="117" t="s">
        <v>1098</v>
      </c>
      <c r="G1615" s="117" t="s">
        <v>1555</v>
      </c>
      <c r="H1615" s="115">
        <v>0.16800000000000001</v>
      </c>
      <c r="O1615" s="115" t="s">
        <v>15018</v>
      </c>
      <c r="P1615" s="115" t="s">
        <v>15019</v>
      </c>
      <c r="Q1615" s="115">
        <v>416711.05</v>
      </c>
      <c r="R1615" s="115">
        <v>6194376.7300000004</v>
      </c>
      <c r="S1615" s="115" t="s">
        <v>15020</v>
      </c>
      <c r="T1615" s="115" t="s">
        <v>15021</v>
      </c>
      <c r="U1615" s="115">
        <v>416736.23</v>
      </c>
      <c r="V1615" s="115">
        <v>6194370.6299999999</v>
      </c>
      <c r="W1615" s="115">
        <v>180.09</v>
      </c>
      <c r="X1615" s="115">
        <v>150.05000000000001</v>
      </c>
    </row>
    <row r="1616" spans="1:24" s="14" customFormat="1" x14ac:dyDescent="0.25">
      <c r="A1616" s="50">
        <v>45102</v>
      </c>
      <c r="B1616" s="57">
        <v>176</v>
      </c>
      <c r="C1616" s="36">
        <v>0.12765046296296298</v>
      </c>
      <c r="D1616" s="16" t="s">
        <v>175</v>
      </c>
      <c r="E1616" s="52" t="s">
        <v>65</v>
      </c>
      <c r="F1616" s="16" t="s">
        <v>1098</v>
      </c>
      <c r="G1616" s="16" t="s">
        <v>1561</v>
      </c>
      <c r="H1616" s="14">
        <v>0.16200000000000001</v>
      </c>
      <c r="I1616" s="14" t="s">
        <v>15027</v>
      </c>
      <c r="J1616" s="14" t="s">
        <v>15028</v>
      </c>
      <c r="K1616" s="14" t="s">
        <v>15029</v>
      </c>
      <c r="L1616" s="14" t="s">
        <v>15030</v>
      </c>
      <c r="O1616" s="14" t="s">
        <v>15023</v>
      </c>
      <c r="P1616" s="14" t="s">
        <v>15024</v>
      </c>
      <c r="Q1616" s="14">
        <v>416719.54</v>
      </c>
      <c r="R1616" s="14">
        <v>6194358.5199999996</v>
      </c>
      <c r="S1616" s="14" t="s">
        <v>15025</v>
      </c>
      <c r="T1616" s="14" t="s">
        <v>15026</v>
      </c>
      <c r="U1616" s="14">
        <v>416745.02</v>
      </c>
      <c r="V1616" s="14">
        <v>6194365.7400000002</v>
      </c>
      <c r="W1616" s="14">
        <v>2.06</v>
      </c>
      <c r="X1616" s="14">
        <v>150.05000000000001</v>
      </c>
    </row>
    <row r="1617" spans="1:24" s="14" customFormat="1" x14ac:dyDescent="0.25">
      <c r="A1617" s="50">
        <v>45102</v>
      </c>
      <c r="B1617" s="57">
        <v>176</v>
      </c>
      <c r="C1617" s="36">
        <v>0.13194444444444445</v>
      </c>
      <c r="D1617" s="16" t="s">
        <v>175</v>
      </c>
      <c r="E1617" s="52" t="s">
        <v>70</v>
      </c>
      <c r="F1617" s="16" t="s">
        <v>1098</v>
      </c>
      <c r="G1617" s="16" t="s">
        <v>1561</v>
      </c>
      <c r="H1617" s="14">
        <v>-1.7999999999999999E-2</v>
      </c>
      <c r="I1617" s="14" t="s">
        <v>15027</v>
      </c>
      <c r="J1617" s="14" t="s">
        <v>15028</v>
      </c>
      <c r="K1617" s="14" t="s">
        <v>15029</v>
      </c>
      <c r="L1617" s="14" t="s">
        <v>15030</v>
      </c>
      <c r="O1617" s="14" t="s">
        <v>15031</v>
      </c>
      <c r="P1617" s="14" t="s">
        <v>15032</v>
      </c>
      <c r="Q1617" s="14">
        <v>416719.53</v>
      </c>
      <c r="R1617" s="14">
        <v>6194546.3399999999</v>
      </c>
      <c r="S1617" s="14" t="s">
        <v>15033</v>
      </c>
      <c r="T1617" s="14" t="s">
        <v>15034</v>
      </c>
      <c r="U1617" s="14">
        <v>416745.07</v>
      </c>
      <c r="V1617" s="14">
        <v>6194546.0700000003</v>
      </c>
      <c r="W1617" s="14">
        <v>359.73</v>
      </c>
      <c r="X1617" s="14">
        <v>150.05000000000001</v>
      </c>
    </row>
    <row r="1618" spans="1:24" s="14" customFormat="1" x14ac:dyDescent="0.25">
      <c r="A1618" s="50">
        <v>45102</v>
      </c>
      <c r="B1618" s="57">
        <v>176</v>
      </c>
      <c r="C1618" s="36">
        <v>0.13518518518518519</v>
      </c>
      <c r="D1618" s="16" t="s">
        <v>175</v>
      </c>
      <c r="E1618" s="52" t="s">
        <v>65</v>
      </c>
      <c r="F1618" s="16" t="s">
        <v>1098</v>
      </c>
      <c r="G1618" s="16" t="s">
        <v>1562</v>
      </c>
      <c r="H1618" s="14">
        <v>-1.4999999999999999E-2</v>
      </c>
      <c r="I1618" s="14" t="s">
        <v>15039</v>
      </c>
      <c r="J1618" s="14" t="s">
        <v>15040</v>
      </c>
      <c r="K1618" s="14" t="s">
        <v>15041</v>
      </c>
      <c r="L1618" s="14" t="s">
        <v>15042</v>
      </c>
      <c r="O1618" s="14" t="s">
        <v>15035</v>
      </c>
      <c r="P1618" s="14" t="s">
        <v>15036</v>
      </c>
      <c r="Q1618" s="14">
        <v>416729.62</v>
      </c>
      <c r="R1618" s="14">
        <v>6194560.3399999999</v>
      </c>
      <c r="S1618" s="14" t="s">
        <v>15037</v>
      </c>
      <c r="T1618" s="14" t="s">
        <v>15038</v>
      </c>
      <c r="U1618" s="14">
        <v>416754.27</v>
      </c>
      <c r="V1618" s="14">
        <v>6194553.5899999999</v>
      </c>
      <c r="W1618" s="14">
        <v>181.04</v>
      </c>
      <c r="X1618" s="14">
        <v>150.05000000000001</v>
      </c>
    </row>
    <row r="1619" spans="1:24" s="14" customFormat="1" x14ac:dyDescent="0.25">
      <c r="A1619" s="50">
        <v>45102</v>
      </c>
      <c r="B1619" s="57">
        <v>176</v>
      </c>
      <c r="C1619" s="36">
        <v>0.13940972222222223</v>
      </c>
      <c r="D1619" s="16" t="s">
        <v>175</v>
      </c>
      <c r="E1619" s="52" t="s">
        <v>70</v>
      </c>
      <c r="F1619" s="16" t="s">
        <v>1098</v>
      </c>
      <c r="G1619" s="16" t="s">
        <v>1562</v>
      </c>
      <c r="H1619" s="14">
        <v>0.17</v>
      </c>
      <c r="I1619" s="14" t="s">
        <v>15039</v>
      </c>
      <c r="J1619" s="14" t="s">
        <v>15040</v>
      </c>
      <c r="K1619" s="14" t="s">
        <v>15041</v>
      </c>
      <c r="L1619" s="14" t="s">
        <v>15042</v>
      </c>
      <c r="O1619" s="14" t="s">
        <v>15043</v>
      </c>
      <c r="P1619" s="14" t="s">
        <v>15044</v>
      </c>
      <c r="Q1619" s="14">
        <v>416728.66</v>
      </c>
      <c r="R1619" s="14">
        <v>6194375.6600000001</v>
      </c>
      <c r="S1619" s="14" t="s">
        <v>15045</v>
      </c>
      <c r="T1619" s="14" t="s">
        <v>15046</v>
      </c>
      <c r="U1619" s="14">
        <v>416754.19</v>
      </c>
      <c r="V1619" s="14">
        <v>6194369.4900000002</v>
      </c>
      <c r="W1619" s="14">
        <v>180.08</v>
      </c>
      <c r="X1619" s="14">
        <v>150.05000000000001</v>
      </c>
    </row>
    <row r="1620" spans="1:24" s="14" customFormat="1" x14ac:dyDescent="0.25">
      <c r="A1620" s="50">
        <v>45102</v>
      </c>
      <c r="B1620" s="57">
        <v>176</v>
      </c>
      <c r="C1620" s="36">
        <v>0.14232638888888891</v>
      </c>
      <c r="D1620" s="16" t="s">
        <v>175</v>
      </c>
      <c r="E1620" s="52" t="s">
        <v>65</v>
      </c>
      <c r="F1620" s="16" t="s">
        <v>1098</v>
      </c>
      <c r="G1620" s="16" t="s">
        <v>1563</v>
      </c>
      <c r="H1620" s="14">
        <v>0.16400000000000001</v>
      </c>
      <c r="I1620" s="14" t="s">
        <v>15051</v>
      </c>
      <c r="J1620" s="14" t="s">
        <v>15052</v>
      </c>
      <c r="K1620" s="14" t="s">
        <v>15053</v>
      </c>
      <c r="L1620" s="14" t="s">
        <v>15042</v>
      </c>
      <c r="O1620" s="14" t="s">
        <v>15047</v>
      </c>
      <c r="P1620" s="14" t="s">
        <v>15048</v>
      </c>
      <c r="Q1620" s="14">
        <v>416737.97</v>
      </c>
      <c r="R1620" s="14">
        <v>6194365.9299999997</v>
      </c>
      <c r="S1620" s="14" t="s">
        <v>15049</v>
      </c>
      <c r="T1620" s="14" t="s">
        <v>15050</v>
      </c>
      <c r="U1620" s="14">
        <v>416763.13</v>
      </c>
      <c r="V1620" s="14">
        <v>6194363.7800000003</v>
      </c>
      <c r="W1620" s="14">
        <v>0.84</v>
      </c>
      <c r="X1620" s="14">
        <v>150.05000000000001</v>
      </c>
    </row>
    <row r="1621" spans="1:24" s="14" customFormat="1" x14ac:dyDescent="0.25">
      <c r="A1621" s="50">
        <v>45102</v>
      </c>
      <c r="B1621" s="57">
        <v>176</v>
      </c>
      <c r="C1621" s="36">
        <v>0.14649305555555556</v>
      </c>
      <c r="D1621" s="16" t="s">
        <v>175</v>
      </c>
      <c r="E1621" s="52" t="s">
        <v>70</v>
      </c>
      <c r="F1621" s="16" t="s">
        <v>1098</v>
      </c>
      <c r="G1621" s="16" t="s">
        <v>1563</v>
      </c>
      <c r="H1621" s="14">
        <v>-1.9E-2</v>
      </c>
      <c r="I1621" s="14" t="s">
        <v>15051</v>
      </c>
      <c r="J1621" s="14" t="s">
        <v>15052</v>
      </c>
      <c r="K1621" s="14" t="s">
        <v>15053</v>
      </c>
      <c r="L1621" s="14" t="s">
        <v>15059</v>
      </c>
      <c r="O1621" s="14" t="s">
        <v>15055</v>
      </c>
      <c r="P1621" s="14" t="s">
        <v>15056</v>
      </c>
      <c r="Q1621" s="14">
        <v>416738.06</v>
      </c>
      <c r="R1621" s="14">
        <v>6194549.3799999999</v>
      </c>
      <c r="S1621" s="14" t="s">
        <v>15057</v>
      </c>
      <c r="T1621" s="14" t="s">
        <v>15058</v>
      </c>
      <c r="U1621" s="14">
        <v>416763.17</v>
      </c>
      <c r="V1621" s="14">
        <v>6194547.3099999996</v>
      </c>
      <c r="W1621" s="14">
        <v>359.92</v>
      </c>
      <c r="X1621" s="14">
        <v>150.05000000000001</v>
      </c>
    </row>
    <row r="1622" spans="1:24" s="14" customFormat="1" x14ac:dyDescent="0.25">
      <c r="A1622" s="50">
        <v>45102</v>
      </c>
      <c r="B1622" s="57">
        <v>176</v>
      </c>
      <c r="C1622" s="36">
        <v>0.15064814814814814</v>
      </c>
      <c r="D1622" s="16" t="s">
        <v>175</v>
      </c>
      <c r="E1622" s="14" t="s">
        <v>65</v>
      </c>
      <c r="F1622" s="16" t="s">
        <v>1098</v>
      </c>
      <c r="G1622" s="16" t="s">
        <v>1564</v>
      </c>
      <c r="H1622" s="14">
        <v>-1.4999999999999999E-2</v>
      </c>
      <c r="I1622" s="14" t="s">
        <v>15064</v>
      </c>
      <c r="J1622" s="14" t="s">
        <v>15065</v>
      </c>
      <c r="K1622" s="14" t="s">
        <v>15066</v>
      </c>
      <c r="L1622" s="14" t="s">
        <v>15059</v>
      </c>
      <c r="O1622" s="14" t="s">
        <v>15060</v>
      </c>
      <c r="P1622" s="14" t="s">
        <v>15061</v>
      </c>
      <c r="Q1622" s="14">
        <v>416747.73</v>
      </c>
      <c r="R1622" s="14">
        <v>6194562.4199999999</v>
      </c>
      <c r="S1622" s="14" t="s">
        <v>15062</v>
      </c>
      <c r="T1622" s="14" t="s">
        <v>15063</v>
      </c>
      <c r="U1622" s="14">
        <v>416772.18</v>
      </c>
      <c r="V1622" s="14">
        <v>6194553.9000000004</v>
      </c>
      <c r="W1622" s="14">
        <v>179.09</v>
      </c>
      <c r="X1622" s="14">
        <v>150.05000000000001</v>
      </c>
    </row>
    <row r="1623" spans="1:24" s="14" customFormat="1" x14ac:dyDescent="0.25">
      <c r="A1623" s="50">
        <v>45102</v>
      </c>
      <c r="B1623" s="57">
        <v>176</v>
      </c>
      <c r="C1623" s="36">
        <v>0.15489583333333332</v>
      </c>
      <c r="D1623" s="16" t="s">
        <v>175</v>
      </c>
      <c r="E1623" s="52" t="s">
        <v>70</v>
      </c>
      <c r="F1623" s="16" t="s">
        <v>1098</v>
      </c>
      <c r="G1623" s="16" t="s">
        <v>1564</v>
      </c>
      <c r="H1623" s="14">
        <v>0.17</v>
      </c>
      <c r="I1623" s="14" t="s">
        <v>15064</v>
      </c>
      <c r="J1623" s="14" t="s">
        <v>15065</v>
      </c>
      <c r="K1623" s="14" t="s">
        <v>15066</v>
      </c>
      <c r="L1623" s="14" t="s">
        <v>15059</v>
      </c>
      <c r="O1623" s="14" t="s">
        <v>15067</v>
      </c>
      <c r="P1623" s="14" t="s">
        <v>15068</v>
      </c>
      <c r="Q1623" s="14">
        <v>416747.17</v>
      </c>
      <c r="R1623" s="14">
        <v>6194373.5599999996</v>
      </c>
      <c r="S1623" s="14" t="s">
        <v>15069</v>
      </c>
      <c r="T1623" s="14" t="s">
        <v>15070</v>
      </c>
      <c r="U1623" s="14">
        <v>416772.18</v>
      </c>
      <c r="V1623" s="14">
        <v>6194369.2400000002</v>
      </c>
      <c r="W1623" s="14">
        <v>179.77</v>
      </c>
      <c r="X1623" s="14">
        <v>150.05000000000001</v>
      </c>
    </row>
    <row r="1624" spans="1:24" s="14" customFormat="1" x14ac:dyDescent="0.25">
      <c r="A1624" s="50">
        <v>45102</v>
      </c>
      <c r="B1624" s="57">
        <v>176</v>
      </c>
      <c r="C1624" s="36">
        <v>0.1577314814814815</v>
      </c>
      <c r="D1624" s="16" t="s">
        <v>175</v>
      </c>
      <c r="E1624" s="52" t="s">
        <v>65</v>
      </c>
      <c r="F1624" s="16" t="s">
        <v>1098</v>
      </c>
      <c r="G1624" s="16" t="s">
        <v>1565</v>
      </c>
      <c r="H1624" s="14">
        <v>0.16500000000000001</v>
      </c>
      <c r="I1624" s="14" t="s">
        <v>15075</v>
      </c>
      <c r="J1624" s="14" t="s">
        <v>15076</v>
      </c>
      <c r="K1624" s="14" t="s">
        <v>15077</v>
      </c>
      <c r="L1624" s="14" t="s">
        <v>15078</v>
      </c>
      <c r="O1624" s="14" t="s">
        <v>15071</v>
      </c>
      <c r="P1624" s="14" t="s">
        <v>15072</v>
      </c>
      <c r="Q1624" s="14">
        <v>416755.83</v>
      </c>
      <c r="R1624" s="14">
        <v>6194364.7300000004</v>
      </c>
      <c r="S1624" s="14" t="s">
        <v>15073</v>
      </c>
      <c r="T1624" s="14" t="s">
        <v>15074</v>
      </c>
      <c r="U1624" s="14">
        <v>416781.18</v>
      </c>
      <c r="V1624" s="14">
        <v>6194362.7400000002</v>
      </c>
      <c r="W1624" s="14">
        <v>0.97</v>
      </c>
      <c r="X1624" s="14">
        <v>150.05000000000001</v>
      </c>
    </row>
    <row r="1625" spans="1:24" s="14" customFormat="1" x14ac:dyDescent="0.25">
      <c r="A1625" s="50">
        <v>45102</v>
      </c>
      <c r="B1625" s="57">
        <v>176</v>
      </c>
      <c r="C1625" s="36">
        <v>0.16190972222222222</v>
      </c>
      <c r="D1625" s="16" t="s">
        <v>175</v>
      </c>
      <c r="E1625" s="14" t="s">
        <v>70</v>
      </c>
      <c r="F1625" s="16" t="s">
        <v>1098</v>
      </c>
      <c r="G1625" s="16" t="s">
        <v>1565</v>
      </c>
      <c r="H1625" s="14">
        <v>-1.9E-2</v>
      </c>
      <c r="I1625" s="14" t="s">
        <v>15075</v>
      </c>
      <c r="J1625" s="14" t="s">
        <v>15076</v>
      </c>
      <c r="K1625" s="14" t="s">
        <v>15077</v>
      </c>
      <c r="L1625" s="14" t="s">
        <v>15078</v>
      </c>
      <c r="O1625" s="14" t="s">
        <v>15079</v>
      </c>
      <c r="P1625" s="14" t="s">
        <v>15080</v>
      </c>
      <c r="Q1625" s="14">
        <v>416756.22</v>
      </c>
      <c r="R1625" s="14">
        <v>6194548.1299999999</v>
      </c>
      <c r="S1625" s="14" t="s">
        <v>15081</v>
      </c>
      <c r="T1625" s="14" t="s">
        <v>15082</v>
      </c>
      <c r="U1625" s="14">
        <v>416781.21</v>
      </c>
      <c r="V1625" s="14">
        <v>6194547.1600000001</v>
      </c>
      <c r="W1625" s="14">
        <v>0.14000000000000001</v>
      </c>
      <c r="X1625" s="14">
        <v>150.05000000000001</v>
      </c>
    </row>
    <row r="1626" spans="1:24" s="14" customFormat="1" x14ac:dyDescent="0.25">
      <c r="A1626" s="50">
        <v>45102</v>
      </c>
      <c r="B1626" s="57">
        <v>176</v>
      </c>
      <c r="C1626" s="36">
        <v>0.16424768518518518</v>
      </c>
      <c r="D1626" s="16" t="s">
        <v>175</v>
      </c>
      <c r="E1626" s="14" t="s">
        <v>65</v>
      </c>
      <c r="F1626" s="16" t="s">
        <v>1098</v>
      </c>
      <c r="G1626" s="16" t="s">
        <v>1566</v>
      </c>
      <c r="H1626" s="14">
        <v>-1.6E-2</v>
      </c>
      <c r="I1626" s="14" t="s">
        <v>15087</v>
      </c>
      <c r="J1626" s="14" t="s">
        <v>15088</v>
      </c>
      <c r="K1626" s="14" t="s">
        <v>15089</v>
      </c>
      <c r="L1626" s="14" t="s">
        <v>15078</v>
      </c>
      <c r="O1626" s="14" t="s">
        <v>15083</v>
      </c>
      <c r="P1626" s="14" t="s">
        <v>15084</v>
      </c>
      <c r="Q1626" s="14">
        <v>416764.62</v>
      </c>
      <c r="R1626" s="14">
        <v>6194559.0800000001</v>
      </c>
      <c r="S1626" s="14" t="s">
        <v>15085</v>
      </c>
      <c r="T1626" s="14" t="s">
        <v>15086</v>
      </c>
      <c r="U1626" s="14">
        <v>416790.32</v>
      </c>
      <c r="V1626" s="14">
        <v>6194554.7599999998</v>
      </c>
      <c r="W1626" s="14">
        <v>180.38</v>
      </c>
      <c r="X1626" s="14">
        <v>150.05000000000001</v>
      </c>
    </row>
    <row r="1627" spans="1:24" s="14" customFormat="1" x14ac:dyDescent="0.25">
      <c r="A1627" s="50">
        <v>45102</v>
      </c>
      <c r="B1627" s="57">
        <v>176</v>
      </c>
      <c r="C1627" s="36">
        <v>0.16787037037037036</v>
      </c>
      <c r="D1627" s="117" t="s">
        <v>177</v>
      </c>
      <c r="E1627" s="52" t="s">
        <v>70</v>
      </c>
      <c r="F1627" s="16" t="s">
        <v>1098</v>
      </c>
      <c r="G1627" s="16" t="s">
        <v>1566</v>
      </c>
      <c r="H1627" s="14">
        <v>0.17100000000000001</v>
      </c>
      <c r="I1627" s="14" t="s">
        <v>15087</v>
      </c>
      <c r="J1627" s="14" t="s">
        <v>15088</v>
      </c>
      <c r="K1627" s="14" t="s">
        <v>15089</v>
      </c>
      <c r="L1627" s="14" t="s">
        <v>15094</v>
      </c>
      <c r="O1627" s="14" t="s">
        <v>15090</v>
      </c>
      <c r="P1627" s="14" t="s">
        <v>15091</v>
      </c>
      <c r="Q1627" s="14">
        <v>416764.59</v>
      </c>
      <c r="R1627" s="14">
        <v>6194369.9100000001</v>
      </c>
      <c r="S1627" s="14" t="s">
        <v>15092</v>
      </c>
      <c r="T1627" s="14" t="s">
        <v>15093</v>
      </c>
      <c r="U1627" s="14">
        <v>416790.17</v>
      </c>
      <c r="V1627" s="14">
        <v>6194368.1500000004</v>
      </c>
      <c r="W1627" s="14">
        <v>179.73</v>
      </c>
      <c r="X1627" s="14">
        <v>150.05000000000001</v>
      </c>
    </row>
    <row r="1628" spans="1:24" s="14" customFormat="1" x14ac:dyDescent="0.25">
      <c r="A1628" s="50">
        <v>45102</v>
      </c>
      <c r="B1628" s="57">
        <v>176</v>
      </c>
      <c r="C1628" s="36">
        <v>0.17354166666666668</v>
      </c>
      <c r="D1628" s="117" t="s">
        <v>177</v>
      </c>
      <c r="E1628" s="52" t="s">
        <v>65</v>
      </c>
      <c r="F1628" s="16" t="s">
        <v>1098</v>
      </c>
      <c r="G1628" s="16" t="s">
        <v>15095</v>
      </c>
      <c r="H1628" s="14">
        <v>0.16400000000000001</v>
      </c>
      <c r="I1628" s="14" t="s">
        <v>15100</v>
      </c>
      <c r="L1628" s="14" t="s">
        <v>15094</v>
      </c>
      <c r="O1628" s="14" t="s">
        <v>15096</v>
      </c>
      <c r="P1628" s="14" t="s">
        <v>15097</v>
      </c>
      <c r="Q1628" s="14">
        <v>416710.39</v>
      </c>
      <c r="R1628" s="14">
        <v>6194367.2599999998</v>
      </c>
      <c r="S1628" s="14" t="s">
        <v>15098</v>
      </c>
      <c r="T1628" s="14" t="s">
        <v>15099</v>
      </c>
      <c r="U1628" s="14">
        <v>416736.32</v>
      </c>
      <c r="V1628" s="14">
        <v>6194363.5199999996</v>
      </c>
      <c r="W1628" s="14">
        <v>359.6</v>
      </c>
      <c r="X1628" s="14">
        <v>150.05000000000001</v>
      </c>
    </row>
    <row r="1629" spans="1:24" s="14" customFormat="1" x14ac:dyDescent="0.25">
      <c r="A1629" s="50">
        <v>45102</v>
      </c>
      <c r="B1629" s="57">
        <v>176</v>
      </c>
      <c r="C1629" s="36">
        <v>0.17781250000000001</v>
      </c>
      <c r="D1629" s="16" t="s">
        <v>177</v>
      </c>
      <c r="E1629" s="52" t="s">
        <v>70</v>
      </c>
      <c r="F1629" s="16" t="s">
        <v>1098</v>
      </c>
      <c r="G1629" s="16" t="s">
        <v>15095</v>
      </c>
      <c r="H1629" s="14">
        <v>-1.7999999999999999E-2</v>
      </c>
      <c r="I1629" s="14" t="s">
        <v>15100</v>
      </c>
      <c r="L1629" s="14" t="s">
        <v>15105</v>
      </c>
      <c r="O1629" s="14" t="s">
        <v>15101</v>
      </c>
      <c r="P1629" s="14" t="s">
        <v>15102</v>
      </c>
      <c r="Q1629" s="14">
        <v>416709.48</v>
      </c>
      <c r="R1629" s="14">
        <v>6194554.0599999996</v>
      </c>
      <c r="S1629" s="14" t="s">
        <v>15103</v>
      </c>
      <c r="T1629" s="14" t="s">
        <v>15104</v>
      </c>
      <c r="U1629" s="14">
        <v>416736.19</v>
      </c>
      <c r="V1629" s="14">
        <v>6194546.3200000003</v>
      </c>
      <c r="W1629" s="14">
        <v>0.25</v>
      </c>
      <c r="X1629" s="14">
        <v>150.05000000000001</v>
      </c>
    </row>
    <row r="1630" spans="1:24" s="14" customFormat="1" x14ac:dyDescent="0.25">
      <c r="A1630" s="50">
        <v>45102</v>
      </c>
      <c r="B1630" s="57">
        <v>176</v>
      </c>
      <c r="C1630" s="36">
        <v>0.18010416666666665</v>
      </c>
      <c r="D1630" s="16" t="s">
        <v>177</v>
      </c>
      <c r="E1630" s="52" t="s">
        <v>10819</v>
      </c>
      <c r="F1630" s="16" t="s">
        <v>1098</v>
      </c>
      <c r="G1630" s="16" t="s">
        <v>1338</v>
      </c>
      <c r="H1630" s="14">
        <v>2.1589999999999998</v>
      </c>
      <c r="O1630" s="14" t="s">
        <v>15107</v>
      </c>
      <c r="P1630" s="14" t="s">
        <v>15108</v>
      </c>
      <c r="Q1630" s="14">
        <v>416710.11</v>
      </c>
      <c r="R1630" s="14">
        <v>6194569.1699999999</v>
      </c>
      <c r="S1630" s="14" t="s">
        <v>15109</v>
      </c>
      <c r="T1630" s="14" t="s">
        <v>15110</v>
      </c>
      <c r="U1630" s="14">
        <v>416721.37</v>
      </c>
      <c r="V1630" s="14">
        <v>6194566.1799999997</v>
      </c>
      <c r="W1630" s="14">
        <v>87.68</v>
      </c>
      <c r="X1630" s="14">
        <v>200.06</v>
      </c>
    </row>
    <row r="1631" spans="1:24" s="14" customFormat="1" x14ac:dyDescent="0.25">
      <c r="A1631" s="50">
        <v>45102</v>
      </c>
      <c r="B1631" s="57">
        <v>176</v>
      </c>
      <c r="C1631" s="36">
        <v>0.18074074074074076</v>
      </c>
      <c r="D1631" s="16" t="s">
        <v>177</v>
      </c>
      <c r="E1631" s="52" t="s">
        <v>15106</v>
      </c>
      <c r="F1631" s="16" t="s">
        <v>1098</v>
      </c>
      <c r="G1631" s="16" t="s">
        <v>1338</v>
      </c>
      <c r="H1631" s="14">
        <v>1.581</v>
      </c>
      <c r="O1631" s="14" t="s">
        <v>15111</v>
      </c>
      <c r="P1631" s="14" t="s">
        <v>15112</v>
      </c>
      <c r="Q1631" s="14">
        <v>416831.87</v>
      </c>
      <c r="R1631" s="14">
        <v>6195149.2999999998</v>
      </c>
      <c r="S1631" s="14" t="s">
        <v>15113</v>
      </c>
      <c r="T1631" s="14" t="s">
        <v>15114</v>
      </c>
      <c r="U1631" s="14">
        <v>416842.82</v>
      </c>
      <c r="V1631" s="14">
        <v>6195144.9900000002</v>
      </c>
      <c r="W1631" s="14">
        <v>99.17</v>
      </c>
      <c r="X1631" s="14">
        <v>200.06</v>
      </c>
    </row>
    <row r="1632" spans="1:24" s="14" customFormat="1" x14ac:dyDescent="0.25">
      <c r="A1632" s="50">
        <v>45102</v>
      </c>
      <c r="B1632" s="57">
        <v>176</v>
      </c>
      <c r="C1632" s="36">
        <v>0.19172453703703704</v>
      </c>
      <c r="D1632" s="16" t="s">
        <v>177</v>
      </c>
      <c r="E1632" s="52" t="s">
        <v>6362</v>
      </c>
      <c r="F1632" s="16" t="s">
        <v>1098</v>
      </c>
      <c r="G1632" s="16" t="s">
        <v>1338</v>
      </c>
      <c r="H1632" s="14">
        <v>0.247</v>
      </c>
      <c r="O1632" s="14" t="s">
        <v>15115</v>
      </c>
      <c r="P1632" s="14" t="s">
        <v>15116</v>
      </c>
      <c r="Q1632" s="14">
        <v>417199.55</v>
      </c>
      <c r="R1632" s="14">
        <v>6196479.8099999996</v>
      </c>
      <c r="S1632" s="14" t="s">
        <v>15117</v>
      </c>
      <c r="T1632" s="14" t="s">
        <v>15118</v>
      </c>
      <c r="U1632" s="14">
        <v>417210.47</v>
      </c>
      <c r="V1632" s="14">
        <v>6196477.9199999999</v>
      </c>
      <c r="W1632" s="14">
        <v>87.5</v>
      </c>
      <c r="X1632" s="14">
        <v>200.06</v>
      </c>
    </row>
    <row r="1633" spans="1:24" s="14" customFormat="1" x14ac:dyDescent="0.25">
      <c r="A1633" s="50">
        <v>45102</v>
      </c>
      <c r="B1633" s="57">
        <v>176</v>
      </c>
      <c r="C1633" s="36">
        <v>0.19182870370370372</v>
      </c>
      <c r="D1633" s="16" t="s">
        <v>177</v>
      </c>
      <c r="E1633" s="52" t="s">
        <v>8182</v>
      </c>
      <c r="F1633" s="16" t="s">
        <v>1098</v>
      </c>
      <c r="G1633" s="16" t="s">
        <v>1338</v>
      </c>
      <c r="H1633" s="14">
        <v>0.247</v>
      </c>
      <c r="O1633" s="14" t="s">
        <v>15119</v>
      </c>
      <c r="P1633" s="14" t="s">
        <v>15120</v>
      </c>
      <c r="Q1633" s="14">
        <v>417199.22</v>
      </c>
      <c r="R1633" s="14">
        <v>6196479.71</v>
      </c>
      <c r="S1633" s="14" t="s">
        <v>15121</v>
      </c>
      <c r="T1633" s="14" t="s">
        <v>15122</v>
      </c>
      <c r="U1633" s="14">
        <v>417210.07</v>
      </c>
      <c r="V1633" s="14">
        <v>6196477.79</v>
      </c>
      <c r="W1633" s="14">
        <v>87.58</v>
      </c>
      <c r="X1633" s="14">
        <v>200.06</v>
      </c>
    </row>
    <row r="1634" spans="1:24" s="122" customFormat="1" x14ac:dyDescent="0.25">
      <c r="A1634" s="65">
        <v>45102</v>
      </c>
      <c r="B1634" s="106">
        <v>176</v>
      </c>
      <c r="C1634" s="67">
        <v>0.19541666666666666</v>
      </c>
      <c r="D1634" s="66" t="s">
        <v>177</v>
      </c>
      <c r="E1634" s="122" t="s">
        <v>15128</v>
      </c>
      <c r="F1634" s="66" t="s">
        <v>1098</v>
      </c>
      <c r="G1634" s="66" t="s">
        <v>1338</v>
      </c>
      <c r="H1634" s="122">
        <v>0.23499999999999999</v>
      </c>
      <c r="M1634" s="122" t="s">
        <v>15123</v>
      </c>
      <c r="O1634" s="122" t="s">
        <v>15124</v>
      </c>
      <c r="P1634" s="122" t="s">
        <v>15125</v>
      </c>
      <c r="Q1634" s="122">
        <v>417196.63</v>
      </c>
      <c r="R1634" s="122">
        <v>6196479.96</v>
      </c>
      <c r="S1634" s="122" t="s">
        <v>15126</v>
      </c>
      <c r="T1634" s="122" t="s">
        <v>15127</v>
      </c>
      <c r="U1634" s="122">
        <v>417222.64</v>
      </c>
      <c r="V1634" s="122">
        <v>6196484.4699999997</v>
      </c>
      <c r="W1634" s="122">
        <v>357.3</v>
      </c>
      <c r="X1634" s="122">
        <v>200.06</v>
      </c>
    </row>
    <row r="1635" spans="1:24" s="14" customFormat="1" x14ac:dyDescent="0.25">
      <c r="A1635" s="50">
        <v>45102</v>
      </c>
      <c r="B1635" s="57">
        <v>176</v>
      </c>
      <c r="C1635" s="36">
        <v>0.19765046296296296</v>
      </c>
      <c r="D1635" s="16" t="s">
        <v>177</v>
      </c>
      <c r="E1635" s="14" t="s">
        <v>65</v>
      </c>
      <c r="F1635" s="16" t="s">
        <v>1098</v>
      </c>
      <c r="G1635" s="16" t="s">
        <v>1338</v>
      </c>
      <c r="H1635" s="14">
        <v>0.21099999999999999</v>
      </c>
      <c r="I1635" s="14" t="s">
        <v>15133</v>
      </c>
      <c r="J1635" s="14" t="s">
        <v>15134</v>
      </c>
      <c r="K1635" s="14" t="s">
        <v>15135</v>
      </c>
      <c r="L1635" s="14" t="s">
        <v>15136</v>
      </c>
      <c r="O1635" s="14" t="s">
        <v>15129</v>
      </c>
      <c r="P1635" s="14" t="s">
        <v>15130</v>
      </c>
      <c r="Q1635" s="14">
        <v>417196.4</v>
      </c>
      <c r="R1635" s="14">
        <v>6196515.0499999998</v>
      </c>
      <c r="S1635" s="14" t="s">
        <v>15131</v>
      </c>
      <c r="T1635" s="14" t="s">
        <v>15132</v>
      </c>
      <c r="U1635" s="14">
        <v>417222.26</v>
      </c>
      <c r="V1635" s="14">
        <v>6196508.3700000001</v>
      </c>
      <c r="W1635" s="14">
        <v>0.82</v>
      </c>
      <c r="X1635" s="14">
        <v>200.06</v>
      </c>
    </row>
    <row r="1636" spans="1:24" s="14" customFormat="1" x14ac:dyDescent="0.25">
      <c r="A1636" s="50">
        <v>45102</v>
      </c>
      <c r="B1636" s="57">
        <v>176</v>
      </c>
      <c r="C1636" s="36">
        <v>0.20204861111111114</v>
      </c>
      <c r="D1636" s="16" t="s">
        <v>177</v>
      </c>
      <c r="E1636" s="52" t="s">
        <v>70</v>
      </c>
      <c r="F1636" s="16" t="s">
        <v>1098</v>
      </c>
      <c r="G1636" s="16" t="s">
        <v>1338</v>
      </c>
      <c r="H1636" s="14">
        <v>-0.02</v>
      </c>
      <c r="I1636" s="14" t="s">
        <v>15133</v>
      </c>
      <c r="J1636" s="14" t="s">
        <v>15134</v>
      </c>
      <c r="K1636" s="14" t="s">
        <v>15135</v>
      </c>
      <c r="L1636" s="14" t="s">
        <v>15136</v>
      </c>
      <c r="O1636" s="14" t="s">
        <v>15137</v>
      </c>
      <c r="P1636" s="14" t="s">
        <v>15138</v>
      </c>
      <c r="Q1636" s="14">
        <v>417196.63</v>
      </c>
      <c r="R1636" s="14">
        <v>6196747.3899999997</v>
      </c>
      <c r="S1636" s="14" t="s">
        <v>15139</v>
      </c>
      <c r="T1636" s="14" t="s">
        <v>15140</v>
      </c>
      <c r="U1636" s="14">
        <v>417222.28</v>
      </c>
      <c r="V1636" s="14">
        <v>6196738.9100000001</v>
      </c>
      <c r="W1636" s="14">
        <v>0.12</v>
      </c>
      <c r="X1636" s="14">
        <v>200.06</v>
      </c>
    </row>
    <row r="1637" spans="1:24" s="14" customFormat="1" x14ac:dyDescent="0.25">
      <c r="A1637" s="50">
        <v>45102</v>
      </c>
      <c r="B1637" s="57">
        <v>176</v>
      </c>
      <c r="C1637" s="36">
        <v>0.20432870370370371</v>
      </c>
      <c r="D1637" s="16" t="s">
        <v>177</v>
      </c>
      <c r="E1637" s="52" t="s">
        <v>65</v>
      </c>
      <c r="F1637" s="16" t="s">
        <v>1098</v>
      </c>
      <c r="G1637" s="16" t="s">
        <v>1337</v>
      </c>
      <c r="H1637" s="14">
        <v>-1.6E-2</v>
      </c>
      <c r="I1637" s="14" t="s">
        <v>15145</v>
      </c>
      <c r="J1637" s="14" t="s">
        <v>15146</v>
      </c>
      <c r="K1637" s="14" t="s">
        <v>15147</v>
      </c>
      <c r="L1637" s="14" t="s">
        <v>15136</v>
      </c>
      <c r="O1637" s="14" t="s">
        <v>15141</v>
      </c>
      <c r="P1637" s="14" t="s">
        <v>15142</v>
      </c>
      <c r="Q1637" s="14">
        <v>417205.67</v>
      </c>
      <c r="R1637" s="14">
        <v>6196750.21</v>
      </c>
      <c r="S1637" s="14" t="s">
        <v>15143</v>
      </c>
      <c r="T1637" s="14" t="s">
        <v>15144</v>
      </c>
      <c r="U1637" s="14">
        <v>417231.31</v>
      </c>
      <c r="V1637" s="14">
        <v>6196746.3099999996</v>
      </c>
      <c r="W1637" s="14">
        <v>180.39</v>
      </c>
      <c r="X1637" s="14">
        <v>200.06</v>
      </c>
    </row>
    <row r="1638" spans="1:24" s="14" customFormat="1" x14ac:dyDescent="0.25">
      <c r="A1638" s="50">
        <v>45102</v>
      </c>
      <c r="B1638" s="57">
        <v>176</v>
      </c>
      <c r="C1638" s="36">
        <v>0.2086689814814815</v>
      </c>
      <c r="D1638" s="16" t="s">
        <v>177</v>
      </c>
      <c r="E1638" s="52" t="s">
        <v>70</v>
      </c>
      <c r="F1638" s="16" t="s">
        <v>1098</v>
      </c>
      <c r="G1638" s="16" t="s">
        <v>1337</v>
      </c>
      <c r="H1638" s="14">
        <v>0.216</v>
      </c>
      <c r="I1638" s="14" t="s">
        <v>15145</v>
      </c>
      <c r="J1638" s="14" t="s">
        <v>15146</v>
      </c>
      <c r="K1638" s="14" t="s">
        <v>15147</v>
      </c>
      <c r="L1638" s="14" t="s">
        <v>15152</v>
      </c>
      <c r="O1638" s="14" t="s">
        <v>15148</v>
      </c>
      <c r="P1638" s="14" t="s">
        <v>15149</v>
      </c>
      <c r="Q1638" s="14">
        <v>417205.39</v>
      </c>
      <c r="R1638" s="14">
        <v>6196521.1399999997</v>
      </c>
      <c r="S1638" s="14" t="s">
        <v>15150</v>
      </c>
      <c r="T1638" s="14" t="s">
        <v>15151</v>
      </c>
      <c r="U1638" s="14">
        <v>417231.26</v>
      </c>
      <c r="V1638" s="14">
        <v>6196514.1399999997</v>
      </c>
      <c r="W1638" s="14">
        <v>179.89</v>
      </c>
      <c r="X1638" s="14">
        <v>200.06</v>
      </c>
    </row>
    <row r="1639" spans="1:24" s="14" customFormat="1" x14ac:dyDescent="0.25">
      <c r="A1639" s="50">
        <v>45102</v>
      </c>
      <c r="B1639" s="57">
        <v>176</v>
      </c>
      <c r="C1639" s="36">
        <v>0.21094907407407407</v>
      </c>
      <c r="D1639" s="16" t="s">
        <v>177</v>
      </c>
      <c r="E1639" s="52" t="s">
        <v>65</v>
      </c>
      <c r="F1639" s="16" t="s">
        <v>1098</v>
      </c>
      <c r="G1639" s="16" t="s">
        <v>1336</v>
      </c>
      <c r="H1639" s="14">
        <v>0.21199999999999999</v>
      </c>
      <c r="I1639" s="14" t="s">
        <v>15157</v>
      </c>
      <c r="J1639" s="14" t="s">
        <v>15158</v>
      </c>
      <c r="K1639" s="14" t="s">
        <v>15159</v>
      </c>
      <c r="L1639" s="14" t="s">
        <v>15152</v>
      </c>
      <c r="O1639" s="14" t="s">
        <v>15153</v>
      </c>
      <c r="P1639" s="14" t="s">
        <v>15154</v>
      </c>
      <c r="Q1639" s="14">
        <v>417214.41</v>
      </c>
      <c r="R1639" s="14">
        <v>6196511.0099999998</v>
      </c>
      <c r="S1639" s="14" t="s">
        <v>15155</v>
      </c>
      <c r="T1639" s="14" t="s">
        <v>15156</v>
      </c>
      <c r="U1639" s="14">
        <v>417240.1</v>
      </c>
      <c r="V1639" s="14">
        <v>6196507.4000000004</v>
      </c>
      <c r="W1639" s="14">
        <v>1.59</v>
      </c>
      <c r="X1639" s="14">
        <v>200.06</v>
      </c>
    </row>
    <row r="1640" spans="1:24" s="14" customFormat="1" x14ac:dyDescent="0.25">
      <c r="A1640" s="50">
        <v>45102</v>
      </c>
      <c r="B1640" s="57">
        <v>176</v>
      </c>
      <c r="C1640" s="36">
        <v>0.21543981481481481</v>
      </c>
      <c r="D1640" s="16" t="s">
        <v>177</v>
      </c>
      <c r="E1640" s="52" t="s">
        <v>70</v>
      </c>
      <c r="F1640" s="16" t="s">
        <v>1098</v>
      </c>
      <c r="G1640" s="16" t="s">
        <v>1336</v>
      </c>
      <c r="H1640" s="14">
        <v>-0.02</v>
      </c>
      <c r="I1640" s="14" t="s">
        <v>15157</v>
      </c>
      <c r="J1640" s="14" t="s">
        <v>15158</v>
      </c>
      <c r="K1640" s="14" t="s">
        <v>15159</v>
      </c>
      <c r="L1640" s="14" t="s">
        <v>15152</v>
      </c>
      <c r="O1640" s="14" t="s">
        <v>15160</v>
      </c>
      <c r="P1640" s="14" t="s">
        <v>15161</v>
      </c>
      <c r="Q1640" s="14">
        <v>417214.73</v>
      </c>
      <c r="R1640" s="14">
        <v>6196746.9100000001</v>
      </c>
      <c r="S1640" s="14" t="s">
        <v>15162</v>
      </c>
      <c r="T1640" s="14" t="s">
        <v>15163</v>
      </c>
      <c r="U1640" s="14">
        <v>417240.32000000001</v>
      </c>
      <c r="V1640" s="14">
        <v>6196739.3899999997</v>
      </c>
      <c r="W1640" s="14">
        <v>359.41</v>
      </c>
      <c r="X1640" s="14">
        <v>200.06</v>
      </c>
    </row>
    <row r="1641" spans="1:24" s="14" customFormat="1" x14ac:dyDescent="0.25">
      <c r="A1641" s="50">
        <v>45102</v>
      </c>
      <c r="B1641" s="57">
        <v>176</v>
      </c>
      <c r="C1641" s="36">
        <v>0.21809027777777779</v>
      </c>
      <c r="D1641" s="16" t="s">
        <v>177</v>
      </c>
      <c r="E1641" s="52" t="s">
        <v>65</v>
      </c>
      <c r="F1641" s="16" t="s">
        <v>1098</v>
      </c>
      <c r="G1641" s="16" t="s">
        <v>1335</v>
      </c>
      <c r="H1641" s="14">
        <v>-1.6E-2</v>
      </c>
      <c r="I1641" s="14" t="s">
        <v>15168</v>
      </c>
      <c r="J1641" s="14" t="s">
        <v>15169</v>
      </c>
      <c r="K1641" s="14" t="s">
        <v>15170</v>
      </c>
      <c r="L1641" s="14" t="s">
        <v>15152</v>
      </c>
      <c r="O1641" s="14" t="s">
        <v>15164</v>
      </c>
      <c r="P1641" s="14" t="s">
        <v>15165</v>
      </c>
      <c r="Q1641" s="14">
        <v>417223.85</v>
      </c>
      <c r="R1641" s="14">
        <v>6196744.9900000002</v>
      </c>
      <c r="S1641" s="14" t="s">
        <v>15166</v>
      </c>
      <c r="T1641" s="14" t="s">
        <v>15167</v>
      </c>
      <c r="U1641" s="14">
        <v>417249.26</v>
      </c>
      <c r="V1641" s="14">
        <v>6196746.4299999997</v>
      </c>
      <c r="W1641" s="14">
        <v>180.33</v>
      </c>
      <c r="X1641" s="14">
        <v>200.06</v>
      </c>
    </row>
    <row r="1642" spans="1:24" s="14" customFormat="1" x14ac:dyDescent="0.25">
      <c r="A1642" s="50">
        <v>45102</v>
      </c>
      <c r="B1642" s="57">
        <v>176</v>
      </c>
      <c r="C1642" s="36">
        <v>0.22248842592592591</v>
      </c>
      <c r="D1642" s="16" t="s">
        <v>177</v>
      </c>
      <c r="E1642" s="52" t="s">
        <v>70</v>
      </c>
      <c r="F1642" s="16" t="s">
        <v>1098</v>
      </c>
      <c r="G1642" s="16" t="s">
        <v>1335</v>
      </c>
      <c r="H1642" s="14">
        <v>0.216</v>
      </c>
      <c r="I1642" s="14" t="s">
        <v>15168</v>
      </c>
      <c r="J1642" s="14" t="s">
        <v>15169</v>
      </c>
      <c r="K1642" s="14" t="s">
        <v>15170</v>
      </c>
      <c r="L1642" s="14" t="s">
        <v>15175</v>
      </c>
      <c r="O1642" s="14" t="s">
        <v>15171</v>
      </c>
      <c r="P1642" s="14" t="s">
        <v>15172</v>
      </c>
      <c r="Q1642" s="14">
        <v>417223.53</v>
      </c>
      <c r="R1642" s="14">
        <v>6196510.4800000004</v>
      </c>
      <c r="S1642" s="14" t="s">
        <v>15173</v>
      </c>
      <c r="T1642" s="14" t="s">
        <v>15174</v>
      </c>
      <c r="U1642" s="14">
        <v>417249.25</v>
      </c>
      <c r="V1642" s="14">
        <v>6196514.0999999996</v>
      </c>
      <c r="W1642" s="14">
        <v>179.88</v>
      </c>
      <c r="X1642" s="14">
        <v>200.06</v>
      </c>
    </row>
    <row r="1643" spans="1:24" s="14" customFormat="1" x14ac:dyDescent="0.25">
      <c r="A1643" s="50">
        <v>45102</v>
      </c>
      <c r="B1643" s="57">
        <v>176</v>
      </c>
      <c r="C1643" s="36">
        <v>0.22512731481481482</v>
      </c>
      <c r="D1643" s="16" t="s">
        <v>177</v>
      </c>
      <c r="E1643" s="52" t="s">
        <v>65</v>
      </c>
      <c r="F1643" s="16" t="s">
        <v>1098</v>
      </c>
      <c r="G1643" s="16" t="s">
        <v>1334</v>
      </c>
      <c r="H1643" s="14">
        <v>0.21099999999999999</v>
      </c>
      <c r="I1643" s="14" t="s">
        <v>15180</v>
      </c>
      <c r="J1643" s="14" t="s">
        <v>15181</v>
      </c>
      <c r="K1643" s="14" t="s">
        <v>15182</v>
      </c>
      <c r="L1643" s="14" t="s">
        <v>15175</v>
      </c>
      <c r="O1643" s="14" t="s">
        <v>15176</v>
      </c>
      <c r="P1643" s="14" t="s">
        <v>15177</v>
      </c>
      <c r="Q1643" s="14">
        <v>417232.18</v>
      </c>
      <c r="R1643" s="14">
        <v>6196513</v>
      </c>
      <c r="S1643" s="14" t="s">
        <v>15178</v>
      </c>
      <c r="T1643" s="14" t="s">
        <v>15179</v>
      </c>
      <c r="U1643" s="14">
        <v>417258.33</v>
      </c>
      <c r="V1643" s="14">
        <v>6196508.4299999997</v>
      </c>
      <c r="W1643" s="14">
        <v>0.69</v>
      </c>
      <c r="X1643" s="14">
        <v>200.06</v>
      </c>
    </row>
    <row r="1644" spans="1:24" s="14" customFormat="1" x14ac:dyDescent="0.25">
      <c r="A1644" s="50">
        <v>45102</v>
      </c>
      <c r="B1644" s="57">
        <v>176</v>
      </c>
      <c r="C1644" s="36">
        <v>0.22957175925925924</v>
      </c>
      <c r="D1644" s="16" t="s">
        <v>177</v>
      </c>
      <c r="E1644" s="52" t="s">
        <v>70</v>
      </c>
      <c r="F1644" s="16" t="s">
        <v>1098</v>
      </c>
      <c r="G1644" s="16" t="s">
        <v>1334</v>
      </c>
      <c r="H1644" s="14">
        <v>-2.3E-2</v>
      </c>
      <c r="I1644" s="14" t="s">
        <v>15180</v>
      </c>
      <c r="J1644" s="14" t="s">
        <v>15181</v>
      </c>
      <c r="K1644" s="14" t="s">
        <v>15182</v>
      </c>
      <c r="L1644" s="14" t="s">
        <v>15187</v>
      </c>
      <c r="O1644" s="14" t="s">
        <v>15183</v>
      </c>
      <c r="P1644" s="14" t="s">
        <v>15184</v>
      </c>
      <c r="Q1644" s="14">
        <v>417232.41</v>
      </c>
      <c r="R1644" s="14">
        <v>6196747.9500000002</v>
      </c>
      <c r="S1644" s="14" t="s">
        <v>15185</v>
      </c>
      <c r="T1644" s="14" t="s">
        <v>15186</v>
      </c>
      <c r="U1644" s="14">
        <v>417258.35</v>
      </c>
      <c r="V1644" s="14">
        <v>6196742.0300000003</v>
      </c>
      <c r="W1644" s="14">
        <v>359.73</v>
      </c>
      <c r="X1644" s="14">
        <v>200.06</v>
      </c>
    </row>
    <row r="1645" spans="1:24" s="14" customFormat="1" x14ac:dyDescent="0.25">
      <c r="A1645" s="50">
        <v>45102</v>
      </c>
      <c r="B1645" s="57">
        <v>176</v>
      </c>
      <c r="C1645" s="36">
        <v>0.23207175925925927</v>
      </c>
      <c r="D1645" s="16" t="s">
        <v>177</v>
      </c>
      <c r="E1645" s="52" t="s">
        <v>65</v>
      </c>
      <c r="F1645" s="16" t="s">
        <v>1098</v>
      </c>
      <c r="G1645" s="16" t="s">
        <v>1333</v>
      </c>
      <c r="H1645" s="14">
        <v>-1.6E-2</v>
      </c>
      <c r="I1645" s="14" t="s">
        <v>15192</v>
      </c>
      <c r="J1645" s="14" t="s">
        <v>15193</v>
      </c>
      <c r="K1645" s="14" t="s">
        <v>15199</v>
      </c>
      <c r="L1645" s="14" t="s">
        <v>15187</v>
      </c>
      <c r="O1645" s="14" t="s">
        <v>15188</v>
      </c>
      <c r="P1645" s="14" t="s">
        <v>15189</v>
      </c>
      <c r="Q1645" s="14">
        <v>417241.59</v>
      </c>
      <c r="R1645" s="14">
        <v>6196751.8099999996</v>
      </c>
      <c r="S1645" s="14" t="s">
        <v>15190</v>
      </c>
      <c r="T1645" s="14" t="s">
        <v>15191</v>
      </c>
      <c r="U1645" s="14">
        <v>417267.38</v>
      </c>
      <c r="V1645" s="14">
        <v>6196746.6399999997</v>
      </c>
      <c r="W1645" s="14">
        <v>179.95</v>
      </c>
      <c r="X1645" s="14">
        <v>200.06</v>
      </c>
    </row>
    <row r="1646" spans="1:24" s="14" customFormat="1" x14ac:dyDescent="0.25">
      <c r="A1646" s="50">
        <v>45102</v>
      </c>
      <c r="B1646" s="57">
        <v>176</v>
      </c>
      <c r="C1646" s="36">
        <v>0.23656250000000001</v>
      </c>
      <c r="D1646" s="16" t="s">
        <v>177</v>
      </c>
      <c r="E1646" s="52" t="s">
        <v>70</v>
      </c>
      <c r="F1646" s="16" t="s">
        <v>1098</v>
      </c>
      <c r="G1646" s="16" t="s">
        <v>1333</v>
      </c>
      <c r="H1646" s="14">
        <v>0.221</v>
      </c>
      <c r="I1646" s="14" t="s">
        <v>15192</v>
      </c>
      <c r="J1646" s="14" t="s">
        <v>15193</v>
      </c>
      <c r="K1646" s="115" t="s">
        <v>15199</v>
      </c>
      <c r="L1646" s="14" t="s">
        <v>15187</v>
      </c>
      <c r="O1646" s="14" t="s">
        <v>15195</v>
      </c>
      <c r="P1646" s="14" t="s">
        <v>15196</v>
      </c>
      <c r="Q1646" s="14">
        <v>417241.59</v>
      </c>
      <c r="R1646" s="14">
        <v>6196512.6699999999</v>
      </c>
      <c r="S1646" s="14" t="s">
        <v>15197</v>
      </c>
      <c r="T1646" s="14" t="s">
        <v>15198</v>
      </c>
      <c r="U1646" s="14">
        <v>417267.3</v>
      </c>
      <c r="V1646" s="14">
        <v>6196509.25</v>
      </c>
      <c r="W1646" s="14">
        <v>180.19</v>
      </c>
      <c r="X1646" s="14">
        <v>200.06</v>
      </c>
    </row>
    <row r="1647" spans="1:24" s="14" customFormat="1" x14ac:dyDescent="0.25">
      <c r="A1647" s="50">
        <v>45102</v>
      </c>
      <c r="B1647" s="57">
        <v>176</v>
      </c>
      <c r="C1647" s="36">
        <v>0.23901620370370369</v>
      </c>
      <c r="D1647" s="16" t="s">
        <v>177</v>
      </c>
      <c r="E1647" s="52" t="s">
        <v>65</v>
      </c>
      <c r="F1647" s="16" t="s">
        <v>1098</v>
      </c>
      <c r="G1647" s="16" t="s">
        <v>1332</v>
      </c>
      <c r="H1647" s="14">
        <v>0.21199999999999999</v>
      </c>
      <c r="I1647" s="14" t="s">
        <v>15204</v>
      </c>
      <c r="J1647" s="14" t="s">
        <v>15205</v>
      </c>
      <c r="K1647" s="14" t="s">
        <v>15206</v>
      </c>
      <c r="L1647" s="14" t="s">
        <v>15187</v>
      </c>
      <c r="O1647" s="14" t="s">
        <v>15200</v>
      </c>
      <c r="P1647" s="14" t="s">
        <v>15201</v>
      </c>
      <c r="Q1647" s="14">
        <v>417250.2</v>
      </c>
      <c r="R1647" s="14">
        <v>6196509.54</v>
      </c>
      <c r="S1647" s="14" t="s">
        <v>15202</v>
      </c>
      <c r="T1647" s="14" t="s">
        <v>15203</v>
      </c>
      <c r="U1647" s="14">
        <v>417276.14</v>
      </c>
      <c r="V1647" s="14">
        <v>6196507.0899999999</v>
      </c>
      <c r="W1647" s="14">
        <v>1.47</v>
      </c>
      <c r="X1647" s="14">
        <v>200.06</v>
      </c>
    </row>
    <row r="1648" spans="1:24" s="14" customFormat="1" x14ac:dyDescent="0.25">
      <c r="A1648" s="50">
        <v>45102</v>
      </c>
      <c r="B1648" s="57">
        <v>176</v>
      </c>
      <c r="C1648" s="36">
        <v>0.2435185185185185</v>
      </c>
      <c r="D1648" s="16" t="s">
        <v>177</v>
      </c>
      <c r="E1648" s="52" t="s">
        <v>70</v>
      </c>
      <c r="F1648" s="16" t="s">
        <v>1098</v>
      </c>
      <c r="G1648" s="16" t="s">
        <v>1332</v>
      </c>
      <c r="H1648" s="14">
        <v>-2.5999999999999999E-2</v>
      </c>
      <c r="I1648" s="14" t="s">
        <v>15204</v>
      </c>
      <c r="J1648" s="14" t="s">
        <v>15205</v>
      </c>
      <c r="K1648" s="14" t="s">
        <v>15206</v>
      </c>
      <c r="L1648" s="14" t="s">
        <v>15211</v>
      </c>
      <c r="O1648" s="14" t="s">
        <v>15207</v>
      </c>
      <c r="P1648" s="14" t="s">
        <v>15208</v>
      </c>
      <c r="Q1648" s="14">
        <v>417250.05</v>
      </c>
      <c r="R1648" s="14">
        <v>6196746.8700000001</v>
      </c>
      <c r="S1648" s="14" t="s">
        <v>15209</v>
      </c>
      <c r="T1648" s="14" t="s">
        <v>15210</v>
      </c>
      <c r="U1648" s="14">
        <v>417276.24</v>
      </c>
      <c r="V1648" s="14">
        <v>6196745.1100000003</v>
      </c>
      <c r="W1648" s="14">
        <v>359.9</v>
      </c>
      <c r="X1648" s="14">
        <v>200.06</v>
      </c>
    </row>
    <row r="1649" spans="1:24" s="14" customFormat="1" x14ac:dyDescent="0.25">
      <c r="A1649" s="50">
        <v>45102</v>
      </c>
      <c r="B1649" s="57">
        <v>176</v>
      </c>
      <c r="C1649" s="36">
        <v>0.24633101851851849</v>
      </c>
      <c r="D1649" s="16" t="s">
        <v>177</v>
      </c>
      <c r="E1649" s="52" t="s">
        <v>65</v>
      </c>
      <c r="F1649" s="16" t="s">
        <v>1098</v>
      </c>
      <c r="G1649" s="16" t="s">
        <v>1331</v>
      </c>
      <c r="H1649" s="14">
        <v>-1.7000000000000001E-2</v>
      </c>
      <c r="I1649" s="14" t="s">
        <v>15216</v>
      </c>
      <c r="J1649" s="14" t="s">
        <v>15217</v>
      </c>
      <c r="K1649" s="14" t="s">
        <v>15218</v>
      </c>
      <c r="L1649" s="14" t="s">
        <v>15211</v>
      </c>
      <c r="O1649" s="14" t="s">
        <v>15212</v>
      </c>
      <c r="P1649" s="14" t="s">
        <v>15213</v>
      </c>
      <c r="Q1649" s="14">
        <v>417259.6</v>
      </c>
      <c r="R1649" s="14">
        <v>6196749.2800000003</v>
      </c>
      <c r="S1649" s="14" t="s">
        <v>15214</v>
      </c>
      <c r="T1649" s="14" t="s">
        <v>15215</v>
      </c>
      <c r="U1649" s="14">
        <v>417285.29</v>
      </c>
      <c r="V1649" s="14">
        <v>6196747.3799999999</v>
      </c>
      <c r="W1649" s="14">
        <v>180.12</v>
      </c>
      <c r="X1649" s="14">
        <v>200.06</v>
      </c>
    </row>
    <row r="1650" spans="1:24" s="14" customFormat="1" x14ac:dyDescent="0.25">
      <c r="A1650" s="50">
        <v>45102</v>
      </c>
      <c r="B1650" s="57">
        <v>176</v>
      </c>
      <c r="C1650" s="36">
        <v>0.25071759259259258</v>
      </c>
      <c r="D1650" s="16" t="s">
        <v>177</v>
      </c>
      <c r="E1650" s="52" t="s">
        <v>70</v>
      </c>
      <c r="F1650" s="16" t="s">
        <v>1098</v>
      </c>
      <c r="G1650" s="16" t="s">
        <v>1331</v>
      </c>
      <c r="H1650" s="14">
        <v>0.216</v>
      </c>
      <c r="I1650" s="14" t="s">
        <v>15216</v>
      </c>
      <c r="J1650" s="14" t="s">
        <v>15217</v>
      </c>
      <c r="K1650" s="14" t="s">
        <v>15218</v>
      </c>
      <c r="L1650" s="14" t="s">
        <v>15223</v>
      </c>
      <c r="O1650" s="14" t="s">
        <v>15219</v>
      </c>
      <c r="P1650" s="14" t="s">
        <v>15220</v>
      </c>
      <c r="Q1650" s="14">
        <v>417260.08</v>
      </c>
      <c r="R1650" s="14">
        <v>6196515.7000000002</v>
      </c>
      <c r="S1650" s="14" t="s">
        <v>15221</v>
      </c>
      <c r="T1650" s="14" t="s">
        <v>15222</v>
      </c>
      <c r="U1650" s="14">
        <v>417285.24</v>
      </c>
      <c r="V1650" s="14">
        <v>6196514.9800000004</v>
      </c>
      <c r="W1650" s="14">
        <v>179.09</v>
      </c>
      <c r="X1650" s="14">
        <v>200.06</v>
      </c>
    </row>
    <row r="1651" spans="1:24" s="14" customFormat="1" x14ac:dyDescent="0.25">
      <c r="A1651" s="50">
        <v>45102</v>
      </c>
      <c r="B1651" s="57">
        <v>176</v>
      </c>
      <c r="C1651" s="36">
        <v>0.25292824074074077</v>
      </c>
      <c r="D1651" s="16" t="s">
        <v>177</v>
      </c>
      <c r="E1651" s="52" t="s">
        <v>65</v>
      </c>
      <c r="F1651" s="16" t="s">
        <v>1098</v>
      </c>
      <c r="G1651" s="16" t="s">
        <v>1330</v>
      </c>
      <c r="H1651" s="14">
        <v>0.21199999999999999</v>
      </c>
      <c r="I1651" s="14" t="s">
        <v>15228</v>
      </c>
      <c r="J1651" s="14" t="s">
        <v>15229</v>
      </c>
      <c r="K1651" s="14" t="s">
        <v>15230</v>
      </c>
      <c r="L1651" s="14" t="s">
        <v>15223</v>
      </c>
      <c r="O1651" s="14" t="s">
        <v>15224</v>
      </c>
      <c r="P1651" s="14" t="s">
        <v>15225</v>
      </c>
      <c r="Q1651" s="14">
        <v>417267.95</v>
      </c>
      <c r="R1651" s="14">
        <v>6196510.0099999998</v>
      </c>
      <c r="S1651" s="14" t="s">
        <v>15226</v>
      </c>
      <c r="T1651" s="14" t="s">
        <v>15227</v>
      </c>
      <c r="U1651" s="14">
        <v>417294.36</v>
      </c>
      <c r="V1651" s="14">
        <v>6196507.3399999999</v>
      </c>
      <c r="W1651" s="14">
        <v>359.52</v>
      </c>
      <c r="X1651" s="14">
        <v>200.06</v>
      </c>
    </row>
    <row r="1652" spans="1:24" s="14" customFormat="1" x14ac:dyDescent="0.25">
      <c r="A1652" s="50">
        <v>45102</v>
      </c>
      <c r="B1652" s="57">
        <v>176</v>
      </c>
      <c r="C1652" s="36">
        <v>0.25726851851851851</v>
      </c>
      <c r="D1652" s="16" t="s">
        <v>177</v>
      </c>
      <c r="E1652" s="52" t="s">
        <v>70</v>
      </c>
      <c r="F1652" s="16" t="s">
        <v>1098</v>
      </c>
      <c r="G1652" s="16" t="s">
        <v>1330</v>
      </c>
      <c r="H1652" s="14">
        <v>-2.1000000000000001E-2</v>
      </c>
      <c r="I1652" s="14" t="s">
        <v>15228</v>
      </c>
      <c r="J1652" s="14" t="s">
        <v>15229</v>
      </c>
      <c r="K1652" s="14" t="s">
        <v>15230</v>
      </c>
      <c r="L1652" s="14" t="s">
        <v>15223</v>
      </c>
      <c r="O1652" s="14" t="s">
        <v>15231</v>
      </c>
      <c r="P1652" s="14" t="s">
        <v>15232</v>
      </c>
      <c r="Q1652" s="14">
        <v>417268.93</v>
      </c>
      <c r="R1652" s="14">
        <v>6196738.3600000003</v>
      </c>
      <c r="S1652" s="14" t="s">
        <v>15233</v>
      </c>
      <c r="T1652" s="14" t="s">
        <v>15234</v>
      </c>
      <c r="U1652" s="14">
        <v>417294.27</v>
      </c>
      <c r="V1652" s="14">
        <v>6196740.1200000001</v>
      </c>
      <c r="W1652" s="14">
        <v>358.98</v>
      </c>
      <c r="X1652" s="14">
        <v>200.06</v>
      </c>
    </row>
    <row r="1653" spans="1:24" s="14" customFormat="1" x14ac:dyDescent="0.25">
      <c r="A1653" s="50">
        <v>45102</v>
      </c>
      <c r="B1653" s="57">
        <v>176</v>
      </c>
      <c r="C1653" s="36">
        <v>0.25958333333333333</v>
      </c>
      <c r="D1653" s="16" t="s">
        <v>177</v>
      </c>
      <c r="E1653" s="52" t="s">
        <v>65</v>
      </c>
      <c r="F1653" s="16" t="s">
        <v>1098</v>
      </c>
      <c r="G1653" s="16" t="s">
        <v>1339</v>
      </c>
      <c r="H1653" s="14">
        <v>-1.7000000000000001E-2</v>
      </c>
      <c r="I1653" s="14" t="s">
        <v>15239</v>
      </c>
      <c r="J1653" s="14" t="s">
        <v>15240</v>
      </c>
      <c r="K1653" s="14" t="s">
        <v>15241</v>
      </c>
      <c r="L1653" s="14" t="s">
        <v>15223</v>
      </c>
      <c r="O1653" s="14" t="s">
        <v>15235</v>
      </c>
      <c r="P1653" s="14" t="s">
        <v>15236</v>
      </c>
      <c r="Q1653" s="14">
        <v>417277.46</v>
      </c>
      <c r="R1653" s="14">
        <v>6196752.4500000002</v>
      </c>
      <c r="S1653" s="14" t="s">
        <v>15237</v>
      </c>
      <c r="T1653" s="14" t="s">
        <v>15238</v>
      </c>
      <c r="U1653" s="14">
        <v>417303.32</v>
      </c>
      <c r="V1653" s="14">
        <v>6196747.8300000001</v>
      </c>
      <c r="W1653" s="14">
        <v>178.55</v>
      </c>
      <c r="X1653" s="14">
        <v>200.06</v>
      </c>
    </row>
    <row r="1654" spans="1:24" s="14" customFormat="1" x14ac:dyDescent="0.25">
      <c r="A1654" s="50">
        <v>45102</v>
      </c>
      <c r="B1654" s="57">
        <v>176</v>
      </c>
      <c r="C1654" s="36">
        <v>0.26400462962962962</v>
      </c>
      <c r="D1654" s="16" t="s">
        <v>177</v>
      </c>
      <c r="E1654" s="52" t="s">
        <v>70</v>
      </c>
      <c r="F1654" s="16" t="s">
        <v>1098</v>
      </c>
      <c r="G1654" s="16" t="s">
        <v>1339</v>
      </c>
      <c r="H1654" s="14">
        <v>0.217</v>
      </c>
      <c r="I1654" s="14" t="s">
        <v>15239</v>
      </c>
      <c r="J1654" s="14" t="s">
        <v>15240</v>
      </c>
      <c r="K1654" s="14" t="s">
        <v>15241</v>
      </c>
      <c r="L1654" s="14" t="s">
        <v>15246</v>
      </c>
      <c r="O1654" s="14" t="s">
        <v>15242</v>
      </c>
      <c r="P1654" s="14" t="s">
        <v>15243</v>
      </c>
      <c r="Q1654" s="14">
        <v>417277.91</v>
      </c>
      <c r="R1654" s="14">
        <v>6196518.3700000001</v>
      </c>
      <c r="S1654" s="14" t="s">
        <v>15244</v>
      </c>
      <c r="T1654" s="14" t="s">
        <v>15245</v>
      </c>
      <c r="U1654" s="14">
        <v>417303.3</v>
      </c>
      <c r="V1654" s="14">
        <v>6196513.9900000002</v>
      </c>
      <c r="W1654" s="14">
        <v>178.86</v>
      </c>
      <c r="X1654" s="14">
        <v>200.06</v>
      </c>
    </row>
    <row r="1655" spans="1:24" s="14" customFormat="1" x14ac:dyDescent="0.25">
      <c r="A1655" s="50">
        <v>45102</v>
      </c>
      <c r="B1655" s="57">
        <v>176</v>
      </c>
      <c r="C1655" s="36">
        <v>0.26612268518518517</v>
      </c>
      <c r="D1655" s="16" t="s">
        <v>177</v>
      </c>
      <c r="E1655" s="52" t="s">
        <v>65</v>
      </c>
      <c r="F1655" s="16" t="s">
        <v>1098</v>
      </c>
      <c r="G1655" s="16" t="s">
        <v>1340</v>
      </c>
      <c r="H1655" s="14">
        <v>0.21</v>
      </c>
      <c r="I1655" s="14" t="s">
        <v>15251</v>
      </c>
      <c r="J1655" s="115" t="s">
        <v>15257</v>
      </c>
      <c r="K1655" s="14" t="s">
        <v>15252</v>
      </c>
      <c r="L1655" s="14" t="s">
        <v>15246</v>
      </c>
      <c r="O1655" s="14" t="s">
        <v>15247</v>
      </c>
      <c r="P1655" s="14" t="s">
        <v>15248</v>
      </c>
      <c r="Q1655" s="14">
        <v>417284.87</v>
      </c>
      <c r="R1655" s="14">
        <v>6196513.4699999997</v>
      </c>
      <c r="S1655" s="14" t="s">
        <v>15249</v>
      </c>
      <c r="T1655" s="14" t="s">
        <v>15250</v>
      </c>
      <c r="U1655" s="14">
        <v>417312.36</v>
      </c>
      <c r="V1655" s="14">
        <v>6196509.25</v>
      </c>
      <c r="W1655" s="14">
        <v>359.36</v>
      </c>
      <c r="X1655" s="14">
        <v>200.06</v>
      </c>
    </row>
    <row r="1656" spans="1:24" s="14" customFormat="1" x14ac:dyDescent="0.25">
      <c r="A1656" s="50">
        <v>45102</v>
      </c>
      <c r="B1656" s="57">
        <v>176</v>
      </c>
      <c r="C1656" s="36">
        <v>0.27049768518518519</v>
      </c>
      <c r="D1656" s="16" t="s">
        <v>177</v>
      </c>
      <c r="E1656" s="52" t="s">
        <v>70</v>
      </c>
      <c r="F1656" s="16" t="s">
        <v>1098</v>
      </c>
      <c r="G1656" s="16" t="s">
        <v>1340</v>
      </c>
      <c r="H1656" s="14">
        <v>-2.1000000000000001E-2</v>
      </c>
      <c r="I1656" s="14" t="s">
        <v>15251</v>
      </c>
      <c r="J1656" s="14" t="s">
        <v>15257</v>
      </c>
      <c r="K1656" s="14" t="s">
        <v>15252</v>
      </c>
      <c r="L1656" s="14" t="s">
        <v>15258</v>
      </c>
      <c r="O1656" s="14" t="s">
        <v>15253</v>
      </c>
      <c r="P1656" s="14" t="s">
        <v>15254</v>
      </c>
      <c r="Q1656" s="14">
        <v>417285.83</v>
      </c>
      <c r="R1656" s="14">
        <v>6196743.1600000001</v>
      </c>
      <c r="S1656" s="14" t="s">
        <v>15255</v>
      </c>
      <c r="T1656" s="14" t="s">
        <v>15256</v>
      </c>
      <c r="U1656" s="14">
        <v>417312.24</v>
      </c>
      <c r="V1656" s="14">
        <v>6196740.4900000002</v>
      </c>
      <c r="W1656" s="14">
        <v>359.82</v>
      </c>
      <c r="X1656" s="14">
        <v>200.06</v>
      </c>
    </row>
    <row r="1657" spans="1:24" s="14" customFormat="1" x14ac:dyDescent="0.25">
      <c r="A1657" s="50">
        <v>45102</v>
      </c>
      <c r="B1657" s="57">
        <v>176</v>
      </c>
      <c r="C1657" s="36">
        <v>0.27318287037037037</v>
      </c>
      <c r="D1657" s="16" t="s">
        <v>177</v>
      </c>
      <c r="E1657" s="14" t="s">
        <v>65</v>
      </c>
      <c r="F1657" s="16" t="s">
        <v>1098</v>
      </c>
      <c r="G1657" s="16" t="s">
        <v>1341</v>
      </c>
      <c r="H1657" s="14">
        <v>-1.7999999999999999E-2</v>
      </c>
      <c r="I1657" s="14" t="s">
        <v>15263</v>
      </c>
      <c r="J1657" s="14" t="s">
        <v>15264</v>
      </c>
      <c r="K1657" s="14" t="s">
        <v>15265</v>
      </c>
      <c r="L1657" s="14" t="s">
        <v>15258</v>
      </c>
      <c r="O1657" s="14" t="s">
        <v>15259</v>
      </c>
      <c r="P1657" s="14" t="s">
        <v>15260</v>
      </c>
      <c r="Q1657" s="14">
        <v>417294.69</v>
      </c>
      <c r="R1657" s="14">
        <v>6196754.7800000003</v>
      </c>
      <c r="S1657" s="14" t="s">
        <v>15261</v>
      </c>
      <c r="T1657" s="14" t="s">
        <v>15262</v>
      </c>
      <c r="U1657" s="14">
        <v>417321.35</v>
      </c>
      <c r="V1657" s="14">
        <v>6196748.5300000003</v>
      </c>
      <c r="W1657" s="14">
        <v>179.78</v>
      </c>
      <c r="X1657" s="14">
        <v>200.06</v>
      </c>
    </row>
    <row r="1658" spans="1:24" s="14" customFormat="1" x14ac:dyDescent="0.25">
      <c r="A1658" s="50">
        <v>45102</v>
      </c>
      <c r="B1658" s="57">
        <v>176</v>
      </c>
      <c r="C1658" s="36">
        <v>0.27758101851851852</v>
      </c>
      <c r="D1658" s="16" t="s">
        <v>177</v>
      </c>
      <c r="E1658" s="52" t="s">
        <v>70</v>
      </c>
      <c r="F1658" s="16" t="s">
        <v>1098</v>
      </c>
      <c r="G1658" s="16" t="s">
        <v>1341</v>
      </c>
      <c r="H1658" s="14">
        <v>0.217</v>
      </c>
      <c r="I1658" s="14" t="s">
        <v>15263</v>
      </c>
      <c r="J1658" s="14" t="s">
        <v>15264</v>
      </c>
      <c r="K1658" s="14" t="s">
        <v>15265</v>
      </c>
      <c r="L1658" s="14" t="s">
        <v>15258</v>
      </c>
      <c r="O1658" s="14" t="s">
        <v>15266</v>
      </c>
      <c r="P1658" s="14" t="s">
        <v>15267</v>
      </c>
      <c r="Q1658" s="14">
        <v>417294.69</v>
      </c>
      <c r="R1658" s="14">
        <v>6196520.6299999999</v>
      </c>
      <c r="S1658" s="14" t="s">
        <v>15268</v>
      </c>
      <c r="T1658" s="14" t="s">
        <v>15269</v>
      </c>
      <c r="U1658" s="14">
        <v>417321.29</v>
      </c>
      <c r="V1658" s="14">
        <v>6196513.7199999997</v>
      </c>
      <c r="W1658" s="14">
        <v>178.69</v>
      </c>
      <c r="X1658" s="14">
        <v>200.06</v>
      </c>
    </row>
    <row r="1659" spans="1:24" s="14" customFormat="1" x14ac:dyDescent="0.25">
      <c r="A1659" s="50">
        <v>45102</v>
      </c>
      <c r="B1659" s="57">
        <v>176</v>
      </c>
      <c r="C1659" s="36">
        <v>0.27959490740740739</v>
      </c>
      <c r="D1659" s="16" t="s">
        <v>177</v>
      </c>
      <c r="E1659" s="52" t="s">
        <v>65</v>
      </c>
      <c r="F1659" s="16" t="s">
        <v>1098</v>
      </c>
      <c r="G1659" s="16" t="s">
        <v>1342</v>
      </c>
      <c r="H1659" s="14">
        <v>0.21299999999999999</v>
      </c>
      <c r="I1659" s="14" t="s">
        <v>15274</v>
      </c>
      <c r="J1659" s="14" t="s">
        <v>15275</v>
      </c>
      <c r="K1659" s="14" t="s">
        <v>15276</v>
      </c>
      <c r="L1659" s="14" t="s">
        <v>15258</v>
      </c>
      <c r="O1659" s="14" t="s">
        <v>15270</v>
      </c>
      <c r="P1659" s="14" t="s">
        <v>15271</v>
      </c>
      <c r="Q1659" s="14">
        <v>417302.56</v>
      </c>
      <c r="R1659" s="14">
        <v>6196507.5</v>
      </c>
      <c r="S1659" s="14" t="s">
        <v>15272</v>
      </c>
      <c r="T1659" s="14" t="s">
        <v>15273</v>
      </c>
      <c r="U1659" s="14">
        <v>417330.26</v>
      </c>
      <c r="V1659" s="14">
        <v>6196506.1600000001</v>
      </c>
      <c r="W1659" s="14">
        <v>359.4</v>
      </c>
      <c r="X1659" s="14">
        <v>200.06</v>
      </c>
    </row>
    <row r="1660" spans="1:24" s="14" customFormat="1" x14ac:dyDescent="0.25">
      <c r="A1660" s="50">
        <v>45102</v>
      </c>
      <c r="B1660" s="57">
        <v>176</v>
      </c>
      <c r="C1660" s="36">
        <v>0.28402777777777777</v>
      </c>
      <c r="D1660" s="16" t="s">
        <v>177</v>
      </c>
      <c r="E1660" s="52" t="s">
        <v>70</v>
      </c>
      <c r="F1660" s="16" t="s">
        <v>1098</v>
      </c>
      <c r="G1660" s="16" t="s">
        <v>1342</v>
      </c>
      <c r="H1660" s="14">
        <v>-0.02</v>
      </c>
      <c r="I1660" s="14" t="s">
        <v>15274</v>
      </c>
      <c r="J1660" s="14" t="s">
        <v>15275</v>
      </c>
      <c r="K1660" s="14" t="s">
        <v>15276</v>
      </c>
      <c r="L1660" s="14" t="s">
        <v>15281</v>
      </c>
      <c r="O1660" s="14" t="s">
        <v>15277</v>
      </c>
      <c r="P1660" s="14" t="s">
        <v>15278</v>
      </c>
      <c r="Q1660" s="14">
        <v>417305.1</v>
      </c>
      <c r="R1660" s="14">
        <v>6196739.9800000004</v>
      </c>
      <c r="S1660" s="14" t="s">
        <v>15279</v>
      </c>
      <c r="T1660" s="14" t="s">
        <v>15280</v>
      </c>
      <c r="U1660" s="14">
        <v>417330.27</v>
      </c>
      <c r="V1660" s="14">
        <v>6196739.5499999998</v>
      </c>
      <c r="W1660" s="14">
        <v>358.77</v>
      </c>
      <c r="X1660" s="14">
        <v>200.06</v>
      </c>
    </row>
    <row r="1661" spans="1:24" s="14" customFormat="1" x14ac:dyDescent="0.25">
      <c r="A1661" s="50">
        <v>45102</v>
      </c>
      <c r="B1661" s="57">
        <v>176</v>
      </c>
      <c r="C1661" s="36">
        <v>0.28621527777777778</v>
      </c>
      <c r="D1661" s="16" t="s">
        <v>177</v>
      </c>
      <c r="E1661" s="52" t="s">
        <v>65</v>
      </c>
      <c r="F1661" s="16" t="s">
        <v>1098</v>
      </c>
      <c r="G1661" s="16" t="s">
        <v>1343</v>
      </c>
      <c r="H1661" s="14">
        <v>-1.6E-2</v>
      </c>
      <c r="I1661" s="14" t="s">
        <v>15286</v>
      </c>
      <c r="J1661" s="14" t="s">
        <v>15287</v>
      </c>
      <c r="K1661" s="14" t="s">
        <v>15288</v>
      </c>
      <c r="L1661" s="14" t="s">
        <v>15281</v>
      </c>
      <c r="O1661" s="14" t="s">
        <v>15282</v>
      </c>
      <c r="P1661" s="14" t="s">
        <v>15283</v>
      </c>
      <c r="Q1661" s="14">
        <v>417312.59</v>
      </c>
      <c r="R1661" s="14">
        <v>6196750.8600000003</v>
      </c>
      <c r="S1661" s="14" t="s">
        <v>15284</v>
      </c>
      <c r="T1661" s="14" t="s">
        <v>15285</v>
      </c>
      <c r="U1661" s="14">
        <v>417339.28</v>
      </c>
      <c r="V1661" s="14">
        <v>6196746.1299999999</v>
      </c>
      <c r="W1661" s="14">
        <v>179.17</v>
      </c>
      <c r="X1661" s="14">
        <v>200.06</v>
      </c>
    </row>
    <row r="1662" spans="1:24" s="14" customFormat="1" x14ac:dyDescent="0.25">
      <c r="A1662" s="50">
        <v>45102</v>
      </c>
      <c r="B1662" s="57">
        <v>176</v>
      </c>
      <c r="C1662" s="36">
        <v>0.29059027777777779</v>
      </c>
      <c r="D1662" s="16" t="s">
        <v>177</v>
      </c>
      <c r="E1662" s="52" t="s">
        <v>70</v>
      </c>
      <c r="F1662" s="16" t="s">
        <v>1098</v>
      </c>
      <c r="G1662" s="16" t="s">
        <v>1343</v>
      </c>
      <c r="H1662" s="14">
        <v>0.217</v>
      </c>
      <c r="I1662" s="14" t="s">
        <v>15286</v>
      </c>
      <c r="J1662" s="14" t="s">
        <v>15287</v>
      </c>
      <c r="K1662" s="14" t="s">
        <v>15288</v>
      </c>
      <c r="L1662" s="14" t="s">
        <v>15281</v>
      </c>
      <c r="O1662" s="14" t="s">
        <v>15289</v>
      </c>
      <c r="P1662" s="14" t="s">
        <v>15290</v>
      </c>
      <c r="Q1662" s="14">
        <v>417312.72</v>
      </c>
      <c r="R1662" s="14">
        <v>6196518.6600000001</v>
      </c>
      <c r="S1662" s="14" t="s">
        <v>15291</v>
      </c>
      <c r="T1662" s="14" t="s">
        <v>15292</v>
      </c>
      <c r="U1662" s="14">
        <v>417339.27</v>
      </c>
      <c r="V1662" s="14">
        <v>6196513.25</v>
      </c>
      <c r="W1662" s="14">
        <v>179.12</v>
      </c>
      <c r="X1662" s="14">
        <v>200.06</v>
      </c>
    </row>
    <row r="1663" spans="1:24" s="14" customFormat="1" x14ac:dyDescent="0.25">
      <c r="A1663" s="50">
        <v>45102</v>
      </c>
      <c r="B1663" s="57">
        <v>176</v>
      </c>
      <c r="C1663" s="36">
        <v>0.29347222222222219</v>
      </c>
      <c r="D1663" s="16" t="s">
        <v>177</v>
      </c>
      <c r="E1663" s="52" t="s">
        <v>65</v>
      </c>
      <c r="F1663" s="16" t="s">
        <v>1098</v>
      </c>
      <c r="G1663" s="16" t="s">
        <v>1344</v>
      </c>
      <c r="H1663" s="14">
        <v>0.21299999999999999</v>
      </c>
      <c r="I1663" s="14" t="s">
        <v>15297</v>
      </c>
      <c r="J1663" s="14" t="s">
        <v>15298</v>
      </c>
      <c r="K1663" s="14" t="s">
        <v>15299</v>
      </c>
      <c r="L1663" s="14" t="s">
        <v>15300</v>
      </c>
      <c r="O1663" s="14" t="s">
        <v>15293</v>
      </c>
      <c r="P1663" s="14" t="s">
        <v>15294</v>
      </c>
      <c r="Q1663" s="14">
        <v>417320.8</v>
      </c>
      <c r="R1663" s="14">
        <v>6196507.4800000004</v>
      </c>
      <c r="S1663" s="14" t="s">
        <v>15295</v>
      </c>
      <c r="T1663" s="14" t="s">
        <v>15296</v>
      </c>
      <c r="U1663" s="14">
        <v>417348.3</v>
      </c>
      <c r="V1663" s="14">
        <v>6196505.9900000002</v>
      </c>
      <c r="W1663" s="14">
        <v>359.67</v>
      </c>
      <c r="X1663" s="14">
        <v>200.06</v>
      </c>
    </row>
    <row r="1664" spans="1:24" s="14" customFormat="1" x14ac:dyDescent="0.25">
      <c r="A1664" s="50">
        <v>45102</v>
      </c>
      <c r="B1664" s="57">
        <v>176</v>
      </c>
      <c r="C1664" s="36">
        <v>0.2978587962962963</v>
      </c>
      <c r="D1664" s="16" t="s">
        <v>177</v>
      </c>
      <c r="E1664" s="52" t="s">
        <v>70</v>
      </c>
      <c r="F1664" s="16" t="s">
        <v>1098</v>
      </c>
      <c r="G1664" s="16" t="s">
        <v>1344</v>
      </c>
      <c r="H1664" s="14">
        <v>-2.1000000000000001E-2</v>
      </c>
      <c r="I1664" s="14" t="s">
        <v>15297</v>
      </c>
      <c r="J1664" s="14" t="s">
        <v>15298</v>
      </c>
      <c r="K1664" s="14" t="s">
        <v>15299</v>
      </c>
      <c r="L1664" s="14" t="s">
        <v>15300</v>
      </c>
      <c r="O1664" s="14" t="s">
        <v>15301</v>
      </c>
      <c r="P1664" s="14" t="s">
        <v>15302</v>
      </c>
      <c r="Q1664" s="14">
        <v>417322.56</v>
      </c>
      <c r="R1664" s="14">
        <v>6196738.3700000001</v>
      </c>
      <c r="S1664" s="14" t="s">
        <v>15303</v>
      </c>
      <c r="T1664" s="14" t="s">
        <v>15304</v>
      </c>
      <c r="U1664" s="14">
        <v>417348.33</v>
      </c>
      <c r="V1664" s="14">
        <v>6196740.6799999997</v>
      </c>
      <c r="W1664" s="14">
        <v>358.99</v>
      </c>
      <c r="X1664" s="14">
        <v>200.06</v>
      </c>
    </row>
    <row r="1665" spans="1:24" s="14" customFormat="1" x14ac:dyDescent="0.25">
      <c r="A1665" s="50">
        <v>45102</v>
      </c>
      <c r="B1665" s="57">
        <v>176</v>
      </c>
      <c r="C1665" s="36">
        <v>0.30042824074074076</v>
      </c>
      <c r="D1665" s="16" t="s">
        <v>177</v>
      </c>
      <c r="E1665" s="52" t="s">
        <v>65</v>
      </c>
      <c r="F1665" s="16" t="s">
        <v>1098</v>
      </c>
      <c r="G1665" s="16" t="s">
        <v>1345</v>
      </c>
      <c r="H1665" s="14">
        <v>-1.7999999999999999E-2</v>
      </c>
      <c r="I1665" s="14" t="s">
        <v>15309</v>
      </c>
      <c r="J1665" s="14" t="s">
        <v>15310</v>
      </c>
      <c r="K1665" s="14" t="s">
        <v>15311</v>
      </c>
      <c r="L1665" s="14" t="s">
        <v>15300</v>
      </c>
      <c r="O1665" s="14" t="s">
        <v>15305</v>
      </c>
      <c r="P1665" s="14" t="s">
        <v>15306</v>
      </c>
      <c r="Q1665" s="14">
        <v>417331.54</v>
      </c>
      <c r="R1665" s="14">
        <v>6196753.54</v>
      </c>
      <c r="S1665" s="14" t="s">
        <v>15307</v>
      </c>
      <c r="T1665" s="14" t="s">
        <v>15308</v>
      </c>
      <c r="U1665" s="14">
        <v>417357.28</v>
      </c>
      <c r="V1665" s="14">
        <v>6196748.3099999996</v>
      </c>
      <c r="W1665" s="14">
        <v>179.18</v>
      </c>
      <c r="X1665" s="14">
        <v>200.06</v>
      </c>
    </row>
    <row r="1666" spans="1:24" s="14" customFormat="1" x14ac:dyDescent="0.25">
      <c r="A1666" s="50">
        <v>45102</v>
      </c>
      <c r="B1666" s="57">
        <v>176</v>
      </c>
      <c r="C1666" s="36">
        <v>0.30486111111111108</v>
      </c>
      <c r="D1666" s="16" t="s">
        <v>177</v>
      </c>
      <c r="E1666" s="52" t="s">
        <v>70</v>
      </c>
      <c r="F1666" s="16" t="s">
        <v>1098</v>
      </c>
      <c r="G1666" s="16" t="s">
        <v>1345</v>
      </c>
      <c r="H1666" s="14">
        <v>0.218</v>
      </c>
      <c r="I1666" s="14" t="s">
        <v>15309</v>
      </c>
      <c r="J1666" s="14" t="s">
        <v>15310</v>
      </c>
      <c r="K1666" s="14" t="s">
        <v>15311</v>
      </c>
      <c r="L1666" s="14" t="s">
        <v>15316</v>
      </c>
      <c r="O1666" s="14" t="s">
        <v>15312</v>
      </c>
      <c r="P1666" s="14" t="s">
        <v>15313</v>
      </c>
      <c r="Q1666" s="14">
        <v>417331.84</v>
      </c>
      <c r="R1666" s="14">
        <v>6196518.0099999998</v>
      </c>
      <c r="S1666" s="14" t="s">
        <v>15314</v>
      </c>
      <c r="T1666" s="14" t="s">
        <v>15315</v>
      </c>
      <c r="U1666" s="14">
        <v>417357.27</v>
      </c>
      <c r="V1666" s="14">
        <v>6196512.3499999996</v>
      </c>
      <c r="W1666" s="14">
        <v>178.63</v>
      </c>
      <c r="X1666" s="14">
        <v>200.06</v>
      </c>
    </row>
    <row r="1667" spans="1:24" s="14" customFormat="1" x14ac:dyDescent="0.25">
      <c r="A1667" s="50">
        <v>45102</v>
      </c>
      <c r="B1667" s="57">
        <v>176</v>
      </c>
      <c r="C1667" s="36">
        <v>0.3072685185185185</v>
      </c>
      <c r="D1667" s="16" t="s">
        <v>177</v>
      </c>
      <c r="E1667" s="52" t="s">
        <v>65</v>
      </c>
      <c r="F1667" s="16" t="s">
        <v>1098</v>
      </c>
      <c r="G1667" s="16" t="s">
        <v>1346</v>
      </c>
      <c r="H1667" s="14">
        <v>0.215</v>
      </c>
      <c r="I1667" s="14" t="s">
        <v>15321</v>
      </c>
      <c r="J1667" s="14" t="s">
        <v>15322</v>
      </c>
      <c r="K1667" s="14" t="s">
        <v>15323</v>
      </c>
      <c r="L1667" s="14" t="s">
        <v>15316</v>
      </c>
      <c r="O1667" s="14" t="s">
        <v>15317</v>
      </c>
      <c r="P1667" s="14" t="s">
        <v>15318</v>
      </c>
      <c r="Q1667" s="14">
        <v>417339.5</v>
      </c>
      <c r="R1667" s="14">
        <v>6196506.04</v>
      </c>
      <c r="S1667" s="14" t="s">
        <v>15319</v>
      </c>
      <c r="T1667" s="14" t="s">
        <v>15320</v>
      </c>
      <c r="U1667" s="14">
        <v>417366.24</v>
      </c>
      <c r="V1667" s="14">
        <v>6196504.9500000002</v>
      </c>
      <c r="W1667" s="14">
        <v>358.71</v>
      </c>
      <c r="X1667" s="14">
        <v>200.06</v>
      </c>
    </row>
    <row r="1668" spans="1:24" s="14" customFormat="1" x14ac:dyDescent="0.25">
      <c r="A1668" s="50">
        <v>45102</v>
      </c>
      <c r="B1668" s="57">
        <v>176</v>
      </c>
      <c r="C1668" s="36">
        <v>0.31170138888888888</v>
      </c>
      <c r="D1668" s="16" t="s">
        <v>177</v>
      </c>
      <c r="E1668" s="52" t="s">
        <v>70</v>
      </c>
      <c r="F1668" s="16" t="s">
        <v>1098</v>
      </c>
      <c r="G1668" s="16" t="s">
        <v>1346</v>
      </c>
      <c r="H1668" s="14">
        <v>-2.1999999999999999E-2</v>
      </c>
      <c r="I1668" s="14" t="s">
        <v>15321</v>
      </c>
      <c r="J1668" s="14" t="s">
        <v>15322</v>
      </c>
      <c r="K1668" s="14" t="s">
        <v>15323</v>
      </c>
      <c r="L1668" s="14" t="s">
        <v>15316</v>
      </c>
      <c r="O1668" s="14" t="s">
        <v>15325</v>
      </c>
      <c r="P1668" s="14" t="s">
        <v>15326</v>
      </c>
      <c r="Q1668" s="14">
        <v>417340.82</v>
      </c>
      <c r="R1668" s="14">
        <v>6196738.8899999997</v>
      </c>
      <c r="S1668" s="14" t="s">
        <v>15327</v>
      </c>
      <c r="T1668" s="14" t="s">
        <v>15328</v>
      </c>
      <c r="U1668" s="14">
        <v>417366.26</v>
      </c>
      <c r="V1668" s="14">
        <v>6196741.2800000003</v>
      </c>
      <c r="W1668" s="14">
        <v>358.99</v>
      </c>
      <c r="X1668" s="14">
        <v>200.06</v>
      </c>
    </row>
    <row r="1669" spans="1:24" s="14" customFormat="1" x14ac:dyDescent="0.25">
      <c r="A1669" s="50">
        <v>45102</v>
      </c>
      <c r="B1669" s="57">
        <v>176</v>
      </c>
      <c r="C1669" s="36">
        <v>0.31443287037037038</v>
      </c>
      <c r="D1669" s="16" t="s">
        <v>177</v>
      </c>
      <c r="E1669" s="116" t="s">
        <v>10819</v>
      </c>
      <c r="F1669" s="16" t="s">
        <v>1098</v>
      </c>
      <c r="G1669" s="16" t="s">
        <v>1525</v>
      </c>
      <c r="H1669" s="14">
        <v>-0.83099999999999996</v>
      </c>
      <c r="O1669" s="14" t="s">
        <v>15329</v>
      </c>
      <c r="P1669" s="14" t="s">
        <v>15330</v>
      </c>
      <c r="Q1669" s="14">
        <v>417341.64</v>
      </c>
      <c r="R1669" s="14">
        <v>6196768.21</v>
      </c>
      <c r="S1669" s="14" t="s">
        <v>15331</v>
      </c>
      <c r="T1669" s="14" t="s">
        <v>15332</v>
      </c>
      <c r="U1669" s="14">
        <v>417352.97</v>
      </c>
      <c r="V1669" s="14">
        <v>6196765.1600000001</v>
      </c>
      <c r="W1669" s="14">
        <v>88.76</v>
      </c>
      <c r="X1669" s="14">
        <v>150.05000000000001</v>
      </c>
    </row>
    <row r="1670" spans="1:24" s="14" customFormat="1" x14ac:dyDescent="0.25">
      <c r="A1670" s="50">
        <v>45102</v>
      </c>
      <c r="B1670" s="57">
        <v>176</v>
      </c>
      <c r="C1670" s="36">
        <v>0.31519675925925927</v>
      </c>
      <c r="D1670" s="16" t="s">
        <v>177</v>
      </c>
      <c r="E1670" s="116" t="s">
        <v>15324</v>
      </c>
      <c r="F1670" s="16" t="s">
        <v>1098</v>
      </c>
      <c r="G1670" s="16" t="s">
        <v>1525</v>
      </c>
      <c r="H1670" s="14">
        <v>-0.83</v>
      </c>
      <c r="O1670" s="14" t="s">
        <v>15333</v>
      </c>
      <c r="P1670" s="14" t="s">
        <v>15334</v>
      </c>
      <c r="Q1670" s="14">
        <v>417341.28</v>
      </c>
      <c r="R1670" s="14">
        <v>6196766.9299999997</v>
      </c>
      <c r="S1670" s="14" t="s">
        <v>15335</v>
      </c>
      <c r="T1670" s="14" t="s">
        <v>15336</v>
      </c>
      <c r="U1670" s="14">
        <v>417352.88</v>
      </c>
      <c r="V1670" s="14">
        <v>6196763.8300000001</v>
      </c>
      <c r="W1670" s="14">
        <v>83.51</v>
      </c>
      <c r="X1670" s="14">
        <v>150.05000000000001</v>
      </c>
    </row>
    <row r="1671" spans="1:24" s="14" customFormat="1" x14ac:dyDescent="0.25">
      <c r="A1671" s="50">
        <v>45102</v>
      </c>
      <c r="B1671" s="57">
        <v>176</v>
      </c>
      <c r="C1671" s="36">
        <v>0.323275462962963</v>
      </c>
      <c r="D1671" s="16" t="s">
        <v>177</v>
      </c>
      <c r="E1671" s="116" t="s">
        <v>6362</v>
      </c>
      <c r="F1671" s="16" t="s">
        <v>1098</v>
      </c>
      <c r="G1671" s="16" t="s">
        <v>1525</v>
      </c>
      <c r="H1671" s="14">
        <v>-3.1E-2</v>
      </c>
      <c r="O1671" s="14" t="s">
        <v>15337</v>
      </c>
      <c r="P1671" s="14" t="s">
        <v>15338</v>
      </c>
      <c r="Q1671" s="14">
        <v>418405.18</v>
      </c>
      <c r="R1671" s="14">
        <v>6195966.3899999997</v>
      </c>
      <c r="S1671" s="14" t="s">
        <v>15339</v>
      </c>
      <c r="T1671" s="14" t="s">
        <v>15340</v>
      </c>
      <c r="U1671" s="14">
        <v>418416.78</v>
      </c>
      <c r="V1671" s="14">
        <v>6195964.6100000003</v>
      </c>
      <c r="W1671" s="14">
        <v>84.23</v>
      </c>
      <c r="X1671" s="14">
        <v>150.05000000000001</v>
      </c>
    </row>
    <row r="1672" spans="1:24" s="14" customFormat="1" x14ac:dyDescent="0.25">
      <c r="A1672" s="50">
        <v>45102</v>
      </c>
      <c r="B1672" s="57">
        <v>176</v>
      </c>
      <c r="C1672" s="36">
        <v>0.32561342592592596</v>
      </c>
      <c r="D1672" s="16" t="s">
        <v>177</v>
      </c>
      <c r="E1672" s="116" t="s">
        <v>8182</v>
      </c>
      <c r="F1672" s="16" t="s">
        <v>1098</v>
      </c>
      <c r="G1672" s="16" t="s">
        <v>1525</v>
      </c>
      <c r="H1672" s="14">
        <v>-3.7999999999999999E-2</v>
      </c>
      <c r="O1672" s="14" t="s">
        <v>15341</v>
      </c>
      <c r="P1672" s="14" t="s">
        <v>15342</v>
      </c>
      <c r="Q1672" s="14">
        <v>418407.02</v>
      </c>
      <c r="R1672" s="14">
        <v>6195967</v>
      </c>
      <c r="S1672" s="14" t="s">
        <v>15343</v>
      </c>
      <c r="T1672" s="14" t="s">
        <v>15344</v>
      </c>
      <c r="U1672" s="14">
        <v>418423.54</v>
      </c>
      <c r="V1672" s="14">
        <v>6195971.1200000001</v>
      </c>
      <c r="W1672" s="14">
        <v>78.16</v>
      </c>
      <c r="X1672" s="14">
        <v>150.05000000000001</v>
      </c>
    </row>
    <row r="1673" spans="1:24" s="122" customFormat="1" x14ac:dyDescent="0.25">
      <c r="A1673" s="65">
        <v>45102</v>
      </c>
      <c r="B1673" s="106">
        <v>176</v>
      </c>
      <c r="C1673" s="67">
        <v>0.32593749999999999</v>
      </c>
      <c r="D1673" s="66" t="s">
        <v>177</v>
      </c>
      <c r="E1673" s="123" t="s">
        <v>15350</v>
      </c>
      <c r="F1673" s="66" t="s">
        <v>1098</v>
      </c>
      <c r="G1673" s="66" t="s">
        <v>1525</v>
      </c>
      <c r="H1673" s="122">
        <v>-3.5999999999999997E-2</v>
      </c>
      <c r="M1673" s="122" t="s">
        <v>15345</v>
      </c>
      <c r="O1673" s="122" t="s">
        <v>15346</v>
      </c>
      <c r="P1673" s="122" t="s">
        <v>15347</v>
      </c>
      <c r="Q1673" s="122">
        <v>418408.08</v>
      </c>
      <c r="R1673" s="122">
        <v>6195967.2300000004</v>
      </c>
      <c r="S1673" s="122" t="s">
        <v>15348</v>
      </c>
      <c r="T1673" s="122" t="s">
        <v>15349</v>
      </c>
      <c r="U1673" s="122">
        <v>418426.2</v>
      </c>
      <c r="V1673" s="122">
        <v>6195971.5999999996</v>
      </c>
      <c r="W1673" s="122">
        <v>99.26</v>
      </c>
      <c r="X1673" s="122">
        <v>150.05000000000001</v>
      </c>
    </row>
    <row r="1674" spans="1:24" s="14" customFormat="1" x14ac:dyDescent="0.25">
      <c r="A1674" s="50">
        <v>45102</v>
      </c>
      <c r="B1674" s="57">
        <v>176</v>
      </c>
      <c r="C1674" s="36">
        <v>0.32755787037037037</v>
      </c>
      <c r="D1674" s="16" t="s">
        <v>177</v>
      </c>
      <c r="E1674" s="52" t="s">
        <v>65</v>
      </c>
      <c r="F1674" s="16" t="s">
        <v>1098</v>
      </c>
      <c r="G1674" s="16" t="s">
        <v>1525</v>
      </c>
      <c r="H1674" s="14">
        <v>-1.0999999999999999E-2</v>
      </c>
      <c r="I1674" s="14" t="s">
        <v>15355</v>
      </c>
      <c r="J1674" s="14" t="s">
        <v>15356</v>
      </c>
      <c r="K1674" s="14" t="s">
        <v>15357</v>
      </c>
      <c r="L1674" s="14" t="s">
        <v>15358</v>
      </c>
      <c r="O1674" s="14" t="s">
        <v>15351</v>
      </c>
      <c r="P1674" s="14" t="s">
        <v>15352</v>
      </c>
      <c r="Q1674" s="14">
        <v>418407.74</v>
      </c>
      <c r="R1674" s="14">
        <v>6195955.75</v>
      </c>
      <c r="S1674" s="14" t="s">
        <v>15353</v>
      </c>
      <c r="T1674" s="14" t="s">
        <v>15354</v>
      </c>
      <c r="U1674" s="14">
        <v>418433.93</v>
      </c>
      <c r="V1674" s="14">
        <v>6195951.2999999998</v>
      </c>
      <c r="W1674" s="14">
        <v>179.89</v>
      </c>
      <c r="X1674" s="14">
        <v>150.05000000000001</v>
      </c>
    </row>
    <row r="1675" spans="1:24" s="14" customFormat="1" x14ac:dyDescent="0.25">
      <c r="A1675" s="50">
        <v>45102</v>
      </c>
      <c r="B1675" s="57">
        <v>176</v>
      </c>
      <c r="C1675" s="36">
        <v>0.33099537037037036</v>
      </c>
      <c r="D1675" s="16" t="s">
        <v>177</v>
      </c>
      <c r="E1675" s="52" t="s">
        <v>70</v>
      </c>
      <c r="F1675" s="16" t="s">
        <v>1098</v>
      </c>
      <c r="G1675" s="16" t="s">
        <v>1525</v>
      </c>
      <c r="H1675" s="14">
        <v>0.16600000000000001</v>
      </c>
      <c r="I1675" s="14" t="s">
        <v>15355</v>
      </c>
      <c r="J1675" s="14" t="s">
        <v>15356</v>
      </c>
      <c r="K1675" s="14" t="s">
        <v>15357</v>
      </c>
      <c r="L1675" s="14" t="s">
        <v>15358</v>
      </c>
      <c r="O1675" s="14" t="s">
        <v>15359</v>
      </c>
      <c r="P1675" s="14" t="s">
        <v>15360</v>
      </c>
      <c r="Q1675" s="14">
        <v>418404.78</v>
      </c>
      <c r="R1675" s="14">
        <v>6195777.4400000004</v>
      </c>
      <c r="S1675" s="14" t="s">
        <v>15361</v>
      </c>
      <c r="T1675" s="14" t="s">
        <v>15362</v>
      </c>
      <c r="U1675" s="14">
        <v>418433.88</v>
      </c>
      <c r="V1675" s="14">
        <v>6195774.1299999999</v>
      </c>
      <c r="W1675" s="14">
        <v>178.67</v>
      </c>
      <c r="X1675" s="14">
        <v>150.05000000000001</v>
      </c>
    </row>
    <row r="1676" spans="1:24" s="14" customFormat="1" x14ac:dyDescent="0.25">
      <c r="A1676" s="50">
        <v>45102</v>
      </c>
      <c r="B1676" s="57">
        <v>176</v>
      </c>
      <c r="C1676" s="36">
        <v>0.33349537037037041</v>
      </c>
      <c r="D1676" s="16" t="s">
        <v>177</v>
      </c>
      <c r="E1676" s="52" t="s">
        <v>65</v>
      </c>
      <c r="F1676" s="16" t="s">
        <v>1098</v>
      </c>
      <c r="G1676" s="16" t="s">
        <v>1524</v>
      </c>
      <c r="H1676" s="14">
        <v>0.16300000000000001</v>
      </c>
      <c r="I1676" s="14" t="s">
        <v>15367</v>
      </c>
      <c r="J1676" s="14" t="s">
        <v>15368</v>
      </c>
      <c r="K1676" s="14" t="s">
        <v>15369</v>
      </c>
      <c r="L1676" s="14" t="s">
        <v>15370</v>
      </c>
      <c r="O1676" s="14" t="s">
        <v>15363</v>
      </c>
      <c r="P1676" s="14" t="s">
        <v>15364</v>
      </c>
      <c r="Q1676" s="14">
        <v>418415.51</v>
      </c>
      <c r="R1676" s="14">
        <v>6195767.2599999998</v>
      </c>
      <c r="S1676" s="14" t="s">
        <v>15365</v>
      </c>
      <c r="T1676" s="14" t="s">
        <v>15366</v>
      </c>
      <c r="U1676" s="14">
        <v>418443.06</v>
      </c>
      <c r="V1676" s="14">
        <v>6195766.2599999998</v>
      </c>
      <c r="W1676" s="14">
        <v>359.65</v>
      </c>
      <c r="X1676" s="14">
        <v>150.05000000000001</v>
      </c>
    </row>
    <row r="1677" spans="1:24" s="14" customFormat="1" x14ac:dyDescent="0.25">
      <c r="A1677" s="50">
        <v>45102</v>
      </c>
      <c r="B1677" s="57">
        <v>176</v>
      </c>
      <c r="C1677" s="36">
        <v>0.33686342592592594</v>
      </c>
      <c r="D1677" s="16" t="s">
        <v>177</v>
      </c>
      <c r="E1677" s="52" t="s">
        <v>70</v>
      </c>
      <c r="F1677" s="16" t="s">
        <v>1098</v>
      </c>
      <c r="G1677" s="16" t="s">
        <v>1524</v>
      </c>
      <c r="H1677" s="14">
        <v>-1.4999999999999999E-2</v>
      </c>
      <c r="I1677" s="14" t="s">
        <v>15367</v>
      </c>
      <c r="J1677" s="14" t="s">
        <v>15368</v>
      </c>
      <c r="K1677" s="14" t="s">
        <v>15369</v>
      </c>
      <c r="L1677" s="14" t="s">
        <v>15370</v>
      </c>
      <c r="O1677" s="14" t="s">
        <v>15371</v>
      </c>
      <c r="P1677" s="14" t="s">
        <v>15372</v>
      </c>
      <c r="Q1677" s="14">
        <v>418419.41</v>
      </c>
      <c r="R1677" s="14">
        <v>6195943.3300000001</v>
      </c>
      <c r="S1677" s="14" t="s">
        <v>15373</v>
      </c>
      <c r="T1677" s="14" t="s">
        <v>15374</v>
      </c>
      <c r="U1677" s="14">
        <v>418443.03</v>
      </c>
      <c r="V1677" s="14">
        <v>6195944.2599999998</v>
      </c>
      <c r="W1677" s="14">
        <v>359.64</v>
      </c>
      <c r="X1677" s="14">
        <v>150.05000000000001</v>
      </c>
    </row>
    <row r="1678" spans="1:24" s="14" customFormat="1" x14ac:dyDescent="0.25">
      <c r="A1678" s="50">
        <v>45102</v>
      </c>
      <c r="B1678" s="57">
        <v>176</v>
      </c>
      <c r="C1678" s="36">
        <v>0.33900462962962963</v>
      </c>
      <c r="D1678" s="16" t="s">
        <v>177</v>
      </c>
      <c r="E1678" s="52" t="s">
        <v>65</v>
      </c>
      <c r="F1678" s="16" t="s">
        <v>1098</v>
      </c>
      <c r="G1678" s="16" t="s">
        <v>1523</v>
      </c>
      <c r="H1678" s="14">
        <v>-0.01</v>
      </c>
      <c r="I1678" s="14" t="s">
        <v>15379</v>
      </c>
      <c r="J1678" s="14" t="s">
        <v>15380</v>
      </c>
      <c r="K1678" s="14" t="s">
        <v>15381</v>
      </c>
      <c r="L1678" s="14" t="s">
        <v>15370</v>
      </c>
      <c r="O1678" s="14" t="s">
        <v>15375</v>
      </c>
      <c r="P1678" s="14" t="s">
        <v>15376</v>
      </c>
      <c r="Q1678" s="14">
        <v>418426.5</v>
      </c>
      <c r="R1678" s="14">
        <v>6195954.6699999999</v>
      </c>
      <c r="S1678" s="14" t="s">
        <v>15377</v>
      </c>
      <c r="T1678" s="14" t="s">
        <v>15378</v>
      </c>
      <c r="U1678" s="14">
        <v>418452.15</v>
      </c>
      <c r="V1678" s="14">
        <v>6195950.3399999999</v>
      </c>
      <c r="W1678" s="14">
        <v>179.7</v>
      </c>
      <c r="X1678" s="14">
        <v>150.05000000000001</v>
      </c>
    </row>
    <row r="1679" spans="1:24" s="14" customFormat="1" x14ac:dyDescent="0.25">
      <c r="A1679" s="50">
        <v>45102</v>
      </c>
      <c r="B1679" s="57">
        <v>176</v>
      </c>
      <c r="C1679" s="36">
        <v>0.34236111111111112</v>
      </c>
      <c r="D1679" s="16" t="s">
        <v>177</v>
      </c>
      <c r="E1679" s="52" t="s">
        <v>70</v>
      </c>
      <c r="F1679" s="16" t="s">
        <v>1098</v>
      </c>
      <c r="G1679" s="16" t="s">
        <v>1523</v>
      </c>
      <c r="H1679" s="14">
        <v>0.16700000000000001</v>
      </c>
      <c r="I1679" s="14" t="s">
        <v>15379</v>
      </c>
      <c r="J1679" s="14" t="s">
        <v>15380</v>
      </c>
      <c r="K1679" s="14" t="s">
        <v>15381</v>
      </c>
      <c r="L1679" s="14" t="s">
        <v>15370</v>
      </c>
      <c r="O1679" s="14" t="s">
        <v>15382</v>
      </c>
      <c r="P1679" s="14" t="s">
        <v>15383</v>
      </c>
      <c r="Q1679" s="14">
        <v>418426.71</v>
      </c>
      <c r="R1679" s="14">
        <v>6195778.9000000004</v>
      </c>
      <c r="S1679" s="14" t="s">
        <v>15384</v>
      </c>
      <c r="T1679" s="14" t="s">
        <v>15385</v>
      </c>
      <c r="U1679" s="14">
        <v>418451.95</v>
      </c>
      <c r="V1679" s="14">
        <v>6195773.5199999996</v>
      </c>
      <c r="W1679" s="14">
        <v>178.76</v>
      </c>
      <c r="X1679" s="14">
        <v>150.05000000000001</v>
      </c>
    </row>
    <row r="1680" spans="1:24" s="14" customFormat="1" x14ac:dyDescent="0.25">
      <c r="A1680" s="50">
        <v>45102</v>
      </c>
      <c r="B1680" s="57">
        <v>176</v>
      </c>
      <c r="C1680" s="36">
        <v>0.3442708333333333</v>
      </c>
      <c r="D1680" s="16" t="s">
        <v>177</v>
      </c>
      <c r="E1680" s="52" t="s">
        <v>65</v>
      </c>
      <c r="F1680" s="16" t="s">
        <v>1098</v>
      </c>
      <c r="G1680" s="16" t="s">
        <v>1522</v>
      </c>
      <c r="H1680" s="14">
        <v>0.16400000000000001</v>
      </c>
      <c r="I1680" s="14" t="s">
        <v>15390</v>
      </c>
      <c r="J1680" s="14" t="s">
        <v>15391</v>
      </c>
      <c r="K1680" s="14" t="s">
        <v>15392</v>
      </c>
      <c r="L1680" s="14" t="s">
        <v>15393</v>
      </c>
      <c r="O1680" s="14" t="s">
        <v>15386</v>
      </c>
      <c r="P1680" s="14" t="s">
        <v>15387</v>
      </c>
      <c r="Q1680" s="14">
        <v>418433.66</v>
      </c>
      <c r="R1680" s="14">
        <v>6195767.1600000001</v>
      </c>
      <c r="S1680" s="14" t="s">
        <v>15388</v>
      </c>
      <c r="T1680" s="14" t="s">
        <v>15389</v>
      </c>
      <c r="U1680" s="14">
        <v>418460.91</v>
      </c>
      <c r="V1680" s="14">
        <v>6195765.1399999997</v>
      </c>
      <c r="W1680" s="14">
        <v>1.44</v>
      </c>
      <c r="X1680" s="14">
        <v>150.05000000000001</v>
      </c>
    </row>
    <row r="1681" spans="1:24" s="14" customFormat="1" x14ac:dyDescent="0.25">
      <c r="A1681" s="50">
        <v>45102</v>
      </c>
      <c r="B1681" s="57">
        <v>176</v>
      </c>
      <c r="C1681" s="36">
        <v>0.34767361111111111</v>
      </c>
      <c r="D1681" s="16" t="s">
        <v>177</v>
      </c>
      <c r="E1681" s="52" t="s">
        <v>70</v>
      </c>
      <c r="F1681" s="16" t="s">
        <v>1098</v>
      </c>
      <c r="G1681" s="16" t="s">
        <v>1522</v>
      </c>
      <c r="H1681" s="14">
        <v>-1.4999999999999999E-2</v>
      </c>
      <c r="I1681" s="14" t="s">
        <v>15390</v>
      </c>
      <c r="J1681" s="14" t="s">
        <v>15391</v>
      </c>
      <c r="K1681" s="14" t="s">
        <v>15392</v>
      </c>
      <c r="L1681" s="14" t="s">
        <v>15393</v>
      </c>
      <c r="O1681" s="14" t="s">
        <v>15394</v>
      </c>
      <c r="P1681" s="14" t="s">
        <v>15395</v>
      </c>
      <c r="Q1681" s="14">
        <v>418435.32</v>
      </c>
      <c r="R1681" s="14">
        <v>6195943.5</v>
      </c>
      <c r="S1681" s="14" t="s">
        <v>15396</v>
      </c>
      <c r="T1681" s="14" t="s">
        <v>15397</v>
      </c>
      <c r="U1681" s="14">
        <v>418461.03</v>
      </c>
      <c r="V1681" s="14">
        <v>6195943.5800000001</v>
      </c>
      <c r="W1681" s="14">
        <v>359.25</v>
      </c>
      <c r="X1681" s="14">
        <v>150.05000000000001</v>
      </c>
    </row>
    <row r="1682" spans="1:24" s="14" customFormat="1" x14ac:dyDescent="0.25">
      <c r="A1682" s="50">
        <v>45102</v>
      </c>
      <c r="B1682" s="57">
        <v>176</v>
      </c>
      <c r="C1682" s="36">
        <v>0.34942129629629631</v>
      </c>
      <c r="D1682" s="16" t="s">
        <v>177</v>
      </c>
      <c r="E1682" s="52" t="s">
        <v>65</v>
      </c>
      <c r="F1682" s="16" t="s">
        <v>1098</v>
      </c>
      <c r="G1682" s="16" t="s">
        <v>1521</v>
      </c>
      <c r="H1682" s="14">
        <v>-1.0999999999999999E-2</v>
      </c>
      <c r="I1682" s="14" t="s">
        <v>15402</v>
      </c>
      <c r="J1682" s="14" t="s">
        <v>15403</v>
      </c>
      <c r="K1682" s="14" t="s">
        <v>15404</v>
      </c>
      <c r="L1682" s="14" t="s">
        <v>15393</v>
      </c>
      <c r="O1682" s="14" t="s">
        <v>15398</v>
      </c>
      <c r="P1682" s="14" t="s">
        <v>15399</v>
      </c>
      <c r="Q1682" s="14">
        <v>418443.82</v>
      </c>
      <c r="R1682" s="14">
        <v>6195956.0800000001</v>
      </c>
      <c r="S1682" s="14" t="s">
        <v>15400</v>
      </c>
      <c r="T1682" s="14" t="s">
        <v>15401</v>
      </c>
      <c r="U1682" s="14">
        <v>418469.93</v>
      </c>
      <c r="V1682" s="14">
        <v>6195951.3099999996</v>
      </c>
      <c r="W1682" s="14">
        <v>179.86</v>
      </c>
      <c r="X1682" s="14">
        <v>150.05000000000001</v>
      </c>
    </row>
    <row r="1683" spans="1:24" s="14" customFormat="1" x14ac:dyDescent="0.25">
      <c r="A1683" s="50">
        <v>45102</v>
      </c>
      <c r="B1683" s="57">
        <v>176</v>
      </c>
      <c r="C1683" s="36">
        <v>0.3526157407407407</v>
      </c>
      <c r="D1683" s="16" t="s">
        <v>177</v>
      </c>
      <c r="E1683" s="52" t="s">
        <v>15413</v>
      </c>
      <c r="F1683" s="16" t="s">
        <v>1098</v>
      </c>
      <c r="G1683" s="16" t="s">
        <v>1521</v>
      </c>
      <c r="H1683" s="14">
        <v>0.156</v>
      </c>
      <c r="O1683" s="14" t="s">
        <v>15405</v>
      </c>
      <c r="P1683" s="14" t="s">
        <v>15406</v>
      </c>
      <c r="Q1683" s="14">
        <v>418444.56</v>
      </c>
      <c r="R1683" s="14">
        <v>6195789.2300000004</v>
      </c>
      <c r="S1683" s="14" t="s">
        <v>15407</v>
      </c>
      <c r="T1683" s="14" t="s">
        <v>15408</v>
      </c>
      <c r="U1683" s="14">
        <v>418469.92</v>
      </c>
      <c r="V1683" s="14">
        <v>6195784.4299999997</v>
      </c>
      <c r="W1683" s="14">
        <v>179.11</v>
      </c>
      <c r="X1683" s="14">
        <v>150.05000000000001</v>
      </c>
    </row>
    <row r="1684" spans="1:24" s="14" customFormat="1" x14ac:dyDescent="0.25">
      <c r="A1684" s="50">
        <v>45102</v>
      </c>
      <c r="B1684" s="57">
        <v>176</v>
      </c>
      <c r="C1684" s="36">
        <v>0.35284722222222226</v>
      </c>
      <c r="D1684" s="16" t="s">
        <v>177</v>
      </c>
      <c r="E1684" s="52" t="s">
        <v>70</v>
      </c>
      <c r="F1684" s="16" t="s">
        <v>1098</v>
      </c>
      <c r="G1684" s="16" t="s">
        <v>1521</v>
      </c>
      <c r="H1684" s="14">
        <v>0.16700000000000001</v>
      </c>
      <c r="I1684" s="14" t="s">
        <v>15402</v>
      </c>
      <c r="J1684" s="14" t="s">
        <v>15403</v>
      </c>
      <c r="K1684" s="14" t="s">
        <v>15404</v>
      </c>
      <c r="L1684" s="14" t="s">
        <v>15393</v>
      </c>
      <c r="O1684" s="14" t="s">
        <v>15409</v>
      </c>
      <c r="P1684" s="14" t="s">
        <v>15410</v>
      </c>
      <c r="Q1684" s="14">
        <v>418444.52</v>
      </c>
      <c r="R1684" s="14">
        <v>6195777.5999999996</v>
      </c>
      <c r="S1684" s="14" t="s">
        <v>15411</v>
      </c>
      <c r="T1684" s="14" t="s">
        <v>15412</v>
      </c>
      <c r="U1684" s="14">
        <v>418469.9</v>
      </c>
      <c r="V1684" s="14">
        <v>6195772.7699999996</v>
      </c>
      <c r="W1684" s="14">
        <v>179.07</v>
      </c>
      <c r="X1684" s="14">
        <v>150.05000000000001</v>
      </c>
    </row>
    <row r="1685" spans="1:24" s="14" customFormat="1" x14ac:dyDescent="0.25">
      <c r="A1685" s="50">
        <v>45102</v>
      </c>
      <c r="B1685" s="57">
        <v>176</v>
      </c>
      <c r="C1685" s="36">
        <v>0.35515046296296293</v>
      </c>
      <c r="D1685" s="16" t="s">
        <v>177</v>
      </c>
      <c r="E1685" s="52" t="s">
        <v>65</v>
      </c>
      <c r="F1685" s="16" t="s">
        <v>1098</v>
      </c>
      <c r="G1685" s="16" t="s">
        <v>15414</v>
      </c>
      <c r="H1685" s="14">
        <v>0.16300000000000001</v>
      </c>
      <c r="I1685" s="14" t="s">
        <v>15419</v>
      </c>
      <c r="J1685" s="14" t="s">
        <v>15420</v>
      </c>
      <c r="L1685" s="14" t="s">
        <v>15421</v>
      </c>
      <c r="O1685" s="14" t="s">
        <v>15415</v>
      </c>
      <c r="P1685" s="14" t="s">
        <v>15416</v>
      </c>
      <c r="Q1685" s="14">
        <v>418444.12</v>
      </c>
      <c r="R1685" s="14">
        <v>6195764</v>
      </c>
      <c r="S1685" s="14" t="s">
        <v>15417</v>
      </c>
      <c r="T1685" s="14" t="s">
        <v>15418</v>
      </c>
      <c r="U1685" s="14">
        <v>418469.94</v>
      </c>
      <c r="V1685" s="14">
        <v>6195766.1100000003</v>
      </c>
      <c r="W1685" s="14">
        <v>0.59</v>
      </c>
      <c r="X1685" s="14">
        <v>150.05000000000001</v>
      </c>
    </row>
    <row r="1686" spans="1:24" s="14" customFormat="1" x14ac:dyDescent="0.25">
      <c r="A1686" s="50">
        <v>45102</v>
      </c>
      <c r="B1686" s="57">
        <v>176</v>
      </c>
      <c r="C1686" s="36">
        <v>0.35856481481481484</v>
      </c>
      <c r="D1686" s="16" t="s">
        <v>177</v>
      </c>
      <c r="E1686" s="52" t="s">
        <v>70</v>
      </c>
      <c r="F1686" s="16" t="s">
        <v>1098</v>
      </c>
      <c r="G1686" s="16" t="s">
        <v>15414</v>
      </c>
      <c r="H1686" s="14">
        <v>-1.7000000000000001E-2</v>
      </c>
      <c r="I1686" s="14" t="s">
        <v>15419</v>
      </c>
      <c r="J1686" s="14" t="s">
        <v>15420</v>
      </c>
      <c r="L1686" s="14" t="s">
        <v>15421</v>
      </c>
      <c r="O1686" s="14" t="s">
        <v>15422</v>
      </c>
      <c r="P1686" s="14" t="s">
        <v>15423</v>
      </c>
      <c r="Q1686" s="14">
        <v>418444.12</v>
      </c>
      <c r="R1686" s="14">
        <v>6195941.2000000002</v>
      </c>
      <c r="S1686" s="14" t="s">
        <v>15424</v>
      </c>
      <c r="T1686" s="14" t="s">
        <v>15425</v>
      </c>
      <c r="U1686" s="14">
        <v>418469.97</v>
      </c>
      <c r="V1686" s="14">
        <v>6195945.6699999999</v>
      </c>
      <c r="W1686" s="14">
        <v>359.76</v>
      </c>
      <c r="X1686" s="14">
        <v>150.05000000000001</v>
      </c>
    </row>
    <row r="1687" spans="1:24" s="14" customFormat="1" x14ac:dyDescent="0.25">
      <c r="A1687" s="50">
        <v>45102</v>
      </c>
      <c r="B1687" s="57">
        <v>176</v>
      </c>
      <c r="C1687" s="36">
        <v>0.36056712962962961</v>
      </c>
      <c r="D1687" s="16" t="s">
        <v>177</v>
      </c>
      <c r="E1687" s="52" t="s">
        <v>65</v>
      </c>
      <c r="F1687" s="16" t="s">
        <v>1098</v>
      </c>
      <c r="G1687" s="16" t="s">
        <v>1520</v>
      </c>
      <c r="H1687" s="14">
        <v>-1.2E-2</v>
      </c>
      <c r="I1687" s="14" t="s">
        <v>15430</v>
      </c>
      <c r="J1687" s="14" t="s">
        <v>15431</v>
      </c>
      <c r="K1687" s="14" t="s">
        <v>15432</v>
      </c>
      <c r="L1687" s="14" t="s">
        <v>15421</v>
      </c>
      <c r="O1687" s="14" t="s">
        <v>15426</v>
      </c>
      <c r="P1687" s="14" t="s">
        <v>15427</v>
      </c>
      <c r="Q1687" s="14">
        <v>418452.88</v>
      </c>
      <c r="R1687" s="14">
        <v>6195950.3399999999</v>
      </c>
      <c r="S1687" s="14" t="s">
        <v>15428</v>
      </c>
      <c r="T1687" s="14" t="s">
        <v>15429</v>
      </c>
      <c r="U1687" s="14">
        <v>418478.86</v>
      </c>
      <c r="V1687" s="14">
        <v>6195951.6500000004</v>
      </c>
      <c r="W1687" s="14">
        <v>180.9</v>
      </c>
      <c r="X1687" s="14">
        <v>150.05000000000001</v>
      </c>
    </row>
    <row r="1688" spans="1:24" s="14" customFormat="1" x14ac:dyDescent="0.25">
      <c r="A1688" s="50">
        <v>45102</v>
      </c>
      <c r="B1688" s="57">
        <v>176</v>
      </c>
      <c r="C1688" s="36">
        <v>0.36401620370370374</v>
      </c>
      <c r="D1688" s="16" t="s">
        <v>177</v>
      </c>
      <c r="E1688" s="52" t="s">
        <v>70</v>
      </c>
      <c r="F1688" s="16" t="s">
        <v>1098</v>
      </c>
      <c r="G1688" s="16" t="s">
        <v>1520</v>
      </c>
      <c r="H1688" s="14">
        <v>0.16800000000000001</v>
      </c>
      <c r="I1688" s="14" t="s">
        <v>15430</v>
      </c>
      <c r="J1688" s="14" t="s">
        <v>15431</v>
      </c>
      <c r="K1688" s="14" t="s">
        <v>15432</v>
      </c>
      <c r="L1688" s="14" t="s">
        <v>15421</v>
      </c>
      <c r="O1688" s="14" t="s">
        <v>15433</v>
      </c>
      <c r="P1688" s="14" t="s">
        <v>15434</v>
      </c>
      <c r="Q1688" s="14">
        <v>418453.6</v>
      </c>
      <c r="R1688" s="14">
        <v>6195770</v>
      </c>
      <c r="S1688" s="14" t="s">
        <v>15435</v>
      </c>
      <c r="T1688" s="14" t="s">
        <v>15436</v>
      </c>
      <c r="U1688" s="14">
        <v>418478.89</v>
      </c>
      <c r="V1688" s="14">
        <v>6195771.7400000002</v>
      </c>
      <c r="W1688" s="14">
        <v>179.64</v>
      </c>
      <c r="X1688" s="14">
        <v>150.05000000000001</v>
      </c>
    </row>
    <row r="1689" spans="1:24" s="14" customFormat="1" x14ac:dyDescent="0.25">
      <c r="A1689" s="50">
        <v>45102</v>
      </c>
      <c r="B1689" s="57">
        <v>176</v>
      </c>
      <c r="C1689" s="36">
        <v>0.36599537037037039</v>
      </c>
      <c r="D1689" s="16" t="s">
        <v>177</v>
      </c>
      <c r="E1689" s="52" t="s">
        <v>65</v>
      </c>
      <c r="F1689" s="16" t="s">
        <v>1098</v>
      </c>
      <c r="G1689" s="16" t="s">
        <v>1526</v>
      </c>
      <c r="H1689" s="14">
        <v>0.16200000000000001</v>
      </c>
      <c r="I1689" s="14" t="s">
        <v>15441</v>
      </c>
      <c r="J1689" s="14" t="s">
        <v>15442</v>
      </c>
      <c r="K1689" s="14" t="s">
        <v>15443</v>
      </c>
      <c r="L1689" s="14" t="s">
        <v>15444</v>
      </c>
      <c r="O1689" s="14" t="s">
        <v>15437</v>
      </c>
      <c r="P1689" s="14" t="s">
        <v>15438</v>
      </c>
      <c r="Q1689" s="14">
        <v>418460.63</v>
      </c>
      <c r="R1689" s="14">
        <v>6195764.6399999997</v>
      </c>
      <c r="S1689" s="14" t="s">
        <v>15439</v>
      </c>
      <c r="T1689" s="14" t="s">
        <v>15440</v>
      </c>
      <c r="U1689" s="14">
        <v>418487.88</v>
      </c>
      <c r="V1689" s="14">
        <v>6195766.5499999998</v>
      </c>
      <c r="W1689" s="14">
        <v>0.27</v>
      </c>
      <c r="X1689" s="14">
        <v>150.05000000000001</v>
      </c>
    </row>
    <row r="1690" spans="1:24" s="14" customFormat="1" x14ac:dyDescent="0.25">
      <c r="A1690" s="50">
        <v>45102</v>
      </c>
      <c r="B1690" s="57">
        <v>176</v>
      </c>
      <c r="C1690" s="36">
        <v>0.36932870370370369</v>
      </c>
      <c r="D1690" s="16" t="s">
        <v>177</v>
      </c>
      <c r="E1690" s="52" t="s">
        <v>70</v>
      </c>
      <c r="F1690" s="16" t="s">
        <v>1098</v>
      </c>
      <c r="G1690" s="16" t="s">
        <v>1526</v>
      </c>
      <c r="H1690" s="14">
        <v>-1.4999999999999999E-2</v>
      </c>
      <c r="I1690" s="14" t="s">
        <v>15441</v>
      </c>
      <c r="J1690" s="14" t="s">
        <v>15442</v>
      </c>
      <c r="K1690" s="14" t="s">
        <v>15443</v>
      </c>
      <c r="L1690" s="14" t="s">
        <v>15444</v>
      </c>
      <c r="O1690" s="14" t="s">
        <v>15445</v>
      </c>
      <c r="P1690" s="14" t="s">
        <v>15446</v>
      </c>
      <c r="Q1690" s="14">
        <v>418462.2</v>
      </c>
      <c r="R1690" s="14">
        <v>6195938.8899999997</v>
      </c>
      <c r="S1690" s="14" t="s">
        <v>15447</v>
      </c>
      <c r="T1690" s="14" t="s">
        <v>15448</v>
      </c>
      <c r="U1690" s="14">
        <v>418487.91</v>
      </c>
      <c r="V1690" s="14">
        <v>6195943.8899999997</v>
      </c>
      <c r="W1690" s="14">
        <v>0.28000000000000003</v>
      </c>
      <c r="X1690" s="14">
        <v>150.05000000000001</v>
      </c>
    </row>
    <row r="1691" spans="1:24" s="14" customFormat="1" x14ac:dyDescent="0.25">
      <c r="A1691" s="50">
        <v>45102</v>
      </c>
      <c r="B1691" s="57">
        <v>176</v>
      </c>
      <c r="C1691" s="36">
        <v>0.37118055555555557</v>
      </c>
      <c r="D1691" s="16" t="s">
        <v>177</v>
      </c>
      <c r="E1691" s="52" t="s">
        <v>65</v>
      </c>
      <c r="F1691" s="16" t="s">
        <v>1098</v>
      </c>
      <c r="G1691" s="16" t="s">
        <v>1527</v>
      </c>
      <c r="H1691" s="14">
        <v>-1.2E-2</v>
      </c>
      <c r="I1691" s="14" t="s">
        <v>15453</v>
      </c>
      <c r="J1691" s="14" t="s">
        <v>15454</v>
      </c>
      <c r="K1691" s="14" t="s">
        <v>15455</v>
      </c>
      <c r="L1691" s="14" t="s">
        <v>15444</v>
      </c>
      <c r="O1691" s="14" t="s">
        <v>15449</v>
      </c>
      <c r="P1691" s="14" t="s">
        <v>15450</v>
      </c>
      <c r="Q1691" s="14">
        <v>418470.83</v>
      </c>
      <c r="R1691" s="14">
        <v>6195954.8600000003</v>
      </c>
      <c r="S1691" s="14" t="s">
        <v>15451</v>
      </c>
      <c r="T1691" s="14" t="s">
        <v>15452</v>
      </c>
      <c r="U1691" s="14">
        <v>418497.03</v>
      </c>
      <c r="V1691" s="14">
        <v>6195951.5099999998</v>
      </c>
      <c r="W1691" s="14">
        <v>181.36</v>
      </c>
      <c r="X1691" s="14">
        <v>150.05000000000001</v>
      </c>
    </row>
    <row r="1692" spans="1:24" s="14" customFormat="1" x14ac:dyDescent="0.25">
      <c r="A1692" s="50">
        <v>45102</v>
      </c>
      <c r="B1692" s="57">
        <v>176</v>
      </c>
      <c r="C1692" s="36">
        <v>0.37460648148148151</v>
      </c>
      <c r="D1692" s="16" t="s">
        <v>177</v>
      </c>
      <c r="E1692" s="52" t="s">
        <v>70</v>
      </c>
      <c r="F1692" s="16" t="s">
        <v>1098</v>
      </c>
      <c r="G1692" s="16" t="s">
        <v>1527</v>
      </c>
      <c r="H1692" s="14">
        <v>0.16800000000000001</v>
      </c>
      <c r="I1692" s="14" t="s">
        <v>15453</v>
      </c>
      <c r="J1692" s="14" t="s">
        <v>15454</v>
      </c>
      <c r="K1692" s="14" t="s">
        <v>15455</v>
      </c>
      <c r="L1692" s="14" t="s">
        <v>15460</v>
      </c>
      <c r="O1692" s="14" t="s">
        <v>15456</v>
      </c>
      <c r="P1692" s="14" t="s">
        <v>15457</v>
      </c>
      <c r="Q1692" s="14">
        <v>418471.46</v>
      </c>
      <c r="R1692" s="14">
        <v>6195777.9000000004</v>
      </c>
      <c r="S1692" s="14" t="s">
        <v>15458</v>
      </c>
      <c r="T1692" s="14" t="s">
        <v>15459</v>
      </c>
      <c r="U1692" s="14">
        <v>418496.95</v>
      </c>
      <c r="V1692" s="14">
        <v>6195771.9500000002</v>
      </c>
      <c r="W1692" s="14">
        <v>179.81</v>
      </c>
      <c r="X1692" s="14">
        <v>150.05000000000001</v>
      </c>
    </row>
    <row r="1693" spans="1:24" s="14" customFormat="1" x14ac:dyDescent="0.25">
      <c r="A1693" s="50">
        <v>45102</v>
      </c>
      <c r="B1693" s="57">
        <v>176</v>
      </c>
      <c r="C1693" s="36">
        <v>0.37678240740740737</v>
      </c>
      <c r="D1693" s="16" t="s">
        <v>177</v>
      </c>
      <c r="E1693" s="52" t="s">
        <v>65</v>
      </c>
      <c r="F1693" s="16" t="s">
        <v>1098</v>
      </c>
      <c r="G1693" s="16" t="s">
        <v>1528</v>
      </c>
      <c r="H1693" s="14">
        <v>0.16400000000000001</v>
      </c>
      <c r="I1693" s="14" t="s">
        <v>15465</v>
      </c>
      <c r="J1693" s="14" t="s">
        <v>15466</v>
      </c>
      <c r="K1693" s="14" t="s">
        <v>15467</v>
      </c>
      <c r="L1693" s="14" t="s">
        <v>15460</v>
      </c>
      <c r="O1693" s="14" t="s">
        <v>15461</v>
      </c>
      <c r="P1693" s="14" t="s">
        <v>15462</v>
      </c>
      <c r="Q1693" s="14">
        <v>418479.39</v>
      </c>
      <c r="R1693" s="14">
        <v>6195763.7000000002</v>
      </c>
      <c r="S1693" s="14" t="s">
        <v>15463</v>
      </c>
      <c r="T1693" s="14" t="s">
        <v>15464</v>
      </c>
      <c r="U1693" s="14">
        <v>418505.82</v>
      </c>
      <c r="V1693" s="14">
        <v>6195764.7999999998</v>
      </c>
      <c r="W1693" s="14">
        <v>1.41</v>
      </c>
      <c r="X1693" s="14">
        <v>150.05000000000001</v>
      </c>
    </row>
    <row r="1694" spans="1:24" s="14" customFormat="1" x14ac:dyDescent="0.25">
      <c r="A1694" s="50">
        <v>45102</v>
      </c>
      <c r="B1694" s="57">
        <v>176</v>
      </c>
      <c r="C1694" s="36">
        <v>0.38017361111111114</v>
      </c>
      <c r="D1694" s="16" t="s">
        <v>177</v>
      </c>
      <c r="E1694" s="52" t="s">
        <v>70</v>
      </c>
      <c r="F1694" s="16" t="s">
        <v>1098</v>
      </c>
      <c r="G1694" s="16" t="s">
        <v>1528</v>
      </c>
      <c r="H1694" s="14">
        <v>-1.4E-2</v>
      </c>
      <c r="I1694" s="14" t="s">
        <v>15465</v>
      </c>
      <c r="J1694" s="14" t="s">
        <v>15466</v>
      </c>
      <c r="K1694" s="14" t="s">
        <v>15467</v>
      </c>
      <c r="L1694" s="14" t="s">
        <v>15460</v>
      </c>
      <c r="O1694" s="14" t="s">
        <v>15468</v>
      </c>
      <c r="P1694" s="14" t="s">
        <v>15469</v>
      </c>
      <c r="Q1694" s="14">
        <v>418480.42</v>
      </c>
      <c r="R1694" s="14">
        <v>6195940.2300000004</v>
      </c>
      <c r="S1694" s="14" t="s">
        <v>15470</v>
      </c>
      <c r="T1694" s="14" t="s">
        <v>15471</v>
      </c>
      <c r="U1694" s="14">
        <v>418505.97</v>
      </c>
      <c r="V1694" s="14">
        <v>6195943.0300000003</v>
      </c>
      <c r="W1694" s="14">
        <v>359.73</v>
      </c>
      <c r="X1694" s="14">
        <v>150.05000000000001</v>
      </c>
    </row>
    <row r="1695" spans="1:24" s="14" customFormat="1" x14ac:dyDescent="0.25">
      <c r="A1695" s="50">
        <v>45102</v>
      </c>
      <c r="B1695" s="57">
        <v>176</v>
      </c>
      <c r="C1695" s="36">
        <v>0.38239583333333332</v>
      </c>
      <c r="D1695" s="16" t="s">
        <v>177</v>
      </c>
      <c r="E1695" s="52" t="s">
        <v>65</v>
      </c>
      <c r="F1695" s="16" t="s">
        <v>1098</v>
      </c>
      <c r="G1695" s="16" t="s">
        <v>1529</v>
      </c>
      <c r="H1695" s="14">
        <v>-0.01</v>
      </c>
      <c r="I1695" s="14" t="s">
        <v>15476</v>
      </c>
      <c r="J1695" s="14" t="s">
        <v>15477</v>
      </c>
      <c r="K1695" s="14" t="s">
        <v>15478</v>
      </c>
      <c r="L1695" s="14" t="s">
        <v>15460</v>
      </c>
      <c r="O1695" s="14" t="s">
        <v>15472</v>
      </c>
      <c r="P1695" s="14" t="s">
        <v>15473</v>
      </c>
      <c r="Q1695" s="14">
        <v>418489.05</v>
      </c>
      <c r="R1695" s="14">
        <v>6195952.8700000001</v>
      </c>
      <c r="S1695" s="14" t="s">
        <v>15474</v>
      </c>
      <c r="T1695" s="14" t="s">
        <v>15475</v>
      </c>
      <c r="U1695" s="14">
        <v>418514.94</v>
      </c>
      <c r="V1695" s="14">
        <v>6195950.1200000001</v>
      </c>
      <c r="W1695" s="14">
        <v>181.26</v>
      </c>
      <c r="X1695" s="14">
        <v>150.05000000000001</v>
      </c>
    </row>
    <row r="1696" spans="1:24" s="14" customFormat="1" x14ac:dyDescent="0.25">
      <c r="A1696" s="50">
        <v>45102</v>
      </c>
      <c r="B1696" s="57">
        <v>176</v>
      </c>
      <c r="C1696" s="36">
        <v>0.38574074074074072</v>
      </c>
      <c r="D1696" s="16" t="s">
        <v>177</v>
      </c>
      <c r="E1696" s="14" t="s">
        <v>70</v>
      </c>
      <c r="F1696" s="16" t="s">
        <v>1098</v>
      </c>
      <c r="G1696" s="16" t="s">
        <v>1529</v>
      </c>
      <c r="H1696" s="14">
        <v>0.16700000000000001</v>
      </c>
      <c r="I1696" s="14" t="s">
        <v>15476</v>
      </c>
      <c r="J1696" s="14" t="s">
        <v>15477</v>
      </c>
      <c r="K1696" s="14" t="s">
        <v>15478</v>
      </c>
      <c r="L1696" s="14" t="s">
        <v>15483</v>
      </c>
      <c r="O1696" s="14" t="s">
        <v>15479</v>
      </c>
      <c r="P1696" s="14" t="s">
        <v>15480</v>
      </c>
      <c r="Q1696" s="14">
        <v>418489.57</v>
      </c>
      <c r="R1696" s="14">
        <v>6195776.6200000001</v>
      </c>
      <c r="S1696" s="14" t="s">
        <v>15481</v>
      </c>
      <c r="T1696" s="14" t="s">
        <v>15482</v>
      </c>
      <c r="U1696" s="14">
        <v>418514.92</v>
      </c>
      <c r="V1696" s="14">
        <v>6195772.5800000001</v>
      </c>
      <c r="W1696" s="14">
        <v>180</v>
      </c>
      <c r="X1696" s="14">
        <v>150.05000000000001</v>
      </c>
    </row>
    <row r="1697" spans="1:24" s="14" customFormat="1" x14ac:dyDescent="0.25">
      <c r="A1697" s="50">
        <v>45102</v>
      </c>
      <c r="B1697" s="57">
        <v>176</v>
      </c>
      <c r="C1697" s="36">
        <v>0.38792824074074073</v>
      </c>
      <c r="D1697" s="16" t="s">
        <v>177</v>
      </c>
      <c r="E1697" s="52" t="s">
        <v>65</v>
      </c>
      <c r="F1697" s="16" t="s">
        <v>1098</v>
      </c>
      <c r="G1697" s="16" t="s">
        <v>1530</v>
      </c>
      <c r="H1697" s="14">
        <v>0.16300000000000001</v>
      </c>
      <c r="I1697" s="14" t="s">
        <v>15488</v>
      </c>
      <c r="J1697" s="14" t="s">
        <v>15489</v>
      </c>
      <c r="K1697" s="14" t="s">
        <v>15490</v>
      </c>
      <c r="L1697" s="14" t="s">
        <v>15483</v>
      </c>
      <c r="O1697" s="14" t="s">
        <v>15484</v>
      </c>
      <c r="P1697" s="14" t="s">
        <v>15485</v>
      </c>
      <c r="Q1697" s="14">
        <v>418497.8</v>
      </c>
      <c r="R1697" s="14">
        <v>6195767.2599999998</v>
      </c>
      <c r="S1697" s="14" t="s">
        <v>15486</v>
      </c>
      <c r="T1697" s="14" t="s">
        <v>15487</v>
      </c>
      <c r="U1697" s="14">
        <v>418523.96</v>
      </c>
      <c r="V1697" s="14">
        <v>6195765.6200000001</v>
      </c>
      <c r="W1697" s="14">
        <v>0.18</v>
      </c>
      <c r="X1697" s="14">
        <v>150.05000000000001</v>
      </c>
    </row>
    <row r="1698" spans="1:24" s="14" customFormat="1" x14ac:dyDescent="0.25">
      <c r="A1698" s="50">
        <v>45102</v>
      </c>
      <c r="B1698" s="57">
        <v>176</v>
      </c>
      <c r="C1698" s="36">
        <v>0.39129629629629631</v>
      </c>
      <c r="D1698" s="16" t="s">
        <v>177</v>
      </c>
      <c r="E1698" s="52" t="s">
        <v>70</v>
      </c>
      <c r="F1698" s="16" t="s">
        <v>1098</v>
      </c>
      <c r="G1698" s="16" t="s">
        <v>1530</v>
      </c>
      <c r="H1698" s="14">
        <v>-1.4E-2</v>
      </c>
      <c r="I1698" s="14" t="s">
        <v>15488</v>
      </c>
      <c r="J1698" s="14" t="s">
        <v>15489</v>
      </c>
      <c r="K1698" s="14" t="s">
        <v>15490</v>
      </c>
      <c r="L1698" s="14" t="s">
        <v>15483</v>
      </c>
      <c r="O1698" s="14" t="s">
        <v>15491</v>
      </c>
      <c r="P1698" s="14" t="s">
        <v>15492</v>
      </c>
      <c r="Q1698" s="14">
        <v>418498.31</v>
      </c>
      <c r="R1698" s="14">
        <v>6195943.2199999997</v>
      </c>
      <c r="S1698" s="14" t="s">
        <v>15493</v>
      </c>
      <c r="T1698" s="14" t="s">
        <v>15494</v>
      </c>
      <c r="U1698" s="14">
        <v>418523.95</v>
      </c>
      <c r="V1698" s="14">
        <v>6195943.3399999999</v>
      </c>
      <c r="W1698" s="14">
        <v>359.94</v>
      </c>
      <c r="X1698" s="14">
        <v>150.05000000000001</v>
      </c>
    </row>
    <row r="1699" spans="1:24" s="14" customFormat="1" x14ac:dyDescent="0.25">
      <c r="A1699" s="50">
        <v>45102</v>
      </c>
      <c r="B1699" s="57">
        <v>176</v>
      </c>
      <c r="C1699" s="36">
        <v>0.3933680555555556</v>
      </c>
      <c r="D1699" s="16" t="s">
        <v>177</v>
      </c>
      <c r="E1699" s="52" t="s">
        <v>65</v>
      </c>
      <c r="F1699" s="16" t="s">
        <v>1098</v>
      </c>
      <c r="G1699" s="16" t="s">
        <v>1097</v>
      </c>
      <c r="H1699" s="14">
        <v>-0.01</v>
      </c>
      <c r="I1699" s="14" t="s">
        <v>15499</v>
      </c>
      <c r="J1699" s="14" t="s">
        <v>15500</v>
      </c>
      <c r="K1699" s="14" t="s">
        <v>15501</v>
      </c>
      <c r="L1699" s="14" t="s">
        <v>15483</v>
      </c>
      <c r="O1699" s="14" t="s">
        <v>15495</v>
      </c>
      <c r="P1699" s="14" t="s">
        <v>15496</v>
      </c>
      <c r="Q1699" s="14">
        <v>418506.96</v>
      </c>
      <c r="R1699" s="14">
        <v>6195955.2400000002</v>
      </c>
      <c r="S1699" s="14" t="s">
        <v>15497</v>
      </c>
      <c r="T1699" s="14" t="s">
        <v>15498</v>
      </c>
      <c r="U1699" s="14">
        <v>418532.94</v>
      </c>
      <c r="V1699" s="14">
        <v>6195950.0300000003</v>
      </c>
      <c r="W1699" s="14">
        <v>180.77</v>
      </c>
      <c r="X1699" s="14">
        <v>150.05000000000001</v>
      </c>
    </row>
    <row r="1700" spans="1:24" s="14" customFormat="1" x14ac:dyDescent="0.25">
      <c r="A1700" s="50">
        <v>45102</v>
      </c>
      <c r="B1700" s="57">
        <v>176</v>
      </c>
      <c r="C1700" s="36">
        <v>0.39677083333333335</v>
      </c>
      <c r="D1700" s="16" t="s">
        <v>177</v>
      </c>
      <c r="E1700" s="52" t="s">
        <v>70</v>
      </c>
      <c r="F1700" s="16" t="s">
        <v>1098</v>
      </c>
      <c r="G1700" s="16" t="s">
        <v>1097</v>
      </c>
      <c r="H1700" s="14">
        <v>0.16800000000000001</v>
      </c>
      <c r="I1700" s="14" t="s">
        <v>15499</v>
      </c>
      <c r="J1700" s="14" t="s">
        <v>15500</v>
      </c>
      <c r="K1700" s="14" t="s">
        <v>15501</v>
      </c>
      <c r="L1700" s="14" t="s">
        <v>15506</v>
      </c>
      <c r="O1700" s="14" t="s">
        <v>15502</v>
      </c>
      <c r="P1700" s="14" t="s">
        <v>15503</v>
      </c>
      <c r="Q1700" s="14">
        <v>418507.61</v>
      </c>
      <c r="R1700" s="14">
        <v>6195775.7999999998</v>
      </c>
      <c r="S1700" s="14" t="s">
        <v>15504</v>
      </c>
      <c r="T1700" s="14" t="s">
        <v>15505</v>
      </c>
      <c r="U1700" s="14">
        <v>418532.94</v>
      </c>
      <c r="V1700" s="14">
        <v>6195771.8799999999</v>
      </c>
      <c r="W1700" s="14">
        <v>180.3</v>
      </c>
      <c r="X1700" s="14">
        <v>150.05000000000001</v>
      </c>
    </row>
    <row r="1701" spans="1:24" s="14" customFormat="1" x14ac:dyDescent="0.25">
      <c r="A1701" s="50">
        <v>45102</v>
      </c>
      <c r="B1701" s="57">
        <v>176</v>
      </c>
      <c r="C1701" s="36">
        <v>0.39924768518518516</v>
      </c>
      <c r="D1701" s="16" t="s">
        <v>177</v>
      </c>
      <c r="E1701" s="116" t="s">
        <v>10819</v>
      </c>
      <c r="F1701" s="117" t="s">
        <v>1098</v>
      </c>
      <c r="G1701" s="117" t="s">
        <v>1097</v>
      </c>
      <c r="H1701" s="14">
        <v>2.169</v>
      </c>
      <c r="O1701" s="14" t="s">
        <v>15507</v>
      </c>
      <c r="P1701" s="14" t="s">
        <v>15508</v>
      </c>
      <c r="Q1701" s="14">
        <v>418507.57</v>
      </c>
      <c r="R1701" s="14">
        <v>6195753.5899999999</v>
      </c>
      <c r="S1701" s="14" t="s">
        <v>15509</v>
      </c>
      <c r="T1701" s="14" t="s">
        <v>15510</v>
      </c>
      <c r="U1701" s="14">
        <v>418518.97</v>
      </c>
      <c r="V1701" s="14">
        <v>6195750.1299999999</v>
      </c>
      <c r="W1701" s="14">
        <v>92.03</v>
      </c>
      <c r="X1701" s="14">
        <v>150.05000000000001</v>
      </c>
    </row>
    <row r="1702" spans="1:24" s="126" customFormat="1" x14ac:dyDescent="0.25">
      <c r="A1702" s="78">
        <v>45102</v>
      </c>
      <c r="B1702" s="108">
        <v>176</v>
      </c>
      <c r="C1702" s="80">
        <v>0.40116898148148145</v>
      </c>
      <c r="D1702" s="79" t="s">
        <v>177</v>
      </c>
      <c r="E1702" s="126" t="s">
        <v>15520</v>
      </c>
      <c r="F1702" s="79" t="s">
        <v>460</v>
      </c>
      <c r="G1702" s="79" t="s">
        <v>844</v>
      </c>
      <c r="H1702" s="126">
        <v>2.1659999999999999</v>
      </c>
      <c r="O1702" s="126" t="s">
        <v>15511</v>
      </c>
      <c r="P1702" s="126" t="s">
        <v>15512</v>
      </c>
      <c r="Q1702" s="126">
        <v>418507.71</v>
      </c>
      <c r="R1702" s="126">
        <v>6195753.6200000001</v>
      </c>
      <c r="S1702" s="126" t="s">
        <v>15513</v>
      </c>
      <c r="T1702" s="126" t="s">
        <v>15514</v>
      </c>
      <c r="U1702" s="126">
        <v>418520.8</v>
      </c>
      <c r="V1702" s="126">
        <v>6195752.4100000001</v>
      </c>
      <c r="W1702" s="126">
        <v>87.2</v>
      </c>
      <c r="X1702" s="126">
        <v>150.05000000000001</v>
      </c>
    </row>
    <row r="1703" spans="1:24" s="14" customFormat="1" x14ac:dyDescent="0.25">
      <c r="A1703" s="50">
        <v>45102</v>
      </c>
      <c r="B1703" s="57">
        <v>176</v>
      </c>
      <c r="C1703" s="36">
        <v>0.40155092592592595</v>
      </c>
      <c r="D1703" s="16" t="s">
        <v>177</v>
      </c>
      <c r="E1703" s="116" t="s">
        <v>15515</v>
      </c>
      <c r="F1703" s="16" t="s">
        <v>460</v>
      </c>
      <c r="G1703" s="16" t="s">
        <v>844</v>
      </c>
      <c r="H1703" s="14">
        <v>2.173</v>
      </c>
      <c r="O1703" s="14" t="s">
        <v>15516</v>
      </c>
      <c r="P1703" s="14" t="s">
        <v>15517</v>
      </c>
      <c r="Q1703" s="14">
        <v>418503.47</v>
      </c>
      <c r="R1703" s="14">
        <v>6195741.7400000002</v>
      </c>
      <c r="S1703" s="14" t="s">
        <v>15518</v>
      </c>
      <c r="T1703" s="14" t="s">
        <v>15519</v>
      </c>
      <c r="U1703" s="14">
        <v>418516.91</v>
      </c>
      <c r="V1703" s="14">
        <v>6195742.8200000003</v>
      </c>
      <c r="W1703" s="14">
        <v>62.01</v>
      </c>
      <c r="X1703" s="14">
        <v>150.05000000000001</v>
      </c>
    </row>
    <row r="1704" spans="1:24" s="14" customFormat="1" x14ac:dyDescent="0.25">
      <c r="A1704" s="50">
        <v>45102</v>
      </c>
      <c r="B1704" s="57">
        <v>176</v>
      </c>
      <c r="C1704" s="36">
        <v>0.4241550925925926</v>
      </c>
      <c r="D1704" s="16" t="s">
        <v>97</v>
      </c>
      <c r="E1704" s="116" t="s">
        <v>6102</v>
      </c>
      <c r="F1704" s="16" t="s">
        <v>460</v>
      </c>
      <c r="G1704" s="16" t="s">
        <v>844</v>
      </c>
      <c r="H1704" s="14">
        <v>0.19</v>
      </c>
      <c r="O1704" s="14" t="s">
        <v>15521</v>
      </c>
      <c r="P1704" s="14" t="s">
        <v>15522</v>
      </c>
      <c r="Q1704" s="14">
        <v>422835.89</v>
      </c>
      <c r="R1704" s="14">
        <v>6197730.3300000001</v>
      </c>
      <c r="S1704" s="14" t="s">
        <v>15523</v>
      </c>
      <c r="T1704" s="14" t="s">
        <v>15524</v>
      </c>
      <c r="U1704" s="14">
        <v>422846.8</v>
      </c>
      <c r="V1704" s="14">
        <v>6197728.46</v>
      </c>
      <c r="W1704" s="14">
        <v>87.59</v>
      </c>
      <c r="X1704" s="14">
        <v>150.05000000000001</v>
      </c>
    </row>
    <row r="1705" spans="1:24" s="124" customFormat="1" x14ac:dyDescent="0.25">
      <c r="A1705" s="74">
        <v>45102</v>
      </c>
      <c r="B1705" s="105">
        <v>176</v>
      </c>
      <c r="C1705" s="76">
        <v>0.42452546296296295</v>
      </c>
      <c r="D1705" s="75" t="s">
        <v>97</v>
      </c>
      <c r="E1705" s="125" t="s">
        <v>15529</v>
      </c>
      <c r="F1705" s="75" t="s">
        <v>460</v>
      </c>
      <c r="G1705" s="75" t="s">
        <v>844</v>
      </c>
      <c r="H1705" s="124">
        <v>0.189</v>
      </c>
      <c r="O1705" s="124" t="s">
        <v>15525</v>
      </c>
      <c r="P1705" s="124" t="s">
        <v>15526</v>
      </c>
      <c r="Q1705" s="124">
        <v>422836.87</v>
      </c>
      <c r="R1705" s="124">
        <v>6197730.3399999999</v>
      </c>
      <c r="S1705" s="124" t="s">
        <v>15527</v>
      </c>
      <c r="T1705" s="124" t="s">
        <v>15528</v>
      </c>
      <c r="U1705" s="124">
        <v>422848.26</v>
      </c>
      <c r="V1705" s="124">
        <v>6197728.7400000002</v>
      </c>
      <c r="W1705" s="124">
        <v>87.78</v>
      </c>
      <c r="X1705" s="124">
        <v>150.05000000000001</v>
      </c>
    </row>
    <row r="1706" spans="1:24" s="14" customFormat="1" x14ac:dyDescent="0.25">
      <c r="A1706" s="50">
        <v>45102</v>
      </c>
      <c r="B1706" s="57">
        <v>176</v>
      </c>
      <c r="C1706" s="36">
        <v>0.42824074074074076</v>
      </c>
      <c r="D1706" s="16" t="s">
        <v>97</v>
      </c>
      <c r="E1706" s="116" t="s">
        <v>15540</v>
      </c>
      <c r="F1706" s="16" t="s">
        <v>460</v>
      </c>
      <c r="G1706" s="16" t="s">
        <v>844</v>
      </c>
      <c r="H1706" s="14">
        <v>0.188</v>
      </c>
      <c r="O1706" s="14" t="s">
        <v>15530</v>
      </c>
      <c r="P1706" s="14" t="s">
        <v>15531</v>
      </c>
      <c r="Q1706" s="14">
        <v>422838.09</v>
      </c>
      <c r="R1706" s="14">
        <v>6197730.1799999997</v>
      </c>
      <c r="S1706" s="14" t="s">
        <v>15532</v>
      </c>
      <c r="T1706" s="14" t="s">
        <v>15533</v>
      </c>
      <c r="U1706" s="14">
        <v>422857.68</v>
      </c>
      <c r="V1706" s="14">
        <v>6197729.8300000001</v>
      </c>
      <c r="W1706" s="14">
        <v>89.41</v>
      </c>
      <c r="X1706" s="14">
        <v>150.05000000000001</v>
      </c>
    </row>
    <row r="1707" spans="1:24" s="122" customFormat="1" x14ac:dyDescent="0.25">
      <c r="A1707" s="65">
        <v>45102</v>
      </c>
      <c r="B1707" s="106">
        <v>176</v>
      </c>
      <c r="C1707" s="67">
        <v>0.4286921296296296</v>
      </c>
      <c r="D1707" s="66" t="s">
        <v>97</v>
      </c>
      <c r="E1707" s="123" t="s">
        <v>15539</v>
      </c>
      <c r="F1707" s="66" t="s">
        <v>460</v>
      </c>
      <c r="G1707" s="66" t="s">
        <v>844</v>
      </c>
      <c r="H1707" s="122">
        <v>0.189</v>
      </c>
      <c r="M1707" s="122" t="s">
        <v>15534</v>
      </c>
      <c r="O1707" s="122" t="s">
        <v>15535</v>
      </c>
      <c r="P1707" s="122" t="s">
        <v>15536</v>
      </c>
      <c r="Q1707" s="122">
        <v>422838.23</v>
      </c>
      <c r="R1707" s="122">
        <v>6197730.1500000004</v>
      </c>
      <c r="S1707" s="122" t="s">
        <v>15537</v>
      </c>
      <c r="T1707" s="122" t="s">
        <v>15538</v>
      </c>
      <c r="U1707" s="122">
        <v>422857.4</v>
      </c>
      <c r="V1707" s="122">
        <v>6197725.75</v>
      </c>
      <c r="W1707" s="122">
        <v>47.99</v>
      </c>
      <c r="X1707" s="122">
        <v>150.05000000000001</v>
      </c>
    </row>
    <row r="1708" spans="1:24" s="14" customFormat="1" x14ac:dyDescent="0.25">
      <c r="A1708" s="50">
        <v>45102</v>
      </c>
      <c r="B1708" s="57">
        <v>176</v>
      </c>
      <c r="C1708" s="36">
        <v>0.43097222222222226</v>
      </c>
      <c r="D1708" s="16" t="s">
        <v>97</v>
      </c>
      <c r="E1708" s="116" t="s">
        <v>65</v>
      </c>
      <c r="F1708" s="16" t="s">
        <v>460</v>
      </c>
      <c r="G1708" s="16" t="s">
        <v>844</v>
      </c>
      <c r="H1708" s="14">
        <v>0.16</v>
      </c>
      <c r="I1708" s="14" t="s">
        <v>15545</v>
      </c>
      <c r="J1708" s="14" t="s">
        <v>15546</v>
      </c>
      <c r="K1708" s="14" t="s">
        <v>15547</v>
      </c>
      <c r="L1708" s="14" t="s">
        <v>15548</v>
      </c>
      <c r="O1708" s="14" t="s">
        <v>15541</v>
      </c>
      <c r="P1708" s="14" t="s">
        <v>15542</v>
      </c>
      <c r="Q1708" s="14">
        <v>422837.62</v>
      </c>
      <c r="R1708" s="14">
        <v>6197744.7300000004</v>
      </c>
      <c r="S1708" s="14" t="s">
        <v>15543</v>
      </c>
      <c r="T1708" s="14" t="s">
        <v>15544</v>
      </c>
      <c r="U1708" s="14">
        <v>422864.32</v>
      </c>
      <c r="V1708" s="14">
        <v>6197752.7699999996</v>
      </c>
      <c r="W1708" s="14">
        <v>358.31</v>
      </c>
      <c r="X1708" s="14">
        <v>150.05000000000001</v>
      </c>
    </row>
    <row r="1709" spans="1:24" s="14" customFormat="1" x14ac:dyDescent="0.25">
      <c r="A1709" s="50">
        <v>45102</v>
      </c>
      <c r="B1709" s="57">
        <v>176</v>
      </c>
      <c r="C1709" s="36">
        <v>0.43464120370370374</v>
      </c>
      <c r="D1709" s="16" t="s">
        <v>97</v>
      </c>
      <c r="E1709" s="52" t="s">
        <v>70</v>
      </c>
      <c r="F1709" s="16" t="s">
        <v>460</v>
      </c>
      <c r="G1709" s="16" t="s">
        <v>844</v>
      </c>
      <c r="H1709" s="14">
        <v>-1.7000000000000001E-2</v>
      </c>
      <c r="I1709" s="14" t="s">
        <v>15545</v>
      </c>
      <c r="J1709" s="14" t="s">
        <v>15546</v>
      </c>
      <c r="K1709" s="14" t="s">
        <v>15547</v>
      </c>
      <c r="L1709" s="14" t="s">
        <v>15548</v>
      </c>
      <c r="O1709" s="14" t="s">
        <v>15549</v>
      </c>
      <c r="P1709" s="14" t="s">
        <v>15550</v>
      </c>
      <c r="Q1709" s="14">
        <v>422837.7</v>
      </c>
      <c r="R1709" s="14">
        <v>6197935.75</v>
      </c>
      <c r="S1709" s="14" t="s">
        <v>15551</v>
      </c>
      <c r="T1709" s="14" t="s">
        <v>15552</v>
      </c>
      <c r="U1709" s="14">
        <v>422864.24</v>
      </c>
      <c r="V1709" s="14">
        <v>6197929.3799999999</v>
      </c>
      <c r="W1709" s="14">
        <v>359.93</v>
      </c>
      <c r="X1709" s="14">
        <v>150.05000000000001</v>
      </c>
    </row>
    <row r="1710" spans="1:24" s="14" customFormat="1" x14ac:dyDescent="0.25">
      <c r="A1710" s="50">
        <v>45102</v>
      </c>
      <c r="B1710" s="57">
        <v>176</v>
      </c>
      <c r="C1710" s="36">
        <v>0.43701388888888887</v>
      </c>
      <c r="D1710" s="16" t="s">
        <v>97</v>
      </c>
      <c r="E1710" s="52" t="s">
        <v>65</v>
      </c>
      <c r="F1710" s="16" t="s">
        <v>460</v>
      </c>
      <c r="G1710" s="16" t="s">
        <v>845</v>
      </c>
      <c r="H1710" s="14">
        <v>-1.2E-2</v>
      </c>
      <c r="I1710" s="14" t="s">
        <v>15557</v>
      </c>
      <c r="J1710" s="14" t="s">
        <v>15558</v>
      </c>
      <c r="K1710" s="14" t="s">
        <v>15559</v>
      </c>
      <c r="L1710" s="14" t="s">
        <v>15548</v>
      </c>
      <c r="O1710" s="14" t="s">
        <v>15553</v>
      </c>
      <c r="P1710" s="14" t="s">
        <v>15554</v>
      </c>
      <c r="Q1710" s="14">
        <v>422848.49</v>
      </c>
      <c r="R1710" s="14">
        <v>6197939.4299999997</v>
      </c>
      <c r="S1710" s="14" t="s">
        <v>15555</v>
      </c>
      <c r="T1710" s="14" t="s">
        <v>15556</v>
      </c>
      <c r="U1710" s="14">
        <v>422873.35</v>
      </c>
      <c r="V1710" s="14">
        <v>6197935.4800000004</v>
      </c>
      <c r="W1710" s="14">
        <v>181.05</v>
      </c>
      <c r="X1710" s="14">
        <v>150.05000000000001</v>
      </c>
    </row>
    <row r="1711" spans="1:24" s="14" customFormat="1" x14ac:dyDescent="0.25">
      <c r="A1711" s="50">
        <v>45102</v>
      </c>
      <c r="B1711" s="57">
        <v>176</v>
      </c>
      <c r="C1711" s="36">
        <v>0.44035879629629626</v>
      </c>
      <c r="D1711" s="16" t="s">
        <v>97</v>
      </c>
      <c r="E1711" s="52" t="s">
        <v>70</v>
      </c>
      <c r="F1711" s="16" t="s">
        <v>460</v>
      </c>
      <c r="G1711" s="16" t="s">
        <v>845</v>
      </c>
      <c r="H1711" s="14">
        <v>0.16500000000000001</v>
      </c>
      <c r="I1711" s="14" t="s">
        <v>15557</v>
      </c>
      <c r="J1711" s="14" t="s">
        <v>15558</v>
      </c>
      <c r="K1711" s="14" t="s">
        <v>15559</v>
      </c>
      <c r="L1711" s="14" t="s">
        <v>15564</v>
      </c>
      <c r="O1711" s="14" t="s">
        <v>15560</v>
      </c>
      <c r="P1711" s="14" t="s">
        <v>15561</v>
      </c>
      <c r="Q1711" s="14">
        <v>422848.83</v>
      </c>
      <c r="R1711" s="14">
        <v>6197762.4500000002</v>
      </c>
      <c r="S1711" s="14" t="s">
        <v>15562</v>
      </c>
      <c r="T1711" s="14" t="s">
        <v>15563</v>
      </c>
      <c r="U1711" s="14">
        <v>422873.27</v>
      </c>
      <c r="V1711" s="14">
        <v>6197759.0300000003</v>
      </c>
      <c r="W1711" s="14">
        <v>179.7</v>
      </c>
      <c r="X1711" s="14">
        <v>150.05000000000001</v>
      </c>
    </row>
    <row r="1712" spans="1:24" s="14" customFormat="1" x14ac:dyDescent="0.25">
      <c r="A1712" s="50">
        <v>45102</v>
      </c>
      <c r="B1712" s="57">
        <v>176</v>
      </c>
      <c r="C1712" s="36">
        <v>0.4428125</v>
      </c>
      <c r="D1712" s="16" t="s">
        <v>97</v>
      </c>
      <c r="E1712" s="52" t="s">
        <v>65</v>
      </c>
      <c r="F1712" s="16" t="s">
        <v>460</v>
      </c>
      <c r="G1712" s="16" t="s">
        <v>846</v>
      </c>
      <c r="H1712" s="14">
        <v>0.16</v>
      </c>
      <c r="I1712" s="14" t="s">
        <v>15569</v>
      </c>
      <c r="J1712" s="14" t="s">
        <v>15570</v>
      </c>
      <c r="K1712" s="14" t="s">
        <v>15571</v>
      </c>
      <c r="L1712" s="14" t="s">
        <v>15564</v>
      </c>
      <c r="O1712" s="14" t="s">
        <v>15565</v>
      </c>
      <c r="P1712" s="14" t="s">
        <v>15566</v>
      </c>
      <c r="Q1712" s="14">
        <v>422856.84</v>
      </c>
      <c r="R1712" s="14">
        <v>6197757.4500000002</v>
      </c>
      <c r="S1712" s="14" t="s">
        <v>15567</v>
      </c>
      <c r="T1712" s="14" t="s">
        <v>15568</v>
      </c>
      <c r="U1712" s="14">
        <v>422882.29</v>
      </c>
      <c r="V1712" s="14">
        <v>6197752.2599999998</v>
      </c>
      <c r="W1712" s="14">
        <v>0.34</v>
      </c>
      <c r="X1712" s="14">
        <v>150.05000000000001</v>
      </c>
    </row>
    <row r="1713" spans="1:24" s="14" customFormat="1" x14ac:dyDescent="0.25">
      <c r="A1713" s="50">
        <v>45102</v>
      </c>
      <c r="B1713" s="57">
        <v>176</v>
      </c>
      <c r="C1713" s="36">
        <v>0.44611111111111112</v>
      </c>
      <c r="D1713" s="16" t="s">
        <v>97</v>
      </c>
      <c r="E1713" s="52" t="s">
        <v>70</v>
      </c>
      <c r="F1713" s="16" t="s">
        <v>460</v>
      </c>
      <c r="G1713" s="16" t="s">
        <v>846</v>
      </c>
      <c r="H1713" s="14">
        <v>-1.6E-2</v>
      </c>
      <c r="I1713" s="14" t="s">
        <v>15569</v>
      </c>
      <c r="J1713" s="14" t="s">
        <v>15570</v>
      </c>
      <c r="K1713" s="14" t="s">
        <v>15571</v>
      </c>
      <c r="L1713" s="14" t="s">
        <v>15564</v>
      </c>
      <c r="O1713" s="14" t="s">
        <v>15572</v>
      </c>
      <c r="P1713" s="14" t="s">
        <v>15573</v>
      </c>
      <c r="Q1713" s="14">
        <v>422857.83</v>
      </c>
      <c r="R1713" s="14">
        <v>6197930.2300000004</v>
      </c>
      <c r="S1713" s="14" t="s">
        <v>15574</v>
      </c>
      <c r="T1713" s="14" t="s">
        <v>15575</v>
      </c>
      <c r="U1713" s="14">
        <v>422882.36</v>
      </c>
      <c r="V1713" s="14">
        <v>6197928.2400000002</v>
      </c>
      <c r="W1713" s="14">
        <v>359.84</v>
      </c>
      <c r="X1713" s="14">
        <v>150.05000000000001</v>
      </c>
    </row>
    <row r="1714" spans="1:24" s="14" customFormat="1" x14ac:dyDescent="0.25">
      <c r="A1714" s="50">
        <v>45102</v>
      </c>
      <c r="B1714" s="57">
        <v>176</v>
      </c>
      <c r="C1714" s="36">
        <v>0.4481134259259259</v>
      </c>
      <c r="D1714" s="16" t="s">
        <v>97</v>
      </c>
      <c r="E1714" s="52" t="s">
        <v>65</v>
      </c>
      <c r="F1714" s="16" t="s">
        <v>460</v>
      </c>
      <c r="G1714" s="16" t="s">
        <v>847</v>
      </c>
      <c r="H1714" s="14">
        <v>-1.0999999999999999E-2</v>
      </c>
      <c r="I1714" s="14" t="s">
        <v>15580</v>
      </c>
      <c r="J1714" s="14" t="s">
        <v>15581</v>
      </c>
      <c r="K1714" s="14" t="s">
        <v>15582</v>
      </c>
      <c r="L1714" s="14" t="s">
        <v>15583</v>
      </c>
      <c r="O1714" s="14" t="s">
        <v>15576</v>
      </c>
      <c r="P1714" s="14" t="s">
        <v>15577</v>
      </c>
      <c r="Q1714" s="14">
        <v>422866.66</v>
      </c>
      <c r="R1714" s="14">
        <v>6197943.46</v>
      </c>
      <c r="S1714" s="14" t="s">
        <v>15578</v>
      </c>
      <c r="T1714" s="14" t="s">
        <v>15579</v>
      </c>
      <c r="U1714" s="14">
        <v>422891.47</v>
      </c>
      <c r="V1714" s="14">
        <v>6197934.8600000003</v>
      </c>
      <c r="W1714" s="14">
        <v>181.9</v>
      </c>
      <c r="X1714" s="14">
        <v>150.05000000000001</v>
      </c>
    </row>
    <row r="1715" spans="1:24" s="14" customFormat="1" x14ac:dyDescent="0.25">
      <c r="A1715" s="50">
        <v>45102</v>
      </c>
      <c r="B1715" s="57">
        <v>176</v>
      </c>
      <c r="C1715" s="36">
        <v>0.45144675925925926</v>
      </c>
      <c r="D1715" s="16" t="s">
        <v>97</v>
      </c>
      <c r="E1715" s="52" t="s">
        <v>70</v>
      </c>
      <c r="F1715" s="16" t="s">
        <v>460</v>
      </c>
      <c r="G1715" s="16" t="s">
        <v>847</v>
      </c>
      <c r="H1715" s="14">
        <v>0.16400000000000001</v>
      </c>
      <c r="I1715" s="14" t="s">
        <v>15580</v>
      </c>
      <c r="J1715" s="14" t="s">
        <v>15581</v>
      </c>
      <c r="K1715" s="14" t="s">
        <v>15582</v>
      </c>
      <c r="L1715" s="14" t="s">
        <v>15583</v>
      </c>
      <c r="O1715" s="14" t="s">
        <v>15584</v>
      </c>
      <c r="P1715" s="14" t="s">
        <v>15585</v>
      </c>
      <c r="Q1715" s="14">
        <v>422867.19</v>
      </c>
      <c r="R1715" s="14">
        <v>6197770.3700000001</v>
      </c>
      <c r="S1715" s="14" t="s">
        <v>15586</v>
      </c>
      <c r="T1715" s="14" t="s">
        <v>15587</v>
      </c>
      <c r="U1715" s="14">
        <v>422891.38</v>
      </c>
      <c r="V1715" s="14">
        <v>6197759.4299999997</v>
      </c>
      <c r="W1715" s="14">
        <v>179.93</v>
      </c>
      <c r="X1715" s="14">
        <v>150.05000000000001</v>
      </c>
    </row>
    <row r="1716" spans="1:24" s="14" customFormat="1" x14ac:dyDescent="0.25">
      <c r="A1716" s="50">
        <v>45102</v>
      </c>
      <c r="B1716" s="57">
        <v>176</v>
      </c>
      <c r="C1716" s="36">
        <v>0.45355324074074077</v>
      </c>
      <c r="D1716" s="16" t="s">
        <v>97</v>
      </c>
      <c r="E1716" s="52" t="s">
        <v>65</v>
      </c>
      <c r="F1716" s="16" t="s">
        <v>460</v>
      </c>
      <c r="G1716" s="16" t="s">
        <v>848</v>
      </c>
      <c r="H1716" s="14">
        <v>0.16</v>
      </c>
      <c r="I1716" s="14" t="s">
        <v>15592</v>
      </c>
      <c r="J1716" s="14" t="s">
        <v>15593</v>
      </c>
      <c r="K1716" s="14" t="s">
        <v>15594</v>
      </c>
      <c r="L1716" s="14" t="s">
        <v>15583</v>
      </c>
      <c r="O1716" s="14" t="s">
        <v>15588</v>
      </c>
      <c r="P1716" s="14" t="s">
        <v>15589</v>
      </c>
      <c r="Q1716" s="14">
        <v>422875.17</v>
      </c>
      <c r="R1716" s="14">
        <v>6197759.9299999997</v>
      </c>
      <c r="S1716" s="14" t="s">
        <v>15590</v>
      </c>
      <c r="T1716" s="14" t="s">
        <v>15591</v>
      </c>
      <c r="U1716" s="14">
        <v>422900.19</v>
      </c>
      <c r="V1716" s="14">
        <v>6197752.2000000002</v>
      </c>
      <c r="W1716" s="14">
        <v>1.3</v>
      </c>
      <c r="X1716" s="14">
        <v>150.05000000000001</v>
      </c>
    </row>
    <row r="1717" spans="1:24" s="14" customFormat="1" x14ac:dyDescent="0.25">
      <c r="A1717" s="50">
        <v>45102</v>
      </c>
      <c r="B1717" s="57">
        <v>176</v>
      </c>
      <c r="C1717" s="36">
        <v>0.45689814814814816</v>
      </c>
      <c r="D1717" s="16" t="s">
        <v>97</v>
      </c>
      <c r="E1717" s="52" t="s">
        <v>70</v>
      </c>
      <c r="F1717" s="16" t="s">
        <v>460</v>
      </c>
      <c r="G1717" s="16" t="s">
        <v>848</v>
      </c>
      <c r="H1717" s="14">
        <v>-1.6E-2</v>
      </c>
      <c r="I1717" s="14" t="s">
        <v>15592</v>
      </c>
      <c r="J1717" s="14" t="s">
        <v>15593</v>
      </c>
      <c r="K1717" s="14" t="s">
        <v>15594</v>
      </c>
      <c r="L1717" s="14" t="s">
        <v>15583</v>
      </c>
      <c r="O1717" s="14" t="s">
        <v>15595</v>
      </c>
      <c r="P1717" s="14" t="s">
        <v>15596</v>
      </c>
      <c r="Q1717" s="14">
        <v>422875.99</v>
      </c>
      <c r="R1717" s="14">
        <v>6197934.4400000004</v>
      </c>
      <c r="S1717" s="14" t="s">
        <v>15597</v>
      </c>
      <c r="T1717" s="14" t="s">
        <v>15598</v>
      </c>
      <c r="U1717" s="14">
        <v>422900.28</v>
      </c>
      <c r="V1717" s="14">
        <v>6197928.8200000003</v>
      </c>
      <c r="W1717" s="14">
        <v>359.79</v>
      </c>
      <c r="X1717" s="14">
        <v>150.05000000000001</v>
      </c>
    </row>
    <row r="1718" spans="1:24" s="14" customFormat="1" x14ac:dyDescent="0.25">
      <c r="A1718" s="50">
        <v>45102</v>
      </c>
      <c r="B1718" s="57">
        <v>176</v>
      </c>
      <c r="C1718" s="36">
        <v>0.45923611111111112</v>
      </c>
      <c r="D1718" s="16" t="s">
        <v>97</v>
      </c>
      <c r="E1718" s="52" t="s">
        <v>65</v>
      </c>
      <c r="F1718" s="16" t="s">
        <v>460</v>
      </c>
      <c r="G1718" s="16" t="s">
        <v>849</v>
      </c>
      <c r="H1718" s="14">
        <v>-1.2E-2</v>
      </c>
      <c r="I1718" s="14" t="s">
        <v>15603</v>
      </c>
      <c r="J1718" s="14" t="s">
        <v>15604</v>
      </c>
      <c r="K1718" s="14" t="s">
        <v>15605</v>
      </c>
      <c r="L1718" s="14" t="s">
        <v>15606</v>
      </c>
      <c r="O1718" s="14" t="s">
        <v>15599</v>
      </c>
      <c r="P1718" s="14" t="s">
        <v>15600</v>
      </c>
      <c r="Q1718" s="14">
        <v>422885.21</v>
      </c>
      <c r="R1718" s="14">
        <v>6197943.8300000001</v>
      </c>
      <c r="S1718" s="14" t="s">
        <v>15601</v>
      </c>
      <c r="T1718" s="14" t="s">
        <v>15602</v>
      </c>
      <c r="U1718" s="14">
        <v>422909.36</v>
      </c>
      <c r="V1718" s="14">
        <v>6197935.3899999997</v>
      </c>
      <c r="W1718" s="14">
        <v>180.71</v>
      </c>
      <c r="X1718" s="14">
        <v>150.05000000000001</v>
      </c>
    </row>
    <row r="1719" spans="1:24" s="14" customFormat="1" x14ac:dyDescent="0.25">
      <c r="A1719" s="50">
        <v>45102</v>
      </c>
      <c r="B1719" s="57">
        <v>176</v>
      </c>
      <c r="C1719" s="36">
        <v>0.46261574074074074</v>
      </c>
      <c r="D1719" s="16" t="s">
        <v>97</v>
      </c>
      <c r="E1719" s="52" t="s">
        <v>70</v>
      </c>
      <c r="F1719" s="16" t="s">
        <v>460</v>
      </c>
      <c r="G1719" s="16" t="s">
        <v>849</v>
      </c>
      <c r="H1719" s="14">
        <v>0.16600000000000001</v>
      </c>
      <c r="I1719" s="14" t="s">
        <v>15603</v>
      </c>
      <c r="J1719" s="14" t="s">
        <v>15604</v>
      </c>
      <c r="K1719" s="14" t="s">
        <v>15605</v>
      </c>
      <c r="L1719" s="14" t="s">
        <v>15606</v>
      </c>
      <c r="O1719" s="14" t="s">
        <v>15607</v>
      </c>
      <c r="P1719" s="14" t="s">
        <v>15608</v>
      </c>
      <c r="Q1719" s="14">
        <v>422883.68</v>
      </c>
      <c r="R1719" s="14">
        <v>6197766.1900000004</v>
      </c>
      <c r="S1719" s="14" t="s">
        <v>15609</v>
      </c>
      <c r="T1719" s="14" t="s">
        <v>15610</v>
      </c>
      <c r="U1719" s="14">
        <v>422909.31</v>
      </c>
      <c r="V1719" s="14">
        <v>6197757.6500000004</v>
      </c>
      <c r="W1719" s="14">
        <v>179.86</v>
      </c>
      <c r="X1719" s="14">
        <v>150.05000000000001</v>
      </c>
    </row>
    <row r="1720" spans="1:24" s="14" customFormat="1" x14ac:dyDescent="0.25">
      <c r="A1720" s="50">
        <v>45102</v>
      </c>
      <c r="B1720" s="57">
        <v>176</v>
      </c>
      <c r="C1720" s="36">
        <v>0.46446759259259257</v>
      </c>
      <c r="D1720" s="16" t="s">
        <v>97</v>
      </c>
      <c r="E1720" s="52" t="s">
        <v>65</v>
      </c>
      <c r="F1720" s="16" t="s">
        <v>460</v>
      </c>
      <c r="G1720" s="16" t="s">
        <v>843</v>
      </c>
      <c r="H1720" s="14">
        <v>0.16300000000000001</v>
      </c>
      <c r="I1720" s="14" t="s">
        <v>15615</v>
      </c>
      <c r="J1720" s="14" t="s">
        <v>15616</v>
      </c>
      <c r="K1720" s="14" t="s">
        <v>15617</v>
      </c>
      <c r="L1720" s="14" t="s">
        <v>15606</v>
      </c>
      <c r="O1720" s="14" t="s">
        <v>15611</v>
      </c>
      <c r="P1720" s="14" t="s">
        <v>15612</v>
      </c>
      <c r="Q1720" s="14">
        <v>422892.07</v>
      </c>
      <c r="R1720" s="14">
        <v>6197752.54</v>
      </c>
      <c r="S1720" s="14" t="s">
        <v>15613</v>
      </c>
      <c r="T1720" s="14" t="s">
        <v>15614</v>
      </c>
      <c r="U1720" s="14">
        <v>422918.3</v>
      </c>
      <c r="V1720" s="14">
        <v>6197749.8799999999</v>
      </c>
      <c r="W1720" s="14">
        <v>359.11</v>
      </c>
      <c r="X1720" s="14">
        <v>150.05000000000001</v>
      </c>
    </row>
    <row r="1721" spans="1:24" s="14" customFormat="1" x14ac:dyDescent="0.25">
      <c r="A1721" s="50">
        <v>45102</v>
      </c>
      <c r="B1721" s="57">
        <v>176</v>
      </c>
      <c r="C1721" s="36">
        <v>0.46787037037037038</v>
      </c>
      <c r="D1721" s="16" t="s">
        <v>97</v>
      </c>
      <c r="E1721" s="52" t="s">
        <v>70</v>
      </c>
      <c r="F1721" s="16" t="s">
        <v>460</v>
      </c>
      <c r="G1721" s="16" t="s">
        <v>843</v>
      </c>
      <c r="H1721" s="14">
        <v>-1.7000000000000001E-2</v>
      </c>
      <c r="I1721" s="14" t="s">
        <v>15615</v>
      </c>
      <c r="J1721" s="14" t="s">
        <v>15616</v>
      </c>
      <c r="K1721" s="14" t="s">
        <v>15617</v>
      </c>
      <c r="L1721" s="14" t="s">
        <v>15606</v>
      </c>
      <c r="O1721" s="14" t="s">
        <v>15618</v>
      </c>
      <c r="P1721" s="14" t="s">
        <v>15619</v>
      </c>
      <c r="Q1721" s="14">
        <v>422893.17</v>
      </c>
      <c r="R1721" s="14">
        <v>6197929.0099999998</v>
      </c>
      <c r="S1721" s="14" t="s">
        <v>15620</v>
      </c>
      <c r="T1721" s="14" t="s">
        <v>15621</v>
      </c>
      <c r="U1721" s="14">
        <v>422918.32</v>
      </c>
      <c r="V1721" s="14">
        <v>6197929.0300000003</v>
      </c>
      <c r="W1721" s="14">
        <v>359.45</v>
      </c>
      <c r="X1721" s="14">
        <v>150.05000000000001</v>
      </c>
    </row>
    <row r="1722" spans="1:24" s="14" customFormat="1" x14ac:dyDescent="0.25">
      <c r="A1722" s="50">
        <v>45102</v>
      </c>
      <c r="B1722" s="57">
        <v>176</v>
      </c>
      <c r="C1722" s="36">
        <v>0.46984953703703702</v>
      </c>
      <c r="D1722" s="16" t="s">
        <v>97</v>
      </c>
      <c r="E1722" s="52" t="s">
        <v>65</v>
      </c>
      <c r="F1722" s="16" t="s">
        <v>460</v>
      </c>
      <c r="G1722" s="16" t="s">
        <v>842</v>
      </c>
      <c r="H1722" s="14">
        <v>-1.2E-2</v>
      </c>
      <c r="I1722" s="14" t="s">
        <v>15626</v>
      </c>
      <c r="J1722" s="14" t="s">
        <v>15627</v>
      </c>
      <c r="K1722" s="14" t="s">
        <v>15628</v>
      </c>
      <c r="L1722" s="14" t="s">
        <v>15629</v>
      </c>
      <c r="O1722" s="14" t="s">
        <v>15622</v>
      </c>
      <c r="P1722" s="14" t="s">
        <v>15623</v>
      </c>
      <c r="Q1722" s="14">
        <v>422901.37</v>
      </c>
      <c r="R1722" s="14">
        <v>6197935.9800000004</v>
      </c>
      <c r="S1722" s="14" t="s">
        <v>15624</v>
      </c>
      <c r="T1722" s="14" t="s">
        <v>15625</v>
      </c>
      <c r="U1722" s="14">
        <v>422927.3</v>
      </c>
      <c r="V1722" s="14">
        <v>6197935.7699999996</v>
      </c>
      <c r="W1722" s="14">
        <v>180.09</v>
      </c>
      <c r="X1722" s="14">
        <v>150.05000000000001</v>
      </c>
    </row>
    <row r="1723" spans="1:24" s="14" customFormat="1" x14ac:dyDescent="0.25">
      <c r="A1723" s="50">
        <v>45102</v>
      </c>
      <c r="B1723" s="57">
        <v>176</v>
      </c>
      <c r="C1723" s="36">
        <v>0.47315972222222219</v>
      </c>
      <c r="D1723" s="16" t="s">
        <v>97</v>
      </c>
      <c r="E1723" s="52" t="s">
        <v>70</v>
      </c>
      <c r="F1723" s="16" t="s">
        <v>460</v>
      </c>
      <c r="G1723" s="16" t="s">
        <v>842</v>
      </c>
      <c r="H1723" s="14">
        <v>0.16500000000000001</v>
      </c>
      <c r="I1723" s="14" t="s">
        <v>15626</v>
      </c>
      <c r="J1723" s="14" t="s">
        <v>15627</v>
      </c>
      <c r="K1723" s="14" t="s">
        <v>15628</v>
      </c>
      <c r="L1723" s="14" t="s">
        <v>15629</v>
      </c>
      <c r="O1723" s="14" t="s">
        <v>15630</v>
      </c>
      <c r="P1723" s="14" t="s">
        <v>15631</v>
      </c>
      <c r="Q1723" s="14">
        <v>422900.75</v>
      </c>
      <c r="R1723" s="14">
        <v>6197761.6500000004</v>
      </c>
      <c r="S1723" s="14" t="s">
        <v>15632</v>
      </c>
      <c r="T1723" s="14" t="s">
        <v>15633</v>
      </c>
      <c r="U1723" s="14">
        <v>422927.28</v>
      </c>
      <c r="V1723" s="14">
        <v>6197758.3799999999</v>
      </c>
      <c r="W1723" s="14">
        <v>178.78</v>
      </c>
      <c r="X1723" s="14">
        <v>150.05000000000001</v>
      </c>
    </row>
    <row r="1724" spans="1:24" s="14" customFormat="1" x14ac:dyDescent="0.25">
      <c r="A1724" s="50">
        <v>45102</v>
      </c>
      <c r="B1724" s="57">
        <v>176</v>
      </c>
      <c r="C1724" s="36">
        <v>0.47503472222222221</v>
      </c>
      <c r="D1724" s="16" t="s">
        <v>97</v>
      </c>
      <c r="E1724" s="52" t="s">
        <v>65</v>
      </c>
      <c r="F1724" s="16" t="s">
        <v>460</v>
      </c>
      <c r="G1724" s="16" t="s">
        <v>841</v>
      </c>
      <c r="H1724" s="14">
        <v>0.16</v>
      </c>
      <c r="I1724" s="14" t="s">
        <v>15638</v>
      </c>
      <c r="J1724" s="14" t="s">
        <v>15639</v>
      </c>
      <c r="K1724" s="14" t="s">
        <v>15640</v>
      </c>
      <c r="L1724" s="14" t="s">
        <v>15629</v>
      </c>
      <c r="O1724" s="14" t="s">
        <v>15634</v>
      </c>
      <c r="P1724" s="14" t="s">
        <v>15635</v>
      </c>
      <c r="Q1724" s="14">
        <v>422909.62</v>
      </c>
      <c r="R1724" s="14">
        <v>6197752.6399999997</v>
      </c>
      <c r="S1724" s="14" t="s">
        <v>15636</v>
      </c>
      <c r="T1724" s="14" t="s">
        <v>15637</v>
      </c>
      <c r="U1724" s="14">
        <v>422936.1</v>
      </c>
      <c r="V1724" s="14">
        <v>6197752.5999999996</v>
      </c>
      <c r="W1724" s="14">
        <v>0.94</v>
      </c>
      <c r="X1724" s="14">
        <v>150.05000000000001</v>
      </c>
    </row>
    <row r="1725" spans="1:24" s="14" customFormat="1" x14ac:dyDescent="0.25">
      <c r="A1725" s="50">
        <v>45102</v>
      </c>
      <c r="B1725" s="57">
        <v>176</v>
      </c>
      <c r="C1725" s="36">
        <v>0.47834490740740737</v>
      </c>
      <c r="D1725" s="16" t="s">
        <v>97</v>
      </c>
      <c r="E1725" s="52" t="s">
        <v>70</v>
      </c>
      <c r="F1725" s="16" t="s">
        <v>460</v>
      </c>
      <c r="G1725" s="16" t="s">
        <v>841</v>
      </c>
      <c r="H1725" s="14">
        <v>-1.6E-2</v>
      </c>
      <c r="I1725" s="14" t="s">
        <v>15638</v>
      </c>
      <c r="J1725" s="14" t="s">
        <v>15639</v>
      </c>
      <c r="K1725" s="14" t="s">
        <v>15640</v>
      </c>
      <c r="L1725" s="14" t="s">
        <v>15629</v>
      </c>
      <c r="O1725" s="14" t="s">
        <v>15641</v>
      </c>
      <c r="P1725" s="14" t="s">
        <v>15642</v>
      </c>
      <c r="Q1725" s="14">
        <v>422910.79</v>
      </c>
      <c r="R1725" s="14">
        <v>6197924.1399999997</v>
      </c>
      <c r="S1725" s="14" t="s">
        <v>15643</v>
      </c>
      <c r="T1725" s="14" t="s">
        <v>15644</v>
      </c>
      <c r="U1725" s="14">
        <v>422936.28</v>
      </c>
      <c r="V1725" s="14">
        <v>6197928.4800000004</v>
      </c>
      <c r="W1725" s="14">
        <v>358.35</v>
      </c>
      <c r="X1725" s="14">
        <v>150.05000000000001</v>
      </c>
    </row>
    <row r="1726" spans="1:24" s="14" customFormat="1" x14ac:dyDescent="0.25">
      <c r="A1726" s="50">
        <v>45102</v>
      </c>
      <c r="B1726" s="57">
        <v>176</v>
      </c>
      <c r="C1726" s="36">
        <v>0.48026620370370371</v>
      </c>
      <c r="D1726" s="16" t="s">
        <v>97</v>
      </c>
      <c r="E1726" s="52" t="s">
        <v>65</v>
      </c>
      <c r="F1726" s="16" t="s">
        <v>460</v>
      </c>
      <c r="G1726" s="16" t="s">
        <v>840</v>
      </c>
      <c r="H1726" s="14">
        <v>-6.0000000000000001E-3</v>
      </c>
      <c r="I1726" s="14" t="s">
        <v>15649</v>
      </c>
      <c r="J1726" s="14" t="s">
        <v>15650</v>
      </c>
      <c r="K1726" s="14" t="s">
        <v>15651</v>
      </c>
      <c r="L1726" s="14" t="s">
        <v>15652</v>
      </c>
      <c r="O1726" s="14" t="s">
        <v>15645</v>
      </c>
      <c r="P1726" s="14" t="s">
        <v>15646</v>
      </c>
      <c r="Q1726" s="14">
        <v>422919.57</v>
      </c>
      <c r="R1726" s="14">
        <v>6197933.4699999997</v>
      </c>
      <c r="S1726" s="14" t="s">
        <v>15647</v>
      </c>
      <c r="T1726" s="14" t="s">
        <v>15648</v>
      </c>
      <c r="U1726" s="14">
        <v>422945.21</v>
      </c>
      <c r="V1726" s="14">
        <v>6197929.7199999997</v>
      </c>
      <c r="W1726" s="14">
        <v>179.3</v>
      </c>
      <c r="X1726" s="14">
        <v>150.05000000000001</v>
      </c>
    </row>
    <row r="1727" spans="1:24" s="14" customFormat="1" x14ac:dyDescent="0.25">
      <c r="A1727" s="50">
        <v>45102</v>
      </c>
      <c r="B1727" s="57">
        <v>176</v>
      </c>
      <c r="C1727" s="36">
        <v>0.4835416666666667</v>
      </c>
      <c r="D1727" s="16" t="s">
        <v>97</v>
      </c>
      <c r="E1727" s="52" t="s">
        <v>70</v>
      </c>
      <c r="F1727" s="16" t="s">
        <v>460</v>
      </c>
      <c r="G1727" s="16" t="s">
        <v>840</v>
      </c>
      <c r="H1727" s="14">
        <v>0.16600000000000001</v>
      </c>
      <c r="I1727" s="14" t="s">
        <v>15649</v>
      </c>
      <c r="J1727" s="14" t="s">
        <v>15650</v>
      </c>
      <c r="K1727" s="14" t="s">
        <v>15651</v>
      </c>
      <c r="L1727" s="14" t="s">
        <v>15652</v>
      </c>
      <c r="O1727" s="14" t="s">
        <v>15653</v>
      </c>
      <c r="P1727" s="14" t="s">
        <v>15654</v>
      </c>
      <c r="Q1727" s="14">
        <v>422920.04</v>
      </c>
      <c r="R1727" s="14">
        <v>6197762.5499999998</v>
      </c>
      <c r="S1727" s="14" t="s">
        <v>15655</v>
      </c>
      <c r="T1727" s="14" t="s">
        <v>15656</v>
      </c>
      <c r="U1727" s="14">
        <v>422945.26</v>
      </c>
      <c r="V1727" s="14">
        <v>6197757.5300000003</v>
      </c>
      <c r="W1727" s="14">
        <v>178.34</v>
      </c>
      <c r="X1727" s="14">
        <v>150.05000000000001</v>
      </c>
    </row>
    <row r="1728" spans="1:24" s="14" customFormat="1" x14ac:dyDescent="0.25">
      <c r="A1728" s="50">
        <v>45102</v>
      </c>
      <c r="B1728" s="57">
        <v>176</v>
      </c>
      <c r="C1728" s="36">
        <v>0.48864583333333328</v>
      </c>
      <c r="D1728" s="16" t="s">
        <v>97</v>
      </c>
      <c r="E1728" s="52" t="s">
        <v>65</v>
      </c>
      <c r="F1728" s="16" t="s">
        <v>460</v>
      </c>
      <c r="G1728" s="16" t="s">
        <v>839</v>
      </c>
      <c r="H1728" s="14">
        <v>0.16200000000000001</v>
      </c>
      <c r="I1728" s="14" t="s">
        <v>15661</v>
      </c>
      <c r="J1728" s="14" t="s">
        <v>15662</v>
      </c>
      <c r="K1728" s="14" t="s">
        <v>15663</v>
      </c>
      <c r="L1728" s="14" t="s">
        <v>15652</v>
      </c>
      <c r="O1728" s="14" t="s">
        <v>15657</v>
      </c>
      <c r="P1728" s="14" t="s">
        <v>15658</v>
      </c>
      <c r="Q1728" s="14">
        <v>422928.84</v>
      </c>
      <c r="R1728" s="14">
        <v>6197754.1799999997</v>
      </c>
      <c r="S1728" s="14" t="s">
        <v>15659</v>
      </c>
      <c r="T1728" s="14" t="s">
        <v>15660</v>
      </c>
      <c r="U1728" s="14">
        <v>422954.32</v>
      </c>
      <c r="V1728" s="14">
        <v>6197750.7599999998</v>
      </c>
      <c r="W1728" s="14">
        <v>359.37</v>
      </c>
      <c r="X1728" s="14">
        <v>150.05000000000001</v>
      </c>
    </row>
    <row r="1729" spans="1:24" s="14" customFormat="1" x14ac:dyDescent="0.25">
      <c r="A1729" s="50">
        <v>45102</v>
      </c>
      <c r="B1729" s="57">
        <v>176</v>
      </c>
      <c r="C1729" s="36">
        <v>0.4921875</v>
      </c>
      <c r="D1729" s="16" t="s">
        <v>97</v>
      </c>
      <c r="E1729" s="52" t="s">
        <v>70</v>
      </c>
      <c r="F1729" s="16" t="s">
        <v>460</v>
      </c>
      <c r="G1729" s="16" t="s">
        <v>839</v>
      </c>
      <c r="H1729" s="14">
        <v>-1.4999999999999999E-2</v>
      </c>
      <c r="I1729" s="14" t="s">
        <v>15661</v>
      </c>
      <c r="J1729" s="14" t="s">
        <v>15662</v>
      </c>
      <c r="K1729" s="14" t="s">
        <v>15663</v>
      </c>
      <c r="L1729" s="14" t="s">
        <v>15668</v>
      </c>
      <c r="O1729" s="14" t="s">
        <v>15664</v>
      </c>
      <c r="P1729" s="14" t="s">
        <v>15665</v>
      </c>
      <c r="Q1729" s="14">
        <v>422928.04</v>
      </c>
      <c r="R1729" s="14">
        <v>6197929.75</v>
      </c>
      <c r="S1729" s="14" t="s">
        <v>15666</v>
      </c>
      <c r="T1729" s="14" t="s">
        <v>15667</v>
      </c>
      <c r="U1729" s="14">
        <v>422954.33</v>
      </c>
      <c r="V1729" s="14">
        <v>6197927.5499999998</v>
      </c>
      <c r="W1729" s="14">
        <v>359.29</v>
      </c>
      <c r="X1729" s="14">
        <v>150.05000000000001</v>
      </c>
    </row>
    <row r="1730" spans="1:24" s="14" customFormat="1" x14ac:dyDescent="0.25">
      <c r="A1730" s="50">
        <v>45102</v>
      </c>
      <c r="B1730" s="57">
        <v>176</v>
      </c>
      <c r="C1730" s="36">
        <v>0.49406250000000002</v>
      </c>
      <c r="D1730" s="16" t="s">
        <v>97</v>
      </c>
      <c r="E1730" s="52" t="s">
        <v>65</v>
      </c>
      <c r="F1730" s="16" t="s">
        <v>460</v>
      </c>
      <c r="G1730" s="16" t="s">
        <v>838</v>
      </c>
      <c r="H1730" s="14">
        <v>-1.2E-2</v>
      </c>
      <c r="I1730" s="14" t="s">
        <v>15673</v>
      </c>
      <c r="J1730" s="14" t="s">
        <v>15674</v>
      </c>
      <c r="K1730" s="14" t="s">
        <v>15675</v>
      </c>
      <c r="L1730" s="14" t="s">
        <v>15668</v>
      </c>
      <c r="O1730" s="14" t="s">
        <v>15669</v>
      </c>
      <c r="P1730" s="14" t="s">
        <v>15670</v>
      </c>
      <c r="Q1730" s="14">
        <v>422937.64</v>
      </c>
      <c r="R1730" s="14">
        <v>6197940.29</v>
      </c>
      <c r="S1730" s="14" t="s">
        <v>15671</v>
      </c>
      <c r="T1730" s="14" t="s">
        <v>15672</v>
      </c>
      <c r="U1730" s="14">
        <v>422963.33</v>
      </c>
      <c r="V1730" s="14">
        <v>6197935.1799999997</v>
      </c>
      <c r="W1730" s="14">
        <v>179.6</v>
      </c>
      <c r="X1730" s="14">
        <v>150.05000000000001</v>
      </c>
    </row>
    <row r="1731" spans="1:24" s="14" customFormat="1" x14ac:dyDescent="0.25">
      <c r="A1731" s="50">
        <v>45102</v>
      </c>
      <c r="B1731" s="57">
        <v>176</v>
      </c>
      <c r="C1731" s="36">
        <v>0.49747685185185181</v>
      </c>
      <c r="D1731" s="16" t="s">
        <v>97</v>
      </c>
      <c r="E1731" s="52" t="s">
        <v>70</v>
      </c>
      <c r="F1731" s="16" t="s">
        <v>460</v>
      </c>
      <c r="G1731" s="16" t="s">
        <v>838</v>
      </c>
      <c r="H1731" s="14">
        <v>0.16600000000000001</v>
      </c>
      <c r="I1731" s="14" t="s">
        <v>15673</v>
      </c>
      <c r="J1731" s="14" t="s">
        <v>15674</v>
      </c>
      <c r="K1731" s="14" t="s">
        <v>15675</v>
      </c>
      <c r="L1731" s="14" t="s">
        <v>15668</v>
      </c>
      <c r="O1731" s="14" t="s">
        <v>15676</v>
      </c>
      <c r="P1731" s="14" t="s">
        <v>15677</v>
      </c>
      <c r="Q1731" s="14">
        <v>422938.04</v>
      </c>
      <c r="R1731" s="14">
        <v>6197762.8399999999</v>
      </c>
      <c r="S1731" s="14" t="s">
        <v>15678</v>
      </c>
      <c r="T1731" s="14" t="s">
        <v>15679</v>
      </c>
      <c r="U1731" s="14">
        <v>422963.26</v>
      </c>
      <c r="V1731" s="14">
        <v>6197757.5700000003</v>
      </c>
      <c r="W1731" s="14">
        <v>178.96</v>
      </c>
      <c r="X1731" s="14">
        <v>150.05000000000001</v>
      </c>
    </row>
    <row r="1732" spans="1:24" s="14" customFormat="1" x14ac:dyDescent="0.25">
      <c r="A1732" s="50">
        <v>45102</v>
      </c>
      <c r="B1732" s="57">
        <v>176</v>
      </c>
      <c r="C1732" s="36">
        <v>0.50056712962962957</v>
      </c>
      <c r="D1732" s="16" t="s">
        <v>97</v>
      </c>
      <c r="E1732" s="52" t="s">
        <v>11210</v>
      </c>
      <c r="F1732" s="16" t="s">
        <v>460</v>
      </c>
      <c r="G1732" s="16" t="s">
        <v>766</v>
      </c>
      <c r="H1732" s="14">
        <v>2.1880000000000002</v>
      </c>
      <c r="O1732" s="14" t="s">
        <v>15681</v>
      </c>
      <c r="P1732" s="14" t="s">
        <v>15682</v>
      </c>
      <c r="Q1732" s="14">
        <v>422937.38</v>
      </c>
      <c r="R1732" s="14">
        <v>6197740.8700000001</v>
      </c>
      <c r="S1732" s="14" t="s">
        <v>15683</v>
      </c>
      <c r="T1732" s="14" t="s">
        <v>15684</v>
      </c>
      <c r="U1732" s="14">
        <v>422948.58</v>
      </c>
      <c r="V1732" s="14">
        <v>6197737.8300000001</v>
      </c>
      <c r="W1732" s="14">
        <v>86.88</v>
      </c>
      <c r="X1732" s="14">
        <v>150.05000000000001</v>
      </c>
    </row>
    <row r="1733" spans="1:24" s="14" customFormat="1" x14ac:dyDescent="0.25">
      <c r="A1733" s="50">
        <v>45102</v>
      </c>
      <c r="B1733" s="57">
        <v>176</v>
      </c>
      <c r="C1733" s="36">
        <v>0.50094907407407407</v>
      </c>
      <c r="D1733" s="16" t="s">
        <v>97</v>
      </c>
      <c r="E1733" s="116" t="s">
        <v>15680</v>
      </c>
      <c r="F1733" s="16" t="s">
        <v>460</v>
      </c>
      <c r="G1733" s="16" t="s">
        <v>766</v>
      </c>
      <c r="H1733" s="14">
        <v>1.706</v>
      </c>
      <c r="O1733" s="14" t="s">
        <v>15685</v>
      </c>
      <c r="P1733" s="14" t="s">
        <v>15686</v>
      </c>
      <c r="Q1733" s="14">
        <v>422896.58</v>
      </c>
      <c r="R1733" s="14">
        <v>6198220.0800000001</v>
      </c>
      <c r="S1733" s="14" t="s">
        <v>15687</v>
      </c>
      <c r="T1733" s="14" t="s">
        <v>15688</v>
      </c>
      <c r="U1733" s="14">
        <v>422908.03</v>
      </c>
      <c r="V1733" s="14">
        <v>6198219.0899999999</v>
      </c>
      <c r="W1733" s="14">
        <v>81.16</v>
      </c>
      <c r="X1733" s="14">
        <v>150.05000000000001</v>
      </c>
    </row>
    <row r="1734" spans="1:24" s="14" customFormat="1" x14ac:dyDescent="0.25">
      <c r="A1734" s="50">
        <v>45102</v>
      </c>
      <c r="B1734" s="57">
        <v>176</v>
      </c>
      <c r="C1734" s="36">
        <v>0.51299768518518518</v>
      </c>
      <c r="D1734" s="16" t="s">
        <v>97</v>
      </c>
      <c r="E1734" s="116" t="s">
        <v>6102</v>
      </c>
      <c r="F1734" s="16" t="s">
        <v>460</v>
      </c>
      <c r="G1734" s="16" t="s">
        <v>766</v>
      </c>
      <c r="H1734" s="14">
        <v>0.19400000000000001</v>
      </c>
      <c r="O1734" s="14" t="s">
        <v>15689</v>
      </c>
      <c r="P1734" s="14" t="s">
        <v>15690</v>
      </c>
      <c r="Q1734" s="14">
        <v>422759.39</v>
      </c>
      <c r="R1734" s="14">
        <v>6199730.8600000003</v>
      </c>
      <c r="S1734" s="14" t="s">
        <v>15691</v>
      </c>
      <c r="T1734" s="14" t="s">
        <v>15692</v>
      </c>
      <c r="U1734" s="14">
        <v>422770.63</v>
      </c>
      <c r="V1734" s="14">
        <v>6199730.4299999997</v>
      </c>
      <c r="W1734" s="14">
        <v>81.12</v>
      </c>
      <c r="X1734" s="14">
        <v>150.05000000000001</v>
      </c>
    </row>
    <row r="1735" spans="1:24" s="122" customFormat="1" x14ac:dyDescent="0.25">
      <c r="A1735" s="65">
        <v>45102</v>
      </c>
      <c r="B1735" s="106">
        <v>176</v>
      </c>
      <c r="C1735" s="67">
        <v>0.51554398148148151</v>
      </c>
      <c r="D1735" s="66" t="s">
        <v>97</v>
      </c>
      <c r="E1735" s="123" t="s">
        <v>15698</v>
      </c>
      <c r="F1735" s="66" t="s">
        <v>460</v>
      </c>
      <c r="G1735" s="66" t="s">
        <v>766</v>
      </c>
      <c r="H1735" s="122">
        <v>0.193</v>
      </c>
      <c r="M1735" s="122" t="s">
        <v>15693</v>
      </c>
      <c r="O1735" s="122" t="s">
        <v>15694</v>
      </c>
      <c r="P1735" s="122" t="s">
        <v>15695</v>
      </c>
      <c r="Q1735" s="122">
        <v>422758.66</v>
      </c>
      <c r="R1735" s="122">
        <v>6199730.7699999996</v>
      </c>
      <c r="S1735" s="122" t="s">
        <v>15696</v>
      </c>
      <c r="T1735" s="122" t="s">
        <v>15697</v>
      </c>
      <c r="U1735" s="122">
        <v>422783.65</v>
      </c>
      <c r="V1735" s="122">
        <v>6199727.5099999998</v>
      </c>
      <c r="W1735" s="122">
        <v>4.0199999999999996</v>
      </c>
      <c r="X1735" s="122">
        <v>150.05000000000001</v>
      </c>
    </row>
    <row r="1736" spans="1:24" s="14" customFormat="1" x14ac:dyDescent="0.25">
      <c r="A1736" s="50">
        <v>45102</v>
      </c>
      <c r="B1736" s="57">
        <v>176</v>
      </c>
      <c r="C1736" s="36">
        <v>0.51837962962962958</v>
      </c>
      <c r="D1736" s="16" t="s">
        <v>97</v>
      </c>
      <c r="E1736" s="116" t="s">
        <v>15703</v>
      </c>
      <c r="F1736" s="16" t="s">
        <v>460</v>
      </c>
      <c r="G1736" s="16" t="s">
        <v>766</v>
      </c>
      <c r="H1736" s="14">
        <v>0.154</v>
      </c>
      <c r="O1736" s="14" t="s">
        <v>15699</v>
      </c>
      <c r="P1736" s="14" t="s">
        <v>15700</v>
      </c>
      <c r="Q1736" s="14">
        <v>422759.21</v>
      </c>
      <c r="R1736" s="14">
        <v>6199775.9299999997</v>
      </c>
      <c r="S1736" s="14" t="s">
        <v>15701</v>
      </c>
      <c r="T1736" s="14" t="s">
        <v>15702</v>
      </c>
      <c r="U1736" s="14">
        <v>422783.74</v>
      </c>
      <c r="V1736" s="14">
        <v>6199766.3799999999</v>
      </c>
      <c r="W1736" s="14">
        <v>0.48</v>
      </c>
      <c r="X1736" s="14">
        <v>150.05000000000001</v>
      </c>
    </row>
    <row r="1737" spans="1:24" s="14" customFormat="1" x14ac:dyDescent="0.25">
      <c r="A1737" s="50">
        <v>45102</v>
      </c>
      <c r="B1737" s="57">
        <v>176</v>
      </c>
      <c r="C1737" s="36">
        <v>0.52093749999999994</v>
      </c>
      <c r="D1737" s="16" t="s">
        <v>97</v>
      </c>
      <c r="E1737" s="52" t="s">
        <v>65</v>
      </c>
      <c r="F1737" s="16" t="s">
        <v>460</v>
      </c>
      <c r="G1737" s="16" t="s">
        <v>766</v>
      </c>
      <c r="H1737" s="14">
        <v>0.16</v>
      </c>
      <c r="I1737" s="14" t="s">
        <v>15708</v>
      </c>
      <c r="J1737" s="14" t="s">
        <v>15709</v>
      </c>
      <c r="K1737" s="14" t="s">
        <v>15710</v>
      </c>
      <c r="L1737" s="14" t="s">
        <v>15711</v>
      </c>
      <c r="O1737" s="14" t="s">
        <v>15704</v>
      </c>
      <c r="P1737" s="14" t="s">
        <v>15705</v>
      </c>
      <c r="Q1737" s="14">
        <v>422758.02</v>
      </c>
      <c r="R1737" s="14">
        <v>6199766</v>
      </c>
      <c r="S1737" s="14" t="s">
        <v>15706</v>
      </c>
      <c r="T1737" s="14" t="s">
        <v>15707</v>
      </c>
      <c r="U1737" s="14">
        <v>422783.97</v>
      </c>
      <c r="V1737" s="14">
        <v>6199760.46</v>
      </c>
      <c r="W1737" s="14">
        <v>358.98</v>
      </c>
      <c r="X1737" s="14">
        <v>150.05000000000001</v>
      </c>
    </row>
    <row r="1738" spans="1:24" s="14" customFormat="1" x14ac:dyDescent="0.25">
      <c r="A1738" s="50">
        <v>45102</v>
      </c>
      <c r="B1738" s="57">
        <v>176</v>
      </c>
      <c r="C1738" s="36">
        <v>0.52491898148148153</v>
      </c>
      <c r="D1738" s="16" t="s">
        <v>97</v>
      </c>
      <c r="E1738" s="52" t="s">
        <v>70</v>
      </c>
      <c r="F1738" s="16" t="s">
        <v>460</v>
      </c>
      <c r="G1738" s="16" t="s">
        <v>766</v>
      </c>
      <c r="H1738" s="14">
        <v>-1.7000000000000001E-2</v>
      </c>
      <c r="I1738" s="14" t="s">
        <v>15708</v>
      </c>
      <c r="J1738" s="14" t="s">
        <v>15709</v>
      </c>
      <c r="K1738" s="14" t="s">
        <v>15710</v>
      </c>
      <c r="L1738" s="14" t="s">
        <v>15711</v>
      </c>
      <c r="O1738" s="14" t="s">
        <v>15712</v>
      </c>
      <c r="P1738" s="14" t="s">
        <v>15713</v>
      </c>
      <c r="Q1738" s="14">
        <v>422757.91</v>
      </c>
      <c r="R1738" s="14">
        <v>6199946.5300000003</v>
      </c>
      <c r="S1738" s="14" t="s">
        <v>15714</v>
      </c>
      <c r="T1738" s="14" t="s">
        <v>15715</v>
      </c>
      <c r="U1738" s="14">
        <v>422783.87</v>
      </c>
      <c r="V1738" s="14">
        <v>6199936.9500000002</v>
      </c>
      <c r="W1738" s="14">
        <v>359.04</v>
      </c>
      <c r="X1738" s="14">
        <v>150.05000000000001</v>
      </c>
    </row>
    <row r="1739" spans="1:24" s="14" customFormat="1" x14ac:dyDescent="0.25">
      <c r="A1739" s="50">
        <v>45102</v>
      </c>
      <c r="B1739" s="57">
        <v>176</v>
      </c>
      <c r="C1739" s="36">
        <v>0.52688657407407413</v>
      </c>
      <c r="D1739" s="16" t="s">
        <v>97</v>
      </c>
      <c r="E1739" s="52" t="s">
        <v>65</v>
      </c>
      <c r="F1739" s="16" t="s">
        <v>460</v>
      </c>
      <c r="G1739" s="16" t="s">
        <v>767</v>
      </c>
      <c r="H1739" s="14">
        <v>-1.4E-2</v>
      </c>
      <c r="I1739" s="14" t="s">
        <v>15720</v>
      </c>
      <c r="J1739" s="14" t="s">
        <v>15721</v>
      </c>
      <c r="K1739" s="14" t="s">
        <v>15722</v>
      </c>
      <c r="L1739" s="14" t="s">
        <v>15711</v>
      </c>
      <c r="O1739" s="14" t="s">
        <v>15716</v>
      </c>
      <c r="P1739" s="14" t="s">
        <v>15717</v>
      </c>
      <c r="Q1739" s="14">
        <v>422749.68</v>
      </c>
      <c r="R1739" s="14">
        <v>6199952.7699999996</v>
      </c>
      <c r="S1739" s="14" t="s">
        <v>15718</v>
      </c>
      <c r="T1739" s="14" t="s">
        <v>15719</v>
      </c>
      <c r="U1739" s="14">
        <v>422774.94</v>
      </c>
      <c r="V1739" s="14">
        <v>6199944.8600000003</v>
      </c>
      <c r="W1739" s="14">
        <v>179.6</v>
      </c>
      <c r="X1739" s="14">
        <v>150.05000000000001</v>
      </c>
    </row>
    <row r="1740" spans="1:24" s="14" customFormat="1" x14ac:dyDescent="0.25">
      <c r="A1740" s="50">
        <v>45102</v>
      </c>
      <c r="B1740" s="57">
        <v>176</v>
      </c>
      <c r="C1740" s="36">
        <v>0.53025462962962966</v>
      </c>
      <c r="D1740" s="16" t="s">
        <v>97</v>
      </c>
      <c r="E1740" s="52" t="s">
        <v>70</v>
      </c>
      <c r="F1740" s="16" t="s">
        <v>460</v>
      </c>
      <c r="G1740" s="16" t="s">
        <v>767</v>
      </c>
      <c r="H1740" s="14">
        <v>0.16400000000000001</v>
      </c>
      <c r="I1740" s="14" t="s">
        <v>15720</v>
      </c>
      <c r="J1740" s="14" t="s">
        <v>15721</v>
      </c>
      <c r="K1740" s="14" t="s">
        <v>15722</v>
      </c>
      <c r="L1740" s="14" t="s">
        <v>15711</v>
      </c>
      <c r="O1740" s="14" t="s">
        <v>15723</v>
      </c>
      <c r="P1740" s="14" t="s">
        <v>15724</v>
      </c>
      <c r="Q1740" s="14">
        <v>422749.11</v>
      </c>
      <c r="R1740" s="14">
        <v>6199776.8899999997</v>
      </c>
      <c r="S1740" s="14" t="s">
        <v>15725</v>
      </c>
      <c r="T1740" s="14" t="s">
        <v>15726</v>
      </c>
      <c r="U1740" s="14">
        <v>422774.85</v>
      </c>
      <c r="V1740" s="14">
        <v>6199767.0999999996</v>
      </c>
      <c r="W1740" s="14">
        <v>179.04</v>
      </c>
      <c r="X1740" s="14">
        <v>150.05000000000001</v>
      </c>
    </row>
    <row r="1741" spans="1:24" s="14" customFormat="1" x14ac:dyDescent="0.25">
      <c r="A1741" s="50">
        <v>45102</v>
      </c>
      <c r="B1741" s="57">
        <v>176</v>
      </c>
      <c r="C1741" s="36">
        <v>0.53291666666666659</v>
      </c>
      <c r="D1741" s="16" t="s">
        <v>97</v>
      </c>
      <c r="E1741" s="52" t="s">
        <v>65</v>
      </c>
      <c r="F1741" s="16" t="s">
        <v>460</v>
      </c>
      <c r="G1741" s="16" t="s">
        <v>768</v>
      </c>
      <c r="H1741" s="14">
        <v>0.161</v>
      </c>
      <c r="I1741" s="14" t="s">
        <v>15731</v>
      </c>
      <c r="J1741" s="14" t="s">
        <v>15732</v>
      </c>
      <c r="K1741" s="14" t="s">
        <v>15733</v>
      </c>
      <c r="L1741" s="14" t="s">
        <v>15734</v>
      </c>
      <c r="O1741" s="14" t="s">
        <v>15727</v>
      </c>
      <c r="P1741" s="14" t="s">
        <v>15728</v>
      </c>
      <c r="Q1741" s="14">
        <v>422741.27</v>
      </c>
      <c r="R1741" s="14">
        <v>6199761.8399999999</v>
      </c>
      <c r="S1741" s="14" t="s">
        <v>15729</v>
      </c>
      <c r="T1741" s="14" t="s">
        <v>15730</v>
      </c>
      <c r="U1741" s="14">
        <v>422765.89</v>
      </c>
      <c r="V1741" s="14">
        <v>6199759.3499999996</v>
      </c>
      <c r="W1741" s="14">
        <v>0.16</v>
      </c>
      <c r="X1741" s="14">
        <v>150.05000000000001</v>
      </c>
    </row>
    <row r="1742" spans="1:24" s="14" customFormat="1" x14ac:dyDescent="0.25">
      <c r="A1742" s="50">
        <v>45102</v>
      </c>
      <c r="B1742" s="57">
        <v>176</v>
      </c>
      <c r="C1742" s="36">
        <v>0.53700231481481475</v>
      </c>
      <c r="D1742" s="16" t="s">
        <v>97</v>
      </c>
      <c r="E1742" s="52" t="s">
        <v>70</v>
      </c>
      <c r="F1742" s="16" t="s">
        <v>460</v>
      </c>
      <c r="G1742" s="16" t="s">
        <v>768</v>
      </c>
      <c r="H1742" s="14">
        <v>-1.7999999999999999E-2</v>
      </c>
      <c r="I1742" s="14" t="s">
        <v>15731</v>
      </c>
      <c r="J1742" s="14" t="s">
        <v>15732</v>
      </c>
      <c r="K1742" s="14" t="s">
        <v>15733</v>
      </c>
      <c r="L1742" s="14" t="s">
        <v>15734</v>
      </c>
      <c r="O1742" s="14" t="s">
        <v>15735</v>
      </c>
      <c r="P1742" s="14" t="s">
        <v>15736</v>
      </c>
      <c r="Q1742" s="14">
        <v>422739.73</v>
      </c>
      <c r="R1742" s="14">
        <v>6199941.79</v>
      </c>
      <c r="S1742" s="14" t="s">
        <v>15737</v>
      </c>
      <c r="T1742" s="14" t="s">
        <v>15738</v>
      </c>
      <c r="U1742" s="14">
        <v>422765.88</v>
      </c>
      <c r="V1742" s="14">
        <v>6199937.5499999998</v>
      </c>
      <c r="W1742" s="14">
        <v>359.93</v>
      </c>
      <c r="X1742" s="14">
        <v>150.05000000000001</v>
      </c>
    </row>
    <row r="1743" spans="1:24" s="14" customFormat="1" x14ac:dyDescent="0.25">
      <c r="A1743" s="50">
        <v>45102</v>
      </c>
      <c r="B1743" s="57">
        <v>176</v>
      </c>
      <c r="C1743" s="36">
        <v>0.53943287037037035</v>
      </c>
      <c r="D1743" s="16" t="s">
        <v>97</v>
      </c>
      <c r="E1743" s="52" t="s">
        <v>65</v>
      </c>
      <c r="F1743" s="16" t="s">
        <v>460</v>
      </c>
      <c r="G1743" s="16" t="s">
        <v>769</v>
      </c>
      <c r="H1743" s="14">
        <v>-1.2999999999999999E-2</v>
      </c>
      <c r="I1743" s="14" t="s">
        <v>15743</v>
      </c>
      <c r="J1743" s="14" t="s">
        <v>15744</v>
      </c>
      <c r="K1743" s="14" t="s">
        <v>15745</v>
      </c>
      <c r="L1743" s="14" t="s">
        <v>15734</v>
      </c>
      <c r="O1743" s="14" t="s">
        <v>15739</v>
      </c>
      <c r="P1743" s="14" t="s">
        <v>15740</v>
      </c>
      <c r="Q1743" s="14">
        <v>422732.07</v>
      </c>
      <c r="R1743" s="14">
        <v>6199949.1200000001</v>
      </c>
      <c r="S1743" s="14" t="s">
        <v>15741</v>
      </c>
      <c r="T1743" s="14" t="s">
        <v>15742</v>
      </c>
      <c r="U1743" s="14">
        <v>422757.05</v>
      </c>
      <c r="V1743" s="14">
        <v>6199944.1200000001</v>
      </c>
      <c r="W1743" s="14">
        <v>180.29</v>
      </c>
      <c r="X1743" s="14">
        <v>150.05000000000001</v>
      </c>
    </row>
    <row r="1744" spans="1:24" s="14" customFormat="1" x14ac:dyDescent="0.25">
      <c r="A1744" s="50">
        <v>45102</v>
      </c>
      <c r="B1744" s="57">
        <v>176</v>
      </c>
      <c r="C1744" s="36">
        <v>0.54282407407407407</v>
      </c>
      <c r="D1744" s="16" t="s">
        <v>97</v>
      </c>
      <c r="E1744" s="52" t="s">
        <v>70</v>
      </c>
      <c r="F1744" s="16" t="s">
        <v>460</v>
      </c>
      <c r="G1744" s="16" t="s">
        <v>769</v>
      </c>
      <c r="H1744" s="14">
        <v>0.16400000000000001</v>
      </c>
      <c r="I1744" s="14" t="s">
        <v>15743</v>
      </c>
      <c r="J1744" s="14" t="s">
        <v>15744</v>
      </c>
      <c r="K1744" s="14" t="s">
        <v>15745</v>
      </c>
      <c r="L1744" s="14" t="s">
        <v>15750</v>
      </c>
      <c r="O1744" s="14" t="s">
        <v>15746</v>
      </c>
      <c r="P1744" s="14" t="s">
        <v>15747</v>
      </c>
      <c r="Q1744" s="14">
        <v>422731.1</v>
      </c>
      <c r="R1744" s="14">
        <v>6199773.04</v>
      </c>
      <c r="S1744" s="14" t="s">
        <v>15748</v>
      </c>
      <c r="T1744" s="14" t="s">
        <v>15749</v>
      </c>
      <c r="U1744" s="14">
        <v>422756.94</v>
      </c>
      <c r="V1744" s="14">
        <v>6199766.7199999997</v>
      </c>
      <c r="W1744" s="14">
        <v>179.94</v>
      </c>
      <c r="X1744" s="14">
        <v>150.05000000000001</v>
      </c>
    </row>
    <row r="1745" spans="1:24" s="14" customFormat="1" x14ac:dyDescent="0.25">
      <c r="A1745" s="50">
        <v>45102</v>
      </c>
      <c r="B1745" s="57">
        <v>176</v>
      </c>
      <c r="C1745" s="36">
        <v>0.54503472222222216</v>
      </c>
      <c r="D1745" s="16" t="s">
        <v>97</v>
      </c>
      <c r="E1745" s="52" t="s">
        <v>65</v>
      </c>
      <c r="F1745" s="16" t="s">
        <v>460</v>
      </c>
      <c r="G1745" s="16" t="s">
        <v>770</v>
      </c>
      <c r="H1745" s="14">
        <v>0.161</v>
      </c>
      <c r="I1745" s="14" t="s">
        <v>15755</v>
      </c>
      <c r="J1745" s="14" t="s">
        <v>15756</v>
      </c>
      <c r="K1745" s="14" t="s">
        <v>15757</v>
      </c>
      <c r="L1745" s="14" t="s">
        <v>15750</v>
      </c>
      <c r="O1745" s="14" t="s">
        <v>15751</v>
      </c>
      <c r="P1745" s="14" t="s">
        <v>15752</v>
      </c>
      <c r="Q1745" s="14">
        <v>422722.99</v>
      </c>
      <c r="R1745" s="14">
        <v>6199764.1100000003</v>
      </c>
      <c r="S1745" s="14" t="s">
        <v>15753</v>
      </c>
      <c r="T1745" s="14" t="s">
        <v>15754</v>
      </c>
      <c r="U1745" s="14">
        <v>422747.86</v>
      </c>
      <c r="V1745" s="14">
        <v>6199759.0199999996</v>
      </c>
      <c r="W1745" s="14">
        <v>0.8</v>
      </c>
      <c r="X1745" s="14">
        <v>150.05000000000001</v>
      </c>
    </row>
    <row r="1746" spans="1:24" s="14" customFormat="1" x14ac:dyDescent="0.25">
      <c r="A1746" s="50">
        <v>45102</v>
      </c>
      <c r="B1746" s="57">
        <v>176</v>
      </c>
      <c r="C1746" s="36">
        <v>0.54895833333333333</v>
      </c>
      <c r="D1746" s="16" t="s">
        <v>97</v>
      </c>
      <c r="E1746" s="52" t="s">
        <v>70</v>
      </c>
      <c r="F1746" s="16" t="s">
        <v>460</v>
      </c>
      <c r="G1746" s="16" t="s">
        <v>770</v>
      </c>
      <c r="H1746" s="14">
        <v>-1.7999999999999999E-2</v>
      </c>
      <c r="I1746" s="14" t="s">
        <v>15755</v>
      </c>
      <c r="J1746" s="14" t="s">
        <v>15756</v>
      </c>
      <c r="K1746" s="14" t="s">
        <v>15757</v>
      </c>
      <c r="L1746" s="14" t="s">
        <v>15750</v>
      </c>
      <c r="O1746" s="14" t="s">
        <v>15758</v>
      </c>
      <c r="P1746" s="14" t="s">
        <v>15759</v>
      </c>
      <c r="Q1746" s="14">
        <v>422722.07</v>
      </c>
      <c r="R1746" s="14">
        <v>6199936.8300000001</v>
      </c>
      <c r="S1746" s="14" t="s">
        <v>15760</v>
      </c>
      <c r="T1746" s="14" t="s">
        <v>15761</v>
      </c>
      <c r="U1746" s="14">
        <v>422747.85</v>
      </c>
      <c r="V1746" s="14">
        <v>6199938.0099999998</v>
      </c>
      <c r="W1746" s="14">
        <v>0.47</v>
      </c>
      <c r="X1746" s="14">
        <v>150.05000000000001</v>
      </c>
    </row>
    <row r="1747" spans="1:24" s="14" customFormat="1" x14ac:dyDescent="0.25">
      <c r="A1747" s="50">
        <v>45102</v>
      </c>
      <c r="B1747" s="57">
        <v>176</v>
      </c>
      <c r="C1747" s="36">
        <v>0.55153935185185188</v>
      </c>
      <c r="D1747" s="16" t="s">
        <v>97</v>
      </c>
      <c r="E1747" s="52" t="s">
        <v>65</v>
      </c>
      <c r="F1747" s="16" t="s">
        <v>460</v>
      </c>
      <c r="G1747" s="16" t="s">
        <v>771</v>
      </c>
      <c r="H1747" s="14">
        <v>-1.2999999999999999E-2</v>
      </c>
      <c r="I1747" s="14" t="s">
        <v>15766</v>
      </c>
      <c r="J1747" s="14" t="s">
        <v>15767</v>
      </c>
      <c r="K1747" s="14" t="s">
        <v>15768</v>
      </c>
      <c r="L1747" s="14" t="s">
        <v>15750</v>
      </c>
      <c r="O1747" s="14" t="s">
        <v>15762</v>
      </c>
      <c r="P1747" s="14" t="s">
        <v>15763</v>
      </c>
      <c r="Q1747" s="14">
        <v>422713.98</v>
      </c>
      <c r="R1747" s="14">
        <v>6199945.7999999998</v>
      </c>
      <c r="S1747" s="14" t="s">
        <v>15764</v>
      </c>
      <c r="T1747" s="14" t="s">
        <v>15765</v>
      </c>
      <c r="U1747" s="14">
        <v>422739.11</v>
      </c>
      <c r="V1747" s="14">
        <v>6199943.6699999999</v>
      </c>
      <c r="W1747" s="14">
        <v>180.49</v>
      </c>
      <c r="X1747" s="14">
        <v>150.05000000000001</v>
      </c>
    </row>
    <row r="1748" spans="1:24" s="14" customFormat="1" x14ac:dyDescent="0.25">
      <c r="A1748" s="50">
        <v>45102</v>
      </c>
      <c r="B1748" s="57">
        <v>176</v>
      </c>
      <c r="C1748" s="36">
        <v>0.55495370370370367</v>
      </c>
      <c r="D1748" s="16" t="s">
        <v>97</v>
      </c>
      <c r="E1748" s="52" t="s">
        <v>70</v>
      </c>
      <c r="F1748" s="16" t="s">
        <v>460</v>
      </c>
      <c r="G1748" s="16" t="s">
        <v>771</v>
      </c>
      <c r="H1748" s="14">
        <v>0.16500000000000001</v>
      </c>
      <c r="I1748" s="14" t="s">
        <v>15766</v>
      </c>
      <c r="J1748" s="14" t="s">
        <v>15767</v>
      </c>
      <c r="K1748" s="14" t="s">
        <v>15768</v>
      </c>
      <c r="L1748" s="14" t="s">
        <v>15773</v>
      </c>
      <c r="O1748" s="14" t="s">
        <v>15769</v>
      </c>
      <c r="P1748" s="14" t="s">
        <v>15770</v>
      </c>
      <c r="Q1748" s="14">
        <v>422713.23</v>
      </c>
      <c r="R1748" s="14">
        <v>6199769.25</v>
      </c>
      <c r="S1748" s="14" t="s">
        <v>15771</v>
      </c>
      <c r="T1748" s="14" t="s">
        <v>15772</v>
      </c>
      <c r="U1748" s="14">
        <v>422739.03</v>
      </c>
      <c r="V1748" s="14">
        <v>6199765.7599999998</v>
      </c>
      <c r="W1748" s="14">
        <v>179.63</v>
      </c>
      <c r="X1748" s="14">
        <v>150.05000000000001</v>
      </c>
    </row>
    <row r="1749" spans="1:24" s="14" customFormat="1" x14ac:dyDescent="0.25">
      <c r="A1749" s="50">
        <v>45102</v>
      </c>
      <c r="B1749" s="57">
        <v>176</v>
      </c>
      <c r="C1749" s="36">
        <v>0.5575</v>
      </c>
      <c r="D1749" s="16" t="s">
        <v>97</v>
      </c>
      <c r="E1749" s="52" t="s">
        <v>65</v>
      </c>
      <c r="F1749" s="16" t="s">
        <v>460</v>
      </c>
      <c r="G1749" s="16" t="s">
        <v>777</v>
      </c>
      <c r="H1749" s="14">
        <v>0.16200000000000001</v>
      </c>
      <c r="I1749" s="14" t="s">
        <v>15778</v>
      </c>
      <c r="J1749" s="14" t="s">
        <v>15779</v>
      </c>
      <c r="K1749" s="14" t="s">
        <v>15780</v>
      </c>
      <c r="L1749" s="14" t="s">
        <v>15773</v>
      </c>
      <c r="O1749" s="14" t="s">
        <v>15774</v>
      </c>
      <c r="P1749" s="14" t="s">
        <v>15775</v>
      </c>
      <c r="Q1749" s="14">
        <v>422705.09</v>
      </c>
      <c r="R1749" s="14">
        <v>6199766</v>
      </c>
      <c r="S1749" s="14" t="s">
        <v>15776</v>
      </c>
      <c r="T1749" s="14" t="s">
        <v>15777</v>
      </c>
      <c r="U1749" s="14">
        <v>422729.82</v>
      </c>
      <c r="V1749" s="14">
        <v>6199758.3799999999</v>
      </c>
      <c r="W1749" s="14">
        <v>0.35</v>
      </c>
      <c r="X1749" s="14">
        <v>150.05000000000001</v>
      </c>
    </row>
    <row r="1750" spans="1:24" s="14" customFormat="1" x14ac:dyDescent="0.25">
      <c r="A1750" s="50">
        <v>45102</v>
      </c>
      <c r="B1750" s="57">
        <v>176</v>
      </c>
      <c r="C1750" s="36">
        <v>0.56144675925925924</v>
      </c>
      <c r="D1750" s="16" t="s">
        <v>97</v>
      </c>
      <c r="E1750" s="52" t="s">
        <v>70</v>
      </c>
      <c r="F1750" s="16" t="s">
        <v>460</v>
      </c>
      <c r="G1750" s="16" t="s">
        <v>777</v>
      </c>
      <c r="H1750" s="14">
        <v>-1.7000000000000001E-2</v>
      </c>
      <c r="I1750" s="14" t="s">
        <v>15778</v>
      </c>
      <c r="J1750" s="14" t="s">
        <v>15779</v>
      </c>
      <c r="K1750" s="14" t="s">
        <v>15780</v>
      </c>
      <c r="L1750" s="14" t="s">
        <v>15773</v>
      </c>
      <c r="O1750" s="14" t="s">
        <v>15781</v>
      </c>
      <c r="P1750" s="14" t="s">
        <v>15782</v>
      </c>
      <c r="Q1750" s="14">
        <v>422703.78</v>
      </c>
      <c r="R1750" s="14">
        <v>6199940.5300000003</v>
      </c>
      <c r="S1750" s="14" t="s">
        <v>15783</v>
      </c>
      <c r="T1750" s="14" t="s">
        <v>15784</v>
      </c>
      <c r="U1750" s="14">
        <v>422729.84</v>
      </c>
      <c r="V1750" s="14">
        <v>6199936.8099999996</v>
      </c>
      <c r="W1750" s="14">
        <v>0.4</v>
      </c>
      <c r="X1750" s="14">
        <v>150.05000000000001</v>
      </c>
    </row>
    <row r="1751" spans="1:24" s="14" customFormat="1" x14ac:dyDescent="0.25">
      <c r="A1751" s="50">
        <v>45102</v>
      </c>
      <c r="B1751" s="57">
        <v>176</v>
      </c>
      <c r="C1751" s="36">
        <v>0.56396990740740738</v>
      </c>
      <c r="D1751" s="16" t="s">
        <v>97</v>
      </c>
      <c r="E1751" s="52" t="s">
        <v>65</v>
      </c>
      <c r="F1751" s="16" t="s">
        <v>460</v>
      </c>
      <c r="G1751" s="16" t="s">
        <v>776</v>
      </c>
      <c r="H1751" s="14">
        <v>-1.2999999999999999E-2</v>
      </c>
      <c r="I1751" s="14" t="s">
        <v>15789</v>
      </c>
      <c r="J1751" s="14" t="s">
        <v>15790</v>
      </c>
      <c r="K1751" s="14" t="s">
        <v>15791</v>
      </c>
      <c r="L1751" s="14" t="s">
        <v>15792</v>
      </c>
      <c r="O1751" s="14" t="s">
        <v>15785</v>
      </c>
      <c r="P1751" s="14" t="s">
        <v>15786</v>
      </c>
      <c r="Q1751" s="14">
        <v>422695.91</v>
      </c>
      <c r="R1751" s="14">
        <v>6199948.6399999997</v>
      </c>
      <c r="S1751" s="14" t="s">
        <v>15787</v>
      </c>
      <c r="T1751" s="14" t="s">
        <v>15788</v>
      </c>
      <c r="U1751" s="14">
        <v>422720.96</v>
      </c>
      <c r="V1751" s="14">
        <v>6199944.0599999996</v>
      </c>
      <c r="W1751" s="14">
        <v>179.9</v>
      </c>
      <c r="X1751" s="14">
        <v>150.05000000000001</v>
      </c>
    </row>
    <row r="1752" spans="1:24" s="14" customFormat="1" x14ac:dyDescent="0.25">
      <c r="A1752" s="50">
        <v>45102</v>
      </c>
      <c r="B1752" s="57">
        <v>176</v>
      </c>
      <c r="C1752" s="36">
        <v>0.56737268518518513</v>
      </c>
      <c r="D1752" s="16" t="s">
        <v>97</v>
      </c>
      <c r="E1752" s="52" t="s">
        <v>70</v>
      </c>
      <c r="F1752" s="16" t="s">
        <v>460</v>
      </c>
      <c r="G1752" s="16" t="s">
        <v>776</v>
      </c>
      <c r="H1752" s="14">
        <v>0.16500000000000001</v>
      </c>
      <c r="I1752" s="14" t="s">
        <v>15789</v>
      </c>
      <c r="J1752" s="14" t="s">
        <v>15790</v>
      </c>
      <c r="K1752" s="14" t="s">
        <v>15791</v>
      </c>
      <c r="L1752" s="14" t="s">
        <v>15792</v>
      </c>
      <c r="O1752" s="14" t="s">
        <v>15793</v>
      </c>
      <c r="P1752" s="14" t="s">
        <v>15794</v>
      </c>
      <c r="Q1752" s="14">
        <v>422694.97</v>
      </c>
      <c r="R1752" s="14">
        <v>6199771.2599999998</v>
      </c>
      <c r="S1752" s="14" t="s">
        <v>15795</v>
      </c>
      <c r="T1752" s="14" t="s">
        <v>15796</v>
      </c>
      <c r="U1752" s="14">
        <v>422720.95</v>
      </c>
      <c r="V1752" s="14">
        <v>6199766.0999999996</v>
      </c>
      <c r="W1752" s="14">
        <v>179.77</v>
      </c>
      <c r="X1752" s="14">
        <v>150.05000000000001</v>
      </c>
    </row>
    <row r="1753" spans="1:24" s="14" customFormat="1" x14ac:dyDescent="0.25">
      <c r="A1753" s="50">
        <v>45102</v>
      </c>
      <c r="B1753" s="57">
        <v>176</v>
      </c>
      <c r="C1753" s="36">
        <v>0.56973379629629628</v>
      </c>
      <c r="D1753" s="16" t="s">
        <v>97</v>
      </c>
      <c r="E1753" s="52" t="s">
        <v>65</v>
      </c>
      <c r="F1753" s="16" t="s">
        <v>460</v>
      </c>
      <c r="G1753" s="16" t="s">
        <v>775</v>
      </c>
      <c r="H1753" s="14">
        <v>0.16200000000000001</v>
      </c>
      <c r="I1753" s="14" t="s">
        <v>15801</v>
      </c>
      <c r="J1753" s="14" t="s">
        <v>15802</v>
      </c>
      <c r="K1753" s="14" t="s">
        <v>15803</v>
      </c>
      <c r="L1753" s="14" t="s">
        <v>15792</v>
      </c>
      <c r="O1753" s="14" t="s">
        <v>15797</v>
      </c>
      <c r="P1753" s="14" t="s">
        <v>15798</v>
      </c>
      <c r="Q1753" s="14">
        <v>422686.96</v>
      </c>
      <c r="R1753" s="14">
        <v>6199761.2300000004</v>
      </c>
      <c r="S1753" s="14" t="s">
        <v>15799</v>
      </c>
      <c r="T1753" s="14" t="s">
        <v>15800</v>
      </c>
      <c r="U1753" s="14">
        <v>422711.9</v>
      </c>
      <c r="V1753" s="14">
        <v>6199758.2999999998</v>
      </c>
      <c r="W1753" s="14">
        <v>1.43</v>
      </c>
      <c r="X1753" s="14">
        <v>150.05000000000001</v>
      </c>
    </row>
    <row r="1754" spans="1:24" s="14" customFormat="1" x14ac:dyDescent="0.25">
      <c r="A1754" s="50">
        <v>45102</v>
      </c>
      <c r="B1754" s="57">
        <v>176</v>
      </c>
      <c r="C1754" s="36">
        <v>0.57377314814814817</v>
      </c>
      <c r="D1754" s="16" t="s">
        <v>97</v>
      </c>
      <c r="E1754" s="52" t="s">
        <v>70</v>
      </c>
      <c r="F1754" s="16" t="s">
        <v>460</v>
      </c>
      <c r="G1754" s="16" t="s">
        <v>775</v>
      </c>
      <c r="H1754" s="14">
        <v>-1.7000000000000001E-2</v>
      </c>
      <c r="I1754" s="14" t="s">
        <v>15801</v>
      </c>
      <c r="J1754" s="14" t="s">
        <v>15802</v>
      </c>
      <c r="K1754" s="14" t="s">
        <v>15803</v>
      </c>
      <c r="L1754" s="14" t="s">
        <v>15808</v>
      </c>
      <c r="O1754" s="14" t="s">
        <v>15804</v>
      </c>
      <c r="P1754" s="14" t="s">
        <v>15805</v>
      </c>
      <c r="Q1754" s="14">
        <v>422685.84</v>
      </c>
      <c r="R1754" s="14">
        <v>6199939.4299999997</v>
      </c>
      <c r="S1754" s="14" t="s">
        <v>15806</v>
      </c>
      <c r="T1754" s="14" t="s">
        <v>15807</v>
      </c>
      <c r="U1754" s="14">
        <v>422712.02</v>
      </c>
      <c r="V1754" s="14">
        <v>6199936.8499999996</v>
      </c>
      <c r="W1754" s="14">
        <v>359.91</v>
      </c>
      <c r="X1754" s="14">
        <v>150.05000000000001</v>
      </c>
    </row>
    <row r="1755" spans="1:24" s="14" customFormat="1" x14ac:dyDescent="0.25">
      <c r="A1755" s="50">
        <v>45102</v>
      </c>
      <c r="B1755" s="57">
        <v>176</v>
      </c>
      <c r="C1755" s="36">
        <v>0.57673611111111112</v>
      </c>
      <c r="D1755" s="16" t="s">
        <v>97</v>
      </c>
      <c r="E1755" s="52" t="s">
        <v>65</v>
      </c>
      <c r="F1755" s="16" t="s">
        <v>460</v>
      </c>
      <c r="G1755" s="16" t="s">
        <v>774</v>
      </c>
      <c r="H1755" s="14">
        <v>-1.2E-2</v>
      </c>
      <c r="I1755" s="14" t="s">
        <v>15813</v>
      </c>
      <c r="J1755" s="14" t="s">
        <v>15814</v>
      </c>
      <c r="K1755" s="14" t="s">
        <v>15815</v>
      </c>
      <c r="L1755" s="14" t="s">
        <v>15808</v>
      </c>
      <c r="O1755" s="14" t="s">
        <v>15809</v>
      </c>
      <c r="P1755" s="14" t="s">
        <v>15810</v>
      </c>
      <c r="Q1755" s="14">
        <v>422678.46</v>
      </c>
      <c r="R1755" s="14">
        <v>6199945.7300000004</v>
      </c>
      <c r="S1755" s="14" t="s">
        <v>15811</v>
      </c>
      <c r="T1755" s="14" t="s">
        <v>15812</v>
      </c>
      <c r="U1755" s="14">
        <v>422703.09</v>
      </c>
      <c r="V1755" s="14">
        <v>6199943.4100000001</v>
      </c>
      <c r="W1755" s="14">
        <v>181.49</v>
      </c>
      <c r="X1755" s="14">
        <v>150.05000000000001</v>
      </c>
    </row>
    <row r="1756" spans="1:24" s="14" customFormat="1" x14ac:dyDescent="0.25">
      <c r="A1756" s="50">
        <v>45102</v>
      </c>
      <c r="B1756" s="57">
        <v>176</v>
      </c>
      <c r="C1756" s="36">
        <v>0.58013888888888887</v>
      </c>
      <c r="D1756" s="16" t="s">
        <v>97</v>
      </c>
      <c r="E1756" s="52" t="s">
        <v>70</v>
      </c>
      <c r="F1756" s="16" t="s">
        <v>460</v>
      </c>
      <c r="G1756" s="16" t="s">
        <v>774</v>
      </c>
      <c r="H1756" s="14">
        <v>0.16500000000000001</v>
      </c>
      <c r="I1756" s="14" t="s">
        <v>15813</v>
      </c>
      <c r="J1756" s="14" t="s">
        <v>15814</v>
      </c>
      <c r="K1756" s="14" t="s">
        <v>15815</v>
      </c>
      <c r="L1756" s="14" t="s">
        <v>15808</v>
      </c>
      <c r="O1756" s="14" t="s">
        <v>15816</v>
      </c>
      <c r="P1756" s="14" t="s">
        <v>15817</v>
      </c>
      <c r="Q1756" s="14">
        <v>422677.2</v>
      </c>
      <c r="R1756" s="14">
        <v>6199768.8899999997</v>
      </c>
      <c r="S1756" s="14" t="s">
        <v>15818</v>
      </c>
      <c r="T1756" s="14" t="s">
        <v>15819</v>
      </c>
      <c r="U1756" s="14">
        <v>422702.92</v>
      </c>
      <c r="V1756" s="14">
        <v>6199765.7599999998</v>
      </c>
      <c r="W1756" s="14">
        <v>180.07</v>
      </c>
      <c r="X1756" s="14">
        <v>150.05000000000001</v>
      </c>
    </row>
    <row r="1757" spans="1:24" s="14" customFormat="1" x14ac:dyDescent="0.25">
      <c r="A1757" s="50">
        <v>45102</v>
      </c>
      <c r="B1757" s="57">
        <v>176</v>
      </c>
      <c r="C1757" s="36">
        <v>0.58278935185185188</v>
      </c>
      <c r="D1757" s="16" t="s">
        <v>97</v>
      </c>
      <c r="E1757" s="52" t="s">
        <v>65</v>
      </c>
      <c r="F1757" s="16" t="s">
        <v>460</v>
      </c>
      <c r="G1757" s="16" t="s">
        <v>773</v>
      </c>
      <c r="H1757" s="14">
        <v>0.16200000000000001</v>
      </c>
      <c r="I1757" s="14" t="s">
        <v>15824</v>
      </c>
      <c r="J1757" s="14" t="s">
        <v>15825</v>
      </c>
      <c r="K1757" s="14" t="s">
        <v>15826</v>
      </c>
      <c r="L1757" s="14" t="s">
        <v>15808</v>
      </c>
      <c r="O1757" s="14" t="s">
        <v>15820</v>
      </c>
      <c r="P1757" s="14" t="s">
        <v>15821</v>
      </c>
      <c r="Q1757" s="14">
        <v>422669.15</v>
      </c>
      <c r="R1757" s="14">
        <v>6199761.0499999998</v>
      </c>
      <c r="S1757" s="14" t="s">
        <v>15822</v>
      </c>
      <c r="T1757" s="14" t="s">
        <v>15823</v>
      </c>
      <c r="U1757" s="14">
        <v>422693.87</v>
      </c>
      <c r="V1757" s="14">
        <v>6199758.2300000004</v>
      </c>
      <c r="W1757" s="14">
        <v>0.97</v>
      </c>
      <c r="X1757" s="14">
        <v>150.05000000000001</v>
      </c>
    </row>
    <row r="1758" spans="1:24" s="14" customFormat="1" x14ac:dyDescent="0.25">
      <c r="A1758" s="50">
        <v>45102</v>
      </c>
      <c r="B1758" s="57">
        <v>176</v>
      </c>
      <c r="C1758" s="36">
        <v>0.58657407407407403</v>
      </c>
      <c r="D1758" s="16" t="s">
        <v>97</v>
      </c>
      <c r="E1758" s="52" t="s">
        <v>70</v>
      </c>
      <c r="F1758" s="16" t="s">
        <v>460</v>
      </c>
      <c r="G1758" s="16" t="s">
        <v>773</v>
      </c>
      <c r="H1758" s="14">
        <v>-1.7000000000000001E-2</v>
      </c>
      <c r="I1758" s="14" t="s">
        <v>15824</v>
      </c>
      <c r="J1758" s="14" t="s">
        <v>15825</v>
      </c>
      <c r="K1758" s="14" t="s">
        <v>15826</v>
      </c>
      <c r="L1758" s="14" t="s">
        <v>15831</v>
      </c>
      <c r="O1758" s="14" t="s">
        <v>15827</v>
      </c>
      <c r="P1758" s="14" t="s">
        <v>15828</v>
      </c>
      <c r="Q1758" s="14">
        <v>422666.93</v>
      </c>
      <c r="R1758" s="14">
        <v>6199927.8700000001</v>
      </c>
      <c r="S1758" s="14" t="s">
        <v>15829</v>
      </c>
      <c r="T1758" s="14" t="s">
        <v>15830</v>
      </c>
      <c r="U1758" s="14">
        <v>422693.96</v>
      </c>
      <c r="V1758" s="14">
        <v>6199937.3099999996</v>
      </c>
      <c r="W1758" s="14">
        <v>359.6</v>
      </c>
      <c r="X1758" s="14">
        <v>150.05000000000001</v>
      </c>
    </row>
    <row r="1759" spans="1:24" s="14" customFormat="1" x14ac:dyDescent="0.25">
      <c r="A1759" s="50">
        <v>45102</v>
      </c>
      <c r="B1759" s="57">
        <v>176</v>
      </c>
      <c r="C1759" s="36">
        <v>0.58942129629629625</v>
      </c>
      <c r="D1759" s="16" t="s">
        <v>97</v>
      </c>
      <c r="E1759" s="52" t="s">
        <v>65</v>
      </c>
      <c r="F1759" s="16" t="s">
        <v>460</v>
      </c>
      <c r="G1759" s="16" t="s">
        <v>772</v>
      </c>
      <c r="H1759" s="14">
        <v>-1.4E-2</v>
      </c>
      <c r="I1759" s="14" t="s">
        <v>15836</v>
      </c>
      <c r="J1759" s="14" t="s">
        <v>15837</v>
      </c>
      <c r="K1759" s="14" t="s">
        <v>15838</v>
      </c>
      <c r="L1759" s="14" t="s">
        <v>15831</v>
      </c>
      <c r="O1759" s="14" t="s">
        <v>15832</v>
      </c>
      <c r="P1759" s="14" t="s">
        <v>15833</v>
      </c>
      <c r="Q1759" s="14">
        <v>422659.78</v>
      </c>
      <c r="R1759" s="14">
        <v>6199951.6200000001</v>
      </c>
      <c r="S1759" s="14" t="s">
        <v>15834</v>
      </c>
      <c r="T1759" s="14" t="s">
        <v>15835</v>
      </c>
      <c r="U1759" s="14">
        <v>422684.75</v>
      </c>
      <c r="V1759" s="14">
        <v>6199944.6200000001</v>
      </c>
      <c r="W1759" s="14">
        <v>180.77</v>
      </c>
      <c r="X1759" s="14">
        <v>150.05000000000001</v>
      </c>
    </row>
    <row r="1760" spans="1:24" s="14" customFormat="1" x14ac:dyDescent="0.25">
      <c r="A1760" s="50">
        <v>45102</v>
      </c>
      <c r="B1760" s="57">
        <v>176</v>
      </c>
      <c r="C1760" s="36">
        <v>0.59291666666666665</v>
      </c>
      <c r="D1760" s="16" t="s">
        <v>97</v>
      </c>
      <c r="E1760" s="52" t="s">
        <v>70</v>
      </c>
      <c r="F1760" s="16" t="s">
        <v>460</v>
      </c>
      <c r="G1760" s="16" t="s">
        <v>772</v>
      </c>
      <c r="H1760" s="14">
        <v>0.16600000000000001</v>
      </c>
      <c r="I1760" s="14" t="s">
        <v>15836</v>
      </c>
      <c r="J1760" s="14" t="s">
        <v>15837</v>
      </c>
      <c r="K1760" s="14" t="s">
        <v>15838</v>
      </c>
      <c r="L1760" s="14" t="s">
        <v>15831</v>
      </c>
      <c r="O1760" s="14" t="s">
        <v>15839</v>
      </c>
      <c r="P1760" s="14" t="s">
        <v>15840</v>
      </c>
      <c r="Q1760" s="14">
        <v>422658.99</v>
      </c>
      <c r="R1760" s="14">
        <v>6199774.0300000003</v>
      </c>
      <c r="S1760" s="14" t="s">
        <v>15841</v>
      </c>
      <c r="T1760" s="14" t="s">
        <v>15842</v>
      </c>
      <c r="U1760" s="14">
        <v>422684.81</v>
      </c>
      <c r="V1760" s="14">
        <v>6199764.9900000002</v>
      </c>
      <c r="W1760" s="14">
        <v>179.2</v>
      </c>
      <c r="X1760" s="14">
        <v>150.05000000000001</v>
      </c>
    </row>
    <row r="1761" spans="1:24" s="14" customFormat="1" x14ac:dyDescent="0.25">
      <c r="A1761" s="50">
        <v>45102</v>
      </c>
      <c r="B1761" s="57">
        <v>176</v>
      </c>
      <c r="C1761" s="36">
        <v>0.59697916666666673</v>
      </c>
      <c r="D1761" s="16" t="s">
        <v>97</v>
      </c>
      <c r="E1761" s="52" t="s">
        <v>10819</v>
      </c>
      <c r="F1761" s="16" t="s">
        <v>8011</v>
      </c>
      <c r="G1761" s="16" t="s">
        <v>914</v>
      </c>
      <c r="H1761" s="14">
        <v>-0.32</v>
      </c>
      <c r="O1761" s="14" t="s">
        <v>15844</v>
      </c>
      <c r="P1761" s="14" t="s">
        <v>15845</v>
      </c>
      <c r="Q1761" s="14">
        <v>422659.5</v>
      </c>
      <c r="R1761" s="14">
        <v>6199746.5700000003</v>
      </c>
      <c r="S1761" s="14" t="s">
        <v>15846</v>
      </c>
      <c r="T1761" s="14" t="s">
        <v>15847</v>
      </c>
      <c r="U1761" s="14">
        <v>422671.58</v>
      </c>
      <c r="V1761" s="14">
        <v>6199744.1399999997</v>
      </c>
      <c r="W1761" s="14">
        <v>125.44</v>
      </c>
      <c r="X1761" s="14">
        <v>200.06</v>
      </c>
    </row>
    <row r="1762" spans="1:24" s="14" customFormat="1" x14ac:dyDescent="0.25">
      <c r="A1762" s="50">
        <v>45102</v>
      </c>
      <c r="B1762" s="57">
        <v>176</v>
      </c>
      <c r="C1762" s="36">
        <v>0.5980671296296296</v>
      </c>
      <c r="D1762" s="16" t="s">
        <v>97</v>
      </c>
      <c r="E1762" s="116" t="s">
        <v>15843</v>
      </c>
      <c r="F1762" s="16" t="s">
        <v>8011</v>
      </c>
      <c r="G1762" s="16" t="s">
        <v>914</v>
      </c>
      <c r="H1762" s="14">
        <v>-0.309</v>
      </c>
      <c r="O1762" s="14" t="s">
        <v>15848</v>
      </c>
      <c r="P1762" s="14" t="s">
        <v>15849</v>
      </c>
      <c r="Q1762" s="14">
        <v>422684.9</v>
      </c>
      <c r="R1762" s="14">
        <v>6199743.4000000004</v>
      </c>
      <c r="S1762" s="14" t="s">
        <v>15850</v>
      </c>
      <c r="T1762" s="14" t="s">
        <v>15851</v>
      </c>
      <c r="U1762" s="14">
        <v>422690.01</v>
      </c>
      <c r="V1762" s="14">
        <v>6199734.3099999996</v>
      </c>
      <c r="W1762" s="14">
        <v>140.49</v>
      </c>
      <c r="X1762" s="14">
        <v>200.06</v>
      </c>
    </row>
    <row r="1763" spans="1:24" s="14" customFormat="1" x14ac:dyDescent="0.25">
      <c r="A1763" s="50">
        <v>45102</v>
      </c>
      <c r="B1763" s="57">
        <v>176</v>
      </c>
      <c r="C1763" s="36">
        <v>0.6130902777777778</v>
      </c>
      <c r="D1763" s="16" t="s">
        <v>97</v>
      </c>
      <c r="E1763" s="116" t="s">
        <v>6102</v>
      </c>
      <c r="F1763" s="16" t="s">
        <v>8011</v>
      </c>
      <c r="G1763" s="16" t="s">
        <v>914</v>
      </c>
      <c r="H1763" s="14">
        <v>-3.5999999999999997E-2</v>
      </c>
      <c r="O1763" s="14" t="s">
        <v>15852</v>
      </c>
      <c r="P1763" s="14" t="s">
        <v>15853</v>
      </c>
      <c r="Q1763" s="14">
        <v>420397.8</v>
      </c>
      <c r="R1763" s="14">
        <v>6199453.3099999996</v>
      </c>
      <c r="S1763" s="14" t="s">
        <v>15854</v>
      </c>
      <c r="T1763" s="14" t="s">
        <v>15855</v>
      </c>
      <c r="U1763" s="14">
        <v>420387.31</v>
      </c>
      <c r="V1763" s="14">
        <v>6199456.4299999997</v>
      </c>
      <c r="W1763" s="14">
        <v>275.13</v>
      </c>
      <c r="X1763" s="14">
        <v>200.06</v>
      </c>
    </row>
    <row r="1764" spans="1:24" s="14" customFormat="1" x14ac:dyDescent="0.25">
      <c r="A1764" s="50">
        <v>45102</v>
      </c>
      <c r="B1764" s="57">
        <v>176</v>
      </c>
      <c r="C1764" s="36">
        <v>0.61502314814814818</v>
      </c>
      <c r="D1764" s="16" t="s">
        <v>97</v>
      </c>
      <c r="E1764" s="52" t="s">
        <v>8026</v>
      </c>
      <c r="F1764" s="16" t="s">
        <v>8011</v>
      </c>
      <c r="G1764" s="16" t="s">
        <v>914</v>
      </c>
      <c r="H1764" s="14">
        <v>-3.5999999999999997E-2</v>
      </c>
      <c r="O1764" s="14" t="s">
        <v>15856</v>
      </c>
      <c r="P1764" s="14" t="s">
        <v>15857</v>
      </c>
      <c r="Q1764" s="14">
        <v>420396.84</v>
      </c>
      <c r="R1764" s="14">
        <v>6199452.6299999999</v>
      </c>
      <c r="S1764" s="14" t="s">
        <v>15858</v>
      </c>
      <c r="T1764" s="14" t="s">
        <v>15859</v>
      </c>
      <c r="U1764" s="14">
        <v>420384.26</v>
      </c>
      <c r="V1764" s="14">
        <v>6199455.9000000004</v>
      </c>
      <c r="W1764" s="14">
        <v>280.89999999999998</v>
      </c>
      <c r="X1764" s="14">
        <v>200.06</v>
      </c>
    </row>
    <row r="1765" spans="1:24" s="122" customFormat="1" x14ac:dyDescent="0.25">
      <c r="A1765" s="65">
        <v>45102</v>
      </c>
      <c r="B1765" s="106">
        <v>176</v>
      </c>
      <c r="C1765" s="67">
        <v>0.61616898148148147</v>
      </c>
      <c r="D1765" s="66" t="s">
        <v>97</v>
      </c>
      <c r="E1765" s="123" t="s">
        <v>15865</v>
      </c>
      <c r="F1765" s="66" t="s">
        <v>8011</v>
      </c>
      <c r="G1765" s="66" t="s">
        <v>914</v>
      </c>
      <c r="H1765" s="122">
        <v>-2.9000000000000001E-2</v>
      </c>
      <c r="M1765" s="122" t="s">
        <v>15860</v>
      </c>
      <c r="O1765" s="122" t="s">
        <v>15861</v>
      </c>
      <c r="P1765" s="122" t="s">
        <v>15862</v>
      </c>
      <c r="Q1765" s="122">
        <v>420393</v>
      </c>
      <c r="R1765" s="122">
        <v>6199452.04</v>
      </c>
      <c r="S1765" s="122" t="s">
        <v>15863</v>
      </c>
      <c r="T1765" s="122" t="s">
        <v>15864</v>
      </c>
      <c r="U1765" s="122">
        <v>420375.25</v>
      </c>
      <c r="V1765" s="122">
        <v>6199452.4000000004</v>
      </c>
      <c r="W1765" s="122">
        <v>240.1</v>
      </c>
      <c r="X1765" s="122">
        <v>200.06</v>
      </c>
    </row>
    <row r="1766" spans="1:24" s="14" customFormat="1" x14ac:dyDescent="0.25">
      <c r="A1766" s="50">
        <v>45102</v>
      </c>
      <c r="B1766" s="57">
        <v>176</v>
      </c>
      <c r="C1766" s="36">
        <v>0.61837962962962967</v>
      </c>
      <c r="D1766" s="16" t="s">
        <v>97</v>
      </c>
      <c r="E1766" s="52" t="s">
        <v>65</v>
      </c>
      <c r="F1766" s="16" t="s">
        <v>8011</v>
      </c>
      <c r="G1766" s="16" t="s">
        <v>914</v>
      </c>
      <c r="H1766" s="14">
        <v>-8.0000000000000002E-3</v>
      </c>
      <c r="I1766" s="14" t="s">
        <v>15870</v>
      </c>
      <c r="J1766" s="14" t="s">
        <v>15871</v>
      </c>
      <c r="K1766" s="14" t="s">
        <v>15872</v>
      </c>
      <c r="L1766" s="14" t="s">
        <v>15873</v>
      </c>
      <c r="O1766" s="14" t="s">
        <v>15866</v>
      </c>
      <c r="P1766" s="14" t="s">
        <v>15867</v>
      </c>
      <c r="Q1766" s="14">
        <v>420389.65</v>
      </c>
      <c r="R1766" s="14">
        <v>6199434.1900000004</v>
      </c>
      <c r="S1766" s="14" t="s">
        <v>15868</v>
      </c>
      <c r="T1766" s="14" t="s">
        <v>15869</v>
      </c>
      <c r="U1766" s="14">
        <v>420363.11</v>
      </c>
      <c r="V1766" s="14">
        <v>6199434.0300000003</v>
      </c>
      <c r="W1766" s="14">
        <v>179.06</v>
      </c>
      <c r="X1766" s="14">
        <v>200.06</v>
      </c>
    </row>
    <row r="1767" spans="1:24" s="14" customFormat="1" x14ac:dyDescent="0.25">
      <c r="A1767" s="50">
        <v>45102</v>
      </c>
      <c r="B1767" s="57">
        <v>176</v>
      </c>
      <c r="C1767" s="36">
        <v>0.62268518518518523</v>
      </c>
      <c r="D1767" s="16" t="s">
        <v>97</v>
      </c>
      <c r="E1767" s="52" t="s">
        <v>70</v>
      </c>
      <c r="F1767" s="16" t="s">
        <v>8011</v>
      </c>
      <c r="G1767" s="16" t="s">
        <v>914</v>
      </c>
      <c r="H1767" s="14">
        <v>0.218</v>
      </c>
      <c r="I1767" s="14" t="s">
        <v>15870</v>
      </c>
      <c r="J1767" s="14" t="s">
        <v>15871</v>
      </c>
      <c r="K1767" s="14" t="s">
        <v>15872</v>
      </c>
      <c r="L1767" s="14" t="s">
        <v>15873</v>
      </c>
      <c r="O1767" s="14" t="s">
        <v>15874</v>
      </c>
      <c r="P1767" s="14" t="s">
        <v>15875</v>
      </c>
      <c r="Q1767" s="14">
        <v>420388.05</v>
      </c>
      <c r="R1767" s="14">
        <v>6199209.4100000001</v>
      </c>
      <c r="S1767" s="14" t="s">
        <v>15876</v>
      </c>
      <c r="T1767" s="14" t="s">
        <v>15877</v>
      </c>
      <c r="U1767" s="14">
        <v>420363.1</v>
      </c>
      <c r="V1767" s="14">
        <v>6199208.4000000004</v>
      </c>
      <c r="W1767" s="14">
        <v>178.81</v>
      </c>
      <c r="X1767" s="14">
        <v>200.06</v>
      </c>
    </row>
    <row r="1768" spans="1:24" s="14" customFormat="1" x14ac:dyDescent="0.25">
      <c r="A1768" s="50">
        <v>45102</v>
      </c>
      <c r="B1768" s="57">
        <v>176</v>
      </c>
      <c r="C1768" s="36">
        <v>0.62504629629629627</v>
      </c>
      <c r="D1768" s="16" t="s">
        <v>97</v>
      </c>
      <c r="E1768" s="52" t="s">
        <v>65</v>
      </c>
      <c r="F1768" s="16" t="s">
        <v>8011</v>
      </c>
      <c r="G1768" s="16" t="s">
        <v>913</v>
      </c>
      <c r="H1768" s="14">
        <v>0.21299999999999999</v>
      </c>
      <c r="I1768" s="14" t="s">
        <v>15882</v>
      </c>
      <c r="J1768" s="14" t="s">
        <v>15883</v>
      </c>
      <c r="K1768" s="14" t="s">
        <v>15884</v>
      </c>
      <c r="L1768" s="14" t="s">
        <v>15885</v>
      </c>
      <c r="O1768" s="14" t="s">
        <v>15878</v>
      </c>
      <c r="P1768" s="14" t="s">
        <v>15879</v>
      </c>
      <c r="Q1768" s="14">
        <v>420379.55</v>
      </c>
      <c r="R1768" s="14">
        <v>6199200.4100000001</v>
      </c>
      <c r="S1768" s="14" t="s">
        <v>15880</v>
      </c>
      <c r="T1768" s="14" t="s">
        <v>15881</v>
      </c>
      <c r="U1768" s="14">
        <v>420354.14</v>
      </c>
      <c r="V1768" s="14">
        <v>6199202.0800000001</v>
      </c>
      <c r="W1768" s="14">
        <v>0.28999999999999998</v>
      </c>
      <c r="X1768" s="14">
        <v>200.06</v>
      </c>
    </row>
    <row r="1769" spans="1:24" s="14" customFormat="1" x14ac:dyDescent="0.25">
      <c r="A1769" s="50">
        <v>45102</v>
      </c>
      <c r="B1769" s="57">
        <v>176</v>
      </c>
      <c r="C1769" s="36">
        <v>0.62930555555555556</v>
      </c>
      <c r="D1769" s="16" t="s">
        <v>97</v>
      </c>
      <c r="E1769" s="52" t="s">
        <v>70</v>
      </c>
      <c r="F1769" s="16" t="s">
        <v>8011</v>
      </c>
      <c r="G1769" s="16" t="s">
        <v>913</v>
      </c>
      <c r="H1769" s="14">
        <v>-1.2E-2</v>
      </c>
      <c r="I1769" s="14" t="s">
        <v>15882</v>
      </c>
      <c r="J1769" s="14" t="s">
        <v>15883</v>
      </c>
      <c r="K1769" s="14" t="s">
        <v>15884</v>
      </c>
      <c r="L1769" s="14" t="s">
        <v>15885</v>
      </c>
      <c r="O1769" s="14" t="s">
        <v>15886</v>
      </c>
      <c r="P1769" s="14" t="s">
        <v>15887</v>
      </c>
      <c r="Q1769" s="14">
        <v>420379.75</v>
      </c>
      <c r="R1769" s="14">
        <v>6199425.5999999996</v>
      </c>
      <c r="S1769" s="14" t="s">
        <v>15888</v>
      </c>
      <c r="T1769" s="14" t="s">
        <v>15889</v>
      </c>
      <c r="U1769" s="14">
        <v>420354.19</v>
      </c>
      <c r="V1769" s="14">
        <v>6199427.3700000001</v>
      </c>
      <c r="W1769" s="14">
        <v>358.34</v>
      </c>
      <c r="X1769" s="14">
        <v>200.06</v>
      </c>
    </row>
    <row r="1770" spans="1:24" s="14" customFormat="1" x14ac:dyDescent="0.25">
      <c r="A1770" s="50">
        <v>45102</v>
      </c>
      <c r="B1770" s="57">
        <v>176</v>
      </c>
      <c r="C1770" s="36">
        <v>0.63155092592592588</v>
      </c>
      <c r="D1770" s="16" t="s">
        <v>97</v>
      </c>
      <c r="E1770" s="52" t="s">
        <v>65</v>
      </c>
      <c r="F1770" s="16" t="s">
        <v>8011</v>
      </c>
      <c r="G1770" s="16" t="s">
        <v>912</v>
      </c>
      <c r="H1770" s="14">
        <v>-8.9999999999999993E-3</v>
      </c>
      <c r="I1770" s="14" t="s">
        <v>15894</v>
      </c>
      <c r="J1770" s="14" t="s">
        <v>15895</v>
      </c>
      <c r="K1770" s="14" t="s">
        <v>15896</v>
      </c>
      <c r="L1770" s="14" t="s">
        <v>15885</v>
      </c>
      <c r="O1770" s="14" t="s">
        <v>15890</v>
      </c>
      <c r="P1770" s="14" t="s">
        <v>15891</v>
      </c>
      <c r="Q1770" s="14">
        <v>420372.59</v>
      </c>
      <c r="R1770" s="14">
        <v>6199434.75</v>
      </c>
      <c r="S1770" s="14" t="s">
        <v>15892</v>
      </c>
      <c r="T1770" s="14" t="s">
        <v>15893</v>
      </c>
      <c r="U1770" s="14">
        <v>420345.25</v>
      </c>
      <c r="V1770" s="14">
        <v>6199435.3099999996</v>
      </c>
      <c r="W1770" s="14">
        <v>179.38</v>
      </c>
      <c r="X1770" s="14">
        <v>200.06</v>
      </c>
    </row>
    <row r="1771" spans="1:24" s="14" customFormat="1" x14ac:dyDescent="0.25">
      <c r="A1771" s="50">
        <v>45102</v>
      </c>
      <c r="B1771" s="57">
        <v>176</v>
      </c>
      <c r="C1771" s="36">
        <v>0.63576388888888891</v>
      </c>
      <c r="D1771" s="16" t="s">
        <v>97</v>
      </c>
      <c r="E1771" s="52" t="s">
        <v>70</v>
      </c>
      <c r="F1771" s="16" t="s">
        <v>8011</v>
      </c>
      <c r="G1771" s="16" t="s">
        <v>912</v>
      </c>
      <c r="H1771" s="14">
        <v>0.214</v>
      </c>
      <c r="I1771" s="14" t="s">
        <v>15894</v>
      </c>
      <c r="J1771" s="14" t="s">
        <v>15895</v>
      </c>
      <c r="K1771" s="14" t="s">
        <v>15896</v>
      </c>
      <c r="L1771" s="14" t="s">
        <v>15901</v>
      </c>
      <c r="O1771" s="14" t="s">
        <v>15897</v>
      </c>
      <c r="P1771" s="14" t="s">
        <v>15898</v>
      </c>
      <c r="Q1771" s="14">
        <v>420370.68</v>
      </c>
      <c r="R1771" s="14">
        <v>6199214.6799999997</v>
      </c>
      <c r="S1771" s="14" t="s">
        <v>15899</v>
      </c>
      <c r="T1771" s="14" t="s">
        <v>15900</v>
      </c>
      <c r="U1771" s="14">
        <v>420345.2</v>
      </c>
      <c r="V1771" s="14">
        <v>6199212.2800000003</v>
      </c>
      <c r="W1771" s="14">
        <v>179.15</v>
      </c>
      <c r="X1771" s="14">
        <v>200.06</v>
      </c>
    </row>
    <row r="1772" spans="1:24" s="14" customFormat="1" x14ac:dyDescent="0.25">
      <c r="A1772" s="50">
        <v>45102</v>
      </c>
      <c r="B1772" s="57">
        <v>176</v>
      </c>
      <c r="C1772" s="36">
        <v>0.63802083333333337</v>
      </c>
      <c r="D1772" s="16" t="s">
        <v>97</v>
      </c>
      <c r="E1772" s="52" t="s">
        <v>65</v>
      </c>
      <c r="F1772" s="16" t="s">
        <v>8011</v>
      </c>
      <c r="G1772" s="16" t="s">
        <v>911</v>
      </c>
      <c r="H1772" s="14">
        <v>0.21199999999999999</v>
      </c>
      <c r="I1772" s="14" t="s">
        <v>15906</v>
      </c>
      <c r="J1772" s="14" t="s">
        <v>15907</v>
      </c>
      <c r="K1772" s="14" t="s">
        <v>15908</v>
      </c>
      <c r="L1772" s="14" t="s">
        <v>15901</v>
      </c>
      <c r="O1772" s="14" t="s">
        <v>15902</v>
      </c>
      <c r="P1772" s="14" t="s">
        <v>15903</v>
      </c>
      <c r="Q1772" s="14">
        <v>420361.74</v>
      </c>
      <c r="R1772" s="14">
        <v>6199195.8700000001</v>
      </c>
      <c r="S1772" s="14" t="s">
        <v>15904</v>
      </c>
      <c r="T1772" s="14" t="s">
        <v>15905</v>
      </c>
      <c r="U1772" s="14">
        <v>420336.2</v>
      </c>
      <c r="V1772" s="14">
        <v>6199204.0300000003</v>
      </c>
      <c r="W1772" s="14">
        <v>358.74</v>
      </c>
      <c r="X1772" s="14">
        <v>200.06</v>
      </c>
    </row>
    <row r="1773" spans="1:24" s="14" customFormat="1" x14ac:dyDescent="0.25">
      <c r="A1773" s="50">
        <v>45102</v>
      </c>
      <c r="B1773" s="57">
        <v>176</v>
      </c>
      <c r="C1773" s="36">
        <v>0.64228009259259256</v>
      </c>
      <c r="D1773" s="16" t="s">
        <v>97</v>
      </c>
      <c r="E1773" s="52" t="s">
        <v>70</v>
      </c>
      <c r="F1773" s="16" t="s">
        <v>8011</v>
      </c>
      <c r="G1773" s="16" t="s">
        <v>911</v>
      </c>
      <c r="H1773" s="14">
        <v>-1.2999999999999999E-2</v>
      </c>
      <c r="I1773" s="14" t="s">
        <v>15906</v>
      </c>
      <c r="J1773" s="14" t="s">
        <v>15907</v>
      </c>
      <c r="K1773" s="14" t="s">
        <v>15908</v>
      </c>
      <c r="L1773" s="14" t="s">
        <v>15901</v>
      </c>
      <c r="O1773" s="14" t="s">
        <v>15909</v>
      </c>
      <c r="P1773" s="14" t="s">
        <v>15910</v>
      </c>
      <c r="Q1773" s="14">
        <v>420361.78</v>
      </c>
      <c r="R1773" s="14">
        <v>6199418.54</v>
      </c>
      <c r="S1773" s="14" t="s">
        <v>15911</v>
      </c>
      <c r="T1773" s="14" t="s">
        <v>15912</v>
      </c>
      <c r="U1773" s="14">
        <v>420336.13</v>
      </c>
      <c r="V1773" s="14">
        <v>6199428.6200000001</v>
      </c>
      <c r="W1773" s="14">
        <v>358.73</v>
      </c>
      <c r="X1773" s="14">
        <v>200.06</v>
      </c>
    </row>
    <row r="1774" spans="1:24" s="14" customFormat="1" x14ac:dyDescent="0.25">
      <c r="A1774" s="50">
        <v>45102</v>
      </c>
      <c r="B1774" s="57">
        <v>176</v>
      </c>
      <c r="C1774" s="36">
        <v>0.6445833333333334</v>
      </c>
      <c r="D1774" s="16" t="s">
        <v>97</v>
      </c>
      <c r="E1774" s="52" t="s">
        <v>65</v>
      </c>
      <c r="F1774" s="16" t="s">
        <v>8011</v>
      </c>
      <c r="G1774" s="16" t="s">
        <v>910</v>
      </c>
      <c r="H1774" s="14">
        <v>-8.9999999999999993E-3</v>
      </c>
      <c r="I1774" s="14" t="s">
        <v>15917</v>
      </c>
      <c r="J1774" s="14" t="s">
        <v>15918</v>
      </c>
      <c r="K1774" s="14" t="s">
        <v>15919</v>
      </c>
      <c r="L1774" s="14" t="s">
        <v>15901</v>
      </c>
      <c r="O1774" s="14" t="s">
        <v>15913</v>
      </c>
      <c r="P1774" s="14" t="s">
        <v>15914</v>
      </c>
      <c r="Q1774" s="14">
        <v>420354.24</v>
      </c>
      <c r="R1774" s="14">
        <v>6199431.8399999999</v>
      </c>
      <c r="S1774" s="14" t="s">
        <v>15915</v>
      </c>
      <c r="T1774" s="14" t="s">
        <v>15916</v>
      </c>
      <c r="U1774" s="14">
        <v>420327.04</v>
      </c>
      <c r="V1774" s="14">
        <v>6199435.6600000001</v>
      </c>
      <c r="W1774" s="14">
        <v>178.58</v>
      </c>
      <c r="X1774" s="14">
        <v>200.06</v>
      </c>
    </row>
    <row r="1775" spans="1:24" s="14" customFormat="1" x14ac:dyDescent="0.25">
      <c r="A1775" s="50">
        <v>45102</v>
      </c>
      <c r="B1775" s="57">
        <v>176</v>
      </c>
      <c r="C1775" s="36">
        <v>0.64888888888888896</v>
      </c>
      <c r="D1775" s="16" t="s">
        <v>97</v>
      </c>
      <c r="E1775" s="52" t="s">
        <v>70</v>
      </c>
      <c r="F1775" s="16" t="s">
        <v>8011</v>
      </c>
      <c r="G1775" s="16" t="s">
        <v>910</v>
      </c>
      <c r="H1775" s="14">
        <v>0.217</v>
      </c>
      <c r="I1775" s="14" t="s">
        <v>15917</v>
      </c>
      <c r="J1775" s="14" t="s">
        <v>15918</v>
      </c>
      <c r="K1775" s="14" t="s">
        <v>15919</v>
      </c>
      <c r="L1775" s="14" t="s">
        <v>15924</v>
      </c>
      <c r="O1775" s="14" t="s">
        <v>15920</v>
      </c>
      <c r="P1775" s="14" t="s">
        <v>15921</v>
      </c>
      <c r="Q1775" s="14">
        <v>420352.13</v>
      </c>
      <c r="R1775" s="14">
        <v>6199208.0599999996</v>
      </c>
      <c r="S1775" s="14" t="s">
        <v>15922</v>
      </c>
      <c r="T1775" s="14" t="s">
        <v>15923</v>
      </c>
      <c r="U1775" s="14">
        <v>420327.16</v>
      </c>
      <c r="V1775" s="14">
        <v>6199209.9299999997</v>
      </c>
      <c r="W1775" s="14">
        <v>179.54</v>
      </c>
      <c r="X1775" s="14">
        <v>200.06</v>
      </c>
    </row>
    <row r="1776" spans="1:24" s="14" customFormat="1" x14ac:dyDescent="0.25">
      <c r="A1776" s="50">
        <v>45102</v>
      </c>
      <c r="B1776" s="57">
        <v>176</v>
      </c>
      <c r="C1776" s="36">
        <v>0.65071759259259265</v>
      </c>
      <c r="D1776" s="16" t="s">
        <v>97</v>
      </c>
      <c r="E1776" s="52" t="s">
        <v>65</v>
      </c>
      <c r="F1776" s="16" t="s">
        <v>8011</v>
      </c>
      <c r="G1776" s="16" t="s">
        <v>909</v>
      </c>
      <c r="H1776" s="14">
        <v>0.21299999999999999</v>
      </c>
      <c r="I1776" s="14" t="s">
        <v>15929</v>
      </c>
      <c r="J1776" s="14" t="s">
        <v>15930</v>
      </c>
      <c r="K1776" s="14" t="s">
        <v>15931</v>
      </c>
      <c r="L1776" s="14" t="s">
        <v>15924</v>
      </c>
      <c r="O1776" s="14" t="s">
        <v>15925</v>
      </c>
      <c r="P1776" s="14" t="s">
        <v>15926</v>
      </c>
      <c r="Q1776" s="14">
        <v>420343.89</v>
      </c>
      <c r="R1776" s="14">
        <v>6199193.96</v>
      </c>
      <c r="S1776" s="14" t="s">
        <v>15927</v>
      </c>
      <c r="T1776" s="14" t="s">
        <v>15928</v>
      </c>
      <c r="U1776" s="14">
        <v>420318.13</v>
      </c>
      <c r="V1776" s="14">
        <v>6199202.5499999998</v>
      </c>
      <c r="W1776" s="14">
        <v>359.35</v>
      </c>
      <c r="X1776" s="14">
        <v>200.06</v>
      </c>
    </row>
    <row r="1777" spans="1:24" s="14" customFormat="1" x14ac:dyDescent="0.25">
      <c r="A1777" s="50">
        <v>45102</v>
      </c>
      <c r="B1777" s="57">
        <v>176</v>
      </c>
      <c r="C1777" s="36">
        <v>0.65504629629629629</v>
      </c>
      <c r="D1777" s="16" t="s">
        <v>97</v>
      </c>
      <c r="E1777" s="52" t="s">
        <v>70</v>
      </c>
      <c r="F1777" s="16" t="s">
        <v>8011</v>
      </c>
      <c r="G1777" s="16" t="s">
        <v>909</v>
      </c>
      <c r="H1777" s="14">
        <v>-1.4E-2</v>
      </c>
      <c r="I1777" s="14" t="s">
        <v>15929</v>
      </c>
      <c r="J1777" s="14" t="s">
        <v>15930</v>
      </c>
      <c r="K1777" s="14" t="s">
        <v>15931</v>
      </c>
      <c r="L1777" s="14" t="s">
        <v>15924</v>
      </c>
      <c r="O1777" s="14" t="s">
        <v>15932</v>
      </c>
      <c r="P1777" s="14" t="s">
        <v>15933</v>
      </c>
      <c r="Q1777" s="14">
        <v>420343.21</v>
      </c>
      <c r="R1777" s="14">
        <v>6199421.0800000001</v>
      </c>
      <c r="S1777" s="14" t="s">
        <v>15934</v>
      </c>
      <c r="T1777" s="14" t="s">
        <v>15935</v>
      </c>
      <c r="U1777" s="14">
        <v>420318.14</v>
      </c>
      <c r="V1777" s="14">
        <v>6199429.5800000001</v>
      </c>
      <c r="W1777" s="14">
        <v>358.68</v>
      </c>
      <c r="X1777" s="14">
        <v>200.06</v>
      </c>
    </row>
    <row r="1778" spans="1:24" s="14" customFormat="1" x14ac:dyDescent="0.25">
      <c r="A1778" s="50">
        <v>45102</v>
      </c>
      <c r="B1778" s="57">
        <v>176</v>
      </c>
      <c r="C1778" s="36">
        <v>0.65577546296296296</v>
      </c>
      <c r="D1778" s="16" t="s">
        <v>97</v>
      </c>
      <c r="E1778" s="115" t="s">
        <v>15940</v>
      </c>
      <c r="F1778" s="16" t="s">
        <v>8011</v>
      </c>
      <c r="G1778" s="16" t="s">
        <v>908</v>
      </c>
      <c r="H1778" s="14">
        <v>-4.2000000000000003E-2</v>
      </c>
      <c r="O1778" s="14" t="s">
        <v>15936</v>
      </c>
      <c r="P1778" s="14" t="s">
        <v>15937</v>
      </c>
      <c r="Q1778" s="14">
        <v>420341.31</v>
      </c>
      <c r="R1778" s="14">
        <v>6199445.7599999998</v>
      </c>
      <c r="S1778" s="14" t="s">
        <v>15938</v>
      </c>
      <c r="T1778" s="14" t="s">
        <v>15939</v>
      </c>
      <c r="U1778" s="14">
        <v>420313.64</v>
      </c>
      <c r="V1778" s="14">
        <v>6199458.3499999996</v>
      </c>
      <c r="W1778" s="14">
        <v>320.35000000000002</v>
      </c>
      <c r="X1778" s="14">
        <v>200.06</v>
      </c>
    </row>
    <row r="1779" spans="1:24" s="126" customFormat="1" x14ac:dyDescent="0.25">
      <c r="A1779" s="78">
        <v>45102</v>
      </c>
      <c r="B1779" s="108">
        <v>176</v>
      </c>
      <c r="C1779" s="80">
        <v>0.66454861111111108</v>
      </c>
      <c r="D1779" s="79" t="s">
        <v>7408</v>
      </c>
      <c r="E1779" s="127" t="s">
        <v>15953</v>
      </c>
      <c r="F1779" s="79" t="s">
        <v>8011</v>
      </c>
      <c r="G1779" s="79" t="s">
        <v>908</v>
      </c>
      <c r="H1779" s="126">
        <v>-0.03</v>
      </c>
      <c r="O1779" s="126" t="s">
        <v>15941</v>
      </c>
      <c r="P1779" s="126" t="s">
        <v>15942</v>
      </c>
      <c r="Q1779" s="126">
        <v>420337.87</v>
      </c>
      <c r="R1779" s="126">
        <v>6199448.0700000003</v>
      </c>
      <c r="S1779" s="126" t="s">
        <v>15943</v>
      </c>
      <c r="T1779" s="126" t="s">
        <v>15944</v>
      </c>
      <c r="U1779" s="126">
        <v>420326.98</v>
      </c>
      <c r="V1779" s="126">
        <v>6199450.7800000003</v>
      </c>
      <c r="W1779" s="126">
        <v>273.61</v>
      </c>
      <c r="X1779" s="126">
        <v>200.06</v>
      </c>
    </row>
    <row r="1780" spans="1:24" s="14" customFormat="1" x14ac:dyDescent="0.25">
      <c r="A1780" s="50">
        <v>45102</v>
      </c>
      <c r="B1780" s="57">
        <v>176</v>
      </c>
      <c r="C1780" s="36">
        <v>0.66582175925925924</v>
      </c>
      <c r="D1780" s="16" t="s">
        <v>7408</v>
      </c>
      <c r="E1780" s="116" t="s">
        <v>15004</v>
      </c>
      <c r="F1780" s="16" t="s">
        <v>8011</v>
      </c>
      <c r="G1780" s="16" t="s">
        <v>908</v>
      </c>
      <c r="H1780" s="14">
        <v>-0.03</v>
      </c>
      <c r="O1780" s="14" t="s">
        <v>15945</v>
      </c>
      <c r="P1780" s="14" t="s">
        <v>15946</v>
      </c>
      <c r="Q1780" s="14">
        <v>420337.65</v>
      </c>
      <c r="R1780" s="14">
        <v>6199448.04</v>
      </c>
      <c r="S1780" s="14" t="s">
        <v>15947</v>
      </c>
      <c r="T1780" s="14" t="s">
        <v>15948</v>
      </c>
      <c r="U1780" s="14">
        <v>420326.96</v>
      </c>
      <c r="V1780" s="14">
        <v>6199450.7699999996</v>
      </c>
      <c r="W1780" s="14">
        <v>273.73</v>
      </c>
      <c r="X1780" s="14">
        <v>200.06</v>
      </c>
    </row>
    <row r="1781" spans="1:24" s="124" customFormat="1" x14ac:dyDescent="0.25">
      <c r="A1781" s="74">
        <v>45102</v>
      </c>
      <c r="B1781" s="105">
        <v>176</v>
      </c>
      <c r="C1781" s="76">
        <v>0.66905092592592597</v>
      </c>
      <c r="D1781" s="75" t="s">
        <v>7408</v>
      </c>
      <c r="E1781" s="125" t="s">
        <v>15954</v>
      </c>
      <c r="F1781" s="75" t="s">
        <v>8011</v>
      </c>
      <c r="G1781" s="75" t="s">
        <v>908</v>
      </c>
      <c r="H1781" s="124">
        <v>-0.03</v>
      </c>
      <c r="O1781" s="124" t="s">
        <v>15949</v>
      </c>
      <c r="P1781" s="124" t="s">
        <v>15950</v>
      </c>
      <c r="Q1781" s="124">
        <v>420337.86</v>
      </c>
      <c r="R1781" s="124">
        <v>6199448.1399999997</v>
      </c>
      <c r="S1781" s="124" t="s">
        <v>15951</v>
      </c>
      <c r="T1781" s="124" t="s">
        <v>15952</v>
      </c>
      <c r="U1781" s="124">
        <v>420327.06</v>
      </c>
      <c r="V1781" s="124">
        <v>6199450.7400000002</v>
      </c>
      <c r="W1781" s="124">
        <v>273.60000000000002</v>
      </c>
      <c r="X1781" s="124">
        <v>200.06</v>
      </c>
    </row>
    <row r="1782" spans="1:24" s="122" customFormat="1" x14ac:dyDescent="0.25">
      <c r="A1782" s="65">
        <v>45102</v>
      </c>
      <c r="B1782" s="106">
        <v>176</v>
      </c>
      <c r="C1782" s="67">
        <v>0.67379629629629623</v>
      </c>
      <c r="D1782" s="66" t="s">
        <v>7408</v>
      </c>
      <c r="E1782" s="123" t="s">
        <v>15960</v>
      </c>
      <c r="F1782" s="66" t="s">
        <v>8011</v>
      </c>
      <c r="G1782" s="66" t="s">
        <v>908</v>
      </c>
      <c r="H1782" s="122">
        <v>-3.9E-2</v>
      </c>
      <c r="M1782" s="122" t="s">
        <v>15955</v>
      </c>
      <c r="O1782" s="122" t="s">
        <v>15956</v>
      </c>
      <c r="P1782" s="122" t="s">
        <v>15957</v>
      </c>
      <c r="Q1782" s="122">
        <v>420337.96</v>
      </c>
      <c r="R1782" s="122">
        <v>6199448.1100000003</v>
      </c>
      <c r="S1782" s="122" t="s">
        <v>15958</v>
      </c>
      <c r="T1782" s="122" t="s">
        <v>15959</v>
      </c>
      <c r="U1782" s="122">
        <v>420317.36</v>
      </c>
      <c r="V1782" s="122">
        <v>6199456.9500000002</v>
      </c>
      <c r="W1782" s="122">
        <v>303.29000000000002</v>
      </c>
      <c r="X1782" s="122">
        <v>200.06</v>
      </c>
    </row>
    <row r="1783" spans="1:24" s="14" customFormat="1" x14ac:dyDescent="0.25">
      <c r="A1783" s="50">
        <v>45102</v>
      </c>
      <c r="B1783" s="57">
        <v>176</v>
      </c>
      <c r="C1783" s="36">
        <v>0.68113425925925919</v>
      </c>
      <c r="D1783" s="16" t="s">
        <v>7408</v>
      </c>
      <c r="E1783" s="52" t="s">
        <v>65</v>
      </c>
      <c r="F1783" s="16" t="s">
        <v>8011</v>
      </c>
      <c r="G1783" s="16" t="s">
        <v>908</v>
      </c>
      <c r="H1783" s="14">
        <v>-8.9999999999999993E-3</v>
      </c>
      <c r="I1783" s="14" t="s">
        <v>15964</v>
      </c>
      <c r="J1783" s="14" t="s">
        <v>15965</v>
      </c>
      <c r="K1783" s="14" t="s">
        <v>15966</v>
      </c>
      <c r="L1783" s="14" t="s">
        <v>15967</v>
      </c>
      <c r="O1783" s="14" t="s">
        <v>15961</v>
      </c>
      <c r="P1783" s="14" t="s">
        <v>15962</v>
      </c>
      <c r="Q1783" s="14">
        <v>420335.63</v>
      </c>
      <c r="R1783" s="14">
        <v>6199434.1699999999</v>
      </c>
      <c r="S1783" s="14" t="s">
        <v>15915</v>
      </c>
      <c r="T1783" s="14" t="s">
        <v>15963</v>
      </c>
      <c r="U1783" s="14">
        <v>420309.11</v>
      </c>
      <c r="V1783" s="14">
        <v>6199435.9900000002</v>
      </c>
      <c r="W1783" s="14">
        <v>179.49</v>
      </c>
      <c r="X1783" s="14">
        <v>200.06</v>
      </c>
    </row>
    <row r="1784" spans="1:24" s="14" customFormat="1" x14ac:dyDescent="0.25">
      <c r="A1784" s="50">
        <v>45102</v>
      </c>
      <c r="B1784" s="57">
        <v>176</v>
      </c>
      <c r="C1784" s="36">
        <v>0.68540509259259252</v>
      </c>
      <c r="D1784" s="16" t="s">
        <v>7408</v>
      </c>
      <c r="E1784" s="52" t="s">
        <v>70</v>
      </c>
      <c r="F1784" s="16" t="s">
        <v>8011</v>
      </c>
      <c r="G1784" s="16" t="s">
        <v>908</v>
      </c>
      <c r="H1784" s="14">
        <v>0.216</v>
      </c>
      <c r="I1784" s="14" t="s">
        <v>15964</v>
      </c>
      <c r="J1784" s="14" t="s">
        <v>15965</v>
      </c>
      <c r="K1784" s="14" t="s">
        <v>15966</v>
      </c>
      <c r="L1784" s="14" t="s">
        <v>15967</v>
      </c>
      <c r="O1784" s="14" t="s">
        <v>15968</v>
      </c>
      <c r="P1784" s="14" t="s">
        <v>15969</v>
      </c>
      <c r="Q1784" s="14">
        <v>420334.41</v>
      </c>
      <c r="R1784" s="14">
        <v>6199210.7999999998</v>
      </c>
      <c r="S1784" s="14" t="s">
        <v>15970</v>
      </c>
      <c r="T1784" s="14" t="s">
        <v>15971</v>
      </c>
      <c r="U1784" s="14">
        <v>420309.24</v>
      </c>
      <c r="V1784" s="14">
        <v>6199210.9100000001</v>
      </c>
      <c r="W1784" s="14">
        <v>180.27</v>
      </c>
      <c r="X1784" s="14">
        <v>200.06</v>
      </c>
    </row>
    <row r="1785" spans="1:24" s="14" customFormat="1" x14ac:dyDescent="0.25">
      <c r="A1785" s="50">
        <v>45102</v>
      </c>
      <c r="B1785" s="57">
        <v>176</v>
      </c>
      <c r="C1785" s="36">
        <v>0.68841435185185185</v>
      </c>
      <c r="D1785" s="16" t="s">
        <v>7408</v>
      </c>
      <c r="E1785" s="14" t="s">
        <v>65</v>
      </c>
      <c r="F1785" s="16" t="s">
        <v>8011</v>
      </c>
      <c r="G1785" s="16" t="s">
        <v>907</v>
      </c>
      <c r="H1785" s="14">
        <v>0.21099999999999999</v>
      </c>
      <c r="I1785" s="14" t="s">
        <v>15976</v>
      </c>
      <c r="J1785" s="14" t="s">
        <v>15977</v>
      </c>
      <c r="K1785" s="14" t="s">
        <v>15978</v>
      </c>
      <c r="L1785" s="14" t="s">
        <v>15979</v>
      </c>
      <c r="O1785" s="14" t="s">
        <v>15972</v>
      </c>
      <c r="P1785" s="14" t="s">
        <v>15973</v>
      </c>
      <c r="Q1785" s="14">
        <v>420325.93</v>
      </c>
      <c r="R1785" s="14">
        <v>6199198.5</v>
      </c>
      <c r="S1785" s="14" t="s">
        <v>15974</v>
      </c>
      <c r="T1785" s="14" t="s">
        <v>15975</v>
      </c>
      <c r="U1785" s="14">
        <v>420300.19</v>
      </c>
      <c r="V1785" s="14">
        <v>6199204.0499999998</v>
      </c>
      <c r="W1785" s="14">
        <v>0.18</v>
      </c>
      <c r="X1785" s="14">
        <v>200.06</v>
      </c>
    </row>
    <row r="1786" spans="1:24" s="14" customFormat="1" x14ac:dyDescent="0.25">
      <c r="A1786" s="50">
        <v>45102</v>
      </c>
      <c r="B1786" s="57">
        <v>176</v>
      </c>
      <c r="C1786" s="36">
        <v>0.69270833333333337</v>
      </c>
      <c r="D1786" s="16" t="s">
        <v>7408</v>
      </c>
      <c r="E1786" s="14" t="s">
        <v>70</v>
      </c>
      <c r="F1786" s="16" t="s">
        <v>8011</v>
      </c>
      <c r="G1786" s="16" t="s">
        <v>907</v>
      </c>
      <c r="H1786" s="14">
        <v>-1.4999999999999999E-2</v>
      </c>
      <c r="I1786" s="14" t="s">
        <v>15976</v>
      </c>
      <c r="J1786" s="14" t="s">
        <v>15977</v>
      </c>
      <c r="K1786" s="14" t="s">
        <v>15978</v>
      </c>
      <c r="L1786" s="14" t="s">
        <v>15979</v>
      </c>
      <c r="O1786" s="14" t="s">
        <v>15980</v>
      </c>
      <c r="P1786" s="14" t="s">
        <v>15981</v>
      </c>
      <c r="Q1786" s="14">
        <v>420325.87</v>
      </c>
      <c r="R1786" s="14">
        <v>6199426.9800000004</v>
      </c>
      <c r="S1786" s="14" t="s">
        <v>15982</v>
      </c>
      <c r="T1786" s="14" t="s">
        <v>15983</v>
      </c>
      <c r="U1786" s="14">
        <v>420300.18</v>
      </c>
      <c r="V1786" s="14">
        <v>6199430.9299999997</v>
      </c>
      <c r="W1786" s="14">
        <v>359.14</v>
      </c>
      <c r="X1786" s="14">
        <v>200.06</v>
      </c>
    </row>
    <row r="1787" spans="1:24" s="14" customFormat="1" x14ac:dyDescent="0.25">
      <c r="A1787" s="50">
        <v>45102</v>
      </c>
      <c r="B1787" s="57">
        <v>176</v>
      </c>
      <c r="C1787" s="36">
        <v>0.69568287037037047</v>
      </c>
      <c r="D1787" s="16" t="s">
        <v>7408</v>
      </c>
      <c r="E1787" s="14" t="s">
        <v>65</v>
      </c>
      <c r="F1787" s="16" t="s">
        <v>8011</v>
      </c>
      <c r="G1787" s="16" t="s">
        <v>898</v>
      </c>
      <c r="H1787" s="14">
        <v>-1.0999999999999999E-2</v>
      </c>
      <c r="I1787" s="14" t="s">
        <v>15988</v>
      </c>
      <c r="J1787" s="14" t="s">
        <v>15989</v>
      </c>
      <c r="K1787" s="14" t="s">
        <v>15990</v>
      </c>
      <c r="L1787" s="14" t="s">
        <v>15979</v>
      </c>
      <c r="O1787" s="14" t="s">
        <v>15984</v>
      </c>
      <c r="P1787" s="14" t="s">
        <v>15985</v>
      </c>
      <c r="Q1787" s="14">
        <v>420315.78</v>
      </c>
      <c r="R1787" s="14">
        <v>6199436.3099999996</v>
      </c>
      <c r="S1787" s="14" t="s">
        <v>15986</v>
      </c>
      <c r="T1787" s="14" t="s">
        <v>15987</v>
      </c>
      <c r="U1787" s="14">
        <v>420291.13</v>
      </c>
      <c r="V1787" s="14">
        <v>6199437.1799999997</v>
      </c>
      <c r="W1787" s="14">
        <v>180.12</v>
      </c>
      <c r="X1787" s="14">
        <v>200.06</v>
      </c>
    </row>
    <row r="1788" spans="1:24" s="14" customFormat="1" x14ac:dyDescent="0.25">
      <c r="A1788" s="50">
        <v>45102</v>
      </c>
      <c r="B1788" s="57">
        <v>176</v>
      </c>
      <c r="C1788" s="36">
        <v>0.70004629629629633</v>
      </c>
      <c r="D1788" s="16" t="s">
        <v>7408</v>
      </c>
      <c r="E1788" s="52" t="s">
        <v>70</v>
      </c>
      <c r="F1788" s="16" t="s">
        <v>8011</v>
      </c>
      <c r="G1788" s="16" t="s">
        <v>898</v>
      </c>
      <c r="H1788" s="14">
        <v>0.219</v>
      </c>
      <c r="I1788" s="14" t="s">
        <v>15988</v>
      </c>
      <c r="J1788" s="14" t="s">
        <v>15989</v>
      </c>
      <c r="K1788" s="14" t="s">
        <v>15990</v>
      </c>
      <c r="L1788" s="14" t="s">
        <v>15995</v>
      </c>
      <c r="O1788" s="14" t="s">
        <v>15991</v>
      </c>
      <c r="P1788" s="14" t="s">
        <v>15992</v>
      </c>
      <c r="Q1788" s="14">
        <v>420315.71</v>
      </c>
      <c r="R1788" s="14">
        <v>6199206.3399999999</v>
      </c>
      <c r="S1788" s="14" t="s">
        <v>15993</v>
      </c>
      <c r="T1788" s="14" t="s">
        <v>15994</v>
      </c>
      <c r="U1788" s="14">
        <v>420291.09</v>
      </c>
      <c r="V1788" s="14">
        <v>6199207.1500000004</v>
      </c>
      <c r="W1788" s="14">
        <v>178.59</v>
      </c>
      <c r="X1788" s="14">
        <v>200.06</v>
      </c>
    </row>
    <row r="1789" spans="1:24" s="14" customFormat="1" x14ac:dyDescent="0.25">
      <c r="A1789" s="50">
        <v>45102</v>
      </c>
      <c r="B1789" s="57">
        <v>176</v>
      </c>
      <c r="C1789" s="36">
        <v>0.70258101851851851</v>
      </c>
      <c r="D1789" s="16" t="s">
        <v>7408</v>
      </c>
      <c r="E1789" s="52" t="s">
        <v>65</v>
      </c>
      <c r="F1789" s="16" t="s">
        <v>8011</v>
      </c>
      <c r="G1789" s="16" t="s">
        <v>899</v>
      </c>
      <c r="H1789" s="14">
        <v>0.214</v>
      </c>
      <c r="I1789" s="14" t="s">
        <v>16000</v>
      </c>
      <c r="J1789" s="14" t="s">
        <v>16001</v>
      </c>
      <c r="K1789" s="14" t="s">
        <v>16002</v>
      </c>
      <c r="L1789" s="14" t="s">
        <v>15995</v>
      </c>
      <c r="O1789" s="14" t="s">
        <v>15996</v>
      </c>
      <c r="P1789" s="14" t="s">
        <v>15997</v>
      </c>
      <c r="Q1789" s="14">
        <v>420306.82</v>
      </c>
      <c r="R1789" s="14">
        <v>6199195.6100000003</v>
      </c>
      <c r="S1789" s="14" t="s">
        <v>15998</v>
      </c>
      <c r="T1789" s="14" t="s">
        <v>15999</v>
      </c>
      <c r="U1789" s="14">
        <v>420282.1</v>
      </c>
      <c r="V1789" s="14">
        <v>6199201.1500000004</v>
      </c>
      <c r="W1789" s="14">
        <v>1.1000000000000001</v>
      </c>
      <c r="X1789" s="14">
        <v>200.06</v>
      </c>
    </row>
    <row r="1790" spans="1:24" s="14" customFormat="1" x14ac:dyDescent="0.25">
      <c r="A1790" s="50">
        <v>45102</v>
      </c>
      <c r="B1790" s="57">
        <v>176</v>
      </c>
      <c r="C1790" s="36">
        <v>0.70695601851851853</v>
      </c>
      <c r="D1790" s="16" t="s">
        <v>7408</v>
      </c>
      <c r="E1790" s="52" t="s">
        <v>70</v>
      </c>
      <c r="F1790" s="16" t="s">
        <v>8011</v>
      </c>
      <c r="G1790" s="16" t="s">
        <v>899</v>
      </c>
      <c r="H1790" s="14">
        <v>-1.7000000000000001E-2</v>
      </c>
      <c r="I1790" s="14" t="s">
        <v>16000</v>
      </c>
      <c r="J1790" s="14" t="s">
        <v>16001</v>
      </c>
      <c r="K1790" s="14" t="s">
        <v>16002</v>
      </c>
      <c r="L1790" s="14" t="s">
        <v>15995</v>
      </c>
      <c r="O1790" s="14" t="s">
        <v>16003</v>
      </c>
      <c r="P1790" s="14" t="s">
        <v>16004</v>
      </c>
      <c r="Q1790" s="14">
        <v>420306.67</v>
      </c>
      <c r="R1790" s="14">
        <v>6199427.2300000004</v>
      </c>
      <c r="S1790" s="14" t="s">
        <v>16005</v>
      </c>
      <c r="T1790" s="14" t="s">
        <v>16006</v>
      </c>
      <c r="U1790" s="14">
        <v>420282.2</v>
      </c>
      <c r="V1790" s="14">
        <v>6199432.0199999996</v>
      </c>
      <c r="W1790" s="14">
        <v>359.36</v>
      </c>
      <c r="X1790" s="14">
        <v>200.06</v>
      </c>
    </row>
    <row r="1791" spans="1:24" s="14" customFormat="1" x14ac:dyDescent="0.25">
      <c r="A1791" s="50">
        <v>45102</v>
      </c>
      <c r="B1791" s="57">
        <v>176</v>
      </c>
      <c r="C1791" s="36">
        <v>0.70980324074074075</v>
      </c>
      <c r="D1791" s="16" t="s">
        <v>7408</v>
      </c>
      <c r="E1791" s="52" t="s">
        <v>65</v>
      </c>
      <c r="F1791" s="16" t="s">
        <v>8011</v>
      </c>
      <c r="G1791" s="16" t="s">
        <v>900</v>
      </c>
      <c r="H1791" s="14">
        <v>-1.2999999999999999E-2</v>
      </c>
      <c r="I1791" s="14" t="s">
        <v>16011</v>
      </c>
      <c r="J1791" s="14" t="s">
        <v>16012</v>
      </c>
      <c r="K1791" s="14" t="s">
        <v>16013</v>
      </c>
      <c r="L1791" s="14" t="s">
        <v>16014</v>
      </c>
      <c r="O1791" s="14" t="s">
        <v>16007</v>
      </c>
      <c r="P1791" s="14" t="s">
        <v>16008</v>
      </c>
      <c r="Q1791" s="14">
        <v>420297.26</v>
      </c>
      <c r="R1791" s="14">
        <v>6199437.2300000004</v>
      </c>
      <c r="S1791" s="14" t="s">
        <v>16009</v>
      </c>
      <c r="T1791" s="14" t="s">
        <v>16010</v>
      </c>
      <c r="U1791" s="14">
        <v>420273.19</v>
      </c>
      <c r="V1791" s="14">
        <v>6199439.2800000003</v>
      </c>
      <c r="W1791" s="14">
        <v>181.05</v>
      </c>
      <c r="X1791" s="14">
        <v>200.06</v>
      </c>
    </row>
    <row r="1792" spans="1:24" s="14" customFormat="1" x14ac:dyDescent="0.25">
      <c r="A1792" s="50">
        <v>45102</v>
      </c>
      <c r="B1792" s="57">
        <v>176</v>
      </c>
      <c r="C1792" s="36">
        <v>0.71422453703703714</v>
      </c>
      <c r="D1792" s="16" t="s">
        <v>7408</v>
      </c>
      <c r="E1792" s="52" t="s">
        <v>70</v>
      </c>
      <c r="F1792" s="16" t="s">
        <v>8011</v>
      </c>
      <c r="G1792" s="16" t="s">
        <v>900</v>
      </c>
      <c r="H1792" s="14">
        <v>0.22</v>
      </c>
      <c r="I1792" s="14" t="s">
        <v>16011</v>
      </c>
      <c r="J1792" s="14" t="s">
        <v>16012</v>
      </c>
      <c r="K1792" s="14" t="s">
        <v>16013</v>
      </c>
      <c r="L1792" s="14" t="s">
        <v>16014</v>
      </c>
      <c r="O1792" s="14" t="s">
        <v>16015</v>
      </c>
      <c r="P1792" s="14" t="s">
        <v>16016</v>
      </c>
      <c r="Q1792" s="14">
        <v>420296.32</v>
      </c>
      <c r="R1792" s="14">
        <v>6199204.0800000001</v>
      </c>
      <c r="S1792" s="14" t="s">
        <v>16017</v>
      </c>
      <c r="T1792" s="14" t="s">
        <v>16018</v>
      </c>
      <c r="U1792" s="14">
        <v>420273.32</v>
      </c>
      <c r="V1792" s="14">
        <v>6199206.9299999997</v>
      </c>
      <c r="W1792" s="14">
        <v>181.75</v>
      </c>
      <c r="X1792" s="14">
        <v>200.06</v>
      </c>
    </row>
    <row r="1793" spans="1:24" s="14" customFormat="1" x14ac:dyDescent="0.25">
      <c r="A1793" s="50">
        <v>45102</v>
      </c>
      <c r="B1793" s="57">
        <v>176</v>
      </c>
      <c r="C1793" s="36">
        <v>0.71710648148148148</v>
      </c>
      <c r="D1793" s="16" t="s">
        <v>7408</v>
      </c>
      <c r="E1793" s="52" t="s">
        <v>65</v>
      </c>
      <c r="F1793" s="16" t="s">
        <v>8011</v>
      </c>
      <c r="G1793" s="16" t="s">
        <v>901</v>
      </c>
      <c r="H1793" s="14">
        <v>0.215</v>
      </c>
      <c r="I1793" s="14" t="s">
        <v>16023</v>
      </c>
      <c r="J1793" s="14" t="s">
        <v>16024</v>
      </c>
      <c r="K1793" s="14" t="s">
        <v>16025</v>
      </c>
      <c r="L1793" s="14" t="s">
        <v>16014</v>
      </c>
      <c r="O1793" s="14" t="s">
        <v>16019</v>
      </c>
      <c r="P1793" s="14" t="s">
        <v>16020</v>
      </c>
      <c r="Q1793" s="14">
        <v>420288.39</v>
      </c>
      <c r="R1793" s="14">
        <v>6199195.0599999996</v>
      </c>
      <c r="S1793" s="14" t="s">
        <v>16021</v>
      </c>
      <c r="T1793" s="14" t="s">
        <v>16022</v>
      </c>
      <c r="U1793" s="14">
        <v>420264.09</v>
      </c>
      <c r="V1793" s="14">
        <v>6199200.5899999999</v>
      </c>
      <c r="W1793" s="14">
        <v>0.57999999999999996</v>
      </c>
      <c r="X1793" s="14">
        <v>200.06</v>
      </c>
    </row>
    <row r="1794" spans="1:24" s="14" customFormat="1" x14ac:dyDescent="0.25">
      <c r="A1794" s="50">
        <v>45102</v>
      </c>
      <c r="B1794" s="57">
        <v>176</v>
      </c>
      <c r="C1794" s="36">
        <v>0.72149305555555554</v>
      </c>
      <c r="D1794" s="16" t="s">
        <v>7408</v>
      </c>
      <c r="E1794" s="52" t="s">
        <v>70</v>
      </c>
      <c r="F1794" s="16" t="s">
        <v>8011</v>
      </c>
      <c r="G1794" s="16" t="s">
        <v>901</v>
      </c>
      <c r="H1794" s="14">
        <v>-1.7999999999999999E-2</v>
      </c>
      <c r="I1794" s="14" t="s">
        <v>16023</v>
      </c>
      <c r="J1794" s="14" t="s">
        <v>16024</v>
      </c>
      <c r="K1794" s="14" t="s">
        <v>16025</v>
      </c>
      <c r="L1794" s="14" t="s">
        <v>16030</v>
      </c>
      <c r="O1794" s="14" t="s">
        <v>16026</v>
      </c>
      <c r="P1794" s="14" t="s">
        <v>16027</v>
      </c>
      <c r="Q1794" s="14">
        <v>420288.72</v>
      </c>
      <c r="R1794" s="14">
        <v>6199428.21</v>
      </c>
      <c r="S1794" s="14" t="s">
        <v>16028</v>
      </c>
      <c r="T1794" s="14" t="s">
        <v>16029</v>
      </c>
      <c r="U1794" s="14">
        <v>420264.11</v>
      </c>
      <c r="V1794" s="14">
        <v>6199433.1399999997</v>
      </c>
      <c r="W1794" s="14">
        <v>0.47</v>
      </c>
      <c r="X1794" s="14">
        <v>200.06</v>
      </c>
    </row>
    <row r="1795" spans="1:24" s="14" customFormat="1" x14ac:dyDescent="0.25">
      <c r="A1795" s="50">
        <v>45102</v>
      </c>
      <c r="B1795" s="57">
        <v>176</v>
      </c>
      <c r="C1795" s="36">
        <v>0.72422453703703704</v>
      </c>
      <c r="D1795" s="16" t="s">
        <v>7408</v>
      </c>
      <c r="E1795" s="14" t="s">
        <v>65</v>
      </c>
      <c r="F1795" s="16" t="s">
        <v>8011</v>
      </c>
      <c r="G1795" s="16" t="s">
        <v>902</v>
      </c>
      <c r="H1795" s="14">
        <v>-1.2E-2</v>
      </c>
      <c r="I1795" s="14" t="s">
        <v>16035</v>
      </c>
      <c r="J1795" s="14" t="s">
        <v>16036</v>
      </c>
      <c r="K1795" s="14" t="s">
        <v>16037</v>
      </c>
      <c r="L1795" s="14" t="s">
        <v>16030</v>
      </c>
      <c r="O1795" s="14" t="s">
        <v>16031</v>
      </c>
      <c r="P1795" s="14" t="s">
        <v>16032</v>
      </c>
      <c r="Q1795" s="14">
        <v>420278.5</v>
      </c>
      <c r="R1795" s="14">
        <v>6199436.75</v>
      </c>
      <c r="S1795" s="14" t="s">
        <v>16033</v>
      </c>
      <c r="T1795" s="14" t="s">
        <v>16034</v>
      </c>
      <c r="U1795" s="14">
        <v>420255.29</v>
      </c>
      <c r="V1795" s="14">
        <v>6199438.79</v>
      </c>
      <c r="W1795" s="14">
        <v>182.11</v>
      </c>
      <c r="X1795" s="14">
        <v>200.06</v>
      </c>
    </row>
    <row r="1796" spans="1:24" s="14" customFormat="1" x14ac:dyDescent="0.25">
      <c r="A1796" s="50">
        <v>45102</v>
      </c>
      <c r="B1796" s="57">
        <v>176</v>
      </c>
      <c r="C1796" s="36">
        <v>0.72865740740740748</v>
      </c>
      <c r="D1796" s="16" t="s">
        <v>7408</v>
      </c>
      <c r="E1796" s="14" t="s">
        <v>70</v>
      </c>
      <c r="F1796" s="16" t="s">
        <v>8011</v>
      </c>
      <c r="G1796" s="16" t="s">
        <v>902</v>
      </c>
      <c r="H1796" s="14">
        <v>0.22</v>
      </c>
      <c r="I1796" s="14" t="s">
        <v>16035</v>
      </c>
      <c r="J1796" s="14" t="s">
        <v>16036</v>
      </c>
      <c r="K1796" s="14" t="s">
        <v>16037</v>
      </c>
      <c r="L1796" s="14" t="s">
        <v>16030</v>
      </c>
      <c r="O1796" s="14" t="s">
        <v>16038</v>
      </c>
      <c r="P1796" s="14" t="s">
        <v>16039</v>
      </c>
      <c r="Q1796" s="14">
        <v>420276.74</v>
      </c>
      <c r="R1796" s="14">
        <v>6199203.7300000004</v>
      </c>
      <c r="S1796" s="14" t="s">
        <v>16040</v>
      </c>
      <c r="T1796" s="14" t="s">
        <v>16041</v>
      </c>
      <c r="U1796" s="14">
        <v>420255.31</v>
      </c>
      <c r="V1796" s="14">
        <v>6199206.8399999999</v>
      </c>
      <c r="W1796" s="14">
        <v>180.4</v>
      </c>
      <c r="X1796" s="14">
        <v>200.06</v>
      </c>
    </row>
    <row r="1797" spans="1:24" s="14" customFormat="1" x14ac:dyDescent="0.25">
      <c r="A1797" s="50">
        <v>45102</v>
      </c>
      <c r="B1797" s="57">
        <v>176</v>
      </c>
      <c r="C1797" s="36">
        <v>0.73116898148148157</v>
      </c>
      <c r="D1797" s="16" t="s">
        <v>7408</v>
      </c>
      <c r="E1797" s="14" t="s">
        <v>65</v>
      </c>
      <c r="F1797" s="16" t="s">
        <v>8011</v>
      </c>
      <c r="G1797" s="16" t="s">
        <v>903</v>
      </c>
      <c r="H1797" s="14">
        <v>0.215</v>
      </c>
      <c r="I1797" s="14" t="s">
        <v>16046</v>
      </c>
      <c r="J1797" s="14" t="s">
        <v>16047</v>
      </c>
      <c r="K1797" s="14" t="s">
        <v>16048</v>
      </c>
      <c r="L1797" s="14" t="s">
        <v>16049</v>
      </c>
      <c r="O1797" s="14" t="s">
        <v>16042</v>
      </c>
      <c r="P1797" s="14" t="s">
        <v>16043</v>
      </c>
      <c r="Q1797" s="14">
        <v>420270.46</v>
      </c>
      <c r="R1797" s="14">
        <v>6199196.4299999997</v>
      </c>
      <c r="S1797" s="14" t="s">
        <v>16044</v>
      </c>
      <c r="T1797" s="14" t="s">
        <v>16045</v>
      </c>
      <c r="U1797" s="14">
        <v>420246.15</v>
      </c>
      <c r="V1797" s="14">
        <v>6199200.96</v>
      </c>
      <c r="W1797" s="14">
        <v>0.4</v>
      </c>
      <c r="X1797" s="14">
        <v>200.06</v>
      </c>
    </row>
    <row r="1798" spans="1:24" s="14" customFormat="1" x14ac:dyDescent="0.25">
      <c r="A1798" s="50">
        <v>45102</v>
      </c>
      <c r="B1798" s="57">
        <v>176</v>
      </c>
      <c r="C1798" s="36">
        <v>0.73557870370370371</v>
      </c>
      <c r="D1798" s="16" t="s">
        <v>7408</v>
      </c>
      <c r="E1798" s="14" t="s">
        <v>70</v>
      </c>
      <c r="F1798" s="16" t="s">
        <v>8011</v>
      </c>
      <c r="G1798" s="16" t="s">
        <v>903</v>
      </c>
      <c r="H1798" s="14">
        <v>-1.9E-2</v>
      </c>
      <c r="I1798" s="14" t="s">
        <v>16046</v>
      </c>
      <c r="J1798" s="14" t="s">
        <v>16047</v>
      </c>
      <c r="K1798" s="14" t="s">
        <v>16048</v>
      </c>
      <c r="L1798" s="14" t="s">
        <v>16049</v>
      </c>
      <c r="O1798" s="14" t="s">
        <v>16050</v>
      </c>
      <c r="P1798" s="14" t="s">
        <v>16051</v>
      </c>
      <c r="Q1798" s="14">
        <v>420271.13</v>
      </c>
      <c r="R1798" s="14">
        <v>6199429.79</v>
      </c>
      <c r="S1798" s="14" t="s">
        <v>16052</v>
      </c>
      <c r="T1798" s="14" t="s">
        <v>16053</v>
      </c>
      <c r="U1798" s="14">
        <v>420246.11</v>
      </c>
      <c r="V1798" s="14">
        <v>6199434.04</v>
      </c>
      <c r="W1798" s="14">
        <v>0.46</v>
      </c>
      <c r="X1798" s="14">
        <v>200.06</v>
      </c>
    </row>
    <row r="1799" spans="1:24" s="14" customFormat="1" x14ac:dyDescent="0.25">
      <c r="A1799" s="50">
        <v>45102</v>
      </c>
      <c r="B1799" s="57">
        <v>176</v>
      </c>
      <c r="C1799" s="36">
        <v>0.7383912037037037</v>
      </c>
      <c r="D1799" s="16" t="s">
        <v>7408</v>
      </c>
      <c r="E1799" s="52" t="s">
        <v>65</v>
      </c>
      <c r="F1799" s="16" t="s">
        <v>8011</v>
      </c>
      <c r="G1799" s="16" t="s">
        <v>904</v>
      </c>
      <c r="H1799" s="14">
        <v>-1.4E-2</v>
      </c>
      <c r="I1799" s="14" t="s">
        <v>16058</v>
      </c>
      <c r="J1799" s="14" t="s">
        <v>16059</v>
      </c>
      <c r="K1799" s="14" t="s">
        <v>16060</v>
      </c>
      <c r="L1799" s="14" t="s">
        <v>16049</v>
      </c>
      <c r="O1799" s="14" t="s">
        <v>16054</v>
      </c>
      <c r="P1799" s="14" t="s">
        <v>16055</v>
      </c>
      <c r="Q1799" s="14">
        <v>420262.12</v>
      </c>
      <c r="R1799" s="14">
        <v>6199435.9400000004</v>
      </c>
      <c r="S1799" s="14" t="s">
        <v>16056</v>
      </c>
      <c r="T1799" s="14" t="s">
        <v>16057</v>
      </c>
      <c r="U1799" s="14">
        <v>420237.17</v>
      </c>
      <c r="V1799" s="14">
        <v>6199440.75</v>
      </c>
      <c r="W1799" s="14">
        <v>181.38</v>
      </c>
      <c r="X1799" s="14">
        <v>200.06</v>
      </c>
    </row>
    <row r="1800" spans="1:24" s="14" customFormat="1" x14ac:dyDescent="0.25">
      <c r="A1800" s="50">
        <v>45102</v>
      </c>
      <c r="B1800" s="57">
        <v>176</v>
      </c>
      <c r="C1800" s="36">
        <v>0.74282407407407414</v>
      </c>
      <c r="D1800" s="16" t="s">
        <v>7408</v>
      </c>
      <c r="E1800" s="14" t="s">
        <v>70</v>
      </c>
      <c r="F1800" s="16" t="s">
        <v>8011</v>
      </c>
      <c r="G1800" s="16" t="s">
        <v>904</v>
      </c>
      <c r="H1800" s="14">
        <v>0.219</v>
      </c>
      <c r="I1800" s="14" t="s">
        <v>16058</v>
      </c>
      <c r="J1800" s="14" t="s">
        <v>16059</v>
      </c>
      <c r="K1800" s="14" t="s">
        <v>16060</v>
      </c>
      <c r="L1800" s="14" t="s">
        <v>16065</v>
      </c>
      <c r="O1800" s="14" t="s">
        <v>16061</v>
      </c>
      <c r="P1800" s="14" t="s">
        <v>16062</v>
      </c>
      <c r="Q1800" s="14">
        <v>420261.08</v>
      </c>
      <c r="R1800" s="14">
        <v>6199202.8300000001</v>
      </c>
      <c r="S1800" s="14" t="s">
        <v>16063</v>
      </c>
      <c r="T1800" s="14" t="s">
        <v>16064</v>
      </c>
      <c r="U1800" s="14">
        <v>420237.33</v>
      </c>
      <c r="V1800" s="14">
        <v>6199207.6299999999</v>
      </c>
      <c r="W1800" s="14">
        <v>181.64</v>
      </c>
      <c r="X1800" s="14">
        <v>200.06</v>
      </c>
    </row>
    <row r="1801" spans="1:24" s="14" customFormat="1" x14ac:dyDescent="0.25">
      <c r="A1801" s="50">
        <v>45102</v>
      </c>
      <c r="B1801" s="57">
        <v>176</v>
      </c>
      <c r="C1801" s="36">
        <v>0.74565972222222221</v>
      </c>
      <c r="D1801" s="16" t="s">
        <v>7408</v>
      </c>
      <c r="E1801" s="52" t="s">
        <v>65</v>
      </c>
      <c r="F1801" s="16" t="s">
        <v>8011</v>
      </c>
      <c r="G1801" s="16" t="s">
        <v>905</v>
      </c>
      <c r="H1801" s="14">
        <v>0.214</v>
      </c>
      <c r="I1801" s="14" t="s">
        <v>16070</v>
      </c>
      <c r="J1801" s="14" t="s">
        <v>16071</v>
      </c>
      <c r="K1801" s="14" t="s">
        <v>16072</v>
      </c>
      <c r="L1801" s="14" t="s">
        <v>16065</v>
      </c>
      <c r="O1801" s="14" t="s">
        <v>16066</v>
      </c>
      <c r="P1801" s="14" t="s">
        <v>16067</v>
      </c>
      <c r="Q1801" s="14">
        <v>420252.48</v>
      </c>
      <c r="R1801" s="14">
        <v>6199198.6299999999</v>
      </c>
      <c r="S1801" s="14" t="s">
        <v>16068</v>
      </c>
      <c r="T1801" s="14" t="s">
        <v>16069</v>
      </c>
      <c r="U1801" s="14">
        <v>420228.09</v>
      </c>
      <c r="V1801" s="14">
        <v>6199201.6500000004</v>
      </c>
      <c r="W1801" s="14">
        <v>1.71</v>
      </c>
      <c r="X1801" s="14">
        <v>200.06</v>
      </c>
    </row>
    <row r="1802" spans="1:24" s="14" customFormat="1" x14ac:dyDescent="0.25">
      <c r="A1802" s="50">
        <v>45102</v>
      </c>
      <c r="B1802" s="57">
        <v>176</v>
      </c>
      <c r="C1802" s="36">
        <v>0.75008101851851849</v>
      </c>
      <c r="D1802" s="16" t="s">
        <v>7408</v>
      </c>
      <c r="E1802" s="52" t="s">
        <v>70</v>
      </c>
      <c r="F1802" s="16" t="s">
        <v>8011</v>
      </c>
      <c r="G1802" s="16" t="s">
        <v>905</v>
      </c>
      <c r="H1802" s="14">
        <v>-0.02</v>
      </c>
      <c r="I1802" s="14" t="s">
        <v>16070</v>
      </c>
      <c r="J1802" s="14" t="s">
        <v>16071</v>
      </c>
      <c r="K1802" s="14" t="s">
        <v>16072</v>
      </c>
      <c r="L1802" s="14" t="s">
        <v>16077</v>
      </c>
      <c r="O1802" s="14" t="s">
        <v>16073</v>
      </c>
      <c r="P1802" s="14" t="s">
        <v>16074</v>
      </c>
      <c r="Q1802" s="14">
        <v>420252.9</v>
      </c>
      <c r="R1802" s="14">
        <v>6199433.0300000003</v>
      </c>
      <c r="S1802" s="14" t="s">
        <v>16075</v>
      </c>
      <c r="T1802" s="14" t="s">
        <v>16076</v>
      </c>
      <c r="U1802" s="14">
        <v>420228.19</v>
      </c>
      <c r="V1802" s="14">
        <v>6199435.0499999998</v>
      </c>
      <c r="W1802" s="14">
        <v>359.91</v>
      </c>
      <c r="X1802" s="14">
        <v>200.06</v>
      </c>
    </row>
    <row r="1803" spans="1:24" s="14" customFormat="1" x14ac:dyDescent="0.25">
      <c r="A1803" s="50">
        <v>45102</v>
      </c>
      <c r="B1803" s="57">
        <v>176</v>
      </c>
      <c r="C1803" s="36">
        <v>0.7528125</v>
      </c>
      <c r="D1803" s="16" t="s">
        <v>7408</v>
      </c>
      <c r="E1803" s="138" t="s">
        <v>65</v>
      </c>
      <c r="F1803" s="16" t="s">
        <v>8011</v>
      </c>
      <c r="G1803" s="16" t="s">
        <v>906</v>
      </c>
      <c r="H1803" s="14">
        <v>-1.6E-2</v>
      </c>
      <c r="I1803" s="14" t="s">
        <v>16082</v>
      </c>
      <c r="J1803" s="14" t="s">
        <v>16083</v>
      </c>
      <c r="K1803" s="14" t="s">
        <v>16084</v>
      </c>
      <c r="L1803" s="14" t="s">
        <v>16077</v>
      </c>
      <c r="O1803" s="14" t="s">
        <v>16078</v>
      </c>
      <c r="P1803" s="14" t="s">
        <v>16079</v>
      </c>
      <c r="Q1803" s="14">
        <v>420243.78</v>
      </c>
      <c r="R1803" s="14">
        <v>6199439.5999999996</v>
      </c>
      <c r="S1803" s="14" t="s">
        <v>16080</v>
      </c>
      <c r="T1803" s="14" t="s">
        <v>16081</v>
      </c>
      <c r="U1803" s="14">
        <v>420219.18</v>
      </c>
      <c r="V1803" s="14">
        <v>6199442.1299999999</v>
      </c>
      <c r="W1803" s="14">
        <v>180.55</v>
      </c>
      <c r="X1803" s="14">
        <v>200.06</v>
      </c>
    </row>
    <row r="1804" spans="1:24" s="14" customFormat="1" x14ac:dyDescent="0.25">
      <c r="A1804" s="50">
        <v>45102</v>
      </c>
      <c r="B1804" s="57">
        <v>176</v>
      </c>
      <c r="C1804" s="36">
        <v>0.75726851851851851</v>
      </c>
      <c r="D1804" s="16" t="s">
        <v>7408</v>
      </c>
      <c r="E1804" s="56" t="s">
        <v>70</v>
      </c>
      <c r="F1804" s="16" t="s">
        <v>8011</v>
      </c>
      <c r="G1804" s="16" t="s">
        <v>906</v>
      </c>
      <c r="H1804" s="14">
        <v>0.218</v>
      </c>
      <c r="I1804" s="14" t="s">
        <v>16082</v>
      </c>
      <c r="J1804" s="14" t="s">
        <v>16083</v>
      </c>
      <c r="K1804" s="14" t="s">
        <v>16084</v>
      </c>
      <c r="L1804" s="14" t="s">
        <v>16077</v>
      </c>
      <c r="O1804" s="14" t="s">
        <v>16085</v>
      </c>
      <c r="P1804" s="14" t="s">
        <v>16086</v>
      </c>
      <c r="Q1804" s="14">
        <v>420243.01</v>
      </c>
      <c r="R1804" s="14">
        <v>6199204.6200000001</v>
      </c>
      <c r="S1804" s="14" t="s">
        <v>16087</v>
      </c>
      <c r="T1804" s="14" t="s">
        <v>16088</v>
      </c>
      <c r="U1804" s="14">
        <v>420219.15</v>
      </c>
      <c r="V1804" s="14">
        <v>6199208.2800000003</v>
      </c>
      <c r="W1804" s="14">
        <v>180.13</v>
      </c>
      <c r="X1804" s="14">
        <v>200.06</v>
      </c>
    </row>
    <row r="1805" spans="1:24" s="14" customFormat="1" x14ac:dyDescent="0.25">
      <c r="A1805" s="50">
        <v>45102</v>
      </c>
      <c r="B1805" s="57">
        <v>176</v>
      </c>
      <c r="C1805" s="36">
        <v>0.75938657407407406</v>
      </c>
      <c r="D1805" s="16" t="s">
        <v>7408</v>
      </c>
      <c r="E1805" s="14" t="s">
        <v>16093</v>
      </c>
      <c r="F1805" s="16" t="s">
        <v>8011</v>
      </c>
      <c r="G1805" s="16" t="s">
        <v>906</v>
      </c>
      <c r="H1805" s="14">
        <v>0.23400000000000001</v>
      </c>
      <c r="O1805" s="14" t="s">
        <v>16089</v>
      </c>
      <c r="P1805" s="14" t="s">
        <v>16090</v>
      </c>
      <c r="Q1805" s="14">
        <v>420244.76</v>
      </c>
      <c r="R1805" s="14">
        <v>6199184.3899999997</v>
      </c>
      <c r="S1805" s="14" t="s">
        <v>16091</v>
      </c>
      <c r="T1805" s="14" t="s">
        <v>16092</v>
      </c>
      <c r="U1805" s="14">
        <v>420226.35</v>
      </c>
      <c r="V1805" s="14">
        <v>6199187.04</v>
      </c>
      <c r="W1805" s="14">
        <v>267.14999999999998</v>
      </c>
      <c r="X1805" s="14">
        <v>200.06</v>
      </c>
    </row>
    <row r="1806" spans="1:24" s="14" customFormat="1" x14ac:dyDescent="0.25">
      <c r="A1806" s="50">
        <v>45102</v>
      </c>
      <c r="B1806" s="57">
        <v>176</v>
      </c>
      <c r="C1806" s="36">
        <v>0.78140046296296306</v>
      </c>
      <c r="D1806" s="16" t="s">
        <v>7408</v>
      </c>
      <c r="E1806" s="14" t="s">
        <v>65</v>
      </c>
      <c r="F1806" s="16" t="s">
        <v>8011</v>
      </c>
      <c r="G1806" s="16" t="s">
        <v>1158</v>
      </c>
      <c r="H1806" s="14">
        <v>-0.01</v>
      </c>
      <c r="I1806" s="14" t="s">
        <v>16098</v>
      </c>
      <c r="J1806" s="14" t="s">
        <v>16099</v>
      </c>
      <c r="K1806" s="14" t="s">
        <v>16100</v>
      </c>
      <c r="L1806" s="14" t="s">
        <v>16101</v>
      </c>
      <c r="O1806" s="14" t="s">
        <v>16094</v>
      </c>
      <c r="P1806" s="14" t="s">
        <v>16095</v>
      </c>
      <c r="Q1806" s="14">
        <v>419145.23</v>
      </c>
      <c r="R1806" s="14">
        <v>6199142.8200000003</v>
      </c>
      <c r="S1806" s="14" t="s">
        <v>16096</v>
      </c>
      <c r="T1806" s="14" t="s">
        <v>16097</v>
      </c>
      <c r="U1806" s="14">
        <v>419119.06</v>
      </c>
      <c r="V1806" s="14">
        <v>6199146.5499999998</v>
      </c>
      <c r="W1806" s="14">
        <v>180.74</v>
      </c>
      <c r="X1806" s="14">
        <v>150.05000000000001</v>
      </c>
    </row>
    <row r="1807" spans="1:24" s="14" customFormat="1" x14ac:dyDescent="0.25">
      <c r="A1807" s="50">
        <v>45102</v>
      </c>
      <c r="B1807" s="57">
        <v>176</v>
      </c>
      <c r="C1807" s="36">
        <v>0.78482638888888889</v>
      </c>
      <c r="D1807" s="16" t="s">
        <v>7408</v>
      </c>
      <c r="E1807" s="14" t="s">
        <v>70</v>
      </c>
      <c r="F1807" s="16" t="s">
        <v>8011</v>
      </c>
      <c r="G1807" s="16" t="s">
        <v>1158</v>
      </c>
      <c r="H1807" s="14">
        <v>0.17</v>
      </c>
      <c r="I1807" s="14" t="s">
        <v>16098</v>
      </c>
      <c r="J1807" s="14" t="s">
        <v>16099</v>
      </c>
      <c r="K1807" s="14" t="s">
        <v>16100</v>
      </c>
      <c r="L1807" s="14" t="s">
        <v>16101</v>
      </c>
      <c r="O1807" s="14" t="s">
        <v>16102</v>
      </c>
      <c r="P1807" s="14" t="s">
        <v>16103</v>
      </c>
      <c r="Q1807" s="14">
        <v>419145.48</v>
      </c>
      <c r="R1807" s="14">
        <v>6198961.7699999996</v>
      </c>
      <c r="S1807" s="14" t="s">
        <v>16104</v>
      </c>
      <c r="T1807" s="14" t="s">
        <v>16105</v>
      </c>
      <c r="U1807" s="14">
        <v>419119.16</v>
      </c>
      <c r="V1807" s="14">
        <v>6198966.4400000004</v>
      </c>
      <c r="W1807" s="14">
        <v>180.4</v>
      </c>
      <c r="X1807" s="14">
        <v>150.05000000000001</v>
      </c>
    </row>
    <row r="1808" spans="1:24" s="14" customFormat="1" x14ac:dyDescent="0.25">
      <c r="A1808" s="50">
        <v>45102</v>
      </c>
      <c r="B1808" s="57">
        <v>176</v>
      </c>
      <c r="C1808" s="36">
        <v>0.78758101851851858</v>
      </c>
      <c r="D1808" s="16" t="s">
        <v>7408</v>
      </c>
      <c r="E1808" s="52" t="s">
        <v>65</v>
      </c>
      <c r="F1808" s="16" t="s">
        <v>8011</v>
      </c>
      <c r="G1808" s="16" t="s">
        <v>1157</v>
      </c>
      <c r="H1808" s="14">
        <v>0.16600000000000001</v>
      </c>
      <c r="I1808" s="14" t="s">
        <v>16110</v>
      </c>
      <c r="J1808" s="14" t="s">
        <v>16111</v>
      </c>
      <c r="K1808" s="14" t="s">
        <v>16112</v>
      </c>
      <c r="L1808" s="14" t="s">
        <v>16101</v>
      </c>
      <c r="O1808" s="14" t="s">
        <v>16106</v>
      </c>
      <c r="P1808" s="14" t="s">
        <v>16107</v>
      </c>
      <c r="Q1808" s="14">
        <v>419133.94</v>
      </c>
      <c r="R1808" s="14">
        <v>6198957.0899999999</v>
      </c>
      <c r="S1808" s="14" t="s">
        <v>16108</v>
      </c>
      <c r="T1808" s="14" t="s">
        <v>16109</v>
      </c>
      <c r="U1808" s="14">
        <v>419109.97</v>
      </c>
      <c r="V1808" s="14">
        <v>6198960.0300000003</v>
      </c>
      <c r="W1808" s="14">
        <v>1.01</v>
      </c>
      <c r="X1808" s="14">
        <v>150.05000000000001</v>
      </c>
    </row>
    <row r="1809" spans="1:24" s="14" customFormat="1" x14ac:dyDescent="0.25">
      <c r="A1809" s="50">
        <v>45102</v>
      </c>
      <c r="B1809" s="57">
        <v>176</v>
      </c>
      <c r="C1809" s="36">
        <v>0.79105324074074079</v>
      </c>
      <c r="D1809" s="16" t="s">
        <v>7408</v>
      </c>
      <c r="E1809" s="14" t="s">
        <v>70</v>
      </c>
      <c r="F1809" s="16" t="s">
        <v>8011</v>
      </c>
      <c r="G1809" s="16" t="s">
        <v>1157</v>
      </c>
      <c r="H1809" s="14">
        <v>-1.6E-2</v>
      </c>
      <c r="I1809" s="14" t="s">
        <v>16110</v>
      </c>
      <c r="J1809" s="14" t="s">
        <v>16111</v>
      </c>
      <c r="K1809" s="14" t="s">
        <v>16112</v>
      </c>
      <c r="L1809" s="14" t="s">
        <v>16101</v>
      </c>
      <c r="O1809" s="14" t="s">
        <v>16113</v>
      </c>
      <c r="P1809" s="14" t="s">
        <v>16114</v>
      </c>
      <c r="Q1809" s="14">
        <v>419133.8</v>
      </c>
      <c r="R1809" s="14">
        <v>6199139.0199999996</v>
      </c>
      <c r="S1809" s="14" t="s">
        <v>16115</v>
      </c>
      <c r="T1809" s="14" t="s">
        <v>16116</v>
      </c>
      <c r="U1809" s="14">
        <v>419110.06</v>
      </c>
      <c r="V1809" s="14">
        <v>6199141.6399999997</v>
      </c>
      <c r="W1809" s="14">
        <v>359.11</v>
      </c>
      <c r="X1809" s="14">
        <v>150.05000000000001</v>
      </c>
    </row>
    <row r="1810" spans="1:24" s="14" customFormat="1" x14ac:dyDescent="0.25">
      <c r="A1810" s="50">
        <v>45102</v>
      </c>
      <c r="B1810" s="57">
        <v>176</v>
      </c>
      <c r="C1810" s="36">
        <v>0.79361111111111116</v>
      </c>
      <c r="D1810" s="16" t="s">
        <v>7408</v>
      </c>
      <c r="E1810" s="14" t="s">
        <v>65</v>
      </c>
      <c r="F1810" s="16" t="s">
        <v>8011</v>
      </c>
      <c r="G1810" s="16" t="s">
        <v>1156</v>
      </c>
      <c r="H1810" s="14">
        <v>-0.01</v>
      </c>
      <c r="I1810" s="14" t="s">
        <v>16121</v>
      </c>
      <c r="J1810" s="14" t="s">
        <v>16122</v>
      </c>
      <c r="K1810" s="14" t="s">
        <v>16123</v>
      </c>
      <c r="L1810" s="14" t="s">
        <v>16124</v>
      </c>
      <c r="O1810" s="14" t="s">
        <v>16117</v>
      </c>
      <c r="P1810" s="14" t="s">
        <v>16118</v>
      </c>
      <c r="Q1810" s="14">
        <v>419126.11</v>
      </c>
      <c r="R1810" s="14">
        <v>6199144.3799999999</v>
      </c>
      <c r="S1810" s="14" t="s">
        <v>16119</v>
      </c>
      <c r="T1810" s="14" t="s">
        <v>16120</v>
      </c>
      <c r="U1810" s="14">
        <v>419100.95</v>
      </c>
      <c r="V1810" s="14">
        <v>6199147.0300000003</v>
      </c>
      <c r="W1810" s="14">
        <v>179.87</v>
      </c>
      <c r="X1810" s="14">
        <v>150.05000000000001</v>
      </c>
    </row>
    <row r="1811" spans="1:24" s="14" customFormat="1" x14ac:dyDescent="0.25">
      <c r="A1811" s="50">
        <v>45102</v>
      </c>
      <c r="B1811" s="57">
        <v>176</v>
      </c>
      <c r="C1811" s="36">
        <v>0.79703703703703699</v>
      </c>
      <c r="D1811" s="16" t="s">
        <v>7408</v>
      </c>
      <c r="E1811" s="52" t="s">
        <v>70</v>
      </c>
      <c r="F1811" s="16" t="s">
        <v>8011</v>
      </c>
      <c r="G1811" s="16" t="s">
        <v>1156</v>
      </c>
      <c r="H1811" s="14">
        <v>0.17</v>
      </c>
      <c r="I1811" s="14" t="s">
        <v>16121</v>
      </c>
      <c r="J1811" s="14" t="s">
        <v>16122</v>
      </c>
      <c r="K1811" s="14" t="s">
        <v>16123</v>
      </c>
      <c r="L1811" s="14" t="s">
        <v>16124</v>
      </c>
      <c r="O1811" s="14" t="s">
        <v>16125</v>
      </c>
      <c r="P1811" s="14" t="s">
        <v>16126</v>
      </c>
      <c r="Q1811" s="14">
        <v>419126.43</v>
      </c>
      <c r="R1811" s="14">
        <v>6198962.3799999999</v>
      </c>
      <c r="S1811" s="14" t="s">
        <v>16127</v>
      </c>
      <c r="T1811" s="14" t="s">
        <v>16128</v>
      </c>
      <c r="U1811" s="14">
        <v>419101.12</v>
      </c>
      <c r="V1811" s="14">
        <v>6198966.3799999999</v>
      </c>
      <c r="W1811" s="14">
        <v>179.93</v>
      </c>
      <c r="X1811" s="14">
        <v>150.05000000000001</v>
      </c>
    </row>
    <row r="1812" spans="1:24" s="14" customFormat="1" x14ac:dyDescent="0.25">
      <c r="A1812" s="50">
        <v>45102</v>
      </c>
      <c r="B1812" s="57">
        <v>176</v>
      </c>
      <c r="C1812" s="36">
        <v>0.79944444444444451</v>
      </c>
      <c r="D1812" s="16" t="s">
        <v>7408</v>
      </c>
      <c r="E1812" s="52" t="s">
        <v>65</v>
      </c>
      <c r="F1812" s="16" t="s">
        <v>8011</v>
      </c>
      <c r="G1812" s="16" t="s">
        <v>1155</v>
      </c>
      <c r="H1812" s="14">
        <v>0.16400000000000001</v>
      </c>
      <c r="I1812" s="14" t="s">
        <v>16133</v>
      </c>
      <c r="J1812" s="14" t="s">
        <v>16134</v>
      </c>
      <c r="K1812" s="14" t="s">
        <v>16135</v>
      </c>
      <c r="L1812" s="14" t="s">
        <v>16124</v>
      </c>
      <c r="O1812" s="14" t="s">
        <v>16129</v>
      </c>
      <c r="P1812" s="14" t="s">
        <v>16130</v>
      </c>
      <c r="Q1812" s="14">
        <v>419117.32</v>
      </c>
      <c r="R1812" s="14">
        <v>6198957.9800000004</v>
      </c>
      <c r="S1812" s="14" t="s">
        <v>16131</v>
      </c>
      <c r="T1812" s="14" t="s">
        <v>16132</v>
      </c>
      <c r="U1812" s="14">
        <v>419092.02</v>
      </c>
      <c r="V1812" s="14">
        <v>6198961.21</v>
      </c>
      <c r="W1812" s="14">
        <v>1.36</v>
      </c>
      <c r="X1812" s="14">
        <v>150.05000000000001</v>
      </c>
    </row>
    <row r="1813" spans="1:24" s="14" customFormat="1" x14ac:dyDescent="0.25">
      <c r="A1813" s="50">
        <v>45102</v>
      </c>
      <c r="B1813" s="57">
        <v>176</v>
      </c>
      <c r="C1813" s="36">
        <v>0.80290509259259257</v>
      </c>
      <c r="D1813" s="16" t="s">
        <v>7408</v>
      </c>
      <c r="E1813" s="52" t="s">
        <v>70</v>
      </c>
      <c r="F1813" s="16" t="s">
        <v>8011</v>
      </c>
      <c r="G1813" s="16" t="s">
        <v>1155</v>
      </c>
      <c r="H1813" s="14">
        <v>-1.6E-2</v>
      </c>
      <c r="I1813" s="14" t="s">
        <v>16133</v>
      </c>
      <c r="J1813" s="14" t="s">
        <v>16134</v>
      </c>
      <c r="K1813" s="14" t="s">
        <v>16135</v>
      </c>
      <c r="L1813" s="14" t="s">
        <v>16140</v>
      </c>
      <c r="O1813" s="14" t="s">
        <v>16136</v>
      </c>
      <c r="P1813" s="14" t="s">
        <v>16137</v>
      </c>
      <c r="Q1813" s="14">
        <v>419116.44</v>
      </c>
      <c r="R1813" s="14">
        <v>6199139.1799999997</v>
      </c>
      <c r="S1813" s="14" t="s">
        <v>16138</v>
      </c>
      <c r="T1813" s="14" t="s">
        <v>16139</v>
      </c>
      <c r="U1813" s="14">
        <v>419092.12</v>
      </c>
      <c r="V1813" s="14">
        <v>6199141.1600000001</v>
      </c>
      <c r="W1813" s="14">
        <v>359.31</v>
      </c>
      <c r="X1813" s="14">
        <v>150.05000000000001</v>
      </c>
    </row>
    <row r="1814" spans="1:24" s="14" customFormat="1" x14ac:dyDescent="0.25">
      <c r="A1814" s="50">
        <v>45102</v>
      </c>
      <c r="B1814" s="57">
        <v>176</v>
      </c>
      <c r="C1814" s="36">
        <v>0.80552083333333335</v>
      </c>
      <c r="D1814" s="16" t="s">
        <v>7408</v>
      </c>
      <c r="E1814" s="52" t="s">
        <v>65</v>
      </c>
      <c r="F1814" s="16" t="s">
        <v>8011</v>
      </c>
      <c r="G1814" s="16" t="s">
        <v>1154</v>
      </c>
      <c r="H1814" s="14">
        <v>-0.01</v>
      </c>
      <c r="I1814" s="14" t="s">
        <v>16145</v>
      </c>
      <c r="J1814" s="14" t="s">
        <v>16146</v>
      </c>
      <c r="K1814" s="14" t="s">
        <v>16147</v>
      </c>
      <c r="L1814" s="14" t="s">
        <v>16140</v>
      </c>
      <c r="O1814" s="14" t="s">
        <v>16141</v>
      </c>
      <c r="P1814" s="14" t="s">
        <v>16142</v>
      </c>
      <c r="Q1814" s="14">
        <v>419108.47</v>
      </c>
      <c r="R1814" s="14">
        <v>6199143.5099999998</v>
      </c>
      <c r="S1814" s="14" t="s">
        <v>16143</v>
      </c>
      <c r="T1814" s="14" t="s">
        <v>16144</v>
      </c>
      <c r="U1814" s="14">
        <v>419083.11</v>
      </c>
      <c r="V1814" s="14">
        <v>6199147.1100000003</v>
      </c>
      <c r="W1814" s="14">
        <v>180.93</v>
      </c>
      <c r="X1814" s="14">
        <v>150.05000000000001</v>
      </c>
    </row>
    <row r="1815" spans="1:24" s="14" customFormat="1" x14ac:dyDescent="0.25">
      <c r="A1815" s="50">
        <v>45102</v>
      </c>
      <c r="B1815" s="57">
        <v>176</v>
      </c>
      <c r="C1815" s="36">
        <v>0.80893518518518526</v>
      </c>
      <c r="D1815" s="16" t="s">
        <v>7408</v>
      </c>
      <c r="E1815" s="52" t="s">
        <v>70</v>
      </c>
      <c r="F1815" s="16" t="s">
        <v>8011</v>
      </c>
      <c r="G1815" s="16" t="s">
        <v>1154</v>
      </c>
      <c r="H1815" s="14">
        <v>0.17</v>
      </c>
      <c r="I1815" s="14" t="s">
        <v>16145</v>
      </c>
      <c r="J1815" s="14" t="s">
        <v>16146</v>
      </c>
      <c r="K1815" s="14" t="s">
        <v>16147</v>
      </c>
      <c r="L1815" s="14" t="s">
        <v>16140</v>
      </c>
      <c r="O1815" s="14" t="s">
        <v>16148</v>
      </c>
      <c r="P1815" s="14" t="s">
        <v>16149</v>
      </c>
      <c r="Q1815" s="14">
        <v>419108.56</v>
      </c>
      <c r="R1815" s="14">
        <v>6198961.9900000002</v>
      </c>
      <c r="S1815" s="14" t="s">
        <v>16150</v>
      </c>
      <c r="T1815" s="14" t="s">
        <v>16151</v>
      </c>
      <c r="U1815" s="14">
        <v>419083.26</v>
      </c>
      <c r="V1815" s="14">
        <v>6198967.0599999996</v>
      </c>
      <c r="W1815" s="14">
        <v>181.22</v>
      </c>
      <c r="X1815" s="14">
        <v>150.05000000000001</v>
      </c>
    </row>
    <row r="1816" spans="1:24" s="14" customFormat="1" x14ac:dyDescent="0.25">
      <c r="A1816" s="50">
        <v>45102</v>
      </c>
      <c r="B1816" s="57">
        <v>176</v>
      </c>
      <c r="C1816" s="36">
        <v>0.81180555555555556</v>
      </c>
      <c r="D1816" s="16" t="s">
        <v>7408</v>
      </c>
      <c r="E1816" s="52" t="s">
        <v>65</v>
      </c>
      <c r="F1816" s="16" t="s">
        <v>8011</v>
      </c>
      <c r="G1816" s="16" t="s">
        <v>1153</v>
      </c>
      <c r="H1816" s="14">
        <v>0.16400000000000001</v>
      </c>
      <c r="I1816" s="14" t="s">
        <v>16156</v>
      </c>
      <c r="J1816" s="14" t="s">
        <v>16157</v>
      </c>
      <c r="K1816" s="14" t="s">
        <v>16158</v>
      </c>
      <c r="L1816" s="14" t="s">
        <v>16140</v>
      </c>
      <c r="O1816" s="14" t="s">
        <v>16152</v>
      </c>
      <c r="P1816" s="14" t="s">
        <v>16153</v>
      </c>
      <c r="Q1816" s="14">
        <v>419098.16</v>
      </c>
      <c r="R1816" s="14">
        <v>6198960.7400000002</v>
      </c>
      <c r="S1816" s="14" t="s">
        <v>16154</v>
      </c>
      <c r="T1816" s="14" t="s">
        <v>16155</v>
      </c>
      <c r="U1816" s="14">
        <v>419073.89</v>
      </c>
      <c r="V1816" s="14">
        <v>6198961.6900000004</v>
      </c>
      <c r="W1816" s="14">
        <v>1.51</v>
      </c>
      <c r="X1816" s="14">
        <v>150.05000000000001</v>
      </c>
    </row>
    <row r="1817" spans="1:24" s="14" customFormat="1" x14ac:dyDescent="0.25">
      <c r="A1817" s="50">
        <v>45102</v>
      </c>
      <c r="B1817" s="57">
        <v>176</v>
      </c>
      <c r="C1817" s="36">
        <v>0.81524305555555554</v>
      </c>
      <c r="D1817" s="16" t="s">
        <v>7408</v>
      </c>
      <c r="E1817" s="14" t="s">
        <v>70</v>
      </c>
      <c r="F1817" s="16" t="s">
        <v>8011</v>
      </c>
      <c r="G1817" s="16" t="s">
        <v>1153</v>
      </c>
      <c r="H1817" s="14">
        <v>-1.6E-2</v>
      </c>
      <c r="I1817" s="14" t="s">
        <v>16156</v>
      </c>
      <c r="J1817" s="14" t="s">
        <v>16157</v>
      </c>
      <c r="K1817" s="14" t="s">
        <v>16158</v>
      </c>
      <c r="L1817" s="14" t="s">
        <v>16163</v>
      </c>
      <c r="O1817" s="14" t="s">
        <v>16159</v>
      </c>
      <c r="P1817" s="14" t="s">
        <v>16160</v>
      </c>
      <c r="Q1817" s="14">
        <v>419097.75</v>
      </c>
      <c r="R1817" s="14">
        <v>6199141.75</v>
      </c>
      <c r="S1817" s="14" t="s">
        <v>16161</v>
      </c>
      <c r="T1817" s="14" t="s">
        <v>16162</v>
      </c>
      <c r="U1817" s="14">
        <v>419074.01</v>
      </c>
      <c r="V1817" s="14">
        <v>6199141.29</v>
      </c>
      <c r="W1817" s="14">
        <v>359.8</v>
      </c>
      <c r="X1817" s="14">
        <v>150.05000000000001</v>
      </c>
    </row>
    <row r="1818" spans="1:24" s="14" customFormat="1" x14ac:dyDescent="0.25">
      <c r="A1818" s="50">
        <v>45102</v>
      </c>
      <c r="B1818" s="57">
        <v>176</v>
      </c>
      <c r="C1818" s="36">
        <v>0.81777777777777771</v>
      </c>
      <c r="D1818" s="16" t="s">
        <v>7408</v>
      </c>
      <c r="E1818" s="14" t="s">
        <v>65</v>
      </c>
      <c r="F1818" s="16" t="s">
        <v>8011</v>
      </c>
      <c r="G1818" s="16" t="s">
        <v>1147</v>
      </c>
      <c r="H1818" s="14">
        <v>-1.2E-2</v>
      </c>
      <c r="I1818" s="14" t="s">
        <v>16168</v>
      </c>
      <c r="J1818" s="14" t="s">
        <v>16169</v>
      </c>
      <c r="K1818" s="14" t="s">
        <v>16170</v>
      </c>
      <c r="L1818" s="14" t="s">
        <v>16163</v>
      </c>
      <c r="O1818" s="14" t="s">
        <v>16164</v>
      </c>
      <c r="P1818" s="14" t="s">
        <v>16165</v>
      </c>
      <c r="Q1818" s="14">
        <v>419090.27</v>
      </c>
      <c r="R1818" s="14">
        <v>6199148.0099999998</v>
      </c>
      <c r="S1818" s="14" t="s">
        <v>16166</v>
      </c>
      <c r="T1818" s="14" t="s">
        <v>16167</v>
      </c>
      <c r="U1818" s="14">
        <v>419064.98</v>
      </c>
      <c r="V1818" s="14">
        <v>6199148.3899999997</v>
      </c>
      <c r="W1818" s="14">
        <v>180.92</v>
      </c>
      <c r="X1818" s="14">
        <v>150.05000000000001</v>
      </c>
    </row>
    <row r="1819" spans="1:24" s="14" customFormat="1" x14ac:dyDescent="0.25">
      <c r="A1819" s="50">
        <v>45102</v>
      </c>
      <c r="B1819" s="57">
        <v>176</v>
      </c>
      <c r="C1819" s="36">
        <v>0.82120370370370377</v>
      </c>
      <c r="D1819" s="16" t="s">
        <v>7408</v>
      </c>
      <c r="E1819" s="14" t="s">
        <v>70</v>
      </c>
      <c r="F1819" s="16" t="s">
        <v>8011</v>
      </c>
      <c r="G1819" s="16" t="s">
        <v>1147</v>
      </c>
      <c r="H1819" s="14">
        <v>0.16800000000000001</v>
      </c>
      <c r="I1819" s="14" t="s">
        <v>16168</v>
      </c>
      <c r="J1819" s="14" t="s">
        <v>16169</v>
      </c>
      <c r="K1819" s="14" t="s">
        <v>16170</v>
      </c>
      <c r="L1819" s="14" t="s">
        <v>16163</v>
      </c>
      <c r="O1819" s="14" t="s">
        <v>16171</v>
      </c>
      <c r="P1819" s="14" t="s">
        <v>16172</v>
      </c>
      <c r="Q1819" s="14">
        <v>419090.63</v>
      </c>
      <c r="R1819" s="14">
        <v>6198966.1799999997</v>
      </c>
      <c r="S1819" s="14" t="s">
        <v>16173</v>
      </c>
      <c r="T1819" s="14" t="s">
        <v>16174</v>
      </c>
      <c r="U1819" s="14">
        <v>419064.91</v>
      </c>
      <c r="V1819" s="14">
        <v>6198968.3399999999</v>
      </c>
      <c r="W1819" s="14">
        <v>179.6</v>
      </c>
      <c r="X1819" s="14">
        <v>150.05000000000001</v>
      </c>
    </row>
    <row r="1820" spans="1:24" s="14" customFormat="1" x14ac:dyDescent="0.25">
      <c r="A1820" s="50">
        <v>45102</v>
      </c>
      <c r="B1820" s="57">
        <v>176</v>
      </c>
      <c r="C1820" s="36">
        <v>0.82424768518518521</v>
      </c>
      <c r="D1820" s="16" t="s">
        <v>7408</v>
      </c>
      <c r="E1820" s="52" t="s">
        <v>65</v>
      </c>
      <c r="F1820" s="16" t="s">
        <v>8011</v>
      </c>
      <c r="G1820" s="16" t="s">
        <v>1148</v>
      </c>
      <c r="H1820" s="14">
        <v>0.16400000000000001</v>
      </c>
      <c r="I1820" s="14" t="s">
        <v>16179</v>
      </c>
      <c r="J1820" s="14" t="s">
        <v>16180</v>
      </c>
      <c r="K1820" s="14" t="s">
        <v>16181</v>
      </c>
      <c r="L1820" s="14" t="s">
        <v>16182</v>
      </c>
      <c r="O1820" s="14" t="s">
        <v>16175</v>
      </c>
      <c r="P1820" s="14" t="s">
        <v>16176</v>
      </c>
      <c r="Q1820" s="14">
        <v>419081.12</v>
      </c>
      <c r="R1820" s="14">
        <v>6198958.9000000004</v>
      </c>
      <c r="S1820" s="14" t="s">
        <v>16177</v>
      </c>
      <c r="T1820" s="14" t="s">
        <v>16178</v>
      </c>
      <c r="U1820" s="14">
        <v>419055.94</v>
      </c>
      <c r="V1820" s="14">
        <v>6198961.8700000001</v>
      </c>
      <c r="W1820" s="14">
        <v>0.62</v>
      </c>
      <c r="X1820" s="14">
        <v>150.05000000000001</v>
      </c>
    </row>
    <row r="1821" spans="1:24" s="14" customFormat="1" x14ac:dyDescent="0.25">
      <c r="A1821" s="50">
        <v>45102</v>
      </c>
      <c r="B1821" s="57">
        <v>176</v>
      </c>
      <c r="C1821" s="36">
        <v>0.82768518518518519</v>
      </c>
      <c r="D1821" s="16" t="s">
        <v>7408</v>
      </c>
      <c r="E1821" s="52" t="s">
        <v>70</v>
      </c>
      <c r="F1821" s="16" t="s">
        <v>8011</v>
      </c>
      <c r="G1821" s="16" t="s">
        <v>1148</v>
      </c>
      <c r="H1821" s="14">
        <v>-1.6E-2</v>
      </c>
      <c r="I1821" s="14" t="s">
        <v>16179</v>
      </c>
      <c r="J1821" s="14" t="s">
        <v>16180</v>
      </c>
      <c r="K1821" s="14" t="s">
        <v>16181</v>
      </c>
      <c r="L1821" s="14" t="s">
        <v>16182</v>
      </c>
      <c r="O1821" s="14" t="s">
        <v>16183</v>
      </c>
      <c r="P1821" s="14" t="s">
        <v>16184</v>
      </c>
      <c r="Q1821" s="14">
        <v>419080.87</v>
      </c>
      <c r="R1821" s="14">
        <v>6199139.3099999996</v>
      </c>
      <c r="S1821" s="14" t="s">
        <v>16185</v>
      </c>
      <c r="T1821" s="14" t="s">
        <v>16186</v>
      </c>
      <c r="U1821" s="14">
        <v>419056.01</v>
      </c>
      <c r="V1821" s="14">
        <v>6199142.0199999996</v>
      </c>
      <c r="W1821" s="14">
        <v>0.26</v>
      </c>
      <c r="X1821" s="14">
        <v>150.05000000000001</v>
      </c>
    </row>
    <row r="1822" spans="1:24" s="14" customFormat="1" x14ac:dyDescent="0.25">
      <c r="A1822" s="50">
        <v>45102</v>
      </c>
      <c r="B1822" s="57">
        <v>176</v>
      </c>
      <c r="C1822" s="36">
        <v>0.83052083333333337</v>
      </c>
      <c r="D1822" s="16" t="s">
        <v>7408</v>
      </c>
      <c r="E1822" s="52" t="s">
        <v>65</v>
      </c>
      <c r="F1822" s="16" t="s">
        <v>8011</v>
      </c>
      <c r="G1822" s="16" t="s">
        <v>1149</v>
      </c>
      <c r="H1822" s="14">
        <v>-8.0000000000000002E-3</v>
      </c>
      <c r="I1822" s="14" t="s">
        <v>16191</v>
      </c>
      <c r="J1822" s="115" t="s">
        <v>16193</v>
      </c>
      <c r="K1822" s="14" t="s">
        <v>16192</v>
      </c>
      <c r="L1822" s="14" t="s">
        <v>16182</v>
      </c>
      <c r="O1822" s="14" t="s">
        <v>16187</v>
      </c>
      <c r="P1822" s="14" t="s">
        <v>16188</v>
      </c>
      <c r="Q1822" s="14">
        <v>419073.1</v>
      </c>
      <c r="R1822" s="14">
        <v>6199137.3399999999</v>
      </c>
      <c r="S1822" s="14" t="s">
        <v>16189</v>
      </c>
      <c r="T1822" s="14" t="s">
        <v>16190</v>
      </c>
      <c r="U1822" s="14">
        <v>419046.97</v>
      </c>
      <c r="V1822" s="14">
        <v>6199144.3499999996</v>
      </c>
      <c r="W1822" s="14">
        <v>181.02</v>
      </c>
      <c r="X1822" s="14">
        <v>150.05000000000001</v>
      </c>
    </row>
    <row r="1823" spans="1:24" s="14" customFormat="1" x14ac:dyDescent="0.25">
      <c r="A1823" s="50">
        <v>45102</v>
      </c>
      <c r="B1823" s="57">
        <v>176</v>
      </c>
      <c r="C1823" s="36">
        <v>0.83373842592592595</v>
      </c>
      <c r="D1823" s="16" t="s">
        <v>7408</v>
      </c>
      <c r="E1823" s="52" t="s">
        <v>70</v>
      </c>
      <c r="F1823" s="16" t="s">
        <v>8011</v>
      </c>
      <c r="G1823" s="16" t="s">
        <v>1149</v>
      </c>
      <c r="H1823" s="14">
        <v>0.16800000000000001</v>
      </c>
      <c r="I1823" s="14" t="s">
        <v>16191</v>
      </c>
      <c r="J1823" s="14" t="s">
        <v>16193</v>
      </c>
      <c r="K1823" s="14" t="s">
        <v>16192</v>
      </c>
      <c r="L1823" s="14" t="s">
        <v>16198</v>
      </c>
      <c r="O1823" s="14" t="s">
        <v>16194</v>
      </c>
      <c r="P1823" s="14" t="s">
        <v>16195</v>
      </c>
      <c r="Q1823" s="14">
        <v>419073.21</v>
      </c>
      <c r="R1823" s="14">
        <v>6198965.6799999997</v>
      </c>
      <c r="S1823" s="14" t="s">
        <v>16196</v>
      </c>
      <c r="T1823" s="14" t="s">
        <v>16197</v>
      </c>
      <c r="U1823" s="14">
        <v>419047.11</v>
      </c>
      <c r="V1823" s="14">
        <v>6198968.6500000004</v>
      </c>
      <c r="W1823" s="14">
        <v>179.37</v>
      </c>
      <c r="X1823" s="14">
        <v>150.05000000000001</v>
      </c>
    </row>
    <row r="1824" spans="1:24" s="14" customFormat="1" x14ac:dyDescent="0.25">
      <c r="A1824" s="50">
        <v>45102</v>
      </c>
      <c r="B1824" s="57">
        <v>176</v>
      </c>
      <c r="C1824" s="36">
        <v>0.83689814814814811</v>
      </c>
      <c r="D1824" s="16" t="s">
        <v>7408</v>
      </c>
      <c r="E1824" s="52" t="s">
        <v>65</v>
      </c>
      <c r="F1824" s="16" t="s">
        <v>8011</v>
      </c>
      <c r="G1824" s="16" t="s">
        <v>1150</v>
      </c>
      <c r="H1824" s="14">
        <v>0.16400000000000001</v>
      </c>
      <c r="I1824" s="14" t="s">
        <v>16203</v>
      </c>
      <c r="J1824" s="14" t="s">
        <v>16204</v>
      </c>
      <c r="K1824" s="14" t="s">
        <v>16205</v>
      </c>
      <c r="L1824" s="14" t="s">
        <v>16198</v>
      </c>
      <c r="O1824" s="14" t="s">
        <v>16199</v>
      </c>
      <c r="P1824" s="14" t="s">
        <v>16200</v>
      </c>
      <c r="Q1824" s="14">
        <v>419063.88</v>
      </c>
      <c r="R1824" s="14">
        <v>6198959.9900000002</v>
      </c>
      <c r="S1824" s="14" t="s">
        <v>16201</v>
      </c>
      <c r="T1824" s="14" t="s">
        <v>16202</v>
      </c>
      <c r="U1824" s="14">
        <v>419037.93</v>
      </c>
      <c r="V1824" s="14">
        <v>6198961.8700000001</v>
      </c>
      <c r="W1824" s="14">
        <v>2.0499999999999998</v>
      </c>
      <c r="X1824" s="14">
        <v>150.05000000000001</v>
      </c>
    </row>
    <row r="1825" spans="1:24" s="14" customFormat="1" x14ac:dyDescent="0.25">
      <c r="A1825" s="50">
        <v>45102</v>
      </c>
      <c r="B1825" s="57">
        <v>176</v>
      </c>
      <c r="C1825" s="36">
        <v>0.84028935185185183</v>
      </c>
      <c r="D1825" s="16" t="s">
        <v>7408</v>
      </c>
      <c r="E1825" s="52" t="s">
        <v>70</v>
      </c>
      <c r="F1825" s="16" t="s">
        <v>8011</v>
      </c>
      <c r="G1825" s="16" t="s">
        <v>1150</v>
      </c>
      <c r="H1825" s="14">
        <v>-1.6E-2</v>
      </c>
      <c r="I1825" s="14" t="s">
        <v>16203</v>
      </c>
      <c r="J1825" s="14" t="s">
        <v>16204</v>
      </c>
      <c r="K1825" s="14" t="s">
        <v>16205</v>
      </c>
      <c r="L1825" s="14" t="s">
        <v>16198</v>
      </c>
      <c r="O1825" s="14" t="s">
        <v>16206</v>
      </c>
      <c r="P1825" s="14" t="s">
        <v>16207</v>
      </c>
      <c r="Q1825" s="14">
        <v>419063.65</v>
      </c>
      <c r="R1825" s="14">
        <v>6199137.8600000003</v>
      </c>
      <c r="S1825" s="14" t="s">
        <v>16208</v>
      </c>
      <c r="T1825" s="14" t="s">
        <v>16209</v>
      </c>
      <c r="U1825" s="14">
        <v>419038.05</v>
      </c>
      <c r="V1825" s="14">
        <v>6199141.1900000004</v>
      </c>
      <c r="W1825" s="14">
        <v>359.85</v>
      </c>
      <c r="X1825" s="14">
        <v>150.05000000000001</v>
      </c>
    </row>
    <row r="1826" spans="1:24" s="14" customFormat="1" x14ac:dyDescent="0.25">
      <c r="A1826" s="50">
        <v>45102</v>
      </c>
      <c r="B1826" s="57">
        <v>176</v>
      </c>
      <c r="C1826" s="36">
        <v>0.84356481481481482</v>
      </c>
      <c r="D1826" s="16" t="s">
        <v>7408</v>
      </c>
      <c r="E1826" s="52" t="s">
        <v>65</v>
      </c>
      <c r="F1826" s="16" t="s">
        <v>8011</v>
      </c>
      <c r="G1826" s="16" t="s">
        <v>1151</v>
      </c>
      <c r="H1826" s="14">
        <v>-0.01</v>
      </c>
      <c r="I1826" s="14" t="s">
        <v>16214</v>
      </c>
      <c r="J1826" s="14" t="s">
        <v>16215</v>
      </c>
      <c r="K1826" s="14" t="s">
        <v>16216</v>
      </c>
      <c r="L1826" s="14" t="s">
        <v>16217</v>
      </c>
      <c r="O1826" s="14" t="s">
        <v>16210</v>
      </c>
      <c r="P1826" s="14" t="s">
        <v>16211</v>
      </c>
      <c r="Q1826" s="14">
        <v>419055.49</v>
      </c>
      <c r="R1826" s="14">
        <v>6199143.6799999997</v>
      </c>
      <c r="S1826" s="14" t="s">
        <v>16212</v>
      </c>
      <c r="T1826" s="14" t="s">
        <v>16213</v>
      </c>
      <c r="U1826" s="14">
        <v>419029.02</v>
      </c>
      <c r="V1826" s="14">
        <v>6199146.3799999999</v>
      </c>
      <c r="W1826" s="14">
        <v>181.32</v>
      </c>
      <c r="X1826" s="14">
        <v>150.05000000000001</v>
      </c>
    </row>
    <row r="1827" spans="1:24" s="14" customFormat="1" x14ac:dyDescent="0.25">
      <c r="A1827" s="50">
        <v>45102</v>
      </c>
      <c r="B1827" s="57">
        <v>176</v>
      </c>
      <c r="C1827" s="36">
        <v>0.84693287037037035</v>
      </c>
      <c r="D1827" s="16" t="s">
        <v>7408</v>
      </c>
      <c r="E1827" s="52" t="s">
        <v>70</v>
      </c>
      <c r="F1827" s="16" t="s">
        <v>8011</v>
      </c>
      <c r="G1827" s="16" t="s">
        <v>1151</v>
      </c>
      <c r="H1827" s="14">
        <v>0.16800000000000001</v>
      </c>
      <c r="I1827" s="14" t="s">
        <v>16214</v>
      </c>
      <c r="J1827" s="14" t="s">
        <v>16215</v>
      </c>
      <c r="K1827" s="14" t="s">
        <v>16216</v>
      </c>
      <c r="L1827" s="14" t="s">
        <v>16217</v>
      </c>
      <c r="O1827" s="14" t="s">
        <v>16218</v>
      </c>
      <c r="P1827" s="14" t="s">
        <v>16219</v>
      </c>
      <c r="Q1827" s="14">
        <v>419055.28</v>
      </c>
      <c r="R1827" s="14">
        <v>6198965.2999999998</v>
      </c>
      <c r="S1827" s="14" t="s">
        <v>16220</v>
      </c>
      <c r="T1827" s="14" t="s">
        <v>16221</v>
      </c>
      <c r="U1827" s="14">
        <v>419029.05</v>
      </c>
      <c r="V1827" s="14">
        <v>6198968.4500000002</v>
      </c>
      <c r="W1827" s="14">
        <v>179.08</v>
      </c>
      <c r="X1827" s="14">
        <v>150.05000000000001</v>
      </c>
    </row>
    <row r="1828" spans="1:24" s="14" customFormat="1" x14ac:dyDescent="0.25">
      <c r="A1828" s="50">
        <v>45102</v>
      </c>
      <c r="B1828" s="57">
        <v>176</v>
      </c>
      <c r="C1828" s="36">
        <v>0.84969907407407408</v>
      </c>
      <c r="D1828" s="16" t="s">
        <v>7408</v>
      </c>
      <c r="E1828" s="52" t="s">
        <v>65</v>
      </c>
      <c r="F1828" s="16" t="s">
        <v>8011</v>
      </c>
      <c r="G1828" s="16" t="s">
        <v>1152</v>
      </c>
      <c r="H1828" s="14">
        <v>0.16900000000000001</v>
      </c>
      <c r="I1828" s="14" t="s">
        <v>16226</v>
      </c>
      <c r="J1828" s="14" t="s">
        <v>16227</v>
      </c>
      <c r="K1828" s="14" t="s">
        <v>16228</v>
      </c>
      <c r="L1828" s="14" t="s">
        <v>16217</v>
      </c>
      <c r="O1828" s="14" t="s">
        <v>16222</v>
      </c>
      <c r="P1828" s="14" t="s">
        <v>16223</v>
      </c>
      <c r="Q1828" s="14">
        <v>419044.84</v>
      </c>
      <c r="R1828" s="14">
        <v>6198953.9199999999</v>
      </c>
      <c r="S1828" s="14" t="s">
        <v>16224</v>
      </c>
      <c r="T1828" s="14" t="s">
        <v>16225</v>
      </c>
      <c r="U1828" s="14">
        <v>419019.97</v>
      </c>
      <c r="V1828" s="14">
        <v>6198957.0499999998</v>
      </c>
      <c r="W1828" s="14">
        <v>1.2</v>
      </c>
      <c r="X1828" s="14">
        <v>150.05000000000001</v>
      </c>
    </row>
    <row r="1829" spans="1:24" s="14" customFormat="1" x14ac:dyDescent="0.25">
      <c r="A1829" s="50">
        <v>45102</v>
      </c>
      <c r="B1829" s="57">
        <v>176</v>
      </c>
      <c r="C1829" s="36">
        <v>0.85319444444444448</v>
      </c>
      <c r="D1829" s="16" t="s">
        <v>7408</v>
      </c>
      <c r="E1829" s="52" t="s">
        <v>70</v>
      </c>
      <c r="F1829" s="16" t="s">
        <v>8011</v>
      </c>
      <c r="G1829" s="16" t="s">
        <v>1152</v>
      </c>
      <c r="H1829" s="14">
        <v>-1.4999999999999999E-2</v>
      </c>
      <c r="I1829" s="14" t="s">
        <v>16226</v>
      </c>
      <c r="J1829" s="14" t="s">
        <v>16227</v>
      </c>
      <c r="K1829" s="14" t="s">
        <v>16228</v>
      </c>
      <c r="L1829" s="14" t="s">
        <v>16217</v>
      </c>
      <c r="O1829" s="14" t="s">
        <v>16229</v>
      </c>
      <c r="P1829" s="14" t="s">
        <v>16230</v>
      </c>
      <c r="Q1829" s="14">
        <v>419044.79</v>
      </c>
      <c r="R1829" s="14">
        <v>6199136.8200000003</v>
      </c>
      <c r="S1829" s="14" t="s">
        <v>16231</v>
      </c>
      <c r="T1829" s="14" t="s">
        <v>16232</v>
      </c>
      <c r="U1829" s="14">
        <v>419020.05</v>
      </c>
      <c r="V1829" s="14">
        <v>6199140.9699999997</v>
      </c>
      <c r="W1829" s="14">
        <v>359.63</v>
      </c>
      <c r="X1829" s="14">
        <v>150.05000000000001</v>
      </c>
    </row>
    <row r="1830" spans="1:24" s="14" customFormat="1" x14ac:dyDescent="0.25">
      <c r="A1830" s="50">
        <v>45102</v>
      </c>
      <c r="B1830" s="57">
        <v>176</v>
      </c>
      <c r="C1830" s="36">
        <v>0.85603009259259266</v>
      </c>
      <c r="D1830" s="16" t="s">
        <v>7408</v>
      </c>
      <c r="E1830" s="115" t="s">
        <v>16237</v>
      </c>
      <c r="F1830" s="16" t="s">
        <v>8011</v>
      </c>
      <c r="G1830" s="16" t="s">
        <v>1152</v>
      </c>
      <c r="H1830" s="14">
        <v>-2.9000000000000001E-2</v>
      </c>
      <c r="O1830" s="14" t="s">
        <v>16233</v>
      </c>
      <c r="P1830" s="14" t="s">
        <v>16234</v>
      </c>
      <c r="Q1830" s="14">
        <v>419045.09</v>
      </c>
      <c r="R1830" s="14">
        <v>6199156.0099999998</v>
      </c>
      <c r="S1830" s="14" t="s">
        <v>16235</v>
      </c>
      <c r="T1830" s="14" t="s">
        <v>16236</v>
      </c>
      <c r="U1830" s="14">
        <v>419034.17</v>
      </c>
      <c r="V1830" s="14">
        <v>6199158.46</v>
      </c>
      <c r="W1830" s="14">
        <v>282.12</v>
      </c>
      <c r="X1830" s="14">
        <v>150.05000000000001</v>
      </c>
    </row>
    <row r="1831" spans="1:24" s="122" customFormat="1" x14ac:dyDescent="0.25">
      <c r="A1831" s="65">
        <v>45102</v>
      </c>
      <c r="B1831" s="106">
        <v>176</v>
      </c>
      <c r="C1831" s="67">
        <v>0.87392361111111105</v>
      </c>
      <c r="D1831" s="66" t="s">
        <v>7408</v>
      </c>
      <c r="E1831" s="123" t="s">
        <v>16243</v>
      </c>
      <c r="F1831" s="66" t="s">
        <v>1098</v>
      </c>
      <c r="G1831" s="66" t="s">
        <v>1507</v>
      </c>
      <c r="H1831" s="122">
        <v>-4.4999999999999998E-2</v>
      </c>
      <c r="M1831" s="122" t="s">
        <v>16238</v>
      </c>
      <c r="O1831" s="122" t="s">
        <v>16239</v>
      </c>
      <c r="P1831" s="122" t="s">
        <v>16240</v>
      </c>
      <c r="Q1831" s="122">
        <v>416898.33</v>
      </c>
      <c r="R1831" s="122">
        <v>6198705.4500000002</v>
      </c>
      <c r="S1831" s="122" t="s">
        <v>16241</v>
      </c>
      <c r="T1831" s="122" t="s">
        <v>16242</v>
      </c>
      <c r="U1831" s="122">
        <v>416920.31</v>
      </c>
      <c r="V1831" s="122">
        <v>6198705.3200000003</v>
      </c>
      <c r="W1831" s="122">
        <v>191.74</v>
      </c>
      <c r="X1831" s="122">
        <v>150.05000000000001</v>
      </c>
    </row>
    <row r="1832" spans="1:24" s="14" customFormat="1" x14ac:dyDescent="0.25">
      <c r="A1832" s="50">
        <v>45102</v>
      </c>
      <c r="B1832" s="57">
        <v>176</v>
      </c>
      <c r="C1832" s="36">
        <v>0.87613425925925925</v>
      </c>
      <c r="D1832" s="16" t="s">
        <v>7408</v>
      </c>
      <c r="E1832" s="52" t="s">
        <v>65</v>
      </c>
      <c r="F1832" s="16" t="s">
        <v>1098</v>
      </c>
      <c r="G1832" s="16" t="s">
        <v>1507</v>
      </c>
      <c r="H1832" s="14">
        <v>-1.4999999999999999E-2</v>
      </c>
      <c r="I1832" s="14" t="s">
        <v>16248</v>
      </c>
      <c r="J1832" s="14" t="s">
        <v>16249</v>
      </c>
      <c r="K1832" s="14" t="s">
        <v>16250</v>
      </c>
      <c r="L1832" s="14" t="s">
        <v>16251</v>
      </c>
      <c r="O1832" s="14" t="s">
        <v>16244</v>
      </c>
      <c r="P1832" s="14" t="s">
        <v>16245</v>
      </c>
      <c r="Q1832" s="14">
        <v>416893.98</v>
      </c>
      <c r="R1832" s="14">
        <v>6198679.7699999996</v>
      </c>
      <c r="S1832" s="14" t="s">
        <v>16246</v>
      </c>
      <c r="T1832" s="14" t="s">
        <v>16247</v>
      </c>
      <c r="U1832" s="14">
        <v>416920.17</v>
      </c>
      <c r="V1832" s="14">
        <v>6198674.8200000003</v>
      </c>
      <c r="W1832" s="14">
        <v>180.54</v>
      </c>
      <c r="X1832" s="14">
        <v>150.05000000000001</v>
      </c>
    </row>
    <row r="1833" spans="1:24" s="14" customFormat="1" x14ac:dyDescent="0.25">
      <c r="A1833" s="50">
        <v>45102</v>
      </c>
      <c r="B1833" s="57">
        <v>176</v>
      </c>
      <c r="C1833" s="36">
        <v>0.87958333333333327</v>
      </c>
      <c r="D1833" s="16" t="s">
        <v>7408</v>
      </c>
      <c r="E1833" s="52" t="s">
        <v>70</v>
      </c>
      <c r="F1833" s="16" t="s">
        <v>1098</v>
      </c>
      <c r="G1833" s="16" t="s">
        <v>1507</v>
      </c>
      <c r="H1833" s="14">
        <v>0.17100000000000001</v>
      </c>
      <c r="I1833" s="14" t="s">
        <v>16248</v>
      </c>
      <c r="J1833" s="14" t="s">
        <v>16249</v>
      </c>
      <c r="K1833" s="14" t="s">
        <v>16250</v>
      </c>
      <c r="L1833" s="14" t="s">
        <v>16251</v>
      </c>
      <c r="O1833" s="14" t="s">
        <v>16252</v>
      </c>
      <c r="P1833" s="14" t="s">
        <v>16253</v>
      </c>
      <c r="Q1833" s="14">
        <v>416892.75</v>
      </c>
      <c r="R1833" s="14">
        <v>6198496.3799999999</v>
      </c>
      <c r="S1833" s="14" t="s">
        <v>16254</v>
      </c>
      <c r="T1833" s="14" t="s">
        <v>16255</v>
      </c>
      <c r="U1833" s="14">
        <v>416920.14</v>
      </c>
      <c r="V1833" s="14">
        <v>6198489.3099999996</v>
      </c>
      <c r="W1833" s="14">
        <v>179.75</v>
      </c>
      <c r="X1833" s="14">
        <v>150.05000000000001</v>
      </c>
    </row>
    <row r="1834" spans="1:24" s="14" customFormat="1" x14ac:dyDescent="0.25">
      <c r="A1834" s="50">
        <v>45102</v>
      </c>
      <c r="B1834" s="57">
        <v>176</v>
      </c>
      <c r="C1834" s="36">
        <v>0.88210648148148152</v>
      </c>
      <c r="D1834" s="16" t="s">
        <v>7408</v>
      </c>
      <c r="E1834" s="52" t="s">
        <v>65</v>
      </c>
      <c r="F1834" s="16" t="s">
        <v>1098</v>
      </c>
      <c r="G1834" s="16" t="s">
        <v>1506</v>
      </c>
      <c r="H1834" s="14">
        <v>0.16600000000000001</v>
      </c>
      <c r="I1834" s="14" t="s">
        <v>16260</v>
      </c>
      <c r="J1834" s="14" t="s">
        <v>16261</v>
      </c>
      <c r="K1834" s="14" t="s">
        <v>16262</v>
      </c>
      <c r="L1834" s="14" t="s">
        <v>16251</v>
      </c>
      <c r="O1834" s="14" t="s">
        <v>16256</v>
      </c>
      <c r="P1834" s="14" t="s">
        <v>16257</v>
      </c>
      <c r="Q1834" s="14">
        <v>416885.78</v>
      </c>
      <c r="R1834" s="14">
        <v>6198486.3899999997</v>
      </c>
      <c r="S1834" s="14" t="s">
        <v>16258</v>
      </c>
      <c r="T1834" s="14" t="s">
        <v>16259</v>
      </c>
      <c r="U1834" s="14">
        <v>416910.98</v>
      </c>
      <c r="V1834" s="14">
        <v>6198483.3200000003</v>
      </c>
      <c r="W1834" s="14">
        <v>1.2</v>
      </c>
      <c r="X1834" s="14">
        <v>150.05000000000001</v>
      </c>
    </row>
    <row r="1835" spans="1:24" s="14" customFormat="1" x14ac:dyDescent="0.25">
      <c r="A1835" s="50">
        <v>45102</v>
      </c>
      <c r="B1835" s="57">
        <v>176</v>
      </c>
      <c r="C1835" s="36">
        <v>0.88557870370370362</v>
      </c>
      <c r="D1835" s="16" t="s">
        <v>7408</v>
      </c>
      <c r="E1835" s="52" t="s">
        <v>70</v>
      </c>
      <c r="F1835" s="16" t="s">
        <v>1098</v>
      </c>
      <c r="G1835" s="16" t="s">
        <v>1506</v>
      </c>
      <c r="H1835" s="14">
        <v>-0.02</v>
      </c>
      <c r="I1835" s="14" t="s">
        <v>16260</v>
      </c>
      <c r="J1835" s="14" t="s">
        <v>16261</v>
      </c>
      <c r="K1835" s="14" t="s">
        <v>16262</v>
      </c>
      <c r="L1835" s="14" t="s">
        <v>16267</v>
      </c>
      <c r="O1835" s="14" t="s">
        <v>16263</v>
      </c>
      <c r="P1835" s="14" t="s">
        <v>16264</v>
      </c>
      <c r="Q1835" s="14">
        <v>416886.78</v>
      </c>
      <c r="R1835" s="14">
        <v>6198668.3499999996</v>
      </c>
      <c r="S1835" s="14" t="s">
        <v>16265</v>
      </c>
      <c r="T1835" s="14" t="s">
        <v>16266</v>
      </c>
      <c r="U1835" s="14">
        <v>416911.08</v>
      </c>
      <c r="V1835" s="14">
        <v>6198668.8399999999</v>
      </c>
      <c r="W1835" s="14">
        <v>359.07</v>
      </c>
      <c r="X1835" s="14">
        <v>150.05000000000001</v>
      </c>
    </row>
    <row r="1836" spans="1:24" s="14" customFormat="1" x14ac:dyDescent="0.25">
      <c r="A1836" s="50">
        <v>45102</v>
      </c>
      <c r="B1836" s="57">
        <v>176</v>
      </c>
      <c r="C1836" s="36">
        <v>0.88782407407407404</v>
      </c>
      <c r="D1836" s="16" t="s">
        <v>7408</v>
      </c>
      <c r="E1836" s="14" t="s">
        <v>65</v>
      </c>
      <c r="F1836" s="16" t="s">
        <v>1098</v>
      </c>
      <c r="G1836" s="16" t="s">
        <v>1505</v>
      </c>
      <c r="H1836" s="14">
        <v>-1.7000000000000001E-2</v>
      </c>
      <c r="I1836" s="14" t="s">
        <v>16272</v>
      </c>
      <c r="J1836" s="14" t="s">
        <v>16273</v>
      </c>
      <c r="K1836" s="14" t="s">
        <v>16274</v>
      </c>
      <c r="L1836" s="14" t="s">
        <v>16267</v>
      </c>
      <c r="O1836" s="14" t="s">
        <v>16268</v>
      </c>
      <c r="P1836" s="14" t="s">
        <v>16269</v>
      </c>
      <c r="Q1836" s="14">
        <v>416879.39</v>
      </c>
      <c r="R1836" s="14">
        <v>6198681.2699999996</v>
      </c>
      <c r="S1836" s="14" t="s">
        <v>16270</v>
      </c>
      <c r="T1836" s="14" t="s">
        <v>16271</v>
      </c>
      <c r="U1836" s="14">
        <v>416902.16</v>
      </c>
      <c r="V1836" s="14">
        <v>6198676.6100000003</v>
      </c>
      <c r="W1836" s="14">
        <v>180.63</v>
      </c>
      <c r="X1836" s="14">
        <v>150.05000000000001</v>
      </c>
    </row>
    <row r="1837" spans="1:24" s="14" customFormat="1" x14ac:dyDescent="0.25">
      <c r="A1837" s="50">
        <v>45102</v>
      </c>
      <c r="B1837" s="57">
        <v>176</v>
      </c>
      <c r="C1837" s="36">
        <v>0.89131944444444444</v>
      </c>
      <c r="D1837" s="16" t="s">
        <v>7408</v>
      </c>
      <c r="E1837" s="14" t="s">
        <v>70</v>
      </c>
      <c r="F1837" s="16" t="s">
        <v>1098</v>
      </c>
      <c r="G1837" s="16" t="s">
        <v>1505</v>
      </c>
      <c r="H1837" s="14">
        <v>0.17</v>
      </c>
      <c r="I1837" s="14" t="s">
        <v>16272</v>
      </c>
      <c r="J1837" s="14" t="s">
        <v>16273</v>
      </c>
      <c r="K1837" s="14" t="s">
        <v>16274</v>
      </c>
      <c r="L1837" s="14" t="s">
        <v>16267</v>
      </c>
      <c r="O1837" s="14" t="s">
        <v>16275</v>
      </c>
      <c r="P1837" s="14" t="s">
        <v>16276</v>
      </c>
      <c r="Q1837" s="14">
        <v>416878.08000000002</v>
      </c>
      <c r="R1837" s="14">
        <v>6198496.7400000002</v>
      </c>
      <c r="S1837" s="14" t="s">
        <v>16277</v>
      </c>
      <c r="T1837" s="14" t="s">
        <v>16278</v>
      </c>
      <c r="U1837" s="14">
        <v>416902.17</v>
      </c>
      <c r="V1837" s="14">
        <v>6198490.0300000003</v>
      </c>
      <c r="W1837" s="14">
        <v>179.86</v>
      </c>
      <c r="X1837" s="14">
        <v>150.05000000000001</v>
      </c>
    </row>
    <row r="1838" spans="1:24" s="14" customFormat="1" x14ac:dyDescent="0.25">
      <c r="A1838" s="50">
        <v>45102</v>
      </c>
      <c r="B1838" s="57">
        <v>176</v>
      </c>
      <c r="C1838" s="36">
        <v>0.89363425925925932</v>
      </c>
      <c r="D1838" s="16" t="s">
        <v>7408</v>
      </c>
      <c r="E1838" s="14" t="s">
        <v>65</v>
      </c>
      <c r="F1838" s="16" t="s">
        <v>1098</v>
      </c>
      <c r="G1838" s="16" t="s">
        <v>1504</v>
      </c>
      <c r="H1838" s="14">
        <v>0.16500000000000001</v>
      </c>
      <c r="I1838" s="14" t="s">
        <v>16283</v>
      </c>
      <c r="J1838" s="14" t="s">
        <v>16284</v>
      </c>
      <c r="K1838" s="14" t="s">
        <v>16285</v>
      </c>
      <c r="L1838" s="14" t="s">
        <v>16267</v>
      </c>
      <c r="O1838" s="14" t="s">
        <v>16279</v>
      </c>
      <c r="P1838" s="14" t="s">
        <v>16280</v>
      </c>
      <c r="Q1838" s="14">
        <v>416868.22</v>
      </c>
      <c r="R1838" s="14">
        <v>6198482.1699999999</v>
      </c>
      <c r="S1838" s="14" t="s">
        <v>16281</v>
      </c>
      <c r="T1838" s="14" t="s">
        <v>16282</v>
      </c>
      <c r="U1838" s="14">
        <v>416892.89</v>
      </c>
      <c r="V1838" s="14">
        <v>6198484.4000000004</v>
      </c>
      <c r="W1838" s="14">
        <v>1.92</v>
      </c>
      <c r="X1838" s="14">
        <v>150.05000000000001</v>
      </c>
    </row>
    <row r="1839" spans="1:24" s="14" customFormat="1" x14ac:dyDescent="0.25">
      <c r="A1839" s="50">
        <v>45102</v>
      </c>
      <c r="B1839" s="57">
        <v>176</v>
      </c>
      <c r="C1839" s="36">
        <v>0.89709490740740738</v>
      </c>
      <c r="D1839" s="16" t="s">
        <v>7408</v>
      </c>
      <c r="E1839" s="52" t="s">
        <v>70</v>
      </c>
      <c r="F1839" s="16" t="s">
        <v>1098</v>
      </c>
      <c r="G1839" s="16" t="s">
        <v>1504</v>
      </c>
      <c r="H1839" s="14">
        <v>-2.1000000000000001E-2</v>
      </c>
      <c r="I1839" s="14" t="s">
        <v>16283</v>
      </c>
      <c r="J1839" s="14" t="s">
        <v>16284</v>
      </c>
      <c r="K1839" s="14" t="s">
        <v>16285</v>
      </c>
      <c r="L1839" s="14" t="s">
        <v>16290</v>
      </c>
      <c r="O1839" s="14" t="s">
        <v>16286</v>
      </c>
      <c r="P1839" s="14" t="s">
        <v>16287</v>
      </c>
      <c r="Q1839" s="14">
        <v>416868.21</v>
      </c>
      <c r="R1839" s="14">
        <v>6198662.8799999999</v>
      </c>
      <c r="S1839" s="14" t="s">
        <v>16288</v>
      </c>
      <c r="T1839" s="14" t="s">
        <v>16289</v>
      </c>
      <c r="U1839" s="14">
        <v>416893.16</v>
      </c>
      <c r="V1839" s="14">
        <v>6198670.2699999996</v>
      </c>
      <c r="W1839" s="14">
        <v>0.19</v>
      </c>
      <c r="X1839" s="14">
        <v>150.05000000000001</v>
      </c>
    </row>
    <row r="1840" spans="1:24" s="14" customFormat="1" x14ac:dyDescent="0.25">
      <c r="A1840" s="50">
        <v>45102</v>
      </c>
      <c r="B1840" s="57">
        <v>176</v>
      </c>
      <c r="C1840" s="36">
        <v>0.89910879629629636</v>
      </c>
      <c r="D1840" s="16" t="s">
        <v>7408</v>
      </c>
      <c r="E1840" s="52" t="s">
        <v>65</v>
      </c>
      <c r="F1840" s="16" t="s">
        <v>1098</v>
      </c>
      <c r="G1840" s="16" t="s">
        <v>1503</v>
      </c>
      <c r="H1840" s="14">
        <v>-1.6E-2</v>
      </c>
      <c r="I1840" s="14" t="s">
        <v>16295</v>
      </c>
      <c r="J1840" s="14" t="s">
        <v>16296</v>
      </c>
      <c r="K1840" s="14" t="s">
        <v>16297</v>
      </c>
      <c r="L1840" s="14" t="s">
        <v>16290</v>
      </c>
      <c r="O1840" s="14" t="s">
        <v>16291</v>
      </c>
      <c r="P1840" s="14" t="s">
        <v>16292</v>
      </c>
      <c r="Q1840" s="14">
        <v>416860.79</v>
      </c>
      <c r="R1840" s="14">
        <v>6198686.21</v>
      </c>
      <c r="S1840" s="14" t="s">
        <v>16293</v>
      </c>
      <c r="T1840" s="14" t="s">
        <v>16294</v>
      </c>
      <c r="U1840" s="14">
        <v>416884.22</v>
      </c>
      <c r="V1840" s="14">
        <v>6198676.5700000003</v>
      </c>
      <c r="W1840" s="14">
        <v>181.57</v>
      </c>
      <c r="X1840" s="14">
        <v>150.05000000000001</v>
      </c>
    </row>
    <row r="1841" spans="1:24" s="14" customFormat="1" x14ac:dyDescent="0.25">
      <c r="A1841" s="50">
        <v>45102</v>
      </c>
      <c r="B1841" s="57">
        <v>176</v>
      </c>
      <c r="C1841" s="36">
        <v>0.90268518518518526</v>
      </c>
      <c r="D1841" s="16" t="s">
        <v>7408</v>
      </c>
      <c r="E1841" s="52" t="s">
        <v>70</v>
      </c>
      <c r="F1841" s="16" t="s">
        <v>1098</v>
      </c>
      <c r="G1841" s="16" t="s">
        <v>1503</v>
      </c>
      <c r="H1841" s="14">
        <v>0.17100000000000001</v>
      </c>
      <c r="I1841" s="14" t="s">
        <v>16295</v>
      </c>
      <c r="J1841" s="14" t="s">
        <v>16296</v>
      </c>
      <c r="K1841" s="14" t="s">
        <v>16297</v>
      </c>
      <c r="L1841" s="14" t="s">
        <v>16290</v>
      </c>
      <c r="O1841" s="14" t="s">
        <v>16298</v>
      </c>
      <c r="P1841" s="14" t="s">
        <v>16299</v>
      </c>
      <c r="Q1841" s="14">
        <v>416859.03</v>
      </c>
      <c r="R1841" s="14">
        <v>6198502</v>
      </c>
      <c r="S1841" s="14" t="s">
        <v>16300</v>
      </c>
      <c r="T1841" s="14" t="s">
        <v>16301</v>
      </c>
      <c r="U1841" s="14">
        <v>416884.14</v>
      </c>
      <c r="V1841" s="14">
        <v>6198489.4000000004</v>
      </c>
      <c r="W1841" s="14">
        <v>179.53</v>
      </c>
      <c r="X1841" s="14">
        <v>150.05000000000001</v>
      </c>
    </row>
    <row r="1842" spans="1:24" s="14" customFormat="1" x14ac:dyDescent="0.25">
      <c r="A1842" s="50">
        <v>45102</v>
      </c>
      <c r="B1842" s="57">
        <v>176</v>
      </c>
      <c r="C1842" s="36">
        <v>0.90471064814814817</v>
      </c>
      <c r="D1842" s="16" t="s">
        <v>7408</v>
      </c>
      <c r="E1842" s="52" t="s">
        <v>65</v>
      </c>
      <c r="F1842" s="16" t="s">
        <v>1098</v>
      </c>
      <c r="G1842" s="16" t="s">
        <v>1502</v>
      </c>
      <c r="H1842" s="14">
        <v>0.16800000000000001</v>
      </c>
      <c r="I1842" s="14" t="s">
        <v>16306</v>
      </c>
      <c r="J1842" s="14" t="s">
        <v>16307</v>
      </c>
      <c r="K1842" s="14" t="s">
        <v>16308</v>
      </c>
      <c r="L1842" s="14" t="s">
        <v>16290</v>
      </c>
      <c r="O1842" s="14" t="s">
        <v>16302</v>
      </c>
      <c r="P1842" s="14" t="s">
        <v>16303</v>
      </c>
      <c r="Q1842" s="14">
        <v>416850.88</v>
      </c>
      <c r="R1842" s="14">
        <v>6198479.6100000003</v>
      </c>
      <c r="S1842" s="14" t="s">
        <v>16304</v>
      </c>
      <c r="T1842" s="14" t="s">
        <v>16305</v>
      </c>
      <c r="U1842" s="14">
        <v>416875.08</v>
      </c>
      <c r="V1842" s="14">
        <v>6198481.3499999996</v>
      </c>
      <c r="W1842" s="14">
        <v>0.47</v>
      </c>
      <c r="X1842" s="14">
        <v>150.05000000000001</v>
      </c>
    </row>
    <row r="1843" spans="1:24" s="14" customFormat="1" x14ac:dyDescent="0.25">
      <c r="A1843" s="50">
        <v>45102</v>
      </c>
      <c r="B1843" s="57">
        <v>176</v>
      </c>
      <c r="C1843" s="36">
        <v>0.90832175925925929</v>
      </c>
      <c r="D1843" s="16" t="s">
        <v>7408</v>
      </c>
      <c r="E1843" s="14" t="s">
        <v>70</v>
      </c>
      <c r="F1843" s="16" t="s">
        <v>1098</v>
      </c>
      <c r="G1843" s="16" t="s">
        <v>1502</v>
      </c>
      <c r="H1843" s="14">
        <v>-2.1999999999999999E-2</v>
      </c>
      <c r="I1843" s="14" t="s">
        <v>16306</v>
      </c>
      <c r="J1843" s="14" t="s">
        <v>16307</v>
      </c>
      <c r="K1843" s="14" t="s">
        <v>16308</v>
      </c>
      <c r="L1843" s="14" t="s">
        <v>16313</v>
      </c>
      <c r="O1843" s="14" t="s">
        <v>16309</v>
      </c>
      <c r="P1843" s="14" t="s">
        <v>16310</v>
      </c>
      <c r="Q1843" s="14">
        <v>416850.08</v>
      </c>
      <c r="R1843" s="14">
        <v>6198665.5599999996</v>
      </c>
      <c r="S1843" s="14" t="s">
        <v>16311</v>
      </c>
      <c r="T1843" s="14" t="s">
        <v>16312</v>
      </c>
      <c r="U1843" s="14">
        <v>416875.07</v>
      </c>
      <c r="V1843" s="14">
        <v>6198671.2199999997</v>
      </c>
      <c r="W1843" s="14">
        <v>359.38</v>
      </c>
      <c r="X1843" s="14">
        <v>150.05000000000001</v>
      </c>
    </row>
    <row r="1844" spans="1:24" s="14" customFormat="1" x14ac:dyDescent="0.25">
      <c r="A1844" s="50">
        <v>45102</v>
      </c>
      <c r="B1844" s="57">
        <v>176</v>
      </c>
      <c r="C1844" s="36">
        <v>0.91100694444444441</v>
      </c>
      <c r="D1844" s="16" t="s">
        <v>7408</v>
      </c>
      <c r="E1844" s="52" t="s">
        <v>65</v>
      </c>
      <c r="F1844" s="16" t="s">
        <v>1098</v>
      </c>
      <c r="G1844" s="16" t="s">
        <v>1496</v>
      </c>
      <c r="H1844" s="14">
        <v>-1.7999999999999999E-2</v>
      </c>
      <c r="I1844" s="14" t="s">
        <v>16318</v>
      </c>
      <c r="J1844" s="14" t="s">
        <v>16319</v>
      </c>
      <c r="K1844" s="14" t="s">
        <v>16320</v>
      </c>
      <c r="L1844" s="14" t="s">
        <v>16313</v>
      </c>
      <c r="O1844" s="14" t="s">
        <v>16314</v>
      </c>
      <c r="P1844" s="14" t="s">
        <v>16315</v>
      </c>
      <c r="Q1844" s="14">
        <v>416842.7</v>
      </c>
      <c r="R1844" s="14">
        <v>6198683.04</v>
      </c>
      <c r="S1844" s="14" t="s">
        <v>16316</v>
      </c>
      <c r="T1844" s="14" t="s">
        <v>16317</v>
      </c>
      <c r="U1844" s="14">
        <v>416866.19</v>
      </c>
      <c r="V1844" s="14">
        <v>6198678.2300000004</v>
      </c>
      <c r="W1844" s="14">
        <v>180.76</v>
      </c>
      <c r="X1844" s="14">
        <v>150.05000000000001</v>
      </c>
    </row>
    <row r="1845" spans="1:24" s="14" customFormat="1" x14ac:dyDescent="0.25">
      <c r="A1845" s="50">
        <v>45102</v>
      </c>
      <c r="B1845" s="57">
        <v>176</v>
      </c>
      <c r="C1845" s="36">
        <v>0.91461805555555553</v>
      </c>
      <c r="D1845" s="16" t="s">
        <v>7408</v>
      </c>
      <c r="E1845" s="52" t="s">
        <v>70</v>
      </c>
      <c r="F1845" s="16" t="s">
        <v>1098</v>
      </c>
      <c r="G1845" s="16" t="s">
        <v>1496</v>
      </c>
      <c r="H1845" s="14">
        <v>0.17100000000000001</v>
      </c>
      <c r="I1845" s="14" t="s">
        <v>16318</v>
      </c>
      <c r="J1845" s="14" t="s">
        <v>16319</v>
      </c>
      <c r="K1845" s="14" t="s">
        <v>16320</v>
      </c>
      <c r="L1845" s="14" t="s">
        <v>16313</v>
      </c>
      <c r="O1845" s="14" t="s">
        <v>16321</v>
      </c>
      <c r="P1845" s="14" t="s">
        <v>16322</v>
      </c>
      <c r="Q1845" s="14">
        <v>416841.19</v>
      </c>
      <c r="R1845" s="14">
        <v>6198492.0800000001</v>
      </c>
      <c r="S1845" s="14" t="s">
        <v>16323</v>
      </c>
      <c r="T1845" s="14" t="s">
        <v>16324</v>
      </c>
      <c r="U1845" s="14">
        <v>416866.19</v>
      </c>
      <c r="V1845" s="14">
        <v>6198489.4500000002</v>
      </c>
      <c r="W1845" s="14">
        <v>179.97</v>
      </c>
      <c r="X1845" s="14">
        <v>150.05000000000001</v>
      </c>
    </row>
    <row r="1846" spans="1:24" s="14" customFormat="1" x14ac:dyDescent="0.25">
      <c r="A1846" s="50">
        <v>45102</v>
      </c>
      <c r="B1846" s="57">
        <v>176</v>
      </c>
      <c r="C1846" s="36">
        <v>0.91719907407407408</v>
      </c>
      <c r="D1846" s="16" t="s">
        <v>7408</v>
      </c>
      <c r="E1846" s="52" t="s">
        <v>65</v>
      </c>
      <c r="F1846" s="16" t="s">
        <v>1098</v>
      </c>
      <c r="G1846" s="16" t="s">
        <v>1497</v>
      </c>
      <c r="H1846" s="14">
        <v>0.16300000000000001</v>
      </c>
      <c r="I1846" s="14" t="s">
        <v>16329</v>
      </c>
      <c r="J1846" s="14" t="s">
        <v>16330</v>
      </c>
      <c r="K1846" s="14" t="s">
        <v>16331</v>
      </c>
      <c r="L1846" s="14" t="s">
        <v>16332</v>
      </c>
      <c r="O1846" s="14" t="s">
        <v>16325</v>
      </c>
      <c r="P1846" s="14" t="s">
        <v>16326</v>
      </c>
      <c r="Q1846" s="14">
        <v>416832.37</v>
      </c>
      <c r="R1846" s="14">
        <v>6198488.0099999998</v>
      </c>
      <c r="S1846" s="14" t="s">
        <v>16327</v>
      </c>
      <c r="T1846" s="14" t="s">
        <v>16328</v>
      </c>
      <c r="U1846" s="14">
        <v>416857.03</v>
      </c>
      <c r="V1846" s="14">
        <v>6198486.1299999999</v>
      </c>
      <c r="W1846" s="14">
        <v>0.53</v>
      </c>
      <c r="X1846" s="14">
        <v>150.05000000000001</v>
      </c>
    </row>
    <row r="1847" spans="1:24" s="14" customFormat="1" x14ac:dyDescent="0.25">
      <c r="A1847" s="50">
        <v>45102</v>
      </c>
      <c r="B1847" s="57">
        <v>176</v>
      </c>
      <c r="C1847" s="36">
        <v>0.92070601851851841</v>
      </c>
      <c r="D1847" s="16" t="s">
        <v>7408</v>
      </c>
      <c r="E1847" s="52" t="s">
        <v>70</v>
      </c>
      <c r="F1847" s="16" t="s">
        <v>1098</v>
      </c>
      <c r="G1847" s="16" t="s">
        <v>1497</v>
      </c>
      <c r="H1847" s="14">
        <v>-2.1999999999999999E-2</v>
      </c>
      <c r="I1847" s="14" t="s">
        <v>16329</v>
      </c>
      <c r="J1847" s="14" t="s">
        <v>16330</v>
      </c>
      <c r="K1847" s="14" t="s">
        <v>16331</v>
      </c>
      <c r="L1847" s="14" t="s">
        <v>16332</v>
      </c>
      <c r="O1847" s="14" t="s">
        <v>16333</v>
      </c>
      <c r="P1847" s="14" t="s">
        <v>16334</v>
      </c>
      <c r="Q1847" s="14">
        <v>416832.43</v>
      </c>
      <c r="R1847" s="14">
        <v>6198671.6299999999</v>
      </c>
      <c r="S1847" s="14" t="s">
        <v>16335</v>
      </c>
      <c r="T1847" s="14" t="s">
        <v>16336</v>
      </c>
      <c r="U1847" s="14">
        <v>416857.04</v>
      </c>
      <c r="V1847" s="14">
        <v>6198671.1399999997</v>
      </c>
      <c r="W1847" s="14">
        <v>0.09</v>
      </c>
      <c r="X1847" s="14">
        <v>150.05000000000001</v>
      </c>
    </row>
    <row r="1848" spans="1:24" s="14" customFormat="1" x14ac:dyDescent="0.25">
      <c r="A1848" s="50">
        <v>45102</v>
      </c>
      <c r="B1848" s="57">
        <v>176</v>
      </c>
      <c r="C1848" s="36">
        <v>0.92385416666666664</v>
      </c>
      <c r="D1848" s="16" t="s">
        <v>7408</v>
      </c>
      <c r="E1848" s="56" t="s">
        <v>65</v>
      </c>
      <c r="F1848" s="16" t="s">
        <v>1098</v>
      </c>
      <c r="G1848" s="16" t="s">
        <v>1498</v>
      </c>
      <c r="H1848" s="14">
        <v>-0.02</v>
      </c>
      <c r="I1848" s="14" t="s">
        <v>16341</v>
      </c>
      <c r="J1848" s="14" t="s">
        <v>16342</v>
      </c>
      <c r="K1848" s="14" t="s">
        <v>16343</v>
      </c>
      <c r="L1848" s="14" t="s">
        <v>16332</v>
      </c>
      <c r="O1848" s="14" t="s">
        <v>16337</v>
      </c>
      <c r="P1848" s="14" t="s">
        <v>16338</v>
      </c>
      <c r="Q1848" s="14">
        <v>416824.05</v>
      </c>
      <c r="R1848" s="14">
        <v>6198683.1900000004</v>
      </c>
      <c r="S1848" s="14" t="s">
        <v>16339</v>
      </c>
      <c r="T1848" s="14" t="s">
        <v>16340</v>
      </c>
      <c r="U1848" s="14">
        <v>416848.11</v>
      </c>
      <c r="V1848" s="14">
        <v>6198679.9000000004</v>
      </c>
      <c r="W1848" s="14">
        <v>180.63</v>
      </c>
      <c r="X1848" s="14">
        <v>150.05000000000001</v>
      </c>
    </row>
    <row r="1849" spans="1:24" s="14" customFormat="1" x14ac:dyDescent="0.25">
      <c r="A1849" s="50">
        <v>45102</v>
      </c>
      <c r="B1849" s="57">
        <v>176</v>
      </c>
      <c r="C1849" s="36">
        <v>0.92743055555555554</v>
      </c>
      <c r="D1849" s="16" t="s">
        <v>16344</v>
      </c>
      <c r="E1849" s="56" t="s">
        <v>70</v>
      </c>
      <c r="F1849" s="16" t="s">
        <v>1098</v>
      </c>
      <c r="G1849" s="16" t="s">
        <v>1498</v>
      </c>
      <c r="H1849" s="14">
        <v>0.16900000000000001</v>
      </c>
      <c r="I1849" s="14" t="s">
        <v>16341</v>
      </c>
      <c r="J1849" s="14" t="s">
        <v>16342</v>
      </c>
      <c r="K1849" s="14" t="s">
        <v>16343</v>
      </c>
      <c r="L1849" s="14" t="s">
        <v>16349</v>
      </c>
      <c r="O1849" s="14" t="s">
        <v>16345</v>
      </c>
      <c r="P1849" s="14" t="s">
        <v>16346</v>
      </c>
      <c r="Q1849" s="14">
        <v>416823.36</v>
      </c>
      <c r="R1849" s="14">
        <v>6198493.0599999996</v>
      </c>
      <c r="S1849" s="14" t="s">
        <v>16347</v>
      </c>
      <c r="T1849" s="14" t="s">
        <v>16348</v>
      </c>
      <c r="U1849" s="14">
        <v>416848.14</v>
      </c>
      <c r="V1849" s="14">
        <v>6198490.9000000004</v>
      </c>
      <c r="W1849" s="14">
        <v>180.04</v>
      </c>
      <c r="X1849" s="14">
        <v>150.05000000000001</v>
      </c>
    </row>
    <row r="1850" spans="1:24" s="14" customFormat="1" x14ac:dyDescent="0.25">
      <c r="A1850" s="50">
        <v>45102</v>
      </c>
      <c r="B1850" s="57">
        <v>176</v>
      </c>
      <c r="C1850" s="36">
        <v>0.93034722222222221</v>
      </c>
      <c r="D1850" s="16" t="s">
        <v>16344</v>
      </c>
      <c r="E1850" s="52" t="s">
        <v>65</v>
      </c>
      <c r="F1850" s="16" t="s">
        <v>1098</v>
      </c>
      <c r="G1850" s="16" t="s">
        <v>1499</v>
      </c>
      <c r="H1850" s="14">
        <v>0.159</v>
      </c>
      <c r="I1850" s="14" t="s">
        <v>16354</v>
      </c>
      <c r="J1850" s="14" t="s">
        <v>16355</v>
      </c>
      <c r="K1850" s="14" t="s">
        <v>16356</v>
      </c>
      <c r="L1850" s="14" t="s">
        <v>16349</v>
      </c>
      <c r="O1850" s="14" t="s">
        <v>16350</v>
      </c>
      <c r="P1850" s="14" t="s">
        <v>16351</v>
      </c>
      <c r="Q1850" s="14">
        <v>416814.17</v>
      </c>
      <c r="R1850" s="14">
        <v>6198490.54</v>
      </c>
      <c r="S1850" s="14" t="s">
        <v>16352</v>
      </c>
      <c r="T1850" s="14" t="s">
        <v>16353</v>
      </c>
      <c r="U1850" s="14">
        <v>416839.14</v>
      </c>
      <c r="V1850" s="14">
        <v>6198490.4199999999</v>
      </c>
      <c r="W1850" s="14">
        <v>359.29</v>
      </c>
      <c r="X1850" s="14">
        <v>150.05000000000001</v>
      </c>
    </row>
    <row r="1851" spans="1:24" s="14" customFormat="1" x14ac:dyDescent="0.25">
      <c r="A1851" s="50">
        <v>45102</v>
      </c>
      <c r="B1851" s="57">
        <v>176</v>
      </c>
      <c r="C1851" s="36">
        <v>0.9337847222222222</v>
      </c>
      <c r="D1851" s="16" t="s">
        <v>16344</v>
      </c>
      <c r="E1851" s="14" t="s">
        <v>70</v>
      </c>
      <c r="F1851" s="16" t="s">
        <v>1098</v>
      </c>
      <c r="G1851" s="16" t="s">
        <v>1499</v>
      </c>
      <c r="H1851" s="14">
        <v>-2.3E-2</v>
      </c>
      <c r="I1851" s="14" t="s">
        <v>16354</v>
      </c>
      <c r="J1851" s="14" t="s">
        <v>16355</v>
      </c>
      <c r="K1851" s="14" t="s">
        <v>16356</v>
      </c>
      <c r="L1851" s="14" t="s">
        <v>16349</v>
      </c>
      <c r="O1851" s="14" t="s">
        <v>16357</v>
      </c>
      <c r="P1851" s="14" t="s">
        <v>16358</v>
      </c>
      <c r="Q1851" s="14">
        <v>416813.98</v>
      </c>
      <c r="R1851" s="14">
        <v>6198671.8600000003</v>
      </c>
      <c r="S1851" s="14" t="s">
        <v>16359</v>
      </c>
      <c r="T1851" s="14" t="s">
        <v>16360</v>
      </c>
      <c r="U1851" s="14">
        <v>416839.11</v>
      </c>
      <c r="V1851" s="14">
        <v>6198671.9199999999</v>
      </c>
      <c r="W1851" s="14">
        <v>359.76</v>
      </c>
      <c r="X1851" s="14">
        <v>150.05000000000001</v>
      </c>
    </row>
    <row r="1852" spans="1:24" s="14" customFormat="1" x14ac:dyDescent="0.25">
      <c r="A1852" s="50">
        <v>45102</v>
      </c>
      <c r="B1852" s="57">
        <v>176</v>
      </c>
      <c r="C1852" s="36">
        <v>0.93626157407407407</v>
      </c>
      <c r="D1852" s="16" t="s">
        <v>16344</v>
      </c>
      <c r="E1852" s="52" t="s">
        <v>65</v>
      </c>
      <c r="F1852" s="16" t="s">
        <v>1098</v>
      </c>
      <c r="G1852" s="16" t="s">
        <v>1500</v>
      </c>
      <c r="H1852" s="14">
        <v>-2.1999999999999999E-2</v>
      </c>
      <c r="I1852" s="14" t="s">
        <v>16365</v>
      </c>
      <c r="J1852" s="14" t="s">
        <v>16366</v>
      </c>
      <c r="K1852" s="14" t="s">
        <v>16367</v>
      </c>
      <c r="L1852" s="14" t="s">
        <v>16349</v>
      </c>
      <c r="O1852" s="14" t="s">
        <v>16361</v>
      </c>
      <c r="P1852" s="14" t="s">
        <v>16362</v>
      </c>
      <c r="Q1852" s="14">
        <v>416806.34</v>
      </c>
      <c r="R1852" s="14">
        <v>6198688.3200000003</v>
      </c>
      <c r="S1852" s="14" t="s">
        <v>16363</v>
      </c>
      <c r="T1852" s="14" t="s">
        <v>16364</v>
      </c>
      <c r="U1852" s="14">
        <v>416830.23</v>
      </c>
      <c r="V1852" s="14">
        <v>6198681.6799999997</v>
      </c>
      <c r="W1852" s="14">
        <v>180.74</v>
      </c>
      <c r="X1852" s="14">
        <v>150.05000000000001</v>
      </c>
    </row>
    <row r="1853" spans="1:24" s="14" customFormat="1" x14ac:dyDescent="0.25">
      <c r="A1853" s="50">
        <v>45102</v>
      </c>
      <c r="B1853" s="57">
        <v>176</v>
      </c>
      <c r="C1853" s="36">
        <v>0.94002314814814814</v>
      </c>
      <c r="D1853" s="16" t="s">
        <v>16344</v>
      </c>
      <c r="E1853" s="14" t="s">
        <v>70</v>
      </c>
      <c r="F1853" s="16" t="s">
        <v>1098</v>
      </c>
      <c r="G1853" s="16" t="s">
        <v>1500</v>
      </c>
      <c r="H1853" s="14">
        <v>0.17499999999999999</v>
      </c>
      <c r="I1853" s="14" t="s">
        <v>16365</v>
      </c>
      <c r="J1853" s="14" t="s">
        <v>16366</v>
      </c>
      <c r="K1853" s="14" t="s">
        <v>16367</v>
      </c>
      <c r="L1853" s="14" t="s">
        <v>16372</v>
      </c>
      <c r="O1853" s="14" t="s">
        <v>16368</v>
      </c>
      <c r="P1853" s="14" t="s">
        <v>16369</v>
      </c>
      <c r="Q1853" s="14">
        <v>416805.38</v>
      </c>
      <c r="R1853" s="14">
        <v>6198489.5300000003</v>
      </c>
      <c r="S1853" s="14" t="s">
        <v>16370</v>
      </c>
      <c r="T1853" s="14" t="s">
        <v>16371</v>
      </c>
      <c r="U1853" s="14">
        <v>416830.26</v>
      </c>
      <c r="V1853" s="14">
        <v>6198485.1200000001</v>
      </c>
      <c r="W1853" s="14">
        <v>180.49</v>
      </c>
      <c r="X1853" s="14">
        <v>150.05000000000001</v>
      </c>
    </row>
    <row r="1854" spans="1:24" s="14" customFormat="1" x14ac:dyDescent="0.25">
      <c r="A1854" s="50">
        <v>45102</v>
      </c>
      <c r="B1854" s="57">
        <v>176</v>
      </c>
      <c r="C1854" s="36">
        <v>0.94240740740740747</v>
      </c>
      <c r="D1854" s="16" t="s">
        <v>16344</v>
      </c>
      <c r="E1854" s="14" t="s">
        <v>65</v>
      </c>
      <c r="F1854" s="16" t="s">
        <v>1098</v>
      </c>
      <c r="G1854" s="16" t="s">
        <v>1501</v>
      </c>
      <c r="H1854" s="14">
        <v>0.17</v>
      </c>
      <c r="I1854" s="14" t="s">
        <v>16377</v>
      </c>
      <c r="J1854" s="14" t="s">
        <v>16378</v>
      </c>
      <c r="K1854" s="14" t="s">
        <v>16379</v>
      </c>
      <c r="L1854" s="14" t="s">
        <v>16372</v>
      </c>
      <c r="O1854" s="14" t="s">
        <v>16373</v>
      </c>
      <c r="P1854" s="14" t="s">
        <v>16374</v>
      </c>
      <c r="Q1854" s="14">
        <v>416796.64</v>
      </c>
      <c r="R1854" s="14">
        <v>6198478.9800000004</v>
      </c>
      <c r="S1854" s="14" t="s">
        <v>16375</v>
      </c>
      <c r="T1854" s="14" t="s">
        <v>16376</v>
      </c>
      <c r="U1854" s="14">
        <v>416821.02</v>
      </c>
      <c r="V1854" s="14">
        <v>6198478.8200000003</v>
      </c>
      <c r="W1854" s="14">
        <v>0.59</v>
      </c>
      <c r="X1854" s="14">
        <v>150.05000000000001</v>
      </c>
    </row>
    <row r="1855" spans="1:24" s="14" customFormat="1" x14ac:dyDescent="0.25">
      <c r="A1855" s="50">
        <v>45102</v>
      </c>
      <c r="B1855" s="57">
        <v>176</v>
      </c>
      <c r="C1855" s="36">
        <v>0.94603009259259263</v>
      </c>
      <c r="D1855" s="16" t="s">
        <v>16344</v>
      </c>
      <c r="E1855" s="52" t="s">
        <v>70</v>
      </c>
      <c r="F1855" s="16" t="s">
        <v>1098</v>
      </c>
      <c r="G1855" s="16" t="s">
        <v>1501</v>
      </c>
      <c r="H1855" s="14">
        <v>-0.02</v>
      </c>
      <c r="I1855" s="14" t="s">
        <v>16377</v>
      </c>
      <c r="J1855" s="14" t="s">
        <v>16378</v>
      </c>
      <c r="K1855" s="14" t="s">
        <v>16379</v>
      </c>
      <c r="L1855" s="14" t="s">
        <v>16372</v>
      </c>
      <c r="O1855" s="14" t="s">
        <v>16380</v>
      </c>
      <c r="P1855" s="14" t="s">
        <v>16381</v>
      </c>
      <c r="Q1855" s="14">
        <v>416796.29</v>
      </c>
      <c r="R1855" s="14">
        <v>6198668.0800000001</v>
      </c>
      <c r="S1855" s="14" t="s">
        <v>16382</v>
      </c>
      <c r="T1855" s="14" t="s">
        <v>16383</v>
      </c>
      <c r="U1855" s="14">
        <v>416820.99</v>
      </c>
      <c r="V1855" s="14">
        <v>6198669.2599999998</v>
      </c>
      <c r="W1855" s="14">
        <v>0.54</v>
      </c>
      <c r="X1855" s="14">
        <v>150.05000000000001</v>
      </c>
    </row>
    <row r="1856" spans="1:24" s="14" customFormat="1" x14ac:dyDescent="0.25">
      <c r="A1856" s="50">
        <v>45102</v>
      </c>
      <c r="B1856" s="57">
        <v>176</v>
      </c>
      <c r="C1856" s="36">
        <v>0.94913194444444438</v>
      </c>
      <c r="D1856" s="16" t="s">
        <v>16344</v>
      </c>
      <c r="E1856" s="115" t="s">
        <v>16384</v>
      </c>
      <c r="F1856" s="16" t="s">
        <v>8759</v>
      </c>
      <c r="G1856" s="16" t="s">
        <v>1826</v>
      </c>
      <c r="H1856" s="14">
        <v>24.695</v>
      </c>
      <c r="O1856" s="14" t="s">
        <v>16385</v>
      </c>
      <c r="P1856" s="14" t="s">
        <v>16386</v>
      </c>
      <c r="Q1856" s="14">
        <v>416796.12</v>
      </c>
      <c r="R1856" s="14">
        <v>6198689.7599999998</v>
      </c>
      <c r="S1856" s="14" t="s">
        <v>16387</v>
      </c>
      <c r="T1856" s="14" t="s">
        <v>16388</v>
      </c>
      <c r="U1856" s="14">
        <v>416807.07</v>
      </c>
      <c r="V1856" s="14">
        <v>6198688.2599999998</v>
      </c>
      <c r="W1856" s="14">
        <v>91.03</v>
      </c>
      <c r="X1856" s="14">
        <v>150.04</v>
      </c>
    </row>
    <row r="1857" spans="1:24" s="122" customFormat="1" x14ac:dyDescent="0.25">
      <c r="A1857" s="65">
        <v>45102</v>
      </c>
      <c r="B1857" s="106">
        <v>176</v>
      </c>
      <c r="C1857" s="67">
        <v>0.9643518518518519</v>
      </c>
      <c r="D1857" s="66" t="s">
        <v>16344</v>
      </c>
      <c r="E1857" s="123" t="s">
        <v>16394</v>
      </c>
      <c r="F1857" s="66" t="s">
        <v>8759</v>
      </c>
      <c r="G1857" s="66" t="s">
        <v>1826</v>
      </c>
      <c r="H1857" s="122">
        <v>-4.5999999999999999E-2</v>
      </c>
      <c r="M1857" s="122" t="s">
        <v>16389</v>
      </c>
      <c r="O1857" s="122" t="s">
        <v>16390</v>
      </c>
      <c r="P1857" s="122" t="s">
        <v>16391</v>
      </c>
      <c r="Q1857" s="122">
        <v>414907.97</v>
      </c>
      <c r="R1857" s="122">
        <v>6197253.9100000001</v>
      </c>
      <c r="S1857" s="122" t="s">
        <v>16392</v>
      </c>
      <c r="T1857" s="122" t="s">
        <v>16393</v>
      </c>
      <c r="U1857" s="122">
        <v>414927.97</v>
      </c>
      <c r="V1857" s="122">
        <v>6197248.6500000004</v>
      </c>
      <c r="W1857" s="122">
        <v>109.08</v>
      </c>
      <c r="X1857" s="122">
        <v>150.05000000000001</v>
      </c>
    </row>
    <row r="1858" spans="1:24" s="14" customFormat="1" x14ac:dyDescent="0.25">
      <c r="A1858" s="50">
        <v>45102</v>
      </c>
      <c r="B1858" s="57">
        <v>176</v>
      </c>
      <c r="C1858" s="36">
        <v>0.96709490740740733</v>
      </c>
      <c r="D1858" s="16" t="s">
        <v>16344</v>
      </c>
      <c r="E1858" s="52" t="s">
        <v>65</v>
      </c>
      <c r="F1858" s="16" t="s">
        <v>8759</v>
      </c>
      <c r="G1858" s="16" t="s">
        <v>1826</v>
      </c>
      <c r="H1858" s="14">
        <v>-1.4E-2</v>
      </c>
      <c r="I1858" s="14" t="s">
        <v>16399</v>
      </c>
      <c r="J1858" s="14" t="s">
        <v>16400</v>
      </c>
      <c r="K1858" s="14" t="s">
        <v>16401</v>
      </c>
      <c r="L1858" s="14" t="s">
        <v>16402</v>
      </c>
      <c r="O1858" s="14" t="s">
        <v>16395</v>
      </c>
      <c r="P1858" s="14" t="s">
        <v>16396</v>
      </c>
      <c r="Q1858" s="14">
        <v>414907.01</v>
      </c>
      <c r="R1858" s="14">
        <v>6197226.9800000004</v>
      </c>
      <c r="S1858" s="14" t="s">
        <v>16397</v>
      </c>
      <c r="T1858" s="14" t="s">
        <v>16398</v>
      </c>
      <c r="U1858" s="14">
        <v>414933</v>
      </c>
      <c r="V1858" s="14">
        <v>6197220.4199999999</v>
      </c>
      <c r="W1858" s="14">
        <v>180.19</v>
      </c>
      <c r="X1858" s="14">
        <v>150.05000000000001</v>
      </c>
    </row>
    <row r="1859" spans="1:24" s="14" customFormat="1" x14ac:dyDescent="0.25">
      <c r="A1859" s="50">
        <v>45102</v>
      </c>
      <c r="B1859" s="57">
        <v>176</v>
      </c>
      <c r="C1859" s="36">
        <v>0.97068287037037038</v>
      </c>
      <c r="D1859" s="16" t="s">
        <v>16344</v>
      </c>
      <c r="E1859" s="52" t="s">
        <v>70</v>
      </c>
      <c r="F1859" s="16" t="s">
        <v>8759</v>
      </c>
      <c r="G1859" s="16" t="s">
        <v>1826</v>
      </c>
      <c r="H1859" s="14">
        <v>0.17</v>
      </c>
      <c r="I1859" s="14" t="s">
        <v>16399</v>
      </c>
      <c r="J1859" s="14" t="s">
        <v>16400</v>
      </c>
      <c r="K1859" s="14" t="s">
        <v>16401</v>
      </c>
      <c r="L1859" s="14" t="s">
        <v>16407</v>
      </c>
      <c r="O1859" s="14" t="s">
        <v>16403</v>
      </c>
      <c r="P1859" s="14" t="s">
        <v>16404</v>
      </c>
      <c r="Q1859" s="14">
        <v>414907.47</v>
      </c>
      <c r="R1859" s="14">
        <v>6197037.0899999999</v>
      </c>
      <c r="S1859" s="14" t="s">
        <v>16405</v>
      </c>
      <c r="T1859" s="14" t="s">
        <v>16406</v>
      </c>
      <c r="U1859" s="14">
        <v>414933.04</v>
      </c>
      <c r="V1859" s="14">
        <v>6197036.0599999996</v>
      </c>
      <c r="W1859" s="14">
        <v>180.29</v>
      </c>
      <c r="X1859" s="14">
        <v>150.05000000000001</v>
      </c>
    </row>
    <row r="1860" spans="1:24" s="14" customFormat="1" x14ac:dyDescent="0.25">
      <c r="A1860" s="50">
        <v>45102</v>
      </c>
      <c r="B1860" s="57">
        <v>176</v>
      </c>
      <c r="C1860" s="36">
        <v>0.97339120370370369</v>
      </c>
      <c r="D1860" s="16" t="s">
        <v>16344</v>
      </c>
      <c r="E1860" s="52" t="s">
        <v>65</v>
      </c>
      <c r="F1860" s="16" t="s">
        <v>8759</v>
      </c>
      <c r="G1860" s="16" t="s">
        <v>1825</v>
      </c>
      <c r="H1860" s="14">
        <v>0.16500000000000001</v>
      </c>
      <c r="I1860" s="14" t="s">
        <v>16412</v>
      </c>
      <c r="J1860" s="14" t="s">
        <v>16413</v>
      </c>
      <c r="K1860" s="14" t="s">
        <v>16414</v>
      </c>
      <c r="L1860" s="14" t="s">
        <v>16407</v>
      </c>
      <c r="O1860" s="14" t="s">
        <v>16408</v>
      </c>
      <c r="P1860" s="14" t="s">
        <v>16409</v>
      </c>
      <c r="Q1860" s="14">
        <v>414898.47</v>
      </c>
      <c r="R1860" s="14">
        <v>6197031.8300000001</v>
      </c>
      <c r="S1860" s="14" t="s">
        <v>16410</v>
      </c>
      <c r="T1860" s="14" t="s">
        <v>16411</v>
      </c>
      <c r="U1860" s="14">
        <v>414924.02</v>
      </c>
      <c r="V1860" s="14">
        <v>6197029.8499999996</v>
      </c>
      <c r="W1860" s="14">
        <v>0.76</v>
      </c>
      <c r="X1860" s="14">
        <v>150.05000000000001</v>
      </c>
    </row>
    <row r="1861" spans="1:24" s="14" customFormat="1" x14ac:dyDescent="0.25">
      <c r="A1861" s="50">
        <v>45102</v>
      </c>
      <c r="B1861" s="57">
        <v>176</v>
      </c>
      <c r="C1861" s="36">
        <v>0.97695601851851854</v>
      </c>
      <c r="D1861" s="16" t="s">
        <v>16344</v>
      </c>
      <c r="E1861" s="52" t="s">
        <v>70</v>
      </c>
      <c r="F1861" s="16" t="s">
        <v>8759</v>
      </c>
      <c r="G1861" s="16" t="s">
        <v>1825</v>
      </c>
      <c r="H1861" s="14">
        <v>-0.02</v>
      </c>
      <c r="I1861" s="14" t="s">
        <v>16412</v>
      </c>
      <c r="J1861" s="14" t="s">
        <v>16413</v>
      </c>
      <c r="K1861" s="14" t="s">
        <v>16414</v>
      </c>
      <c r="L1861" s="14" t="s">
        <v>16407</v>
      </c>
      <c r="O1861" s="14" t="s">
        <v>16415</v>
      </c>
      <c r="P1861" s="14" t="s">
        <v>16416</v>
      </c>
      <c r="Q1861" s="14">
        <v>414898.08</v>
      </c>
      <c r="R1861" s="14">
        <v>6197219.3700000001</v>
      </c>
      <c r="S1861" s="14" t="s">
        <v>16417</v>
      </c>
      <c r="T1861" s="14" t="s">
        <v>16418</v>
      </c>
      <c r="U1861" s="14">
        <v>414923.86</v>
      </c>
      <c r="V1861" s="14">
        <v>6197215.4400000004</v>
      </c>
      <c r="W1861" s="14">
        <v>0.48</v>
      </c>
      <c r="X1861" s="14">
        <v>150.05000000000001</v>
      </c>
    </row>
    <row r="1862" spans="1:24" s="14" customFormat="1" x14ac:dyDescent="0.25">
      <c r="A1862" s="50">
        <v>45102</v>
      </c>
      <c r="B1862" s="57">
        <v>176</v>
      </c>
      <c r="C1862" s="36">
        <v>0.98002314814814817</v>
      </c>
      <c r="D1862" s="16" t="s">
        <v>16344</v>
      </c>
      <c r="E1862" s="14" t="s">
        <v>65</v>
      </c>
      <c r="F1862" s="16" t="s">
        <v>8759</v>
      </c>
      <c r="G1862" s="16" t="s">
        <v>1824</v>
      </c>
      <c r="H1862" s="14">
        <v>-1.6E-2</v>
      </c>
      <c r="I1862" s="14" t="s">
        <v>16423</v>
      </c>
      <c r="J1862" s="14" t="s">
        <v>16424</v>
      </c>
      <c r="K1862" s="14" t="s">
        <v>16425</v>
      </c>
      <c r="L1862" s="14" t="s">
        <v>16426</v>
      </c>
      <c r="O1862" s="14" t="s">
        <v>16419</v>
      </c>
      <c r="P1862" s="14" t="s">
        <v>16420</v>
      </c>
      <c r="Q1862" s="14">
        <v>414888.75</v>
      </c>
      <c r="R1862" s="14">
        <v>6197228.4400000004</v>
      </c>
      <c r="S1862" s="14" t="s">
        <v>16421</v>
      </c>
      <c r="T1862" s="14" t="s">
        <v>16422</v>
      </c>
      <c r="U1862" s="14">
        <v>414915.12</v>
      </c>
      <c r="V1862" s="14">
        <v>6197221.6600000001</v>
      </c>
      <c r="W1862" s="14">
        <v>181.07</v>
      </c>
      <c r="X1862" s="14">
        <v>150.05000000000001</v>
      </c>
    </row>
    <row r="1863" spans="1:24" s="14" customFormat="1" x14ac:dyDescent="0.25">
      <c r="A1863" s="50">
        <v>45102</v>
      </c>
      <c r="B1863" s="57">
        <v>176</v>
      </c>
      <c r="C1863" s="36">
        <v>0.98362268518518514</v>
      </c>
      <c r="D1863" s="16" t="s">
        <v>16344</v>
      </c>
      <c r="E1863" s="14" t="s">
        <v>70</v>
      </c>
      <c r="F1863" s="16" t="s">
        <v>8759</v>
      </c>
      <c r="G1863" s="16" t="s">
        <v>1824</v>
      </c>
      <c r="H1863" s="14">
        <v>0.17</v>
      </c>
      <c r="I1863" s="14" t="s">
        <v>16423</v>
      </c>
      <c r="J1863" s="14" t="s">
        <v>16424</v>
      </c>
      <c r="K1863" s="14" t="s">
        <v>16425</v>
      </c>
      <c r="L1863" s="14" t="s">
        <v>16426</v>
      </c>
      <c r="O1863" s="14" t="s">
        <v>16427</v>
      </c>
      <c r="P1863" s="14" t="s">
        <v>16428</v>
      </c>
      <c r="Q1863" s="14">
        <v>414887.77</v>
      </c>
      <c r="R1863" s="14">
        <v>6197037.2300000004</v>
      </c>
      <c r="S1863" s="14" t="s">
        <v>16429</v>
      </c>
      <c r="T1863" s="14" t="s">
        <v>16430</v>
      </c>
      <c r="U1863" s="14">
        <v>414915.06</v>
      </c>
      <c r="V1863" s="14">
        <v>6197036.2400000002</v>
      </c>
      <c r="W1863" s="14">
        <v>180.27</v>
      </c>
      <c r="X1863" s="14">
        <v>150.05000000000001</v>
      </c>
    </row>
    <row r="1864" spans="1:24" s="14" customFormat="1" x14ac:dyDescent="0.25">
      <c r="A1864" s="50">
        <v>45102</v>
      </c>
      <c r="B1864" s="57">
        <v>176</v>
      </c>
      <c r="C1864" s="36">
        <v>0.98607638888888882</v>
      </c>
      <c r="D1864" s="16" t="s">
        <v>16344</v>
      </c>
      <c r="E1864" s="52" t="s">
        <v>65</v>
      </c>
      <c r="F1864" s="16" t="s">
        <v>8759</v>
      </c>
      <c r="G1864" s="16" t="s">
        <v>1823</v>
      </c>
      <c r="H1864" s="14">
        <v>0.16500000000000001</v>
      </c>
      <c r="I1864" s="14" t="s">
        <v>16435</v>
      </c>
      <c r="J1864" s="14" t="s">
        <v>16436</v>
      </c>
      <c r="K1864" s="14" t="s">
        <v>16437</v>
      </c>
      <c r="L1864" s="14" t="s">
        <v>16426</v>
      </c>
      <c r="O1864" s="14" t="s">
        <v>16431</v>
      </c>
      <c r="P1864" s="14" t="s">
        <v>16432</v>
      </c>
      <c r="Q1864" s="14">
        <v>414880.19</v>
      </c>
      <c r="R1864" s="14">
        <v>6197030.5499999998</v>
      </c>
      <c r="S1864" s="14" t="s">
        <v>16433</v>
      </c>
      <c r="T1864" s="14" t="s">
        <v>16434</v>
      </c>
      <c r="U1864" s="14">
        <v>414906.05</v>
      </c>
      <c r="V1864" s="14">
        <v>6197030.1500000004</v>
      </c>
      <c r="W1864" s="14">
        <v>0.66</v>
      </c>
      <c r="X1864" s="14">
        <v>150.05000000000001</v>
      </c>
    </row>
    <row r="1865" spans="1:24" s="14" customFormat="1" x14ac:dyDescent="0.25">
      <c r="A1865" s="50">
        <v>45102</v>
      </c>
      <c r="B1865" s="57">
        <v>176</v>
      </c>
      <c r="C1865" s="36">
        <v>0.98964120370370379</v>
      </c>
      <c r="D1865" s="16" t="s">
        <v>16344</v>
      </c>
      <c r="E1865" s="14" t="s">
        <v>70</v>
      </c>
      <c r="F1865" s="16" t="s">
        <v>8759</v>
      </c>
      <c r="G1865" s="16" t="s">
        <v>1823</v>
      </c>
      <c r="H1865" s="14">
        <v>-2.1000000000000001E-2</v>
      </c>
      <c r="I1865" s="14" t="s">
        <v>16435</v>
      </c>
      <c r="J1865" s="14" t="s">
        <v>16436</v>
      </c>
      <c r="K1865" s="14" t="s">
        <v>16437</v>
      </c>
      <c r="L1865" s="14" t="s">
        <v>16442</v>
      </c>
      <c r="O1865" s="14" t="s">
        <v>16438</v>
      </c>
      <c r="P1865" s="14" t="s">
        <v>16439</v>
      </c>
      <c r="Q1865" s="14">
        <v>414880.17</v>
      </c>
      <c r="R1865" s="14">
        <v>6197217.04</v>
      </c>
      <c r="S1865" s="14" t="s">
        <v>16440</v>
      </c>
      <c r="T1865" s="14" t="s">
        <v>16441</v>
      </c>
      <c r="U1865" s="14">
        <v>414906.1</v>
      </c>
      <c r="V1865" s="14">
        <v>6197215.75</v>
      </c>
      <c r="W1865" s="14">
        <v>0.15</v>
      </c>
      <c r="X1865" s="14">
        <v>150.05000000000001</v>
      </c>
    </row>
    <row r="1866" spans="1:24" s="14" customFormat="1" x14ac:dyDescent="0.25">
      <c r="A1866" s="50">
        <v>45102</v>
      </c>
      <c r="B1866" s="57">
        <v>176</v>
      </c>
      <c r="C1866" s="36">
        <v>0.9919675925925926</v>
      </c>
      <c r="D1866" s="16" t="s">
        <v>16344</v>
      </c>
      <c r="E1866" s="52" t="s">
        <v>65</v>
      </c>
      <c r="F1866" s="16" t="s">
        <v>8759</v>
      </c>
      <c r="G1866" s="16" t="s">
        <v>1822</v>
      </c>
      <c r="H1866" s="14">
        <v>-1.6E-2</v>
      </c>
      <c r="I1866" s="14" t="s">
        <v>16447</v>
      </c>
      <c r="J1866" s="14" t="s">
        <v>16448</v>
      </c>
      <c r="K1866" s="14" t="s">
        <v>16449</v>
      </c>
      <c r="L1866" s="14" t="s">
        <v>16442</v>
      </c>
      <c r="O1866" s="14" t="s">
        <v>16443</v>
      </c>
      <c r="P1866" s="14" t="s">
        <v>16444</v>
      </c>
      <c r="Q1866" s="14">
        <v>414871.76</v>
      </c>
      <c r="R1866" s="14">
        <v>6197226.4800000004</v>
      </c>
      <c r="S1866" s="14" t="s">
        <v>16445</v>
      </c>
      <c r="T1866" s="14" t="s">
        <v>16446</v>
      </c>
      <c r="U1866" s="14">
        <v>414897.1</v>
      </c>
      <c r="V1866" s="14">
        <v>6197222.25</v>
      </c>
      <c r="W1866" s="14">
        <v>181.53</v>
      </c>
      <c r="X1866" s="14">
        <v>150.05000000000001</v>
      </c>
    </row>
    <row r="1867" spans="1:24" s="14" customFormat="1" x14ac:dyDescent="0.25">
      <c r="A1867" s="50">
        <v>45102</v>
      </c>
      <c r="B1867" s="57">
        <v>176</v>
      </c>
      <c r="C1867" s="36">
        <v>0.99554398148148149</v>
      </c>
      <c r="D1867" s="16" t="s">
        <v>16344</v>
      </c>
      <c r="E1867" s="52" t="s">
        <v>70</v>
      </c>
      <c r="F1867" s="16" t="s">
        <v>8759</v>
      </c>
      <c r="G1867" s="16" t="s">
        <v>1822</v>
      </c>
      <c r="H1867" s="14">
        <v>0.17</v>
      </c>
      <c r="I1867" s="14" t="s">
        <v>16447</v>
      </c>
      <c r="J1867" s="14" t="s">
        <v>16448</v>
      </c>
      <c r="K1867" s="14" t="s">
        <v>16449</v>
      </c>
      <c r="L1867" s="14" t="s">
        <v>16442</v>
      </c>
      <c r="O1867" s="14" t="s">
        <v>16450</v>
      </c>
      <c r="P1867" s="14" t="s">
        <v>16451</v>
      </c>
      <c r="Q1867" s="14">
        <v>414870.44</v>
      </c>
      <c r="R1867" s="14">
        <v>6197037.9900000002</v>
      </c>
      <c r="S1867" s="14" t="s">
        <v>16452</v>
      </c>
      <c r="T1867" s="14" t="s">
        <v>16453</v>
      </c>
      <c r="U1867" s="14">
        <v>414897.04</v>
      </c>
      <c r="V1867" s="14">
        <v>6197035.8399999999</v>
      </c>
      <c r="W1867" s="14">
        <v>180.04</v>
      </c>
      <c r="X1867" s="14">
        <v>150.05000000000001</v>
      </c>
    </row>
    <row r="1868" spans="1:24" s="14" customFormat="1" x14ac:dyDescent="0.25">
      <c r="A1868" s="50">
        <v>45102</v>
      </c>
      <c r="B1868" s="57">
        <v>176</v>
      </c>
      <c r="C1868" s="36">
        <v>0.99796296296296294</v>
      </c>
      <c r="D1868" s="16" t="s">
        <v>16344</v>
      </c>
      <c r="E1868" s="52" t="s">
        <v>65</v>
      </c>
      <c r="F1868" s="16" t="s">
        <v>8759</v>
      </c>
      <c r="G1868" s="16" t="s">
        <v>1821</v>
      </c>
      <c r="H1868" s="14">
        <v>0.16500000000000001</v>
      </c>
      <c r="I1868" s="14" t="s">
        <v>16458</v>
      </c>
      <c r="J1868" s="14" t="s">
        <v>16459</v>
      </c>
      <c r="K1868" s="14" t="s">
        <v>16460</v>
      </c>
      <c r="L1868" s="14" t="s">
        <v>16442</v>
      </c>
      <c r="O1868" s="14" t="s">
        <v>16454</v>
      </c>
      <c r="P1868" s="14" t="s">
        <v>16455</v>
      </c>
      <c r="Q1868" s="14">
        <v>414862.55</v>
      </c>
      <c r="R1868" s="14">
        <v>6197032.1900000004</v>
      </c>
      <c r="S1868" s="14" t="s">
        <v>16456</v>
      </c>
      <c r="T1868" s="14" t="s">
        <v>16457</v>
      </c>
      <c r="U1868" s="14">
        <v>414888.07</v>
      </c>
      <c r="V1868" s="14">
        <v>6197030.0499999998</v>
      </c>
      <c r="W1868" s="14">
        <v>0.18</v>
      </c>
      <c r="X1868" s="14">
        <v>150.05000000000001</v>
      </c>
    </row>
    <row r="1869" spans="1:24" s="118" customFormat="1" x14ac:dyDescent="0.25">
      <c r="A1869" s="139">
        <v>45103</v>
      </c>
      <c r="B1869" s="140">
        <v>177</v>
      </c>
      <c r="C1869" s="141">
        <v>1.0532407407407407E-3</v>
      </c>
      <c r="D1869" s="73" t="s">
        <v>16344</v>
      </c>
      <c r="E1869" s="119" t="s">
        <v>77</v>
      </c>
      <c r="F1869" s="73" t="s">
        <v>8759</v>
      </c>
      <c r="G1869" s="73" t="s">
        <v>1821</v>
      </c>
      <c r="H1869" s="118">
        <v>3.0000000000000001E-3</v>
      </c>
      <c r="O1869" s="118" t="s">
        <v>16461</v>
      </c>
      <c r="P1869" s="118" t="s">
        <v>16462</v>
      </c>
      <c r="Q1869" s="118">
        <v>414862.65</v>
      </c>
      <c r="R1869" s="118">
        <v>6197194.6299999999</v>
      </c>
      <c r="S1869" s="118" t="s">
        <v>16463</v>
      </c>
      <c r="T1869" s="118" t="s">
        <v>16464</v>
      </c>
      <c r="U1869" s="118">
        <v>414888.07</v>
      </c>
      <c r="V1869" s="118">
        <v>6197191.5999999996</v>
      </c>
      <c r="W1869" s="118">
        <v>0.41</v>
      </c>
      <c r="X1869" s="118">
        <v>150.05000000000001</v>
      </c>
    </row>
    <row r="1870" spans="1:24" s="14" customFormat="1" x14ac:dyDescent="0.25">
      <c r="A1870" s="50">
        <v>45103</v>
      </c>
      <c r="B1870" s="57">
        <v>177</v>
      </c>
      <c r="C1870" s="36">
        <v>1.5393518518518519E-3</v>
      </c>
      <c r="D1870" s="16" t="s">
        <v>16344</v>
      </c>
      <c r="E1870" s="52" t="s">
        <v>70</v>
      </c>
      <c r="F1870" s="16" t="s">
        <v>8759</v>
      </c>
      <c r="G1870" s="16" t="s">
        <v>1821</v>
      </c>
      <c r="H1870" s="14">
        <v>-2.1000000000000001E-2</v>
      </c>
      <c r="I1870" s="14" t="s">
        <v>16458</v>
      </c>
      <c r="J1870" s="14" t="s">
        <v>16459</v>
      </c>
      <c r="K1870" s="14" t="s">
        <v>16460</v>
      </c>
      <c r="L1870" s="14" t="s">
        <v>16469</v>
      </c>
      <c r="O1870" s="14" t="s">
        <v>16465</v>
      </c>
      <c r="P1870" s="14" t="s">
        <v>16466</v>
      </c>
      <c r="Q1870" s="14">
        <v>414862.76</v>
      </c>
      <c r="R1870" s="14">
        <v>6197219.75</v>
      </c>
      <c r="S1870" s="14" t="s">
        <v>16467</v>
      </c>
      <c r="T1870" s="14" t="s">
        <v>16468</v>
      </c>
      <c r="U1870" s="14">
        <v>414888.01</v>
      </c>
      <c r="V1870" s="14">
        <v>6197215.8700000001</v>
      </c>
      <c r="W1870" s="14">
        <v>358.03</v>
      </c>
      <c r="X1870" s="14">
        <v>150.05000000000001</v>
      </c>
    </row>
    <row r="1871" spans="1:24" s="14" customFormat="1" x14ac:dyDescent="0.25">
      <c r="A1871" s="50">
        <v>45103</v>
      </c>
      <c r="B1871" s="57">
        <v>177</v>
      </c>
      <c r="C1871" s="36">
        <v>4.4444444444444444E-3</v>
      </c>
      <c r="D1871" s="16" t="s">
        <v>16344</v>
      </c>
      <c r="E1871" s="52" t="s">
        <v>65</v>
      </c>
      <c r="F1871" s="16" t="s">
        <v>8759</v>
      </c>
      <c r="G1871" s="16" t="s">
        <v>1815</v>
      </c>
      <c r="H1871" s="14">
        <v>-1.6E-2</v>
      </c>
      <c r="I1871" s="14" t="s">
        <v>16474</v>
      </c>
      <c r="J1871" s="14" t="s">
        <v>16475</v>
      </c>
      <c r="K1871" s="14" t="s">
        <v>16476</v>
      </c>
      <c r="L1871" s="14" t="s">
        <v>16469</v>
      </c>
      <c r="O1871" s="14" t="s">
        <v>16470</v>
      </c>
      <c r="P1871" s="14" t="s">
        <v>16471</v>
      </c>
      <c r="Q1871" s="14">
        <v>414853.58</v>
      </c>
      <c r="R1871" s="14">
        <v>6197224.6399999997</v>
      </c>
      <c r="S1871" s="14" t="s">
        <v>16472</v>
      </c>
      <c r="T1871" s="14" t="s">
        <v>16473</v>
      </c>
      <c r="U1871" s="14">
        <v>414879.04</v>
      </c>
      <c r="V1871" s="14">
        <v>6197221.8200000003</v>
      </c>
      <c r="W1871" s="14">
        <v>181.01</v>
      </c>
      <c r="X1871" s="14">
        <v>150.05000000000001</v>
      </c>
    </row>
    <row r="1872" spans="1:24" s="14" customFormat="1" x14ac:dyDescent="0.25">
      <c r="A1872" s="50">
        <v>45103</v>
      </c>
      <c r="B1872" s="57">
        <v>177</v>
      </c>
      <c r="C1872" s="36">
        <v>8.0092592592592594E-3</v>
      </c>
      <c r="D1872" s="16" t="s">
        <v>16344</v>
      </c>
      <c r="E1872" s="14" t="s">
        <v>70</v>
      </c>
      <c r="F1872" s="16" t="s">
        <v>8759</v>
      </c>
      <c r="G1872" s="16" t="s">
        <v>1815</v>
      </c>
      <c r="H1872" s="14">
        <v>0.17</v>
      </c>
      <c r="I1872" s="14" t="s">
        <v>16474</v>
      </c>
      <c r="J1872" s="14" t="s">
        <v>16475</v>
      </c>
      <c r="K1872" s="14" t="s">
        <v>16476</v>
      </c>
      <c r="L1872" s="14" t="s">
        <v>16469</v>
      </c>
      <c r="O1872" s="14" t="s">
        <v>16477</v>
      </c>
      <c r="P1872" s="14" t="s">
        <v>16478</v>
      </c>
      <c r="Q1872" s="14">
        <v>414852.31</v>
      </c>
      <c r="R1872" s="14">
        <v>6197036.29</v>
      </c>
      <c r="S1872" s="14" t="s">
        <v>16479</v>
      </c>
      <c r="T1872" s="14" t="s">
        <v>16480</v>
      </c>
      <c r="U1872" s="14">
        <v>414878.98</v>
      </c>
      <c r="V1872" s="14">
        <v>6197036.6100000003</v>
      </c>
      <c r="W1872" s="14">
        <v>179.89</v>
      </c>
      <c r="X1872" s="14">
        <v>150.05000000000001</v>
      </c>
    </row>
    <row r="1873" spans="1:24" s="14" customFormat="1" x14ac:dyDescent="0.25">
      <c r="A1873" s="50">
        <v>45103</v>
      </c>
      <c r="B1873" s="57">
        <v>177</v>
      </c>
      <c r="C1873" s="36">
        <v>1.0520833333333333E-2</v>
      </c>
      <c r="D1873" s="16" t="s">
        <v>16344</v>
      </c>
      <c r="E1873" s="52" t="s">
        <v>65</v>
      </c>
      <c r="F1873" s="16" t="s">
        <v>8759</v>
      </c>
      <c r="G1873" s="16" t="s">
        <v>1816</v>
      </c>
      <c r="H1873" s="14">
        <v>0.16500000000000001</v>
      </c>
      <c r="I1873" s="14" t="s">
        <v>16485</v>
      </c>
      <c r="J1873" s="14" t="s">
        <v>16486</v>
      </c>
      <c r="K1873" s="14" t="s">
        <v>16487</v>
      </c>
      <c r="L1873" s="14" t="s">
        <v>16488</v>
      </c>
      <c r="O1873" s="14" t="s">
        <v>16481</v>
      </c>
      <c r="P1873" s="14" t="s">
        <v>16482</v>
      </c>
      <c r="Q1873" s="14">
        <v>414844.5</v>
      </c>
      <c r="R1873" s="14">
        <v>6197027.5099999998</v>
      </c>
      <c r="S1873" s="14" t="s">
        <v>16483</v>
      </c>
      <c r="T1873" s="14" t="s">
        <v>16484</v>
      </c>
      <c r="U1873" s="14">
        <v>414870.04</v>
      </c>
      <c r="V1873" s="14">
        <v>6197029.7300000004</v>
      </c>
      <c r="W1873" s="14">
        <v>0.95</v>
      </c>
      <c r="X1873" s="14">
        <v>150.05000000000001</v>
      </c>
    </row>
    <row r="1874" spans="1:24" s="14" customFormat="1" x14ac:dyDescent="0.25">
      <c r="A1874" s="50">
        <v>45103</v>
      </c>
      <c r="B1874" s="57">
        <v>177</v>
      </c>
      <c r="C1874" s="36">
        <v>1.40625E-2</v>
      </c>
      <c r="D1874" s="16" t="s">
        <v>16344</v>
      </c>
      <c r="E1874" s="14" t="s">
        <v>70</v>
      </c>
      <c r="F1874" s="16" t="s">
        <v>8759</v>
      </c>
      <c r="G1874" s="16" t="s">
        <v>1816</v>
      </c>
      <c r="H1874" s="14">
        <v>-8.9999999999999993E-3</v>
      </c>
      <c r="I1874" s="14" t="s">
        <v>16485</v>
      </c>
      <c r="J1874" s="14" t="s">
        <v>16486</v>
      </c>
      <c r="K1874" s="14" t="s">
        <v>16487</v>
      </c>
      <c r="L1874" s="14" t="s">
        <v>16488</v>
      </c>
      <c r="O1874" s="14" t="s">
        <v>16489</v>
      </c>
      <c r="P1874" s="14" t="s">
        <v>16490</v>
      </c>
      <c r="Q1874" s="14">
        <v>414844.53</v>
      </c>
      <c r="R1874" s="14">
        <v>6197214.2199999997</v>
      </c>
      <c r="S1874" s="14" t="s">
        <v>16491</v>
      </c>
      <c r="T1874" s="14" t="s">
        <v>16492</v>
      </c>
      <c r="U1874" s="14">
        <v>414868.92</v>
      </c>
      <c r="V1874" s="14">
        <v>6197203.7400000002</v>
      </c>
      <c r="W1874" s="14">
        <v>352.61</v>
      </c>
      <c r="X1874" s="14">
        <v>150.05000000000001</v>
      </c>
    </row>
    <row r="1875" spans="1:24" s="14" customFormat="1" x14ac:dyDescent="0.25">
      <c r="A1875" s="50">
        <v>45103</v>
      </c>
      <c r="B1875" s="57">
        <v>177</v>
      </c>
      <c r="C1875" s="36">
        <v>1.5706018518518518E-2</v>
      </c>
      <c r="D1875" s="16" t="s">
        <v>16344</v>
      </c>
      <c r="E1875" s="52" t="s">
        <v>16504</v>
      </c>
      <c r="F1875" s="16" t="s">
        <v>8759</v>
      </c>
      <c r="G1875" s="16" t="s">
        <v>1817</v>
      </c>
      <c r="H1875" s="14">
        <v>-1.0999999999999999E-2</v>
      </c>
      <c r="O1875" s="14" t="s">
        <v>16493</v>
      </c>
      <c r="P1875" s="14" t="s">
        <v>16494</v>
      </c>
      <c r="Q1875" s="14">
        <v>414837.11</v>
      </c>
      <c r="R1875" s="14">
        <v>6197231.6900000004</v>
      </c>
      <c r="S1875" s="14" t="s">
        <v>16495</v>
      </c>
      <c r="T1875" s="14" t="s">
        <v>16496</v>
      </c>
      <c r="U1875" s="14">
        <v>414860.74</v>
      </c>
      <c r="V1875" s="14">
        <v>6197216.9400000004</v>
      </c>
      <c r="W1875" s="14">
        <v>178.19</v>
      </c>
      <c r="X1875" s="14">
        <v>150.05000000000001</v>
      </c>
    </row>
    <row r="1876" spans="1:24" s="14" customFormat="1" x14ac:dyDescent="0.25">
      <c r="A1876" s="50">
        <v>45103</v>
      </c>
      <c r="B1876" s="57">
        <v>177</v>
      </c>
      <c r="C1876" s="36">
        <v>1.7789351851851851E-2</v>
      </c>
      <c r="D1876" s="16" t="s">
        <v>16344</v>
      </c>
      <c r="E1876" s="52" t="s">
        <v>65</v>
      </c>
      <c r="F1876" s="16" t="s">
        <v>8759</v>
      </c>
      <c r="G1876" s="16" t="s">
        <v>1817</v>
      </c>
      <c r="H1876" s="14">
        <v>-1.6E-2</v>
      </c>
      <c r="I1876" s="14" t="s">
        <v>16501</v>
      </c>
      <c r="J1876" s="14" t="s">
        <v>16502</v>
      </c>
      <c r="K1876" s="14" t="s">
        <v>16503</v>
      </c>
      <c r="L1876" s="14" t="s">
        <v>16488</v>
      </c>
      <c r="O1876" s="14" t="s">
        <v>16497</v>
      </c>
      <c r="P1876" s="14" t="s">
        <v>16498</v>
      </c>
      <c r="Q1876" s="14">
        <v>414835.68</v>
      </c>
      <c r="R1876" s="14">
        <v>6197223.0800000001</v>
      </c>
      <c r="S1876" s="14" t="s">
        <v>16499</v>
      </c>
      <c r="T1876" s="14" t="s">
        <v>16500</v>
      </c>
      <c r="U1876" s="14">
        <v>414861.12</v>
      </c>
      <c r="V1876" s="14">
        <v>6197222.21</v>
      </c>
      <c r="W1876" s="14">
        <v>181.95</v>
      </c>
      <c r="X1876" s="14">
        <v>150.05000000000001</v>
      </c>
    </row>
    <row r="1877" spans="1:24" s="14" customFormat="1" x14ac:dyDescent="0.25">
      <c r="A1877" s="50">
        <v>45103</v>
      </c>
      <c r="B1877" s="57">
        <v>177</v>
      </c>
      <c r="C1877" s="36">
        <v>2.1307870370370369E-2</v>
      </c>
      <c r="D1877" s="16" t="s">
        <v>16344</v>
      </c>
      <c r="E1877" s="52" t="s">
        <v>70</v>
      </c>
      <c r="F1877" s="16" t="s">
        <v>8759</v>
      </c>
      <c r="G1877" s="16" t="s">
        <v>1817</v>
      </c>
      <c r="H1877" s="14">
        <v>0.17</v>
      </c>
      <c r="I1877" s="14" t="s">
        <v>16501</v>
      </c>
      <c r="J1877" s="14" t="s">
        <v>16502</v>
      </c>
      <c r="K1877" s="14" t="s">
        <v>16503</v>
      </c>
      <c r="L1877" s="14" t="s">
        <v>16509</v>
      </c>
      <c r="O1877" s="14" t="s">
        <v>16505</v>
      </c>
      <c r="P1877" s="14" t="s">
        <v>16506</v>
      </c>
      <c r="Q1877" s="14">
        <v>414834.55</v>
      </c>
      <c r="R1877" s="14">
        <v>6197039.25</v>
      </c>
      <c r="S1877" s="14" t="s">
        <v>16507</v>
      </c>
      <c r="T1877" s="14" t="s">
        <v>16508</v>
      </c>
      <c r="U1877" s="14">
        <v>414860.99</v>
      </c>
      <c r="V1877" s="14">
        <v>6197036.6100000003</v>
      </c>
      <c r="W1877" s="14">
        <v>179.51</v>
      </c>
      <c r="X1877" s="14">
        <v>150.05000000000001</v>
      </c>
    </row>
    <row r="1878" spans="1:24" s="14" customFormat="1" x14ac:dyDescent="0.25">
      <c r="A1878" s="50">
        <v>45103</v>
      </c>
      <c r="B1878" s="57">
        <v>177</v>
      </c>
      <c r="C1878" s="36">
        <v>2.3912037037037034E-2</v>
      </c>
      <c r="D1878" s="16" t="s">
        <v>16344</v>
      </c>
      <c r="E1878" s="52" t="s">
        <v>65</v>
      </c>
      <c r="F1878" s="16" t="s">
        <v>8759</v>
      </c>
      <c r="G1878" s="16" t="s">
        <v>1818</v>
      </c>
      <c r="H1878" s="14">
        <v>0.16400000000000001</v>
      </c>
      <c r="I1878" s="14" t="s">
        <v>16514</v>
      </c>
      <c r="J1878" s="14" t="s">
        <v>16515</v>
      </c>
      <c r="K1878" s="14" t="s">
        <v>16516</v>
      </c>
      <c r="L1878" s="14" t="s">
        <v>16509</v>
      </c>
      <c r="O1878" s="14" t="s">
        <v>16510</v>
      </c>
      <c r="P1878" s="14" t="s">
        <v>16511</v>
      </c>
      <c r="Q1878" s="14">
        <v>414826.58</v>
      </c>
      <c r="R1878" s="14">
        <v>6197034.1100000003</v>
      </c>
      <c r="S1878" s="14" t="s">
        <v>16512</v>
      </c>
      <c r="T1878" s="14" t="s">
        <v>16513</v>
      </c>
      <c r="U1878" s="14">
        <v>414851.98</v>
      </c>
      <c r="V1878" s="14">
        <v>6197030.6200000001</v>
      </c>
      <c r="W1878" s="14">
        <v>0.66</v>
      </c>
      <c r="X1878" s="14">
        <v>150.05000000000001</v>
      </c>
    </row>
    <row r="1879" spans="1:24" s="14" customFormat="1" x14ac:dyDescent="0.25">
      <c r="A1879" s="50">
        <v>45103</v>
      </c>
      <c r="B1879" s="57">
        <v>177</v>
      </c>
      <c r="C1879" s="36">
        <v>2.7581018518518519E-2</v>
      </c>
      <c r="D1879" s="16" t="s">
        <v>16344</v>
      </c>
      <c r="E1879" s="14" t="s">
        <v>70</v>
      </c>
      <c r="F1879" s="16" t="s">
        <v>8759</v>
      </c>
      <c r="G1879" s="16" t="s">
        <v>1818</v>
      </c>
      <c r="H1879" s="14">
        <v>-1.9E-2</v>
      </c>
      <c r="I1879" s="14" t="s">
        <v>16514</v>
      </c>
      <c r="J1879" s="14" t="s">
        <v>16515</v>
      </c>
      <c r="K1879" s="14" t="s">
        <v>16516</v>
      </c>
      <c r="L1879" s="14" t="s">
        <v>16509</v>
      </c>
      <c r="O1879" s="14" t="s">
        <v>16517</v>
      </c>
      <c r="P1879" s="14" t="s">
        <v>16518</v>
      </c>
      <c r="Q1879" s="14">
        <v>414826.27</v>
      </c>
      <c r="R1879" s="14">
        <v>6197228.4000000004</v>
      </c>
      <c r="S1879" s="14" t="s">
        <v>16519</v>
      </c>
      <c r="T1879" s="14" t="s">
        <v>16520</v>
      </c>
      <c r="U1879" s="14">
        <v>414851.98</v>
      </c>
      <c r="V1879" s="14">
        <v>6197214.0700000003</v>
      </c>
      <c r="W1879" s="14">
        <v>7.0000000000000007E-2</v>
      </c>
      <c r="X1879" s="14">
        <v>150.05000000000001</v>
      </c>
    </row>
    <row r="1880" spans="1:24" s="14" customFormat="1" x14ac:dyDescent="0.25">
      <c r="A1880" s="50">
        <v>45103</v>
      </c>
      <c r="B1880" s="57">
        <v>177</v>
      </c>
      <c r="C1880" s="36">
        <v>3.1030092592592592E-2</v>
      </c>
      <c r="D1880" s="16" t="s">
        <v>16344</v>
      </c>
      <c r="E1880" s="52" t="s">
        <v>65</v>
      </c>
      <c r="F1880" s="16" t="s">
        <v>8759</v>
      </c>
      <c r="G1880" s="16" t="s">
        <v>1819</v>
      </c>
      <c r="H1880" s="14">
        <v>-1.6E-2</v>
      </c>
      <c r="I1880" s="14" t="s">
        <v>16525</v>
      </c>
      <c r="J1880" s="14" t="s">
        <v>16526</v>
      </c>
      <c r="K1880" s="14" t="s">
        <v>16527</v>
      </c>
      <c r="L1880" s="14" t="s">
        <v>16528</v>
      </c>
      <c r="O1880" s="14" t="s">
        <v>16521</v>
      </c>
      <c r="P1880" s="14" t="s">
        <v>16522</v>
      </c>
      <c r="Q1880" s="14">
        <v>414817.88</v>
      </c>
      <c r="R1880" s="14">
        <v>6197225.1100000003</v>
      </c>
      <c r="S1880" s="14" t="s">
        <v>16523</v>
      </c>
      <c r="T1880" s="14" t="s">
        <v>16524</v>
      </c>
      <c r="U1880" s="14">
        <v>414843.1</v>
      </c>
      <c r="V1880" s="14">
        <v>6197222.2000000002</v>
      </c>
      <c r="W1880" s="14">
        <v>180.98</v>
      </c>
      <c r="X1880" s="14">
        <v>150.05000000000001</v>
      </c>
    </row>
    <row r="1881" spans="1:24" s="14" customFormat="1" x14ac:dyDescent="0.25">
      <c r="A1881" s="50">
        <v>45103</v>
      </c>
      <c r="B1881" s="57">
        <v>177</v>
      </c>
      <c r="C1881" s="36">
        <v>3.4502314814814812E-2</v>
      </c>
      <c r="D1881" s="16" t="s">
        <v>16344</v>
      </c>
      <c r="E1881" s="14" t="s">
        <v>70</v>
      </c>
      <c r="F1881" s="16" t="s">
        <v>8759</v>
      </c>
      <c r="G1881" s="16" t="s">
        <v>1819</v>
      </c>
      <c r="H1881" s="14">
        <v>0.16900000000000001</v>
      </c>
      <c r="I1881" s="14" t="s">
        <v>16525</v>
      </c>
      <c r="J1881" s="14" t="s">
        <v>16526</v>
      </c>
      <c r="K1881" s="14" t="s">
        <v>16527</v>
      </c>
      <c r="L1881" s="14" t="s">
        <v>16528</v>
      </c>
      <c r="O1881" s="14" t="s">
        <v>16529</v>
      </c>
      <c r="P1881" s="14" t="s">
        <v>16530</v>
      </c>
      <c r="Q1881" s="14">
        <v>414816.46</v>
      </c>
      <c r="R1881" s="14">
        <v>6197041.9000000004</v>
      </c>
      <c r="S1881" s="14" t="s">
        <v>16531</v>
      </c>
      <c r="T1881" s="14" t="s">
        <v>16532</v>
      </c>
      <c r="U1881" s="14">
        <v>414843.01</v>
      </c>
      <c r="V1881" s="14">
        <v>6197037.5300000003</v>
      </c>
      <c r="W1881" s="14">
        <v>179.81</v>
      </c>
      <c r="X1881" s="14">
        <v>150.05000000000001</v>
      </c>
    </row>
    <row r="1882" spans="1:24" s="14" customFormat="1" x14ac:dyDescent="0.25">
      <c r="A1882" s="50">
        <v>45103</v>
      </c>
      <c r="B1882" s="57">
        <v>177</v>
      </c>
      <c r="C1882" s="36">
        <v>3.7291666666666667E-2</v>
      </c>
      <c r="D1882" s="16" t="s">
        <v>16344</v>
      </c>
      <c r="E1882" s="52" t="s">
        <v>65</v>
      </c>
      <c r="F1882" s="16" t="s">
        <v>8759</v>
      </c>
      <c r="G1882" s="16" t="s">
        <v>1820</v>
      </c>
      <c r="H1882" s="14">
        <v>0.16500000000000001</v>
      </c>
      <c r="I1882" s="14" t="s">
        <v>16537</v>
      </c>
      <c r="J1882" s="14" t="s">
        <v>16538</v>
      </c>
      <c r="K1882" s="14" t="s">
        <v>16539</v>
      </c>
      <c r="L1882" s="14" t="s">
        <v>16528</v>
      </c>
      <c r="O1882" s="14" t="s">
        <v>16533</v>
      </c>
      <c r="P1882" s="14" t="s">
        <v>16534</v>
      </c>
      <c r="Q1882" s="14">
        <v>414808.14</v>
      </c>
      <c r="R1882" s="14">
        <v>6197034.0700000003</v>
      </c>
      <c r="S1882" s="14" t="s">
        <v>16535</v>
      </c>
      <c r="T1882" s="14" t="s">
        <v>16536</v>
      </c>
      <c r="U1882" s="14">
        <v>414833.93</v>
      </c>
      <c r="V1882" s="14">
        <v>6197030.1900000004</v>
      </c>
      <c r="W1882" s="14">
        <v>0.3</v>
      </c>
      <c r="X1882" s="14">
        <v>150.05000000000001</v>
      </c>
    </row>
    <row r="1883" spans="1:24" s="14" customFormat="1" x14ac:dyDescent="0.25">
      <c r="A1883" s="50">
        <v>45103</v>
      </c>
      <c r="B1883" s="57">
        <v>177</v>
      </c>
      <c r="C1883" s="36">
        <v>4.144675925925926E-2</v>
      </c>
      <c r="D1883" s="16" t="s">
        <v>16344</v>
      </c>
      <c r="E1883" s="14" t="s">
        <v>70</v>
      </c>
      <c r="F1883" s="16" t="s">
        <v>8759</v>
      </c>
      <c r="G1883" s="16" t="s">
        <v>1820</v>
      </c>
      <c r="H1883" s="14">
        <v>-1.9E-2</v>
      </c>
      <c r="I1883" s="14" t="s">
        <v>16537</v>
      </c>
      <c r="J1883" s="14" t="s">
        <v>16538</v>
      </c>
      <c r="K1883" s="14" t="s">
        <v>16539</v>
      </c>
      <c r="L1883" s="14" t="s">
        <v>16544</v>
      </c>
      <c r="O1883" s="14" t="s">
        <v>16540</v>
      </c>
      <c r="P1883" s="14" t="s">
        <v>16541</v>
      </c>
      <c r="Q1883" s="14">
        <v>414808.49</v>
      </c>
      <c r="R1883" s="14">
        <v>6197218.5599999996</v>
      </c>
      <c r="S1883" s="14" t="s">
        <v>16542</v>
      </c>
      <c r="T1883" s="14" t="s">
        <v>16543</v>
      </c>
      <c r="U1883" s="14">
        <v>414833.93</v>
      </c>
      <c r="V1883" s="14">
        <v>6197213.7400000002</v>
      </c>
      <c r="W1883" s="14">
        <v>359.96</v>
      </c>
      <c r="X1883" s="14">
        <v>150.05000000000001</v>
      </c>
    </row>
    <row r="1884" spans="1:24" s="14" customFormat="1" x14ac:dyDescent="0.25">
      <c r="A1884" s="50">
        <v>45103</v>
      </c>
      <c r="B1884" s="57">
        <v>177</v>
      </c>
      <c r="C1884" s="36">
        <v>4.6261574074074073E-2</v>
      </c>
      <c r="D1884" s="16" t="s">
        <v>16344</v>
      </c>
      <c r="E1884" s="56" t="s">
        <v>65</v>
      </c>
      <c r="F1884" s="16" t="s">
        <v>8759</v>
      </c>
      <c r="G1884" s="16" t="s">
        <v>16545</v>
      </c>
      <c r="H1884" s="14">
        <v>-1.2999999999999999E-2</v>
      </c>
      <c r="I1884" s="14" t="s">
        <v>16550</v>
      </c>
      <c r="J1884" s="14" t="s">
        <v>16551</v>
      </c>
      <c r="K1884" s="14" t="s">
        <v>16552</v>
      </c>
      <c r="L1884" s="14" t="s">
        <v>16544</v>
      </c>
      <c r="O1884" s="14" t="s">
        <v>16546</v>
      </c>
      <c r="P1884" s="14" t="s">
        <v>16547</v>
      </c>
      <c r="Q1884" s="14">
        <v>414844.81</v>
      </c>
      <c r="R1884" s="14">
        <v>6197221.9000000004</v>
      </c>
      <c r="S1884" s="14" t="s">
        <v>16548</v>
      </c>
      <c r="T1884" s="14" t="s">
        <v>16549</v>
      </c>
      <c r="U1884" s="14">
        <v>414870.02</v>
      </c>
      <c r="V1884" s="14">
        <v>6197219.04</v>
      </c>
      <c r="W1884" s="14">
        <v>180.14</v>
      </c>
      <c r="X1884" s="14">
        <v>150.05000000000001</v>
      </c>
    </row>
    <row r="1885" spans="1:24" s="14" customFormat="1" x14ac:dyDescent="0.25">
      <c r="A1885" s="50">
        <v>45103</v>
      </c>
      <c r="B1885" s="57">
        <v>177</v>
      </c>
      <c r="C1885" s="36">
        <v>4.9733796296296297E-2</v>
      </c>
      <c r="D1885" s="16" t="s">
        <v>16344</v>
      </c>
      <c r="E1885" s="52" t="s">
        <v>70</v>
      </c>
      <c r="F1885" s="16" t="s">
        <v>8759</v>
      </c>
      <c r="G1885" s="16" t="s">
        <v>16545</v>
      </c>
      <c r="H1885" s="14">
        <v>0.16900000000000001</v>
      </c>
      <c r="I1885" s="14" t="s">
        <v>16550</v>
      </c>
      <c r="J1885" s="14" t="s">
        <v>16551</v>
      </c>
      <c r="K1885" s="14" t="s">
        <v>16552</v>
      </c>
      <c r="L1885" s="14" t="s">
        <v>16544</v>
      </c>
      <c r="O1885" s="14" t="s">
        <v>16553</v>
      </c>
      <c r="P1885" s="14" t="s">
        <v>16554</v>
      </c>
      <c r="Q1885" s="14">
        <v>414843.83</v>
      </c>
      <c r="R1885" s="14">
        <v>6197040.6699999999</v>
      </c>
      <c r="S1885" s="14" t="s">
        <v>16555</v>
      </c>
      <c r="T1885" s="14" t="s">
        <v>16556</v>
      </c>
      <c r="U1885" s="14">
        <v>414870</v>
      </c>
      <c r="V1885" s="14">
        <v>6197037.0099999998</v>
      </c>
      <c r="W1885" s="14">
        <v>179.31</v>
      </c>
      <c r="X1885" s="14">
        <v>150.05000000000001</v>
      </c>
    </row>
    <row r="1886" spans="1:24" s="14" customFormat="1" x14ac:dyDescent="0.25">
      <c r="A1886" s="50">
        <v>45103</v>
      </c>
      <c r="B1886" s="57">
        <v>177</v>
      </c>
      <c r="C1886" s="36">
        <v>5.0439814814814819E-2</v>
      </c>
      <c r="D1886" s="16" t="s">
        <v>16344</v>
      </c>
      <c r="E1886" s="52" t="s">
        <v>16561</v>
      </c>
      <c r="F1886" s="16" t="s">
        <v>8759</v>
      </c>
      <c r="G1886" s="16" t="s">
        <v>16545</v>
      </c>
      <c r="H1886" s="14">
        <v>0.19800000000000001</v>
      </c>
      <c r="O1886" s="14" t="s">
        <v>16557</v>
      </c>
      <c r="P1886" s="14" t="s">
        <v>16558</v>
      </c>
      <c r="Q1886" s="14">
        <v>414843.31</v>
      </c>
      <c r="R1886" s="14">
        <v>6197021.8200000003</v>
      </c>
      <c r="S1886" s="14" t="s">
        <v>16559</v>
      </c>
      <c r="T1886" s="14" t="s">
        <v>16560</v>
      </c>
      <c r="U1886" s="14">
        <v>414863.53</v>
      </c>
      <c r="V1886" s="14">
        <v>6197007.1500000004</v>
      </c>
      <c r="W1886" s="14">
        <v>203.01</v>
      </c>
      <c r="X1886" s="14">
        <v>150.05000000000001</v>
      </c>
    </row>
    <row r="1887" spans="1:24" s="14" customFormat="1" x14ac:dyDescent="0.25">
      <c r="A1887" s="50">
        <v>45103</v>
      </c>
      <c r="B1887" s="57">
        <v>177</v>
      </c>
      <c r="C1887" s="36">
        <v>6.8946759259259263E-2</v>
      </c>
      <c r="D1887" s="16" t="s">
        <v>16344</v>
      </c>
      <c r="E1887" s="52" t="s">
        <v>65</v>
      </c>
      <c r="F1887" s="16" t="s">
        <v>8759</v>
      </c>
      <c r="G1887" s="16" t="s">
        <v>1990</v>
      </c>
      <c r="H1887" s="14">
        <v>-1.0999999999999999E-2</v>
      </c>
      <c r="I1887" s="14" t="s">
        <v>16566</v>
      </c>
      <c r="J1887" s="14" t="s">
        <v>16567</v>
      </c>
      <c r="K1887" s="14" t="s">
        <v>16568</v>
      </c>
      <c r="L1887" s="14" t="s">
        <v>16569</v>
      </c>
      <c r="O1887" s="14" t="s">
        <v>16562</v>
      </c>
      <c r="P1887" s="14" t="s">
        <v>16563</v>
      </c>
      <c r="Q1887" s="14">
        <v>414385.45</v>
      </c>
      <c r="R1887" s="14">
        <v>6196083.6500000004</v>
      </c>
      <c r="S1887" s="14" t="s">
        <v>16564</v>
      </c>
      <c r="T1887" s="14" t="s">
        <v>16565</v>
      </c>
      <c r="U1887" s="14">
        <v>414411.84</v>
      </c>
      <c r="V1887" s="14">
        <v>6196080.7599999998</v>
      </c>
      <c r="W1887" s="14">
        <v>181.38</v>
      </c>
      <c r="X1887" s="14">
        <v>150.05000000000001</v>
      </c>
    </row>
    <row r="1888" spans="1:24" s="14" customFormat="1" x14ac:dyDescent="0.25">
      <c r="A1888" s="50">
        <v>45103</v>
      </c>
      <c r="B1888" s="57">
        <v>177</v>
      </c>
      <c r="C1888" s="36">
        <v>7.2337962962962965E-2</v>
      </c>
      <c r="D1888" s="16" t="s">
        <v>16344</v>
      </c>
      <c r="E1888" s="14" t="s">
        <v>70</v>
      </c>
      <c r="F1888" s="16" t="s">
        <v>8759</v>
      </c>
      <c r="G1888" s="16" t="s">
        <v>1990</v>
      </c>
      <c r="H1888" s="14">
        <v>0.16800000000000001</v>
      </c>
      <c r="I1888" s="14" t="s">
        <v>16566</v>
      </c>
      <c r="J1888" s="14" t="s">
        <v>16567</v>
      </c>
      <c r="K1888" s="14" t="s">
        <v>16568</v>
      </c>
      <c r="L1888" s="14" t="s">
        <v>16569</v>
      </c>
      <c r="O1888" s="14" t="s">
        <v>16570</v>
      </c>
      <c r="P1888" s="14" t="s">
        <v>16571</v>
      </c>
      <c r="Q1888" s="14">
        <v>414386.24</v>
      </c>
      <c r="R1888" s="14">
        <v>6195903.71</v>
      </c>
      <c r="S1888" s="14" t="s">
        <v>16572</v>
      </c>
      <c r="T1888" s="14" t="s">
        <v>16573</v>
      </c>
      <c r="U1888" s="14">
        <v>414411.73</v>
      </c>
      <c r="V1888" s="14">
        <v>6195901.4800000004</v>
      </c>
      <c r="W1888" s="14">
        <v>180.05</v>
      </c>
      <c r="X1888" s="14">
        <v>150.05000000000001</v>
      </c>
    </row>
    <row r="1889" spans="1:24" s="14" customFormat="1" x14ac:dyDescent="0.25">
      <c r="A1889" s="50">
        <v>45103</v>
      </c>
      <c r="B1889" s="57">
        <v>177</v>
      </c>
      <c r="C1889" s="36">
        <v>7.5231481481481483E-2</v>
      </c>
      <c r="D1889" s="16" t="s">
        <v>16344</v>
      </c>
      <c r="E1889" s="52" t="s">
        <v>65</v>
      </c>
      <c r="F1889" s="16" t="s">
        <v>8759</v>
      </c>
      <c r="G1889" s="16" t="s">
        <v>1989</v>
      </c>
      <c r="H1889" s="14">
        <v>0.16300000000000001</v>
      </c>
      <c r="I1889" s="14" t="s">
        <v>16578</v>
      </c>
      <c r="J1889" s="14" t="s">
        <v>16579</v>
      </c>
      <c r="K1889" s="14" t="s">
        <v>16580</v>
      </c>
      <c r="L1889" s="14" t="s">
        <v>16581</v>
      </c>
      <c r="O1889" s="14" t="s">
        <v>16574</v>
      </c>
      <c r="P1889" s="14" t="s">
        <v>16575</v>
      </c>
      <c r="Q1889" s="14">
        <v>414376.95</v>
      </c>
      <c r="R1889" s="14">
        <v>6195895.9100000001</v>
      </c>
      <c r="S1889" s="14" t="s">
        <v>16576</v>
      </c>
      <c r="T1889" s="14" t="s">
        <v>16577</v>
      </c>
      <c r="U1889" s="14">
        <v>414402.77</v>
      </c>
      <c r="V1889" s="14">
        <v>6195895.4400000004</v>
      </c>
      <c r="W1889" s="14">
        <v>0.3</v>
      </c>
      <c r="X1889" s="14">
        <v>150.05000000000001</v>
      </c>
    </row>
    <row r="1890" spans="1:24" s="14" customFormat="1" x14ac:dyDescent="0.25">
      <c r="A1890" s="50">
        <v>45103</v>
      </c>
      <c r="B1890" s="57">
        <v>177</v>
      </c>
      <c r="C1890" s="36">
        <v>7.9351851851851854E-2</v>
      </c>
      <c r="D1890" s="16" t="s">
        <v>16344</v>
      </c>
      <c r="E1890" s="52" t="s">
        <v>70</v>
      </c>
      <c r="F1890" s="16" t="s">
        <v>8759</v>
      </c>
      <c r="G1890" s="16" t="s">
        <v>1989</v>
      </c>
      <c r="H1890" s="14">
        <v>-1.6E-2</v>
      </c>
      <c r="I1890" s="14" t="s">
        <v>16578</v>
      </c>
      <c r="J1890" s="14" t="s">
        <v>16579</v>
      </c>
      <c r="K1890" s="14" t="s">
        <v>16580</v>
      </c>
      <c r="L1890" s="14" t="s">
        <v>16581</v>
      </c>
      <c r="O1890" s="14" t="s">
        <v>16582</v>
      </c>
      <c r="P1890" s="14" t="s">
        <v>16583</v>
      </c>
      <c r="Q1890" s="14">
        <v>414377.7</v>
      </c>
      <c r="R1890" s="14">
        <v>6196079</v>
      </c>
      <c r="S1890" s="14" t="s">
        <v>16584</v>
      </c>
      <c r="T1890" s="14" t="s">
        <v>16585</v>
      </c>
      <c r="U1890" s="14">
        <v>414402.81</v>
      </c>
      <c r="V1890" s="14">
        <v>6196074.7300000004</v>
      </c>
      <c r="W1890" s="14">
        <v>0.19</v>
      </c>
      <c r="X1890" s="14">
        <v>150.05000000000001</v>
      </c>
    </row>
    <row r="1891" spans="1:24" s="14" customFormat="1" x14ac:dyDescent="0.25">
      <c r="A1891" s="50">
        <v>45103</v>
      </c>
      <c r="B1891" s="57">
        <v>177</v>
      </c>
      <c r="C1891" s="36">
        <v>8.1990740740740739E-2</v>
      </c>
      <c r="D1891" s="16" t="s">
        <v>16344</v>
      </c>
      <c r="E1891" s="52" t="s">
        <v>65</v>
      </c>
      <c r="F1891" s="16" t="s">
        <v>8759</v>
      </c>
      <c r="G1891" s="16" t="s">
        <v>1988</v>
      </c>
      <c r="H1891" s="14">
        <v>-1.2E-2</v>
      </c>
      <c r="I1891" s="14" t="s">
        <v>16590</v>
      </c>
      <c r="J1891" s="14" t="s">
        <v>16591</v>
      </c>
      <c r="K1891" s="14" t="s">
        <v>16592</v>
      </c>
      <c r="L1891" s="14" t="s">
        <v>16581</v>
      </c>
      <c r="O1891" s="14" t="s">
        <v>16586</v>
      </c>
      <c r="P1891" s="14" t="s">
        <v>16587</v>
      </c>
      <c r="Q1891" s="14">
        <v>414368.22</v>
      </c>
      <c r="R1891" s="14">
        <v>6196085.6500000004</v>
      </c>
      <c r="S1891" s="14" t="s">
        <v>16588</v>
      </c>
      <c r="T1891" s="14" t="s">
        <v>16589</v>
      </c>
      <c r="U1891" s="14">
        <v>414393.9</v>
      </c>
      <c r="V1891" s="14">
        <v>6196082.2199999997</v>
      </c>
      <c r="W1891" s="14">
        <v>180.67</v>
      </c>
      <c r="X1891" s="14">
        <v>150.05000000000001</v>
      </c>
    </row>
    <row r="1892" spans="1:24" s="14" customFormat="1" x14ac:dyDescent="0.25">
      <c r="A1892" s="50">
        <v>45103</v>
      </c>
      <c r="B1892" s="57">
        <v>177</v>
      </c>
      <c r="C1892" s="36">
        <v>8.5474537037037043E-2</v>
      </c>
      <c r="D1892" s="16" t="s">
        <v>16344</v>
      </c>
      <c r="E1892" s="52" t="s">
        <v>70</v>
      </c>
      <c r="F1892" s="16" t="s">
        <v>8759</v>
      </c>
      <c r="G1892" s="16" t="s">
        <v>1988</v>
      </c>
      <c r="H1892" s="14">
        <v>0.16800000000000001</v>
      </c>
      <c r="I1892" s="14" t="s">
        <v>16590</v>
      </c>
      <c r="J1892" s="14" t="s">
        <v>16591</v>
      </c>
      <c r="K1892" s="14" t="s">
        <v>16592</v>
      </c>
      <c r="L1892" s="14" t="s">
        <v>16597</v>
      </c>
      <c r="O1892" s="14" t="s">
        <v>16593</v>
      </c>
      <c r="P1892" s="14" t="s">
        <v>16594</v>
      </c>
      <c r="Q1892" s="14">
        <v>414367.44</v>
      </c>
      <c r="R1892" s="14">
        <v>6195903.3799999999</v>
      </c>
      <c r="S1892" s="14" t="s">
        <v>16595</v>
      </c>
      <c r="T1892" s="14" t="s">
        <v>16596</v>
      </c>
      <c r="U1892" s="14">
        <v>414393.88</v>
      </c>
      <c r="V1892" s="14">
        <v>6195901.9199999999</v>
      </c>
      <c r="W1892" s="14">
        <v>180.32</v>
      </c>
      <c r="X1892" s="14">
        <v>150.05000000000001</v>
      </c>
    </row>
    <row r="1893" spans="1:24" s="14" customFormat="1" x14ac:dyDescent="0.25">
      <c r="A1893" s="50">
        <v>45103</v>
      </c>
      <c r="B1893" s="57">
        <v>177</v>
      </c>
      <c r="C1893" s="36">
        <v>8.8206018518518517E-2</v>
      </c>
      <c r="D1893" s="16" t="s">
        <v>16344</v>
      </c>
      <c r="E1893" s="52" t="s">
        <v>65</v>
      </c>
      <c r="F1893" s="16" t="s">
        <v>8759</v>
      </c>
      <c r="G1893" s="16" t="s">
        <v>1987</v>
      </c>
      <c r="H1893" s="14">
        <v>0.16400000000000001</v>
      </c>
      <c r="I1893" s="14" t="s">
        <v>16602</v>
      </c>
      <c r="J1893" s="14" t="s">
        <v>16603</v>
      </c>
      <c r="K1893" s="14" t="s">
        <v>16604</v>
      </c>
      <c r="L1893" s="14" t="s">
        <v>16597</v>
      </c>
      <c r="O1893" s="14" t="s">
        <v>16598</v>
      </c>
      <c r="P1893" s="14" t="s">
        <v>16599</v>
      </c>
      <c r="Q1893" s="14">
        <v>414359.07</v>
      </c>
      <c r="R1893" s="14">
        <v>6195897.8799999999</v>
      </c>
      <c r="S1893" s="14" t="s">
        <v>16600</v>
      </c>
      <c r="T1893" s="14" t="s">
        <v>16601</v>
      </c>
      <c r="U1893" s="14">
        <v>414384.88</v>
      </c>
      <c r="V1893" s="14">
        <v>6195895.2999999998</v>
      </c>
      <c r="W1893" s="14">
        <v>0.48</v>
      </c>
      <c r="X1893" s="14">
        <v>150.05000000000001</v>
      </c>
    </row>
    <row r="1894" spans="1:24" s="14" customFormat="1" x14ac:dyDescent="0.25">
      <c r="A1894" s="50">
        <v>45103</v>
      </c>
      <c r="B1894" s="57">
        <v>177</v>
      </c>
      <c r="C1894" s="36">
        <v>9.2291666666666661E-2</v>
      </c>
      <c r="D1894" s="16" t="s">
        <v>16344</v>
      </c>
      <c r="E1894" s="52" t="s">
        <v>70</v>
      </c>
      <c r="F1894" s="16" t="s">
        <v>8759</v>
      </c>
      <c r="G1894" s="16" t="s">
        <v>1987</v>
      </c>
      <c r="H1894" s="14">
        <v>-1.7000000000000001E-2</v>
      </c>
      <c r="I1894" s="14" t="s">
        <v>16602</v>
      </c>
      <c r="J1894" s="14" t="s">
        <v>16603</v>
      </c>
      <c r="K1894" s="14" t="s">
        <v>16604</v>
      </c>
      <c r="L1894" s="14" t="s">
        <v>16597</v>
      </c>
      <c r="O1894" s="14" t="s">
        <v>16605</v>
      </c>
      <c r="P1894" s="14" t="s">
        <v>16606</v>
      </c>
      <c r="Q1894" s="14">
        <v>414359.74</v>
      </c>
      <c r="R1894" s="14">
        <v>6196079.4199999999</v>
      </c>
      <c r="S1894" s="14" t="s">
        <v>16607</v>
      </c>
      <c r="T1894" s="14" t="s">
        <v>16608</v>
      </c>
      <c r="U1894" s="14">
        <v>414384.89</v>
      </c>
      <c r="V1894" s="14">
        <v>6196075.4299999997</v>
      </c>
      <c r="W1894" s="14">
        <v>0.01</v>
      </c>
      <c r="X1894" s="14">
        <v>150.05000000000001</v>
      </c>
    </row>
    <row r="1895" spans="1:24" s="14" customFormat="1" x14ac:dyDescent="0.25">
      <c r="A1895" s="50">
        <v>45103</v>
      </c>
      <c r="B1895" s="57">
        <v>177</v>
      </c>
      <c r="C1895" s="36">
        <v>9.52662037037037E-2</v>
      </c>
      <c r="D1895" s="16" t="s">
        <v>16344</v>
      </c>
      <c r="E1895" s="52" t="s">
        <v>65</v>
      </c>
      <c r="F1895" s="16" t="s">
        <v>8759</v>
      </c>
      <c r="G1895" s="16" t="s">
        <v>1986</v>
      </c>
      <c r="H1895" s="14">
        <v>-1.2999999999999999E-2</v>
      </c>
      <c r="I1895" s="14" t="s">
        <v>16613</v>
      </c>
      <c r="J1895" s="14" t="s">
        <v>16614</v>
      </c>
      <c r="K1895" s="14" t="s">
        <v>16615</v>
      </c>
      <c r="L1895" s="14" t="s">
        <v>16616</v>
      </c>
      <c r="O1895" s="14" t="s">
        <v>16609</v>
      </c>
      <c r="P1895" s="14" t="s">
        <v>16610</v>
      </c>
      <c r="Q1895" s="14">
        <v>414350.39</v>
      </c>
      <c r="R1895" s="14">
        <v>6196087.4299999997</v>
      </c>
      <c r="S1895" s="14" t="s">
        <v>16611</v>
      </c>
      <c r="T1895" s="14" t="s">
        <v>16612</v>
      </c>
      <c r="U1895" s="14">
        <v>414376.06</v>
      </c>
      <c r="V1895" s="14">
        <v>6196082.6699999999</v>
      </c>
      <c r="W1895" s="14">
        <v>182.12</v>
      </c>
      <c r="X1895" s="14">
        <v>150.05000000000001</v>
      </c>
    </row>
    <row r="1896" spans="1:24" s="14" customFormat="1" x14ac:dyDescent="0.25">
      <c r="A1896" s="50">
        <v>45103</v>
      </c>
      <c r="B1896" s="57">
        <v>177</v>
      </c>
      <c r="C1896" s="36">
        <v>9.8703703703703696E-2</v>
      </c>
      <c r="D1896" s="16" t="s">
        <v>16344</v>
      </c>
      <c r="E1896" s="52" t="s">
        <v>70</v>
      </c>
      <c r="F1896" s="16" t="s">
        <v>8759</v>
      </c>
      <c r="G1896" s="16" t="s">
        <v>1986</v>
      </c>
      <c r="H1896" s="14">
        <v>0.17</v>
      </c>
      <c r="I1896" s="14" t="s">
        <v>16613</v>
      </c>
      <c r="J1896" s="14" t="s">
        <v>16614</v>
      </c>
      <c r="K1896" s="14" t="s">
        <v>16615</v>
      </c>
      <c r="L1896" s="14" t="s">
        <v>16616</v>
      </c>
      <c r="O1896" s="14" t="s">
        <v>16617</v>
      </c>
      <c r="P1896" s="14" t="s">
        <v>16618</v>
      </c>
      <c r="Q1896" s="14">
        <v>414349.86</v>
      </c>
      <c r="R1896" s="14">
        <v>6195906.6100000003</v>
      </c>
      <c r="S1896" s="14" t="s">
        <v>16619</v>
      </c>
      <c r="T1896" s="14" t="s">
        <v>16620</v>
      </c>
      <c r="U1896" s="14">
        <v>414375.83</v>
      </c>
      <c r="V1896" s="14">
        <v>6195900.3099999996</v>
      </c>
      <c r="W1896" s="14">
        <v>180.39</v>
      </c>
      <c r="X1896" s="14">
        <v>150.05000000000001</v>
      </c>
    </row>
    <row r="1897" spans="1:24" s="14" customFormat="1" x14ac:dyDescent="0.25">
      <c r="A1897" s="50">
        <v>45103</v>
      </c>
      <c r="B1897" s="57">
        <v>177</v>
      </c>
      <c r="C1897" s="36">
        <v>0.10122685185185186</v>
      </c>
      <c r="D1897" s="16" t="s">
        <v>16344</v>
      </c>
      <c r="E1897" s="52" t="s">
        <v>65</v>
      </c>
      <c r="F1897" s="16" t="s">
        <v>8759</v>
      </c>
      <c r="G1897" s="16" t="s">
        <v>1985</v>
      </c>
      <c r="H1897" s="14">
        <v>0.16500000000000001</v>
      </c>
      <c r="I1897" s="14" t="s">
        <v>16625</v>
      </c>
      <c r="J1897" s="14" t="s">
        <v>16626</v>
      </c>
      <c r="K1897" s="14" t="s">
        <v>16627</v>
      </c>
      <c r="L1897" s="14" t="s">
        <v>16616</v>
      </c>
      <c r="O1897" s="14" t="s">
        <v>16621</v>
      </c>
      <c r="P1897" s="14" t="s">
        <v>16622</v>
      </c>
      <c r="Q1897" s="14">
        <v>414340.85</v>
      </c>
      <c r="R1897" s="14">
        <v>6195895.1399999997</v>
      </c>
      <c r="S1897" s="14" t="s">
        <v>16623</v>
      </c>
      <c r="T1897" s="14" t="s">
        <v>16624</v>
      </c>
      <c r="U1897" s="14">
        <v>414366.97</v>
      </c>
      <c r="V1897" s="14">
        <v>6195894.2699999996</v>
      </c>
      <c r="W1897" s="14">
        <v>359.61</v>
      </c>
      <c r="X1897" s="14">
        <v>150.05000000000001</v>
      </c>
    </row>
    <row r="1898" spans="1:24" s="14" customFormat="1" x14ac:dyDescent="0.25">
      <c r="A1898" s="50">
        <v>45103</v>
      </c>
      <c r="B1898" s="57">
        <v>177</v>
      </c>
      <c r="C1898" s="36">
        <v>0.10631944444444445</v>
      </c>
      <c r="D1898" s="16" t="s">
        <v>16344</v>
      </c>
      <c r="E1898" s="52" t="s">
        <v>70</v>
      </c>
      <c r="F1898" s="16" t="s">
        <v>8759</v>
      </c>
      <c r="G1898" s="16" t="s">
        <v>1985</v>
      </c>
      <c r="H1898" s="14">
        <v>-1.6E-2</v>
      </c>
      <c r="I1898" s="14" t="s">
        <v>16625</v>
      </c>
      <c r="J1898" s="14" t="s">
        <v>16626</v>
      </c>
      <c r="K1898" s="14" t="s">
        <v>16627</v>
      </c>
      <c r="L1898" s="14" t="s">
        <v>16632</v>
      </c>
      <c r="O1898" s="14" t="s">
        <v>16628</v>
      </c>
      <c r="P1898" s="14" t="s">
        <v>16629</v>
      </c>
      <c r="Q1898" s="14">
        <v>414341.92</v>
      </c>
      <c r="R1898" s="14">
        <v>6196076.1200000001</v>
      </c>
      <c r="S1898" s="14" t="s">
        <v>16630</v>
      </c>
      <c r="T1898" s="14" t="s">
        <v>16631</v>
      </c>
      <c r="U1898" s="14">
        <v>414366.84</v>
      </c>
      <c r="V1898" s="14">
        <v>6196074.7300000004</v>
      </c>
      <c r="W1898" s="14">
        <v>359.87</v>
      </c>
      <c r="X1898" s="14">
        <v>150.05000000000001</v>
      </c>
    </row>
    <row r="1899" spans="1:24" s="14" customFormat="1" x14ac:dyDescent="0.25">
      <c r="A1899" s="50">
        <v>45103</v>
      </c>
      <c r="B1899" s="57">
        <v>177</v>
      </c>
      <c r="C1899" s="36">
        <v>0.10895833333333334</v>
      </c>
      <c r="D1899" s="16" t="s">
        <v>16344</v>
      </c>
      <c r="E1899" s="52" t="s">
        <v>65</v>
      </c>
      <c r="F1899" s="16" t="s">
        <v>8759</v>
      </c>
      <c r="G1899" s="16" t="s">
        <v>1979</v>
      </c>
      <c r="H1899" s="14">
        <v>-8.0000000000000002E-3</v>
      </c>
      <c r="I1899" s="14" t="s">
        <v>16637</v>
      </c>
      <c r="J1899" s="14" t="s">
        <v>16638</v>
      </c>
      <c r="K1899" s="14" t="s">
        <v>16639</v>
      </c>
      <c r="L1899" s="14" t="s">
        <v>16632</v>
      </c>
      <c r="O1899" s="14" t="s">
        <v>16633</v>
      </c>
      <c r="P1899" s="14" t="s">
        <v>16634</v>
      </c>
      <c r="Q1899" s="14">
        <v>414332.5</v>
      </c>
      <c r="R1899" s="14">
        <v>6196084.4400000004</v>
      </c>
      <c r="S1899" s="14" t="s">
        <v>16635</v>
      </c>
      <c r="T1899" s="14" t="s">
        <v>16636</v>
      </c>
      <c r="U1899" s="14">
        <v>414357.95</v>
      </c>
      <c r="V1899" s="14">
        <v>6196077.6699999999</v>
      </c>
      <c r="W1899" s="14">
        <v>181.18</v>
      </c>
      <c r="X1899" s="14">
        <v>150.05000000000001</v>
      </c>
    </row>
    <row r="1900" spans="1:24" s="14" customFormat="1" x14ac:dyDescent="0.25">
      <c r="A1900" s="50">
        <v>45103</v>
      </c>
      <c r="B1900" s="57">
        <v>177</v>
      </c>
      <c r="C1900" s="36">
        <v>0.11236111111111112</v>
      </c>
      <c r="D1900" s="16" t="s">
        <v>16344</v>
      </c>
      <c r="E1900" s="52" t="s">
        <v>70</v>
      </c>
      <c r="F1900" s="16" t="s">
        <v>8759</v>
      </c>
      <c r="G1900" s="16" t="s">
        <v>1979</v>
      </c>
      <c r="H1900" s="14">
        <v>0.16900000000000001</v>
      </c>
      <c r="I1900" s="14" t="s">
        <v>16637</v>
      </c>
      <c r="J1900" s="14" t="s">
        <v>16638</v>
      </c>
      <c r="K1900" s="14" t="s">
        <v>16639</v>
      </c>
      <c r="L1900" s="14" t="s">
        <v>16632</v>
      </c>
      <c r="O1900" s="14" t="s">
        <v>16640</v>
      </c>
      <c r="P1900" s="14" t="s">
        <v>16641</v>
      </c>
      <c r="Q1900" s="14">
        <v>414331.57</v>
      </c>
      <c r="R1900" s="14">
        <v>6195906.9400000004</v>
      </c>
      <c r="S1900" s="14" t="s">
        <v>16642</v>
      </c>
      <c r="T1900" s="14" t="s">
        <v>16643</v>
      </c>
      <c r="U1900" s="14">
        <v>414357.91</v>
      </c>
      <c r="V1900" s="14">
        <v>6195901.0599999996</v>
      </c>
      <c r="W1900" s="14">
        <v>180.02</v>
      </c>
      <c r="X1900" s="14">
        <v>150.05000000000001</v>
      </c>
    </row>
    <row r="1901" spans="1:24" s="14" customFormat="1" x14ac:dyDescent="0.25">
      <c r="A1901" s="50">
        <v>45103</v>
      </c>
      <c r="B1901" s="57">
        <v>177</v>
      </c>
      <c r="C1901" s="36">
        <v>0.1149074074074074</v>
      </c>
      <c r="D1901" s="16" t="s">
        <v>16344</v>
      </c>
      <c r="E1901" s="52" t="s">
        <v>65</v>
      </c>
      <c r="F1901" s="16" t="s">
        <v>8759</v>
      </c>
      <c r="G1901" s="16" t="s">
        <v>1980</v>
      </c>
      <c r="H1901" s="14">
        <v>0.16500000000000001</v>
      </c>
      <c r="I1901" s="14" t="s">
        <v>16648</v>
      </c>
      <c r="J1901" s="14" t="s">
        <v>16649</v>
      </c>
      <c r="K1901" s="14" t="s">
        <v>16650</v>
      </c>
      <c r="L1901" s="14" t="s">
        <v>16651</v>
      </c>
      <c r="O1901" s="14" t="s">
        <v>16644</v>
      </c>
      <c r="P1901" s="14" t="s">
        <v>16645</v>
      </c>
      <c r="Q1901" s="14">
        <v>414323.18</v>
      </c>
      <c r="R1901" s="14">
        <v>6195895.8700000001</v>
      </c>
      <c r="S1901" s="14" t="s">
        <v>16646</v>
      </c>
      <c r="T1901" s="14" t="s">
        <v>16647</v>
      </c>
      <c r="U1901" s="14">
        <v>414348.97</v>
      </c>
      <c r="V1901" s="14">
        <v>6195894.25</v>
      </c>
      <c r="W1901" s="14">
        <v>359.1</v>
      </c>
      <c r="X1901" s="14">
        <v>150.05000000000001</v>
      </c>
    </row>
    <row r="1902" spans="1:24" s="14" customFormat="1" x14ac:dyDescent="0.25">
      <c r="A1902" s="50">
        <v>45103</v>
      </c>
      <c r="B1902" s="57">
        <v>177</v>
      </c>
      <c r="C1902" s="36">
        <v>0.12001157407407408</v>
      </c>
      <c r="D1902" s="16" t="s">
        <v>16344</v>
      </c>
      <c r="E1902" s="14" t="s">
        <v>70</v>
      </c>
      <c r="F1902" s="16" t="s">
        <v>8759</v>
      </c>
      <c r="G1902" s="16" t="s">
        <v>1980</v>
      </c>
      <c r="H1902" s="14">
        <v>-1.6E-2</v>
      </c>
      <c r="I1902" s="14" t="s">
        <v>16648</v>
      </c>
      <c r="J1902" s="14" t="s">
        <v>16649</v>
      </c>
      <c r="K1902" s="14" t="s">
        <v>16650</v>
      </c>
      <c r="L1902" s="14" t="s">
        <v>16651</v>
      </c>
      <c r="O1902" s="14" t="s">
        <v>16652</v>
      </c>
      <c r="P1902" s="14" t="s">
        <v>16653</v>
      </c>
      <c r="Q1902" s="14">
        <v>414323.99</v>
      </c>
      <c r="R1902" s="14">
        <v>6196077.5999999996</v>
      </c>
      <c r="S1902" s="14" t="s">
        <v>16654</v>
      </c>
      <c r="T1902" s="14" t="s">
        <v>16655</v>
      </c>
      <c r="U1902" s="14">
        <v>414348.92</v>
      </c>
      <c r="V1902" s="14">
        <v>6196075.1299999999</v>
      </c>
      <c r="W1902" s="14">
        <v>359.81</v>
      </c>
      <c r="X1902" s="14">
        <v>150.05000000000001</v>
      </c>
    </row>
    <row r="1903" spans="1:24" s="14" customFormat="1" x14ac:dyDescent="0.25">
      <c r="A1903" s="50">
        <v>45103</v>
      </c>
      <c r="B1903" s="57">
        <v>177</v>
      </c>
      <c r="C1903" s="36">
        <v>0.12239583333333333</v>
      </c>
      <c r="D1903" s="16" t="s">
        <v>16344</v>
      </c>
      <c r="E1903" s="52" t="s">
        <v>65</v>
      </c>
      <c r="F1903" s="16" t="s">
        <v>8759</v>
      </c>
      <c r="G1903" s="16" t="s">
        <v>1981</v>
      </c>
      <c r="H1903" s="14">
        <v>-1.2999999999999999E-2</v>
      </c>
      <c r="I1903" s="14" t="s">
        <v>16660</v>
      </c>
      <c r="J1903" s="14" t="s">
        <v>16661</v>
      </c>
      <c r="K1903" s="14" t="s">
        <v>16662</v>
      </c>
      <c r="L1903" s="14" t="s">
        <v>16651</v>
      </c>
      <c r="O1903" s="14" t="s">
        <v>16656</v>
      </c>
      <c r="P1903" s="14" t="s">
        <v>16657</v>
      </c>
      <c r="Q1903" s="14">
        <v>414314.47</v>
      </c>
      <c r="R1903" s="14">
        <v>6196087.8499999996</v>
      </c>
      <c r="S1903" s="14" t="s">
        <v>16658</v>
      </c>
      <c r="T1903" s="14" t="s">
        <v>16659</v>
      </c>
      <c r="U1903" s="14">
        <v>414339.93</v>
      </c>
      <c r="V1903" s="14">
        <v>6196082.7699999996</v>
      </c>
      <c r="W1903" s="14">
        <v>181.24</v>
      </c>
      <c r="X1903" s="14">
        <v>150.05000000000001</v>
      </c>
    </row>
    <row r="1904" spans="1:24" s="14" customFormat="1" x14ac:dyDescent="0.25">
      <c r="A1904" s="50">
        <v>45103</v>
      </c>
      <c r="B1904" s="57">
        <v>177</v>
      </c>
      <c r="C1904" s="36">
        <v>0.12592592592592591</v>
      </c>
      <c r="D1904" s="16" t="s">
        <v>16344</v>
      </c>
      <c r="E1904" s="14" t="s">
        <v>70</v>
      </c>
      <c r="F1904" s="16" t="s">
        <v>8759</v>
      </c>
      <c r="G1904" s="16" t="s">
        <v>1981</v>
      </c>
      <c r="H1904" s="14">
        <v>0.17</v>
      </c>
      <c r="I1904" s="14" t="s">
        <v>16660</v>
      </c>
      <c r="J1904" s="14" t="s">
        <v>16661</v>
      </c>
      <c r="K1904" s="14" t="s">
        <v>16662</v>
      </c>
      <c r="L1904" s="14" t="s">
        <v>16667</v>
      </c>
      <c r="O1904" s="14" t="s">
        <v>16663</v>
      </c>
      <c r="P1904" s="14" t="s">
        <v>16664</v>
      </c>
      <c r="Q1904" s="14">
        <v>414313.5</v>
      </c>
      <c r="R1904" s="14">
        <v>6195904.1699999999</v>
      </c>
      <c r="S1904" s="14" t="s">
        <v>16665</v>
      </c>
      <c r="T1904" s="14" t="s">
        <v>16666</v>
      </c>
      <c r="U1904" s="14">
        <v>414339.92</v>
      </c>
      <c r="V1904" s="14">
        <v>6195900.21</v>
      </c>
      <c r="W1904" s="14">
        <v>180.54</v>
      </c>
      <c r="X1904" s="14">
        <v>150.05000000000001</v>
      </c>
    </row>
    <row r="1905" spans="1:24" s="14" customFormat="1" x14ac:dyDescent="0.25">
      <c r="A1905" s="50">
        <v>45103</v>
      </c>
      <c r="B1905" s="57">
        <v>177</v>
      </c>
      <c r="C1905" s="36">
        <v>0.12910879629629629</v>
      </c>
      <c r="D1905" s="16" t="s">
        <v>16344</v>
      </c>
      <c r="E1905" s="52" t="s">
        <v>65</v>
      </c>
      <c r="F1905" s="16" t="s">
        <v>8759</v>
      </c>
      <c r="G1905" s="16" t="s">
        <v>1982</v>
      </c>
      <c r="H1905" s="14">
        <v>0.16500000000000001</v>
      </c>
      <c r="I1905" s="14" t="s">
        <v>16672</v>
      </c>
      <c r="J1905" s="14" t="s">
        <v>16673</v>
      </c>
      <c r="K1905" s="14" t="s">
        <v>16674</v>
      </c>
      <c r="L1905" s="14" t="s">
        <v>16667</v>
      </c>
      <c r="O1905" s="14" t="s">
        <v>16668</v>
      </c>
      <c r="P1905" s="14" t="s">
        <v>16669</v>
      </c>
      <c r="Q1905" s="14">
        <v>414304.2</v>
      </c>
      <c r="R1905" s="14">
        <v>6195893.0499999998</v>
      </c>
      <c r="S1905" s="14" t="s">
        <v>16670</v>
      </c>
      <c r="T1905" s="14" t="s">
        <v>16671</v>
      </c>
      <c r="U1905" s="14">
        <v>414330.97</v>
      </c>
      <c r="V1905" s="14">
        <v>6195893.6900000004</v>
      </c>
      <c r="W1905" s="14">
        <v>359.19</v>
      </c>
      <c r="X1905" s="14">
        <v>150.05000000000001</v>
      </c>
    </row>
    <row r="1906" spans="1:24" s="14" customFormat="1" x14ac:dyDescent="0.25">
      <c r="A1906" s="50">
        <v>45103</v>
      </c>
      <c r="B1906" s="57">
        <v>177</v>
      </c>
      <c r="C1906" s="36">
        <v>0.13425925925925927</v>
      </c>
      <c r="D1906" s="16" t="s">
        <v>16344</v>
      </c>
      <c r="E1906" s="52" t="s">
        <v>70</v>
      </c>
      <c r="F1906" s="16" t="s">
        <v>8759</v>
      </c>
      <c r="G1906" s="16" t="s">
        <v>1982</v>
      </c>
      <c r="H1906" s="14">
        <v>-1.7999999999999999E-2</v>
      </c>
      <c r="I1906" s="14" t="s">
        <v>16672</v>
      </c>
      <c r="J1906" s="14" t="s">
        <v>16673</v>
      </c>
      <c r="K1906" s="14" t="s">
        <v>16674</v>
      </c>
      <c r="L1906" s="14" t="s">
        <v>16667</v>
      </c>
      <c r="O1906" s="14" t="s">
        <v>16675</v>
      </c>
      <c r="P1906" s="14" t="s">
        <v>16676</v>
      </c>
      <c r="Q1906" s="14">
        <v>414305.6</v>
      </c>
      <c r="R1906" s="14">
        <v>6196075.7300000004</v>
      </c>
      <c r="S1906" s="14" t="s">
        <v>16677</v>
      </c>
      <c r="T1906" s="14" t="s">
        <v>16678</v>
      </c>
      <c r="U1906" s="14">
        <v>414330.87</v>
      </c>
      <c r="V1906" s="14">
        <v>6196076.4100000001</v>
      </c>
      <c r="W1906" s="14">
        <v>359.97</v>
      </c>
      <c r="X1906" s="14">
        <v>150.05000000000001</v>
      </c>
    </row>
    <row r="1907" spans="1:24" s="14" customFormat="1" x14ac:dyDescent="0.25">
      <c r="A1907" s="50">
        <v>45103</v>
      </c>
      <c r="B1907" s="57">
        <v>177</v>
      </c>
      <c r="C1907" s="36">
        <v>0.13659722222222223</v>
      </c>
      <c r="D1907" s="16" t="s">
        <v>16344</v>
      </c>
      <c r="E1907" s="52" t="s">
        <v>65</v>
      </c>
      <c r="F1907" s="16" t="s">
        <v>8759</v>
      </c>
      <c r="G1907" s="16" t="s">
        <v>1983</v>
      </c>
      <c r="H1907" s="14">
        <v>-1.0999999999999999E-2</v>
      </c>
      <c r="I1907" s="14" t="s">
        <v>16683</v>
      </c>
      <c r="J1907" s="14" t="s">
        <v>16684</v>
      </c>
      <c r="K1907" s="14" t="s">
        <v>16685</v>
      </c>
      <c r="L1907" s="14" t="s">
        <v>16686</v>
      </c>
      <c r="O1907" s="14" t="s">
        <v>16679</v>
      </c>
      <c r="P1907" s="14" t="s">
        <v>16680</v>
      </c>
      <c r="Q1907" s="14">
        <v>414295.69</v>
      </c>
      <c r="R1907" s="14">
        <v>6196085.0499999998</v>
      </c>
      <c r="S1907" s="14" t="s">
        <v>16681</v>
      </c>
      <c r="T1907" s="14" t="s">
        <v>16682</v>
      </c>
      <c r="U1907" s="14">
        <v>414321.97</v>
      </c>
      <c r="V1907" s="14">
        <v>6196080.5899999999</v>
      </c>
      <c r="W1907" s="14">
        <v>181.94</v>
      </c>
      <c r="X1907" s="14">
        <v>150.05000000000001</v>
      </c>
    </row>
    <row r="1908" spans="1:24" s="14" customFormat="1" x14ac:dyDescent="0.25">
      <c r="A1908" s="50">
        <v>45103</v>
      </c>
      <c r="B1908" s="57">
        <v>177</v>
      </c>
      <c r="C1908" s="36">
        <v>0.14010416666666667</v>
      </c>
      <c r="D1908" s="16" t="s">
        <v>16344</v>
      </c>
      <c r="E1908" s="52" t="s">
        <v>70</v>
      </c>
      <c r="F1908" s="16" t="s">
        <v>8759</v>
      </c>
      <c r="G1908" s="16" t="s">
        <v>1983</v>
      </c>
      <c r="H1908" s="14">
        <v>0.17</v>
      </c>
      <c r="I1908" s="14" t="s">
        <v>16683</v>
      </c>
      <c r="J1908" s="14" t="s">
        <v>16684</v>
      </c>
      <c r="K1908" s="14" t="s">
        <v>16685</v>
      </c>
      <c r="L1908" s="14" t="s">
        <v>16686</v>
      </c>
      <c r="O1908" s="14" t="s">
        <v>16687</v>
      </c>
      <c r="P1908" s="14" t="s">
        <v>16688</v>
      </c>
      <c r="Q1908" s="14">
        <v>414294.24</v>
      </c>
      <c r="R1908" s="14">
        <v>6195903.5</v>
      </c>
      <c r="S1908" s="14" t="s">
        <v>16689</v>
      </c>
      <c r="T1908" s="14" t="s">
        <v>16690</v>
      </c>
      <c r="U1908" s="14">
        <v>414321.9</v>
      </c>
      <c r="V1908" s="14">
        <v>6195899.8399999999</v>
      </c>
      <c r="W1908" s="14">
        <v>180.86</v>
      </c>
      <c r="X1908" s="14">
        <v>150.05000000000001</v>
      </c>
    </row>
    <row r="1909" spans="1:24" s="14" customFormat="1" x14ac:dyDescent="0.25">
      <c r="A1909" s="50">
        <v>45103</v>
      </c>
      <c r="B1909" s="57">
        <v>177</v>
      </c>
      <c r="C1909" s="36">
        <v>0.14189814814814813</v>
      </c>
      <c r="D1909" s="16" t="s">
        <v>16344</v>
      </c>
      <c r="E1909" s="52" t="s">
        <v>16695</v>
      </c>
      <c r="F1909" s="16" t="s">
        <v>8759</v>
      </c>
      <c r="G1909" s="16" t="s">
        <v>1984</v>
      </c>
      <c r="H1909" s="14">
        <v>0.20399999999999999</v>
      </c>
      <c r="O1909" s="14" t="s">
        <v>16691</v>
      </c>
      <c r="P1909" s="14" t="s">
        <v>16692</v>
      </c>
      <c r="Q1909" s="14">
        <v>414287.9</v>
      </c>
      <c r="R1909" s="14">
        <v>6195859.2000000002</v>
      </c>
      <c r="S1909" s="14" t="s">
        <v>16693</v>
      </c>
      <c r="T1909" s="14" t="s">
        <v>16694</v>
      </c>
      <c r="U1909" s="14">
        <v>414304.15</v>
      </c>
      <c r="V1909" s="14">
        <v>6195860.79</v>
      </c>
      <c r="W1909" s="14">
        <v>93.23</v>
      </c>
      <c r="X1909" s="14">
        <v>150.05000000000001</v>
      </c>
    </row>
    <row r="1910" spans="1:24" s="14" customFormat="1" x14ac:dyDescent="0.25">
      <c r="A1910" s="50">
        <v>45103</v>
      </c>
      <c r="B1910" s="57">
        <v>177</v>
      </c>
      <c r="C1910" s="36">
        <v>0.14325231481481482</v>
      </c>
      <c r="D1910" s="16" t="s">
        <v>16344</v>
      </c>
      <c r="E1910" s="52" t="s">
        <v>165</v>
      </c>
      <c r="F1910" s="16" t="s">
        <v>8759</v>
      </c>
      <c r="G1910" s="16" t="s">
        <v>1984</v>
      </c>
      <c r="H1910" s="14">
        <v>0.20899999999999999</v>
      </c>
      <c r="O1910" s="14" t="s">
        <v>16696</v>
      </c>
      <c r="P1910" s="14" t="s">
        <v>16697</v>
      </c>
      <c r="Q1910" s="14">
        <v>414286.47</v>
      </c>
      <c r="R1910" s="14">
        <v>6195858.5800000001</v>
      </c>
      <c r="S1910" s="14" t="s">
        <v>16698</v>
      </c>
      <c r="T1910" s="14" t="s">
        <v>16699</v>
      </c>
      <c r="U1910" s="14">
        <v>414298.11</v>
      </c>
      <c r="V1910" s="14">
        <v>6195855.4000000004</v>
      </c>
      <c r="W1910" s="14">
        <v>92.93</v>
      </c>
      <c r="X1910" s="14">
        <v>150.05000000000001</v>
      </c>
    </row>
    <row r="1911" spans="1:24" s="126" customFormat="1" x14ac:dyDescent="0.25">
      <c r="A1911" s="78">
        <v>45103</v>
      </c>
      <c r="B1911" s="108">
        <v>177</v>
      </c>
      <c r="C1911" s="80">
        <v>0.14857638888888888</v>
      </c>
      <c r="D1911" s="79" t="s">
        <v>16344</v>
      </c>
      <c r="E1911" s="127" t="s">
        <v>16704</v>
      </c>
      <c r="F1911" s="79" t="s">
        <v>8759</v>
      </c>
      <c r="G1911" s="79" t="s">
        <v>1984</v>
      </c>
      <c r="H1911" s="126">
        <v>0.20799999999999999</v>
      </c>
      <c r="O1911" s="126" t="s">
        <v>16700</v>
      </c>
      <c r="P1911" s="126" t="s">
        <v>16701</v>
      </c>
      <c r="Q1911" s="126">
        <v>414288.12</v>
      </c>
      <c r="R1911" s="126">
        <v>6195858.4500000002</v>
      </c>
      <c r="S1911" s="126" t="s">
        <v>16702</v>
      </c>
      <c r="T1911" s="126" t="s">
        <v>16703</v>
      </c>
      <c r="U1911" s="126">
        <v>414299.09</v>
      </c>
      <c r="V1911" s="126">
        <v>6195856.5499999998</v>
      </c>
      <c r="W1911" s="126">
        <v>86.28</v>
      </c>
      <c r="X1911" s="126">
        <v>150.05000000000001</v>
      </c>
    </row>
    <row r="1912" spans="1:24" s="14" customFormat="1" x14ac:dyDescent="0.25">
      <c r="A1912" s="50">
        <v>45103</v>
      </c>
      <c r="B1912" s="57">
        <v>177</v>
      </c>
      <c r="C1912" s="36">
        <v>0.14939814814814814</v>
      </c>
      <c r="D1912" s="16" t="s">
        <v>16344</v>
      </c>
      <c r="E1912" s="52" t="s">
        <v>15004</v>
      </c>
      <c r="F1912" s="16" t="s">
        <v>8759</v>
      </c>
      <c r="G1912" s="16" t="s">
        <v>1984</v>
      </c>
      <c r="H1912" s="14">
        <v>0.20799999999999999</v>
      </c>
      <c r="O1912" s="14" t="s">
        <v>16705</v>
      </c>
      <c r="P1912" s="14" t="s">
        <v>16706</v>
      </c>
      <c r="Q1912" s="14">
        <v>414288.33</v>
      </c>
      <c r="R1912" s="14">
        <v>6195858.21</v>
      </c>
      <c r="S1912" s="14" t="s">
        <v>16707</v>
      </c>
      <c r="T1912" s="14" t="s">
        <v>16708</v>
      </c>
      <c r="U1912" s="14">
        <v>414299.41</v>
      </c>
      <c r="V1912" s="14">
        <v>6195856.5300000003</v>
      </c>
      <c r="W1912" s="14">
        <v>86.63</v>
      </c>
      <c r="X1912" s="14">
        <v>150.05000000000001</v>
      </c>
    </row>
    <row r="1913" spans="1:24" s="124" customFormat="1" x14ac:dyDescent="0.25">
      <c r="A1913" s="74">
        <v>45103</v>
      </c>
      <c r="B1913" s="105">
        <v>177</v>
      </c>
      <c r="C1913" s="76">
        <v>0.15303240740740739</v>
      </c>
      <c r="D1913" s="75" t="s">
        <v>16344</v>
      </c>
      <c r="E1913" s="125" t="s">
        <v>16713</v>
      </c>
      <c r="F1913" s="75" t="s">
        <v>8759</v>
      </c>
      <c r="G1913" s="75" t="s">
        <v>1984</v>
      </c>
      <c r="H1913" s="124">
        <v>0.20699999999999999</v>
      </c>
      <c r="O1913" s="124" t="s">
        <v>16709</v>
      </c>
      <c r="P1913" s="124" t="s">
        <v>16710</v>
      </c>
      <c r="Q1913" s="124">
        <v>414287.63</v>
      </c>
      <c r="R1913" s="124">
        <v>6195858.8300000001</v>
      </c>
      <c r="S1913" s="124" t="s">
        <v>16711</v>
      </c>
      <c r="T1913" s="124" t="s">
        <v>16712</v>
      </c>
      <c r="U1913" s="124">
        <v>414298.46</v>
      </c>
      <c r="V1913" s="124">
        <v>6195857.0700000003</v>
      </c>
      <c r="W1913" s="124">
        <v>86.62</v>
      </c>
      <c r="X1913" s="124">
        <v>150.05000000000001</v>
      </c>
    </row>
    <row r="1914" spans="1:24" s="122" customFormat="1" x14ac:dyDescent="0.25">
      <c r="A1914" s="65">
        <v>45103</v>
      </c>
      <c r="B1914" s="106">
        <v>177</v>
      </c>
      <c r="C1914" s="67">
        <v>0.15885416666666666</v>
      </c>
      <c r="D1914" s="66" t="s">
        <v>16344</v>
      </c>
      <c r="E1914" s="123" t="s">
        <v>16719</v>
      </c>
      <c r="F1914" s="66" t="s">
        <v>8759</v>
      </c>
      <c r="G1914" s="66" t="s">
        <v>1984</v>
      </c>
      <c r="H1914" s="122">
        <v>0.20599999999999999</v>
      </c>
      <c r="M1914" s="122" t="s">
        <v>16714</v>
      </c>
      <c r="O1914" s="122" t="s">
        <v>16715</v>
      </c>
      <c r="P1914" s="122" t="s">
        <v>16716</v>
      </c>
      <c r="Q1914" s="122">
        <v>414287.84</v>
      </c>
      <c r="R1914" s="122">
        <v>6195858.8300000001</v>
      </c>
      <c r="S1914" s="122" t="s">
        <v>16717</v>
      </c>
      <c r="T1914" s="122" t="s">
        <v>16718</v>
      </c>
      <c r="U1914" s="122">
        <v>414312.5</v>
      </c>
      <c r="V1914" s="122">
        <v>6195852.96</v>
      </c>
      <c r="W1914" s="122">
        <v>356.86</v>
      </c>
      <c r="X1914" s="122">
        <v>150.05000000000001</v>
      </c>
    </row>
    <row r="1915" spans="1:24" s="14" customFormat="1" x14ac:dyDescent="0.25">
      <c r="A1915" s="50">
        <v>45103</v>
      </c>
      <c r="B1915" s="57">
        <v>177</v>
      </c>
      <c r="C1915" s="36">
        <v>0.16122685185185184</v>
      </c>
      <c r="D1915" s="16" t="s">
        <v>16344</v>
      </c>
      <c r="E1915" s="14" t="s">
        <v>65</v>
      </c>
      <c r="F1915" s="16" t="s">
        <v>8759</v>
      </c>
      <c r="G1915" s="16" t="s">
        <v>1984</v>
      </c>
      <c r="H1915" s="14">
        <v>0.16600000000000001</v>
      </c>
      <c r="I1915" s="14" t="s">
        <v>16724</v>
      </c>
      <c r="J1915" s="14" t="s">
        <v>16725</v>
      </c>
      <c r="K1915" s="14" t="s">
        <v>16726</v>
      </c>
      <c r="L1915" s="14" t="s">
        <v>16727</v>
      </c>
      <c r="O1915" s="14" t="s">
        <v>16720</v>
      </c>
      <c r="P1915" s="14" t="s">
        <v>16721</v>
      </c>
      <c r="Q1915" s="14">
        <v>414288.33</v>
      </c>
      <c r="R1915" s="14">
        <v>6195893.1900000004</v>
      </c>
      <c r="S1915" s="14" t="s">
        <v>16722</v>
      </c>
      <c r="T1915" s="14" t="s">
        <v>16723</v>
      </c>
      <c r="U1915" s="14">
        <v>414312.9</v>
      </c>
      <c r="V1915" s="14">
        <v>6195893.3799999999</v>
      </c>
      <c r="W1915" s="14">
        <v>358.34</v>
      </c>
      <c r="X1915" s="14">
        <v>150.05000000000001</v>
      </c>
    </row>
    <row r="1916" spans="1:24" s="14" customFormat="1" x14ac:dyDescent="0.25">
      <c r="A1916" s="50">
        <v>45103</v>
      </c>
      <c r="B1916" s="57">
        <v>177</v>
      </c>
      <c r="C1916" s="36">
        <v>0.16635416666666666</v>
      </c>
      <c r="D1916" s="16" t="s">
        <v>16344</v>
      </c>
      <c r="E1916" s="52" t="s">
        <v>70</v>
      </c>
      <c r="F1916" s="16" t="s">
        <v>8759</v>
      </c>
      <c r="G1916" s="16" t="s">
        <v>1984</v>
      </c>
      <c r="H1916" s="14">
        <v>-1.6E-2</v>
      </c>
      <c r="I1916" s="14" t="s">
        <v>16724</v>
      </c>
      <c r="J1916" s="14" t="s">
        <v>16725</v>
      </c>
      <c r="K1916" s="14" t="s">
        <v>16726</v>
      </c>
      <c r="L1916" s="14" t="s">
        <v>16732</v>
      </c>
      <c r="O1916" s="14" t="s">
        <v>16728</v>
      </c>
      <c r="P1916" s="14" t="s">
        <v>16729</v>
      </c>
      <c r="Q1916" s="14">
        <v>414288.47</v>
      </c>
      <c r="R1916" s="14">
        <v>6196075.25</v>
      </c>
      <c r="S1916" s="14" t="s">
        <v>16730</v>
      </c>
      <c r="T1916" s="14" t="s">
        <v>16731</v>
      </c>
      <c r="U1916" s="14">
        <v>414312.83</v>
      </c>
      <c r="V1916" s="14">
        <v>6196075.0800000001</v>
      </c>
      <c r="W1916" s="14">
        <v>359.45</v>
      </c>
      <c r="X1916" s="14">
        <v>150.05000000000001</v>
      </c>
    </row>
    <row r="1917" spans="1:24" s="14" customFormat="1" x14ac:dyDescent="0.25">
      <c r="A1917" s="50">
        <v>45103</v>
      </c>
      <c r="B1917" s="57">
        <v>177</v>
      </c>
      <c r="C1917" s="36">
        <v>0.17192129629629629</v>
      </c>
      <c r="D1917" s="117" t="s">
        <v>177</v>
      </c>
      <c r="E1917" s="14" t="s">
        <v>65</v>
      </c>
      <c r="F1917" s="16" t="s">
        <v>8759</v>
      </c>
      <c r="G1917" s="16" t="s">
        <v>16733</v>
      </c>
      <c r="H1917" s="14">
        <v>-3.5999999999999997E-2</v>
      </c>
      <c r="I1917" s="14" t="s">
        <v>16738</v>
      </c>
      <c r="J1917" s="14" t="s">
        <v>16739</v>
      </c>
      <c r="K1917" s="14" t="s">
        <v>16740</v>
      </c>
      <c r="L1917" s="14" t="s">
        <v>16732</v>
      </c>
      <c r="O1917" s="14" t="s">
        <v>16734</v>
      </c>
      <c r="P1917" s="14" t="s">
        <v>16735</v>
      </c>
      <c r="Q1917" s="14">
        <v>414341.11</v>
      </c>
      <c r="R1917" s="14">
        <v>6196080.4400000004</v>
      </c>
      <c r="S1917" s="14" t="s">
        <v>16736</v>
      </c>
      <c r="T1917" s="14" t="s">
        <v>16737</v>
      </c>
      <c r="U1917" s="14">
        <v>414366.94</v>
      </c>
      <c r="V1917" s="14">
        <v>6196079.4400000004</v>
      </c>
      <c r="W1917" s="14">
        <v>180.03</v>
      </c>
      <c r="X1917" s="14">
        <v>39.39</v>
      </c>
    </row>
    <row r="1918" spans="1:24" s="14" customFormat="1" x14ac:dyDescent="0.25">
      <c r="A1918" s="50">
        <v>45103</v>
      </c>
      <c r="B1918" s="57">
        <v>177</v>
      </c>
      <c r="C1918" s="36">
        <v>0.17377314814814815</v>
      </c>
      <c r="D1918" s="117" t="s">
        <v>177</v>
      </c>
      <c r="E1918" s="14" t="s">
        <v>70</v>
      </c>
      <c r="F1918" s="16" t="s">
        <v>8759</v>
      </c>
      <c r="G1918" s="16" t="s">
        <v>16733</v>
      </c>
      <c r="H1918" s="14">
        <v>0.216</v>
      </c>
      <c r="I1918" s="14" t="s">
        <v>16738</v>
      </c>
      <c r="J1918" s="14" t="s">
        <v>16739</v>
      </c>
      <c r="K1918" s="14" t="s">
        <v>16740</v>
      </c>
      <c r="L1918" s="14" t="s">
        <v>16732</v>
      </c>
      <c r="O1918" s="14" t="s">
        <v>16741</v>
      </c>
      <c r="P1918" s="14" t="s">
        <v>16742</v>
      </c>
      <c r="Q1918" s="14">
        <v>414340.53</v>
      </c>
      <c r="R1918" s="14">
        <v>6196018.4800000004</v>
      </c>
      <c r="S1918" s="14" t="s">
        <v>16743</v>
      </c>
      <c r="T1918" s="14" t="s">
        <v>16744</v>
      </c>
      <c r="U1918" s="14">
        <v>414366.87</v>
      </c>
      <c r="V1918" s="14">
        <v>6196013.1399999997</v>
      </c>
      <c r="W1918" s="14">
        <v>178.49</v>
      </c>
      <c r="X1918" s="14">
        <v>39.39</v>
      </c>
    </row>
    <row r="1919" spans="1:24" s="14" customFormat="1" x14ac:dyDescent="0.25">
      <c r="A1919" s="50">
        <v>45103</v>
      </c>
      <c r="B1919" s="57">
        <v>177</v>
      </c>
      <c r="C1919" s="36">
        <v>0.17685185185185184</v>
      </c>
      <c r="D1919" s="117" t="s">
        <v>177</v>
      </c>
      <c r="E1919" s="52" t="s">
        <v>10819</v>
      </c>
      <c r="F1919" s="16" t="s">
        <v>8759</v>
      </c>
      <c r="G1919" s="16" t="s">
        <v>2293</v>
      </c>
      <c r="H1919" s="14">
        <v>-0.51800000000000002</v>
      </c>
      <c r="O1919" s="14" t="s">
        <v>16745</v>
      </c>
      <c r="P1919" s="14" t="s">
        <v>16746</v>
      </c>
      <c r="Q1919" s="14">
        <v>414340.97</v>
      </c>
      <c r="R1919" s="14">
        <v>6196002.1100000003</v>
      </c>
      <c r="S1919" s="14" t="s">
        <v>16747</v>
      </c>
      <c r="T1919" s="14" t="s">
        <v>16748</v>
      </c>
      <c r="U1919" s="14">
        <v>414352.05</v>
      </c>
      <c r="V1919" s="14">
        <v>6195998.5499999998</v>
      </c>
      <c r="W1919" s="14">
        <v>78.14</v>
      </c>
      <c r="X1919" s="14">
        <v>150.05000000000001</v>
      </c>
    </row>
    <row r="1920" spans="1:24" s="14" customFormat="1" x14ac:dyDescent="0.25">
      <c r="A1920" s="50">
        <v>45103</v>
      </c>
      <c r="B1920" s="57">
        <v>177</v>
      </c>
      <c r="C1920" s="36">
        <v>0.17802083333333332</v>
      </c>
      <c r="D1920" s="117" t="s">
        <v>177</v>
      </c>
      <c r="E1920" s="52" t="s">
        <v>16749</v>
      </c>
      <c r="F1920" s="16" t="s">
        <v>11862</v>
      </c>
      <c r="G1920" s="16" t="s">
        <v>2293</v>
      </c>
      <c r="H1920" s="14">
        <v>-0.504</v>
      </c>
      <c r="O1920" s="14" t="s">
        <v>16750</v>
      </c>
      <c r="P1920" s="14" t="s">
        <v>16751</v>
      </c>
      <c r="Q1920" s="14">
        <v>414335.51</v>
      </c>
      <c r="R1920" s="14">
        <v>6195997.9000000004</v>
      </c>
      <c r="S1920" s="14" t="s">
        <v>16752</v>
      </c>
      <c r="T1920" s="14" t="s">
        <v>16753</v>
      </c>
      <c r="U1920" s="14">
        <v>414341.53</v>
      </c>
      <c r="V1920" s="14">
        <v>6195989.6500000004</v>
      </c>
      <c r="W1920" s="14">
        <v>131.61000000000001</v>
      </c>
      <c r="X1920" s="14">
        <v>150.05000000000001</v>
      </c>
    </row>
    <row r="1921" spans="1:24" s="14" customFormat="1" x14ac:dyDescent="0.25">
      <c r="A1921" s="50">
        <v>45103</v>
      </c>
      <c r="B1921" s="57">
        <v>177</v>
      </c>
      <c r="C1921" s="36">
        <v>0.19413194444444445</v>
      </c>
      <c r="D1921" s="117" t="s">
        <v>177</v>
      </c>
      <c r="E1921" s="116" t="s">
        <v>6362</v>
      </c>
      <c r="F1921" s="16" t="s">
        <v>11862</v>
      </c>
      <c r="G1921" s="16" t="s">
        <v>2293</v>
      </c>
      <c r="H1921" s="14">
        <v>-5.7000000000000002E-2</v>
      </c>
      <c r="O1921" s="14" t="s">
        <v>16754</v>
      </c>
      <c r="P1921" s="14" t="s">
        <v>16755</v>
      </c>
      <c r="Q1921" s="14">
        <v>411700.17</v>
      </c>
      <c r="R1921" s="14">
        <v>6195537.2300000004</v>
      </c>
      <c r="S1921" s="14" t="s">
        <v>16756</v>
      </c>
      <c r="T1921" s="14" t="s">
        <v>16757</v>
      </c>
      <c r="U1921" s="14">
        <v>411711.2</v>
      </c>
      <c r="V1921" s="14">
        <v>6195536.6799999997</v>
      </c>
      <c r="W1921" s="14">
        <v>64.680000000000007</v>
      </c>
      <c r="X1921" s="14">
        <v>150.05000000000001</v>
      </c>
    </row>
    <row r="1922" spans="1:24" s="14" customFormat="1" x14ac:dyDescent="0.25">
      <c r="A1922" s="50">
        <v>45103</v>
      </c>
      <c r="B1922" s="57">
        <v>177</v>
      </c>
      <c r="C1922" s="36">
        <v>0.19415509259259259</v>
      </c>
      <c r="D1922" s="117" t="s">
        <v>177</v>
      </c>
      <c r="E1922" s="52" t="s">
        <v>16760</v>
      </c>
      <c r="F1922" s="16" t="s">
        <v>11862</v>
      </c>
      <c r="G1922" s="16" t="s">
        <v>2293</v>
      </c>
      <c r="H1922" s="14">
        <v>-5.8000000000000003E-2</v>
      </c>
      <c r="O1922" s="14" t="s">
        <v>16758</v>
      </c>
      <c r="P1922" s="14" t="s">
        <v>16759</v>
      </c>
      <c r="Q1922" s="14">
        <v>411700.2</v>
      </c>
      <c r="R1922" s="14">
        <v>6195537.2300000004</v>
      </c>
      <c r="S1922" s="14" t="s">
        <v>16756</v>
      </c>
      <c r="T1922" s="14" t="s">
        <v>16757</v>
      </c>
      <c r="U1922" s="14">
        <v>411711.2</v>
      </c>
      <c r="V1922" s="14">
        <v>6195536.6799999997</v>
      </c>
      <c r="W1922" s="14">
        <v>64.680000000000007</v>
      </c>
      <c r="X1922" s="14">
        <v>150.05000000000001</v>
      </c>
    </row>
    <row r="1923" spans="1:24" s="122" customFormat="1" x14ac:dyDescent="0.25">
      <c r="A1923" s="65">
        <v>45103</v>
      </c>
      <c r="B1923" s="106">
        <v>177</v>
      </c>
      <c r="C1923" s="67">
        <v>0.19549768518518518</v>
      </c>
      <c r="D1923" s="142" t="s">
        <v>177</v>
      </c>
      <c r="E1923" s="123" t="s">
        <v>16766</v>
      </c>
      <c r="F1923" s="66" t="s">
        <v>11862</v>
      </c>
      <c r="G1923" s="66" t="s">
        <v>2293</v>
      </c>
      <c r="H1923" s="122">
        <v>-5.6000000000000001E-2</v>
      </c>
      <c r="M1923" s="122" t="s">
        <v>16761</v>
      </c>
      <c r="O1923" s="122" t="s">
        <v>16762</v>
      </c>
      <c r="P1923" s="122" t="s">
        <v>16763</v>
      </c>
      <c r="Q1923" s="122">
        <v>411698.67</v>
      </c>
      <c r="R1923" s="122">
        <v>6195536.4699999997</v>
      </c>
      <c r="S1923" s="122" t="s">
        <v>16764</v>
      </c>
      <c r="T1923" s="122" t="s">
        <v>16765</v>
      </c>
      <c r="U1923" s="122">
        <v>411712.46</v>
      </c>
      <c r="V1923" s="122">
        <v>6195537.0700000003</v>
      </c>
      <c r="W1923" s="122">
        <v>83.05</v>
      </c>
      <c r="X1923" s="122">
        <v>150.05000000000001</v>
      </c>
    </row>
    <row r="1924" spans="1:24" s="14" customFormat="1" x14ac:dyDescent="0.25">
      <c r="A1924" s="50">
        <v>45103</v>
      </c>
      <c r="B1924" s="57">
        <v>177</v>
      </c>
      <c r="C1924" s="36">
        <v>0.19863425925925926</v>
      </c>
      <c r="D1924" s="117" t="s">
        <v>177</v>
      </c>
      <c r="E1924" s="52" t="s">
        <v>65</v>
      </c>
      <c r="F1924" s="16" t="s">
        <v>11862</v>
      </c>
      <c r="G1924" s="16" t="s">
        <v>2293</v>
      </c>
      <c r="H1924" s="14">
        <v>-1.0999999999999999E-2</v>
      </c>
      <c r="I1924" s="14" t="s">
        <v>16771</v>
      </c>
      <c r="J1924" s="14" t="s">
        <v>16772</v>
      </c>
      <c r="K1924" s="14" t="s">
        <v>16773</v>
      </c>
      <c r="L1924" s="14" t="s">
        <v>16774</v>
      </c>
      <c r="O1924" s="14" t="s">
        <v>16767</v>
      </c>
      <c r="P1924" s="14" t="s">
        <v>16768</v>
      </c>
      <c r="Q1924" s="14">
        <v>411698.02</v>
      </c>
      <c r="R1924" s="14">
        <v>6195502.96</v>
      </c>
      <c r="S1924" s="14" t="s">
        <v>16769</v>
      </c>
      <c r="T1924" s="14" t="s">
        <v>16770</v>
      </c>
      <c r="U1924" s="14">
        <v>411724.33</v>
      </c>
      <c r="V1924" s="14">
        <v>6195498.0999999996</v>
      </c>
      <c r="W1924" s="14">
        <v>179.31</v>
      </c>
      <c r="X1924" s="14">
        <v>150.05000000000001</v>
      </c>
    </row>
    <row r="1925" spans="1:24" s="14" customFormat="1" x14ac:dyDescent="0.25">
      <c r="A1925" s="50">
        <v>45103</v>
      </c>
      <c r="B1925" s="57">
        <v>177</v>
      </c>
      <c r="C1925" s="36">
        <v>0.20348379629629632</v>
      </c>
      <c r="D1925" s="117" t="s">
        <v>177</v>
      </c>
      <c r="E1925" s="14" t="s">
        <v>70</v>
      </c>
      <c r="F1925" s="16" t="s">
        <v>11862</v>
      </c>
      <c r="G1925" s="16" t="s">
        <v>2293</v>
      </c>
      <c r="H1925" s="14">
        <v>0.16200000000000001</v>
      </c>
      <c r="I1925" s="14" t="s">
        <v>16771</v>
      </c>
      <c r="J1925" s="14" t="s">
        <v>16772</v>
      </c>
      <c r="K1925" s="14" t="s">
        <v>16773</v>
      </c>
      <c r="L1925" s="14" t="s">
        <v>16774</v>
      </c>
      <c r="O1925" s="14" t="s">
        <v>16775</v>
      </c>
      <c r="P1925" s="14" t="s">
        <v>16776</v>
      </c>
      <c r="Q1925" s="14">
        <v>411698.58</v>
      </c>
      <c r="R1925" s="14">
        <v>6195329.4900000002</v>
      </c>
      <c r="S1925" s="14" t="s">
        <v>16777</v>
      </c>
      <c r="T1925" s="14" t="s">
        <v>16778</v>
      </c>
      <c r="U1925" s="14">
        <v>411724.25</v>
      </c>
      <c r="V1925" s="14">
        <v>6195325</v>
      </c>
      <c r="W1925" s="14">
        <v>178.38</v>
      </c>
      <c r="X1925" s="14">
        <v>150.05000000000001</v>
      </c>
    </row>
    <row r="1926" spans="1:24" s="14" customFormat="1" x14ac:dyDescent="0.25">
      <c r="A1926" s="50">
        <v>45103</v>
      </c>
      <c r="B1926" s="57">
        <v>177</v>
      </c>
      <c r="C1926" s="36">
        <v>0.20538194444444446</v>
      </c>
      <c r="D1926" s="117" t="s">
        <v>177</v>
      </c>
      <c r="E1926" s="52" t="s">
        <v>65</v>
      </c>
      <c r="F1926" s="16" t="s">
        <v>11862</v>
      </c>
      <c r="G1926" s="16" t="s">
        <v>2292</v>
      </c>
      <c r="H1926" s="14">
        <v>0.157</v>
      </c>
      <c r="I1926" s="14" t="s">
        <v>16783</v>
      </c>
      <c r="J1926" s="14" t="s">
        <v>16784</v>
      </c>
      <c r="K1926" s="14" t="s">
        <v>16785</v>
      </c>
      <c r="L1926" s="14" t="s">
        <v>16774</v>
      </c>
      <c r="O1926" s="14" t="s">
        <v>16779</v>
      </c>
      <c r="P1926" s="14" t="s">
        <v>16780</v>
      </c>
      <c r="Q1926" s="14">
        <v>411688.98</v>
      </c>
      <c r="R1926" s="14">
        <v>6195320.96</v>
      </c>
      <c r="S1926" s="14" t="s">
        <v>16781</v>
      </c>
      <c r="T1926" s="14" t="s">
        <v>16782</v>
      </c>
      <c r="U1926" s="14">
        <v>411715.26</v>
      </c>
      <c r="V1926" s="14">
        <v>6195319.4199999999</v>
      </c>
      <c r="W1926" s="14">
        <v>358.88</v>
      </c>
      <c r="X1926" s="14">
        <v>150.05000000000001</v>
      </c>
    </row>
    <row r="1927" spans="1:24" s="14" customFormat="1" x14ac:dyDescent="0.25">
      <c r="A1927" s="50">
        <v>45103</v>
      </c>
      <c r="B1927" s="57">
        <v>177</v>
      </c>
      <c r="C1927" s="36">
        <v>0.2102199074074074</v>
      </c>
      <c r="D1927" s="117" t="s">
        <v>177</v>
      </c>
      <c r="E1927" s="52" t="s">
        <v>70</v>
      </c>
      <c r="F1927" s="16" t="s">
        <v>11862</v>
      </c>
      <c r="G1927" s="16" t="s">
        <v>2292</v>
      </c>
      <c r="H1927" s="14">
        <v>-1.6E-2</v>
      </c>
      <c r="I1927" s="14" t="s">
        <v>16783</v>
      </c>
      <c r="J1927" s="14" t="s">
        <v>16784</v>
      </c>
      <c r="K1927" s="14" t="s">
        <v>16785</v>
      </c>
      <c r="L1927" s="14" t="s">
        <v>16790</v>
      </c>
      <c r="O1927" s="14" t="s">
        <v>16786</v>
      </c>
      <c r="P1927" s="14" t="s">
        <v>16787</v>
      </c>
      <c r="Q1927" s="14">
        <v>411689.03</v>
      </c>
      <c r="R1927" s="14">
        <v>6195490.0499999998</v>
      </c>
      <c r="S1927" s="14" t="s">
        <v>16788</v>
      </c>
      <c r="T1927" s="14" t="s">
        <v>16789</v>
      </c>
      <c r="U1927" s="14">
        <v>411715.24</v>
      </c>
      <c r="V1927" s="14">
        <v>6195492.0999999996</v>
      </c>
      <c r="W1927" s="14">
        <v>358.75</v>
      </c>
      <c r="X1927" s="14">
        <v>150.05000000000001</v>
      </c>
    </row>
    <row r="1928" spans="1:24" s="14" customFormat="1" x14ac:dyDescent="0.25">
      <c r="A1928" s="50">
        <v>45103</v>
      </c>
      <c r="B1928" s="57">
        <v>177</v>
      </c>
      <c r="C1928" s="36">
        <v>0.21247685185185183</v>
      </c>
      <c r="D1928" s="117" t="s">
        <v>177</v>
      </c>
      <c r="E1928" s="14" t="s">
        <v>65</v>
      </c>
      <c r="F1928" s="16" t="s">
        <v>11862</v>
      </c>
      <c r="G1928" s="16" t="s">
        <v>2291</v>
      </c>
      <c r="H1928" s="14">
        <v>-1.2E-2</v>
      </c>
      <c r="I1928" s="14" t="s">
        <v>16795</v>
      </c>
      <c r="J1928" s="14" t="s">
        <v>16796</v>
      </c>
      <c r="K1928" s="14" t="s">
        <v>16797</v>
      </c>
      <c r="L1928" s="14" t="s">
        <v>16790</v>
      </c>
      <c r="O1928" s="14" t="s">
        <v>16791</v>
      </c>
      <c r="P1928" s="14" t="s">
        <v>16792</v>
      </c>
      <c r="Q1928" s="14">
        <v>411681.9</v>
      </c>
      <c r="R1928" s="14">
        <v>6195498.0199999996</v>
      </c>
      <c r="S1928" s="14" t="s">
        <v>16793</v>
      </c>
      <c r="T1928" s="14" t="s">
        <v>16794</v>
      </c>
      <c r="U1928" s="14">
        <v>411706.32</v>
      </c>
      <c r="V1928" s="14">
        <v>6195499.7699999996</v>
      </c>
      <c r="W1928" s="14">
        <v>179.28</v>
      </c>
      <c r="X1928" s="14">
        <v>150.05000000000001</v>
      </c>
    </row>
    <row r="1929" spans="1:24" s="14" customFormat="1" x14ac:dyDescent="0.25">
      <c r="A1929" s="50">
        <v>45103</v>
      </c>
      <c r="B1929" s="57">
        <v>177</v>
      </c>
      <c r="C1929" s="36">
        <v>0.21716435185185187</v>
      </c>
      <c r="D1929" s="117" t="s">
        <v>177</v>
      </c>
      <c r="E1929" s="52" t="s">
        <v>70</v>
      </c>
      <c r="F1929" s="16" t="s">
        <v>11862</v>
      </c>
      <c r="G1929" s="16" t="s">
        <v>2291</v>
      </c>
      <c r="H1929" s="14">
        <v>0.16300000000000001</v>
      </c>
      <c r="I1929" s="14" t="s">
        <v>16795</v>
      </c>
      <c r="J1929" s="14" t="s">
        <v>16796</v>
      </c>
      <c r="K1929" s="14" t="s">
        <v>16797</v>
      </c>
      <c r="L1929" s="14" t="s">
        <v>16790</v>
      </c>
      <c r="O1929" s="14" t="s">
        <v>16798</v>
      </c>
      <c r="P1929" s="14" t="s">
        <v>16799</v>
      </c>
      <c r="Q1929" s="14">
        <v>411681.72</v>
      </c>
      <c r="R1929" s="14">
        <v>6195332.9100000001</v>
      </c>
      <c r="S1929" s="14" t="s">
        <v>16800</v>
      </c>
      <c r="T1929" s="14" t="s">
        <v>16801</v>
      </c>
      <c r="U1929" s="14">
        <v>411706.27</v>
      </c>
      <c r="V1929" s="14">
        <v>6195324.4500000002</v>
      </c>
      <c r="W1929" s="14">
        <v>180.26</v>
      </c>
      <c r="X1929" s="14">
        <v>150.05000000000001</v>
      </c>
    </row>
    <row r="1930" spans="1:24" s="14" customFormat="1" x14ac:dyDescent="0.25">
      <c r="A1930" s="50">
        <v>45103</v>
      </c>
      <c r="B1930" s="57">
        <v>177</v>
      </c>
      <c r="C1930" s="36">
        <v>0.21959490740740739</v>
      </c>
      <c r="D1930" s="117" t="s">
        <v>177</v>
      </c>
      <c r="E1930" s="52" t="s">
        <v>65</v>
      </c>
      <c r="F1930" s="16" t="s">
        <v>11862</v>
      </c>
      <c r="G1930" s="16" t="s">
        <v>2290</v>
      </c>
      <c r="H1930" s="14">
        <v>0.159</v>
      </c>
      <c r="I1930" s="14" t="s">
        <v>16806</v>
      </c>
      <c r="J1930" s="14" t="s">
        <v>16807</v>
      </c>
      <c r="K1930" s="14" t="s">
        <v>16808</v>
      </c>
      <c r="L1930" s="14" t="s">
        <v>16809</v>
      </c>
      <c r="O1930" s="14" t="s">
        <v>16802</v>
      </c>
      <c r="P1930" s="14" t="s">
        <v>16803</v>
      </c>
      <c r="Q1930" s="14">
        <v>411673.08</v>
      </c>
      <c r="R1930" s="14">
        <v>6195324.5099999998</v>
      </c>
      <c r="S1930" s="14" t="s">
        <v>16804</v>
      </c>
      <c r="T1930" s="14" t="s">
        <v>16805</v>
      </c>
      <c r="U1930" s="14">
        <v>411697.33</v>
      </c>
      <c r="V1930" s="14">
        <v>6195317.1900000004</v>
      </c>
      <c r="W1930" s="14">
        <v>0.56999999999999995</v>
      </c>
      <c r="X1930" s="14">
        <v>150.05000000000001</v>
      </c>
    </row>
    <row r="1931" spans="1:24" s="14" customFormat="1" x14ac:dyDescent="0.25">
      <c r="A1931" s="50">
        <v>45103</v>
      </c>
      <c r="B1931" s="57">
        <v>177</v>
      </c>
      <c r="C1931" s="36">
        <v>0.22368055555555555</v>
      </c>
      <c r="D1931" s="117" t="s">
        <v>177</v>
      </c>
      <c r="E1931" s="14" t="s">
        <v>70</v>
      </c>
      <c r="F1931" s="16" t="s">
        <v>11862</v>
      </c>
      <c r="G1931" s="16" t="s">
        <v>2290</v>
      </c>
      <c r="H1931" s="14">
        <v>-1.9E-2</v>
      </c>
      <c r="I1931" s="14" t="s">
        <v>16806</v>
      </c>
      <c r="J1931" s="14" t="s">
        <v>16807</v>
      </c>
      <c r="K1931" s="14" t="s">
        <v>16808</v>
      </c>
      <c r="L1931" s="14" t="s">
        <v>16809</v>
      </c>
      <c r="O1931" s="14" t="s">
        <v>16810</v>
      </c>
      <c r="P1931" s="14" t="s">
        <v>16811</v>
      </c>
      <c r="Q1931" s="14">
        <v>411672.04</v>
      </c>
      <c r="R1931" s="14">
        <v>6195501.4699999997</v>
      </c>
      <c r="S1931" s="14" t="s">
        <v>16812</v>
      </c>
      <c r="T1931" s="14" t="s">
        <v>16813</v>
      </c>
      <c r="U1931" s="14">
        <v>411697.36</v>
      </c>
      <c r="V1931" s="14">
        <v>6195494.9500000002</v>
      </c>
      <c r="W1931" s="14">
        <v>359.56</v>
      </c>
      <c r="X1931" s="14">
        <v>150.05000000000001</v>
      </c>
    </row>
    <row r="1932" spans="1:24" s="14" customFormat="1" x14ac:dyDescent="0.25">
      <c r="A1932" s="50">
        <v>45103</v>
      </c>
      <c r="B1932" s="57">
        <v>177</v>
      </c>
      <c r="C1932" s="36">
        <v>0.22646990740740738</v>
      </c>
      <c r="D1932" s="117" t="s">
        <v>177</v>
      </c>
      <c r="E1932" s="52" t="s">
        <v>65</v>
      </c>
      <c r="F1932" s="16" t="s">
        <v>11862</v>
      </c>
      <c r="G1932" s="16" t="s">
        <v>2289</v>
      </c>
      <c r="H1932" s="14">
        <v>-1.2E-2</v>
      </c>
      <c r="I1932" s="14" t="s">
        <v>16818</v>
      </c>
      <c r="J1932" s="14" t="s">
        <v>16819</v>
      </c>
      <c r="K1932" s="14" t="s">
        <v>16820</v>
      </c>
      <c r="L1932" s="14" t="s">
        <v>16809</v>
      </c>
      <c r="O1932" s="14" t="s">
        <v>16814</v>
      </c>
      <c r="P1932" s="14" t="s">
        <v>16815</v>
      </c>
      <c r="Q1932" s="14">
        <v>411662.75</v>
      </c>
      <c r="R1932" s="14">
        <v>6195506.2699999996</v>
      </c>
      <c r="S1932" s="14" t="s">
        <v>16816</v>
      </c>
      <c r="T1932" s="14" t="s">
        <v>16817</v>
      </c>
      <c r="U1932" s="14">
        <v>411688.17</v>
      </c>
      <c r="V1932" s="14">
        <v>6195499</v>
      </c>
      <c r="W1932" s="14">
        <v>178.84</v>
      </c>
      <c r="X1932" s="14">
        <v>150.05000000000001</v>
      </c>
    </row>
    <row r="1933" spans="1:24" s="14" customFormat="1" x14ac:dyDescent="0.25">
      <c r="A1933" s="50">
        <v>45103</v>
      </c>
      <c r="B1933" s="57">
        <v>177</v>
      </c>
      <c r="C1933" s="36">
        <v>0.23048611111111109</v>
      </c>
      <c r="D1933" s="117" t="s">
        <v>177</v>
      </c>
      <c r="E1933" s="14" t="s">
        <v>70</v>
      </c>
      <c r="F1933" s="16" t="s">
        <v>11862</v>
      </c>
      <c r="G1933" s="16" t="s">
        <v>2289</v>
      </c>
      <c r="H1933" s="14">
        <v>0.16400000000000001</v>
      </c>
      <c r="I1933" s="14" t="s">
        <v>16818</v>
      </c>
      <c r="J1933" s="14" t="s">
        <v>16819</v>
      </c>
      <c r="K1933" s="14" t="s">
        <v>16820</v>
      </c>
      <c r="L1933" s="14" t="s">
        <v>16825</v>
      </c>
      <c r="O1933" s="14" t="s">
        <v>16821</v>
      </c>
      <c r="P1933" s="14" t="s">
        <v>16822</v>
      </c>
      <c r="Q1933" s="14">
        <v>411663.03</v>
      </c>
      <c r="R1933" s="14">
        <v>6195327.6799999997</v>
      </c>
      <c r="S1933" s="14" t="s">
        <v>16823</v>
      </c>
      <c r="T1933" s="14" t="s">
        <v>16824</v>
      </c>
      <c r="U1933" s="14">
        <v>411688.29</v>
      </c>
      <c r="V1933" s="14">
        <v>6195323</v>
      </c>
      <c r="W1933" s="14">
        <v>179.87</v>
      </c>
      <c r="X1933" s="14">
        <v>150.05000000000001</v>
      </c>
    </row>
    <row r="1934" spans="1:24" s="14" customFormat="1" x14ac:dyDescent="0.25">
      <c r="A1934" s="50">
        <v>45103</v>
      </c>
      <c r="B1934" s="57">
        <v>177</v>
      </c>
      <c r="C1934" s="36">
        <v>0.23278935185185187</v>
      </c>
      <c r="D1934" s="117" t="s">
        <v>177</v>
      </c>
      <c r="E1934" s="52" t="s">
        <v>65</v>
      </c>
      <c r="F1934" s="16" t="s">
        <v>11862</v>
      </c>
      <c r="G1934" s="16" t="s">
        <v>2288</v>
      </c>
      <c r="H1934" s="14">
        <v>0.161</v>
      </c>
      <c r="I1934" s="14" t="s">
        <v>16830</v>
      </c>
      <c r="J1934" s="14" t="s">
        <v>16831</v>
      </c>
      <c r="K1934" s="14" t="s">
        <v>16832</v>
      </c>
      <c r="L1934" s="14" t="s">
        <v>16825</v>
      </c>
      <c r="O1934" s="14" t="s">
        <v>16826</v>
      </c>
      <c r="P1934" s="14" t="s">
        <v>16827</v>
      </c>
      <c r="Q1934" s="14">
        <v>411653.3</v>
      </c>
      <c r="R1934" s="14">
        <v>6195316.2599999998</v>
      </c>
      <c r="S1934" s="14" t="s">
        <v>16828</v>
      </c>
      <c r="T1934" s="14" t="s">
        <v>16829</v>
      </c>
      <c r="U1934" s="14">
        <v>411679.28</v>
      </c>
      <c r="V1934" s="14">
        <v>6195315.0099999998</v>
      </c>
      <c r="W1934" s="14">
        <v>0.88</v>
      </c>
      <c r="X1934" s="14">
        <v>150.05000000000001</v>
      </c>
    </row>
    <row r="1935" spans="1:24" s="14" customFormat="1" x14ac:dyDescent="0.25">
      <c r="A1935" s="50">
        <v>45103</v>
      </c>
      <c r="B1935" s="57">
        <v>177</v>
      </c>
      <c r="C1935" s="36">
        <v>0.23703703703703705</v>
      </c>
      <c r="D1935" s="117" t="s">
        <v>177</v>
      </c>
      <c r="E1935" s="52" t="s">
        <v>70</v>
      </c>
      <c r="F1935" s="16" t="s">
        <v>11862</v>
      </c>
      <c r="G1935" s="16" t="s">
        <v>2288</v>
      </c>
      <c r="H1935" s="14">
        <v>-1.9E-2</v>
      </c>
      <c r="I1935" s="14" t="s">
        <v>16830</v>
      </c>
      <c r="J1935" s="14" t="s">
        <v>16831</v>
      </c>
      <c r="K1935" s="14" t="s">
        <v>16832</v>
      </c>
      <c r="L1935" s="14" t="s">
        <v>16825</v>
      </c>
      <c r="O1935" s="14" t="s">
        <v>16833</v>
      </c>
      <c r="P1935" s="14" t="s">
        <v>16834</v>
      </c>
      <c r="Q1935" s="14">
        <v>411654.25</v>
      </c>
      <c r="R1935" s="14">
        <v>6195503.1200000001</v>
      </c>
      <c r="S1935" s="14" t="s">
        <v>16835</v>
      </c>
      <c r="T1935" s="14" t="s">
        <v>16836</v>
      </c>
      <c r="U1935" s="14">
        <v>411679.31</v>
      </c>
      <c r="V1935" s="14">
        <v>6195495.0199999996</v>
      </c>
      <c r="W1935" s="14">
        <v>0.1</v>
      </c>
      <c r="X1935" s="14">
        <v>150.05000000000001</v>
      </c>
    </row>
    <row r="1936" spans="1:24" s="14" customFormat="1" x14ac:dyDescent="0.25">
      <c r="A1936" s="50">
        <v>45103</v>
      </c>
      <c r="B1936" s="57">
        <v>177</v>
      </c>
      <c r="C1936" s="36">
        <v>0.23951388888888889</v>
      </c>
      <c r="D1936" s="117" t="s">
        <v>177</v>
      </c>
      <c r="E1936" s="52" t="s">
        <v>65</v>
      </c>
      <c r="F1936" s="16" t="s">
        <v>11862</v>
      </c>
      <c r="G1936" s="16" t="s">
        <v>2282</v>
      </c>
      <c r="H1936" s="14">
        <v>-1.4999999999999999E-2</v>
      </c>
      <c r="I1936" s="14" t="s">
        <v>16841</v>
      </c>
      <c r="J1936" s="14" t="s">
        <v>16842</v>
      </c>
      <c r="K1936" s="14" t="s">
        <v>16843</v>
      </c>
      <c r="L1936" s="14" t="s">
        <v>16844</v>
      </c>
      <c r="O1936" s="14" t="s">
        <v>16837</v>
      </c>
      <c r="P1936" s="14" t="s">
        <v>16838</v>
      </c>
      <c r="Q1936" s="14">
        <v>411645.03</v>
      </c>
      <c r="R1936" s="14">
        <v>6195511.2199999997</v>
      </c>
      <c r="S1936" s="14" t="s">
        <v>16839</v>
      </c>
      <c r="T1936" s="14" t="s">
        <v>16840</v>
      </c>
      <c r="U1936" s="14">
        <v>411670.31</v>
      </c>
      <c r="V1936" s="14">
        <v>6195502.2300000004</v>
      </c>
      <c r="W1936" s="14">
        <v>180.87</v>
      </c>
      <c r="X1936" s="14">
        <v>150.05000000000001</v>
      </c>
    </row>
    <row r="1937" spans="1:24" s="14" customFormat="1" x14ac:dyDescent="0.25">
      <c r="A1937" s="50">
        <v>45103</v>
      </c>
      <c r="B1937" s="57">
        <v>177</v>
      </c>
      <c r="C1937" s="36">
        <v>0.24303240740740742</v>
      </c>
      <c r="D1937" s="117" t="s">
        <v>177</v>
      </c>
      <c r="E1937" s="52" t="s">
        <v>70</v>
      </c>
      <c r="F1937" s="16" t="s">
        <v>11862</v>
      </c>
      <c r="G1937" s="16" t="s">
        <v>2282</v>
      </c>
      <c r="H1937" s="14">
        <v>0.16600000000000001</v>
      </c>
      <c r="I1937" s="14" t="s">
        <v>16841</v>
      </c>
      <c r="J1937" s="14" t="s">
        <v>16842</v>
      </c>
      <c r="K1937" s="14" t="s">
        <v>16843</v>
      </c>
      <c r="L1937" s="14" t="s">
        <v>16844</v>
      </c>
      <c r="O1937" s="14" t="s">
        <v>16845</v>
      </c>
      <c r="P1937" s="14" t="s">
        <v>16846</v>
      </c>
      <c r="Q1937" s="14">
        <v>411645.03</v>
      </c>
      <c r="R1937" s="14">
        <v>6195324.4199999999</v>
      </c>
      <c r="S1937" s="14" t="s">
        <v>16847</v>
      </c>
      <c r="T1937" s="14" t="s">
        <v>16848</v>
      </c>
      <c r="U1937" s="14">
        <v>411670.26</v>
      </c>
      <c r="V1937" s="14">
        <v>6195321.6200000001</v>
      </c>
      <c r="W1937" s="14">
        <v>180.37</v>
      </c>
      <c r="X1937" s="14">
        <v>150.05000000000001</v>
      </c>
    </row>
    <row r="1938" spans="1:24" s="14" customFormat="1" x14ac:dyDescent="0.25">
      <c r="A1938" s="50">
        <v>45103</v>
      </c>
      <c r="B1938" s="57">
        <v>177</v>
      </c>
      <c r="C1938" s="36">
        <v>0.24572916666666667</v>
      </c>
      <c r="D1938" s="16" t="s">
        <v>6826</v>
      </c>
      <c r="E1938" s="52" t="s">
        <v>65</v>
      </c>
      <c r="F1938" s="16" t="s">
        <v>11862</v>
      </c>
      <c r="G1938" s="16" t="s">
        <v>2283</v>
      </c>
      <c r="H1938" s="14">
        <v>0.16200000000000001</v>
      </c>
      <c r="I1938" s="14" t="s">
        <v>16853</v>
      </c>
      <c r="J1938" s="14" t="s">
        <v>16854</v>
      </c>
      <c r="K1938" s="14" t="s">
        <v>16855</v>
      </c>
      <c r="L1938" s="14" t="s">
        <v>16844</v>
      </c>
      <c r="O1938" s="14" t="s">
        <v>16849</v>
      </c>
      <c r="P1938" s="14" t="s">
        <v>16850</v>
      </c>
      <c r="Q1938" s="14">
        <v>411635.71</v>
      </c>
      <c r="R1938" s="14">
        <v>6195316.7400000002</v>
      </c>
      <c r="S1938" s="14" t="s">
        <v>16851</v>
      </c>
      <c r="T1938" s="14" t="s">
        <v>16852</v>
      </c>
      <c r="U1938" s="14">
        <v>411661.1</v>
      </c>
      <c r="V1938" s="14">
        <v>6195314.4199999999</v>
      </c>
      <c r="W1938" s="14">
        <v>2.2400000000000002</v>
      </c>
      <c r="X1938" s="14">
        <v>150.05000000000001</v>
      </c>
    </row>
    <row r="1939" spans="1:24" s="14" customFormat="1" x14ac:dyDescent="0.25">
      <c r="A1939" s="50">
        <v>45103</v>
      </c>
      <c r="B1939" s="57">
        <v>177</v>
      </c>
      <c r="C1939" s="36">
        <v>0.24915509259259258</v>
      </c>
      <c r="D1939" s="16" t="s">
        <v>6826</v>
      </c>
      <c r="E1939" s="52" t="s">
        <v>70</v>
      </c>
      <c r="F1939" s="16" t="s">
        <v>11862</v>
      </c>
      <c r="G1939" s="16" t="s">
        <v>2283</v>
      </c>
      <c r="H1939" s="14">
        <v>-1.6E-2</v>
      </c>
      <c r="I1939" s="14" t="s">
        <v>16853</v>
      </c>
      <c r="J1939" s="14" t="s">
        <v>16854</v>
      </c>
      <c r="K1939" s="14" t="s">
        <v>16855</v>
      </c>
      <c r="L1939" s="14" t="s">
        <v>16844</v>
      </c>
      <c r="O1939" s="14" t="s">
        <v>16856</v>
      </c>
      <c r="P1939" s="14" t="s">
        <v>16857</v>
      </c>
      <c r="Q1939" s="14">
        <v>411636.26</v>
      </c>
      <c r="R1939" s="14">
        <v>6195497.54</v>
      </c>
      <c r="S1939" s="14" t="s">
        <v>16858</v>
      </c>
      <c r="T1939" s="14" t="s">
        <v>16859</v>
      </c>
      <c r="U1939" s="14">
        <v>411661.18</v>
      </c>
      <c r="V1939" s="14">
        <v>6195492.4400000004</v>
      </c>
      <c r="W1939" s="14">
        <v>0.87</v>
      </c>
      <c r="X1939" s="14">
        <v>150.05000000000001</v>
      </c>
    </row>
    <row r="1940" spans="1:24" s="14" customFormat="1" x14ac:dyDescent="0.25">
      <c r="A1940" s="50">
        <v>45103</v>
      </c>
      <c r="B1940" s="57">
        <v>177</v>
      </c>
      <c r="C1940" s="36">
        <v>0.25202546296296297</v>
      </c>
      <c r="D1940" s="16" t="s">
        <v>6826</v>
      </c>
      <c r="E1940" s="52" t="s">
        <v>65</v>
      </c>
      <c r="F1940" s="16" t="s">
        <v>11862</v>
      </c>
      <c r="G1940" s="16" t="s">
        <v>2284</v>
      </c>
      <c r="H1940" s="14">
        <v>-1.4E-2</v>
      </c>
      <c r="I1940" s="14" t="s">
        <v>16864</v>
      </c>
      <c r="J1940" s="14" t="s">
        <v>16865</v>
      </c>
      <c r="K1940" s="14" t="s">
        <v>16866</v>
      </c>
      <c r="L1940" s="14" t="s">
        <v>16867</v>
      </c>
      <c r="O1940" s="14" t="s">
        <v>16860</v>
      </c>
      <c r="P1940" s="14" t="s">
        <v>16861</v>
      </c>
      <c r="Q1940" s="14">
        <v>411626.66</v>
      </c>
      <c r="R1940" s="14">
        <v>6195507.3700000001</v>
      </c>
      <c r="S1940" s="14" t="s">
        <v>16862</v>
      </c>
      <c r="T1940" s="14" t="s">
        <v>16863</v>
      </c>
      <c r="U1940" s="14">
        <v>411652.33</v>
      </c>
      <c r="V1940" s="14">
        <v>6195501.1299999999</v>
      </c>
      <c r="W1940" s="14">
        <v>181.28</v>
      </c>
      <c r="X1940" s="14">
        <v>150.05000000000001</v>
      </c>
    </row>
    <row r="1941" spans="1:24" s="14" customFormat="1" x14ac:dyDescent="0.25">
      <c r="A1941" s="50">
        <v>45103</v>
      </c>
      <c r="B1941" s="57">
        <v>177</v>
      </c>
      <c r="C1941" s="36">
        <v>0.25541666666666668</v>
      </c>
      <c r="D1941" s="16" t="s">
        <v>6826</v>
      </c>
      <c r="E1941" s="52" t="s">
        <v>70</v>
      </c>
      <c r="F1941" s="16" t="s">
        <v>11862</v>
      </c>
      <c r="G1941" s="16" t="s">
        <v>2284</v>
      </c>
      <c r="H1941" s="14">
        <v>0.16600000000000001</v>
      </c>
      <c r="I1941" s="14" t="s">
        <v>16864</v>
      </c>
      <c r="J1941" s="14" t="s">
        <v>16865</v>
      </c>
      <c r="K1941" s="14" t="s">
        <v>16866</v>
      </c>
      <c r="L1941" s="14" t="s">
        <v>16867</v>
      </c>
      <c r="O1941" s="14" t="s">
        <v>16868</v>
      </c>
      <c r="P1941" s="14" t="s">
        <v>16869</v>
      </c>
      <c r="Q1941" s="14">
        <v>411627.04</v>
      </c>
      <c r="R1941" s="14">
        <v>6195326.79</v>
      </c>
      <c r="S1941" s="14" t="s">
        <v>16870</v>
      </c>
      <c r="T1941" s="14" t="s">
        <v>16871</v>
      </c>
      <c r="U1941" s="14">
        <v>411652.33</v>
      </c>
      <c r="V1941" s="14">
        <v>6195321.0099999998</v>
      </c>
      <c r="W1941" s="14">
        <v>180.12</v>
      </c>
      <c r="X1941" s="14">
        <v>150.05000000000001</v>
      </c>
    </row>
    <row r="1942" spans="1:24" s="14" customFormat="1" x14ac:dyDescent="0.25">
      <c r="A1942" s="50">
        <v>45103</v>
      </c>
      <c r="B1942" s="57">
        <v>177</v>
      </c>
      <c r="C1942" s="36">
        <v>0.25809027777777777</v>
      </c>
      <c r="D1942" s="16" t="s">
        <v>6826</v>
      </c>
      <c r="E1942" s="52" t="s">
        <v>65</v>
      </c>
      <c r="F1942" s="16" t="s">
        <v>11862</v>
      </c>
      <c r="G1942" s="16" t="s">
        <v>2285</v>
      </c>
      <c r="H1942" s="14">
        <v>0.16200000000000001</v>
      </c>
      <c r="I1942" s="14" t="s">
        <v>16876</v>
      </c>
      <c r="J1942" s="14" t="s">
        <v>16877</v>
      </c>
      <c r="K1942" s="14" t="s">
        <v>16878</v>
      </c>
      <c r="L1942" s="14" t="s">
        <v>16867</v>
      </c>
      <c r="O1942" s="14" t="s">
        <v>16872</v>
      </c>
      <c r="P1942" s="14" t="s">
        <v>16873</v>
      </c>
      <c r="Q1942" s="14">
        <v>411617.73</v>
      </c>
      <c r="R1942" s="14">
        <v>6195312.8799999999</v>
      </c>
      <c r="S1942" s="14" t="s">
        <v>16874</v>
      </c>
      <c r="T1942" s="14" t="s">
        <v>16875</v>
      </c>
      <c r="U1942" s="14">
        <v>411643.43</v>
      </c>
      <c r="V1942" s="14">
        <v>6195314.0199999996</v>
      </c>
      <c r="W1942" s="14">
        <v>359.32</v>
      </c>
      <c r="X1942" s="14">
        <v>150.05000000000001</v>
      </c>
    </row>
    <row r="1943" spans="1:24" s="14" customFormat="1" x14ac:dyDescent="0.25">
      <c r="A1943" s="50">
        <v>45103</v>
      </c>
      <c r="B1943" s="57">
        <v>177</v>
      </c>
      <c r="C1943" s="36">
        <v>0.26155092592592594</v>
      </c>
      <c r="D1943" s="16" t="s">
        <v>6826</v>
      </c>
      <c r="E1943" s="62" t="s">
        <v>70</v>
      </c>
      <c r="F1943" s="16" t="s">
        <v>11862</v>
      </c>
      <c r="G1943" s="16" t="s">
        <v>2285</v>
      </c>
      <c r="H1943" s="14">
        <v>-1.7999999999999999E-2</v>
      </c>
      <c r="I1943" s="14" t="s">
        <v>16876</v>
      </c>
      <c r="J1943" s="14" t="s">
        <v>16877</v>
      </c>
      <c r="K1943" s="14" t="s">
        <v>16878</v>
      </c>
      <c r="L1943" s="14" t="s">
        <v>16883</v>
      </c>
      <c r="O1943" s="14" t="s">
        <v>16879</v>
      </c>
      <c r="P1943" s="14" t="s">
        <v>16880</v>
      </c>
      <c r="Q1943" s="14">
        <v>411618.39</v>
      </c>
      <c r="R1943" s="14">
        <v>6195494.4299999997</v>
      </c>
      <c r="S1943" s="14" t="s">
        <v>16881</v>
      </c>
      <c r="T1943" s="14" t="s">
        <v>16882</v>
      </c>
      <c r="U1943" s="14">
        <v>411643.46</v>
      </c>
      <c r="V1943" s="14">
        <v>6195494.5700000003</v>
      </c>
      <c r="W1943" s="14">
        <v>358.86</v>
      </c>
      <c r="X1943" s="14">
        <v>150.05000000000001</v>
      </c>
    </row>
    <row r="1944" spans="1:24" s="14" customFormat="1" x14ac:dyDescent="0.25">
      <c r="A1944" s="50">
        <v>45103</v>
      </c>
      <c r="B1944" s="57">
        <v>177</v>
      </c>
      <c r="C1944" s="36">
        <v>0.26416666666666666</v>
      </c>
      <c r="D1944" s="16" t="s">
        <v>6826</v>
      </c>
      <c r="E1944" s="52" t="s">
        <v>65</v>
      </c>
      <c r="F1944" s="16" t="s">
        <v>11862</v>
      </c>
      <c r="G1944" s="16" t="s">
        <v>2286</v>
      </c>
      <c r="H1944" s="14">
        <v>-1.4999999999999999E-2</v>
      </c>
      <c r="I1944" s="14" t="s">
        <v>16888</v>
      </c>
      <c r="J1944" s="14" t="s">
        <v>16889</v>
      </c>
      <c r="K1944" s="14" t="s">
        <v>16890</v>
      </c>
      <c r="L1944" s="14" t="s">
        <v>16883</v>
      </c>
      <c r="O1944" s="14" t="s">
        <v>16884</v>
      </c>
      <c r="P1944" s="14" t="s">
        <v>16885</v>
      </c>
      <c r="Q1944" s="14">
        <v>411609.57</v>
      </c>
      <c r="R1944" s="14">
        <v>6195509.1600000001</v>
      </c>
      <c r="S1944" s="14" t="s">
        <v>16886</v>
      </c>
      <c r="T1944" s="14" t="s">
        <v>16887</v>
      </c>
      <c r="U1944" s="14">
        <v>411634.29</v>
      </c>
      <c r="V1944" s="14">
        <v>6195502.2699999996</v>
      </c>
      <c r="W1944" s="14">
        <v>181.42</v>
      </c>
      <c r="X1944" s="14">
        <v>150.05000000000001</v>
      </c>
    </row>
    <row r="1945" spans="1:24" s="14" customFormat="1" x14ac:dyDescent="0.25">
      <c r="A1945" s="50">
        <v>45103</v>
      </c>
      <c r="B1945" s="57">
        <v>177</v>
      </c>
      <c r="C1945" s="36">
        <v>0.26761574074074074</v>
      </c>
      <c r="D1945" s="16" t="s">
        <v>6826</v>
      </c>
      <c r="E1945" s="52" t="s">
        <v>70</v>
      </c>
      <c r="F1945" s="16" t="s">
        <v>11862</v>
      </c>
      <c r="G1945" s="16" t="s">
        <v>2286</v>
      </c>
      <c r="H1945" s="14">
        <v>0.16700000000000001</v>
      </c>
      <c r="I1945" s="14" t="s">
        <v>16888</v>
      </c>
      <c r="J1945" s="14" t="s">
        <v>16889</v>
      </c>
      <c r="K1945" s="14" t="s">
        <v>16890</v>
      </c>
      <c r="L1945" s="14" t="s">
        <v>16883</v>
      </c>
      <c r="O1945" s="14" t="s">
        <v>16891</v>
      </c>
      <c r="P1945" s="14" t="s">
        <v>16892</v>
      </c>
      <c r="Q1945" s="14">
        <v>411608.62</v>
      </c>
      <c r="R1945" s="14">
        <v>6195325.9100000001</v>
      </c>
      <c r="S1945" s="14" t="s">
        <v>16893</v>
      </c>
      <c r="T1945" s="14" t="s">
        <v>16894</v>
      </c>
      <c r="U1945" s="14">
        <v>411634.28</v>
      </c>
      <c r="V1945" s="14">
        <v>6195320.5899999999</v>
      </c>
      <c r="W1945" s="14">
        <v>179.9</v>
      </c>
      <c r="X1945" s="14">
        <v>150.05000000000001</v>
      </c>
    </row>
    <row r="1946" spans="1:24" s="14" customFormat="1" x14ac:dyDescent="0.25">
      <c r="A1946" s="50">
        <v>45103</v>
      </c>
      <c r="B1946" s="57">
        <v>177</v>
      </c>
      <c r="C1946" s="36">
        <v>0.27011574074074074</v>
      </c>
      <c r="D1946" s="16" t="s">
        <v>6826</v>
      </c>
      <c r="E1946" s="14" t="s">
        <v>65</v>
      </c>
      <c r="F1946" s="16" t="s">
        <v>11862</v>
      </c>
      <c r="G1946" s="16" t="s">
        <v>2287</v>
      </c>
      <c r="H1946" s="14">
        <v>0.16300000000000001</v>
      </c>
      <c r="I1946" s="14" t="s">
        <v>16899</v>
      </c>
      <c r="J1946" s="14" t="s">
        <v>16900</v>
      </c>
      <c r="K1946" s="14" t="s">
        <v>16901</v>
      </c>
      <c r="L1946" s="14" t="s">
        <v>16883</v>
      </c>
      <c r="O1946" s="14" t="s">
        <v>16895</v>
      </c>
      <c r="P1946" s="14" t="s">
        <v>16896</v>
      </c>
      <c r="Q1946" s="14">
        <v>411600.18</v>
      </c>
      <c r="R1946" s="14">
        <v>6195315.1100000003</v>
      </c>
      <c r="S1946" s="14" t="s">
        <v>16897</v>
      </c>
      <c r="T1946" s="14" t="s">
        <v>16898</v>
      </c>
      <c r="U1946" s="14">
        <v>411625.24</v>
      </c>
      <c r="V1946" s="14">
        <v>6195313.2300000004</v>
      </c>
      <c r="W1946" s="14">
        <v>359.68</v>
      </c>
      <c r="X1946" s="14">
        <v>150.05000000000001</v>
      </c>
    </row>
    <row r="1947" spans="1:24" s="14" customFormat="1" x14ac:dyDescent="0.25">
      <c r="A1947" s="50">
        <v>45103</v>
      </c>
      <c r="B1947" s="57">
        <v>177</v>
      </c>
      <c r="C1947" s="36">
        <v>0.27357638888888891</v>
      </c>
      <c r="D1947" s="16" t="s">
        <v>6826</v>
      </c>
      <c r="E1947" s="52" t="s">
        <v>70</v>
      </c>
      <c r="F1947" s="16" t="s">
        <v>11862</v>
      </c>
      <c r="G1947" s="16" t="s">
        <v>2287</v>
      </c>
      <c r="H1947" s="14">
        <v>-1.9E-2</v>
      </c>
      <c r="I1947" s="14" t="s">
        <v>16899</v>
      </c>
      <c r="J1947" s="14" t="s">
        <v>16900</v>
      </c>
      <c r="K1947" s="14" t="s">
        <v>16901</v>
      </c>
      <c r="L1947" s="14" t="s">
        <v>16906</v>
      </c>
      <c r="O1947" s="14" t="s">
        <v>16902</v>
      </c>
      <c r="P1947" s="14" t="s">
        <v>16903</v>
      </c>
      <c r="Q1947" s="14">
        <v>411601.01</v>
      </c>
      <c r="R1947" s="14">
        <v>6195497.0099999998</v>
      </c>
      <c r="S1947" s="14" t="s">
        <v>16904</v>
      </c>
      <c r="T1947" s="14" t="s">
        <v>16905</v>
      </c>
      <c r="U1947" s="14">
        <v>411625.28</v>
      </c>
      <c r="V1947" s="14">
        <v>6195495.6200000001</v>
      </c>
      <c r="W1947" s="14">
        <v>0.01</v>
      </c>
      <c r="X1947" s="14">
        <v>150.05000000000001</v>
      </c>
    </row>
    <row r="1948" spans="1:24" s="14" customFormat="1" x14ac:dyDescent="0.25">
      <c r="A1948" s="50">
        <v>45103</v>
      </c>
      <c r="B1948" s="57">
        <v>177</v>
      </c>
      <c r="C1948" s="36">
        <v>0.27909722222222222</v>
      </c>
      <c r="D1948" s="16" t="s">
        <v>6826</v>
      </c>
      <c r="E1948" s="116" t="s">
        <v>16907</v>
      </c>
      <c r="F1948" s="16" t="s">
        <v>11862</v>
      </c>
      <c r="G1948" s="16" t="s">
        <v>2093</v>
      </c>
      <c r="H1948" s="14">
        <v>1.835</v>
      </c>
      <c r="O1948" s="14" t="s">
        <v>16908</v>
      </c>
      <c r="P1948" s="14" t="s">
        <v>16909</v>
      </c>
      <c r="Q1948" s="14">
        <v>411608.72</v>
      </c>
      <c r="R1948" s="14">
        <v>6195532.1900000004</v>
      </c>
      <c r="S1948" s="14" t="s">
        <v>16910</v>
      </c>
      <c r="T1948" s="14" t="s">
        <v>16911</v>
      </c>
      <c r="U1948" s="14">
        <v>411615.33</v>
      </c>
      <c r="V1948" s="14">
        <v>6195524.8300000001</v>
      </c>
      <c r="W1948" s="14">
        <v>126.27</v>
      </c>
      <c r="X1948" s="14">
        <v>200.06</v>
      </c>
    </row>
    <row r="1949" spans="1:24" s="14" customFormat="1" x14ac:dyDescent="0.25">
      <c r="A1949" s="50">
        <v>45103</v>
      </c>
      <c r="B1949" s="57">
        <v>177</v>
      </c>
      <c r="C1949" s="36">
        <v>0.29119212962962965</v>
      </c>
      <c r="D1949" s="16" t="s">
        <v>6826</v>
      </c>
      <c r="E1949" s="52" t="s">
        <v>6362</v>
      </c>
      <c r="F1949" s="16" t="s">
        <v>11862</v>
      </c>
      <c r="G1949" s="16" t="s">
        <v>2093</v>
      </c>
      <c r="H1949" s="14">
        <v>0.23499999999999999</v>
      </c>
      <c r="O1949" s="14" t="s">
        <v>16912</v>
      </c>
      <c r="P1949" s="14" t="s">
        <v>16913</v>
      </c>
      <c r="Q1949" s="14">
        <v>410812.61</v>
      </c>
      <c r="R1949" s="14">
        <v>6197127.0300000003</v>
      </c>
      <c r="S1949" s="14" t="s">
        <v>16914</v>
      </c>
      <c r="T1949" s="14" t="s">
        <v>16915</v>
      </c>
      <c r="U1949" s="14">
        <v>410822.02</v>
      </c>
      <c r="V1949" s="14">
        <v>6197121.8700000001</v>
      </c>
      <c r="W1949" s="14">
        <v>104.97</v>
      </c>
      <c r="X1949" s="14">
        <v>200.06</v>
      </c>
    </row>
    <row r="1950" spans="1:24" s="14" customFormat="1" x14ac:dyDescent="0.25">
      <c r="A1950" s="50">
        <v>45103</v>
      </c>
      <c r="B1950" s="57">
        <v>177</v>
      </c>
      <c r="C1950" s="36">
        <v>0.2912615740740741</v>
      </c>
      <c r="D1950" s="16" t="s">
        <v>6826</v>
      </c>
      <c r="E1950" s="52" t="s">
        <v>8026</v>
      </c>
      <c r="F1950" s="16" t="s">
        <v>11862</v>
      </c>
      <c r="G1950" s="16" t="s">
        <v>2093</v>
      </c>
      <c r="H1950" s="14">
        <v>0.23499999999999999</v>
      </c>
      <c r="O1950" s="14" t="s">
        <v>16916</v>
      </c>
      <c r="P1950" s="14" t="s">
        <v>16917</v>
      </c>
      <c r="Q1950" s="14">
        <v>410812.36</v>
      </c>
      <c r="R1950" s="14">
        <v>6197127.3300000001</v>
      </c>
      <c r="S1950" s="14" t="s">
        <v>16918</v>
      </c>
      <c r="T1950" s="14" t="s">
        <v>16919</v>
      </c>
      <c r="U1950" s="14">
        <v>410822.09</v>
      </c>
      <c r="V1950" s="14">
        <v>6197122</v>
      </c>
      <c r="W1950" s="14">
        <v>104.97</v>
      </c>
      <c r="X1950" s="14">
        <v>200.06</v>
      </c>
    </row>
    <row r="1951" spans="1:24" s="122" customFormat="1" x14ac:dyDescent="0.25">
      <c r="A1951" s="65">
        <v>45103</v>
      </c>
      <c r="B1951" s="106">
        <v>177</v>
      </c>
      <c r="C1951" s="67">
        <v>0.29574074074074075</v>
      </c>
      <c r="D1951" s="66" t="s">
        <v>6826</v>
      </c>
      <c r="E1951" s="123" t="s">
        <v>16925</v>
      </c>
      <c r="F1951" s="66" t="s">
        <v>11862</v>
      </c>
      <c r="G1951" s="66" t="s">
        <v>2093</v>
      </c>
      <c r="H1951" s="122">
        <v>0.22900000000000001</v>
      </c>
      <c r="M1951" s="122" t="s">
        <v>16920</v>
      </c>
      <c r="O1951" s="122" t="s">
        <v>16921</v>
      </c>
      <c r="P1951" s="122" t="s">
        <v>16922</v>
      </c>
      <c r="Q1951" s="122">
        <v>410811.25</v>
      </c>
      <c r="R1951" s="122">
        <v>6197127.9199999999</v>
      </c>
      <c r="S1951" s="122" t="s">
        <v>16923</v>
      </c>
      <c r="T1951" s="122" t="s">
        <v>16924</v>
      </c>
      <c r="U1951" s="122">
        <v>410831.11</v>
      </c>
      <c r="V1951" s="122">
        <v>6197129.3200000003</v>
      </c>
      <c r="W1951" s="122">
        <v>123.52</v>
      </c>
      <c r="X1951" s="122">
        <v>200.06</v>
      </c>
    </row>
    <row r="1952" spans="1:24" s="14" customFormat="1" x14ac:dyDescent="0.25">
      <c r="A1952" s="50">
        <v>45103</v>
      </c>
      <c r="B1952" s="57">
        <v>177</v>
      </c>
      <c r="C1952" s="36">
        <v>0.29865740740740737</v>
      </c>
      <c r="D1952" s="16" t="s">
        <v>6826</v>
      </c>
      <c r="E1952" s="52" t="s">
        <v>65</v>
      </c>
      <c r="F1952" s="16" t="s">
        <v>11862</v>
      </c>
      <c r="G1952" s="16" t="s">
        <v>2093</v>
      </c>
      <c r="H1952" s="14">
        <v>0.21099999999999999</v>
      </c>
      <c r="I1952" s="14" t="s">
        <v>16930</v>
      </c>
      <c r="J1952" s="14" t="s">
        <v>16931</v>
      </c>
      <c r="K1952" s="14" t="s">
        <v>16932</v>
      </c>
      <c r="L1952" s="14" t="s">
        <v>16933</v>
      </c>
      <c r="O1952" s="14" t="s">
        <v>16926</v>
      </c>
      <c r="P1952" s="14" t="s">
        <v>16927</v>
      </c>
      <c r="Q1952" s="14">
        <v>410810.67</v>
      </c>
      <c r="R1952" s="14">
        <v>6197140.1900000004</v>
      </c>
      <c r="S1952" s="14" t="s">
        <v>16928</v>
      </c>
      <c r="T1952" s="14" t="s">
        <v>16929</v>
      </c>
      <c r="U1952" s="14">
        <v>410834.47</v>
      </c>
      <c r="V1952" s="14">
        <v>6197139.0300000003</v>
      </c>
      <c r="W1952" s="14">
        <v>359.29</v>
      </c>
      <c r="X1952" s="14">
        <v>200.06</v>
      </c>
    </row>
    <row r="1953" spans="1:24" s="14" customFormat="1" x14ac:dyDescent="0.25">
      <c r="A1953" s="50">
        <v>45103</v>
      </c>
      <c r="B1953" s="57">
        <v>177</v>
      </c>
      <c r="C1953" s="36">
        <v>0.30384259259259261</v>
      </c>
      <c r="D1953" s="16" t="s">
        <v>6826</v>
      </c>
      <c r="E1953" s="52" t="s">
        <v>70</v>
      </c>
      <c r="F1953" s="16" t="s">
        <v>11862</v>
      </c>
      <c r="G1953" s="16" t="s">
        <v>2093</v>
      </c>
      <c r="H1953" s="14">
        <v>-1.6E-2</v>
      </c>
      <c r="I1953" s="14" t="s">
        <v>16930</v>
      </c>
      <c r="J1953" s="14" t="s">
        <v>16931</v>
      </c>
      <c r="K1953" s="14" t="s">
        <v>16932</v>
      </c>
      <c r="L1953" s="14" t="s">
        <v>16938</v>
      </c>
      <c r="O1953" s="14" t="s">
        <v>16934</v>
      </c>
      <c r="P1953" s="14" t="s">
        <v>16935</v>
      </c>
      <c r="Q1953" s="14">
        <v>410808.8</v>
      </c>
      <c r="R1953" s="14">
        <v>6197365.8399999999</v>
      </c>
      <c r="S1953" s="14" t="s">
        <v>16936</v>
      </c>
      <c r="T1953" s="14" t="s">
        <v>16937</v>
      </c>
      <c r="U1953" s="14">
        <v>410834.39</v>
      </c>
      <c r="V1953" s="14">
        <v>6197365.5899999999</v>
      </c>
      <c r="W1953" s="14">
        <v>0.53</v>
      </c>
      <c r="X1953" s="14">
        <v>200.06</v>
      </c>
    </row>
    <row r="1954" spans="1:24" s="14" customFormat="1" x14ac:dyDescent="0.25">
      <c r="A1954" s="50">
        <v>45103</v>
      </c>
      <c r="B1954" s="57">
        <v>177</v>
      </c>
      <c r="C1954" s="36">
        <v>0.30624999999999997</v>
      </c>
      <c r="D1954" s="16" t="s">
        <v>6826</v>
      </c>
      <c r="E1954" s="52" t="s">
        <v>65</v>
      </c>
      <c r="F1954" s="16" t="s">
        <v>11862</v>
      </c>
      <c r="G1954" s="16" t="s">
        <v>2092</v>
      </c>
      <c r="H1954" s="14">
        <v>-1.2E-2</v>
      </c>
      <c r="I1954" s="14" t="s">
        <v>16943</v>
      </c>
      <c r="J1954" s="14" t="s">
        <v>16944</v>
      </c>
      <c r="K1954" s="14" t="s">
        <v>16945</v>
      </c>
      <c r="L1954" s="14" t="s">
        <v>16938</v>
      </c>
      <c r="O1954" s="14" t="s">
        <v>16939</v>
      </c>
      <c r="P1954" s="14" t="s">
        <v>16940</v>
      </c>
      <c r="Q1954" s="14">
        <v>410801.31</v>
      </c>
      <c r="R1954" s="14">
        <v>6197382.9199999999</v>
      </c>
      <c r="S1954" s="14" t="s">
        <v>16941</v>
      </c>
      <c r="T1954" s="14" t="s">
        <v>16942</v>
      </c>
      <c r="U1954" s="14">
        <v>410825.45</v>
      </c>
      <c r="V1954" s="14">
        <v>6197373.46</v>
      </c>
      <c r="W1954" s="14">
        <v>180.93</v>
      </c>
      <c r="X1954" s="14">
        <v>200.06</v>
      </c>
    </row>
    <row r="1955" spans="1:24" s="14" customFormat="1" x14ac:dyDescent="0.25">
      <c r="A1955" s="50">
        <v>45103</v>
      </c>
      <c r="B1955" s="57">
        <v>177</v>
      </c>
      <c r="C1955" s="36">
        <v>0.31133101851851852</v>
      </c>
      <c r="D1955" s="16" t="s">
        <v>6826</v>
      </c>
      <c r="E1955" s="14" t="s">
        <v>70</v>
      </c>
      <c r="F1955" s="16" t="s">
        <v>11862</v>
      </c>
      <c r="G1955" s="16" t="s">
        <v>2092</v>
      </c>
      <c r="H1955" s="14">
        <v>0.214</v>
      </c>
      <c r="I1955" s="14" t="s">
        <v>16943</v>
      </c>
      <c r="J1955" s="14" t="s">
        <v>16944</v>
      </c>
      <c r="K1955" s="14" t="s">
        <v>16945</v>
      </c>
      <c r="L1955" s="14" t="s">
        <v>16938</v>
      </c>
      <c r="O1955" s="14" t="s">
        <v>16946</v>
      </c>
      <c r="P1955" s="14" t="s">
        <v>16947</v>
      </c>
      <c r="Q1955" s="14">
        <v>410800.16</v>
      </c>
      <c r="R1955" s="14">
        <v>6197158.25</v>
      </c>
      <c r="S1955" s="14" t="s">
        <v>16948</v>
      </c>
      <c r="T1955" s="14" t="s">
        <v>16949</v>
      </c>
      <c r="U1955" s="14">
        <v>410825.45</v>
      </c>
      <c r="V1955" s="14">
        <v>6197146.7199999997</v>
      </c>
      <c r="W1955" s="14">
        <v>180.13</v>
      </c>
      <c r="X1955" s="14">
        <v>200.06</v>
      </c>
    </row>
    <row r="1956" spans="1:24" s="14" customFormat="1" x14ac:dyDescent="0.25">
      <c r="A1956" s="50">
        <v>45103</v>
      </c>
      <c r="B1956" s="57">
        <v>177</v>
      </c>
      <c r="C1956" s="36">
        <v>0.31435185185185183</v>
      </c>
      <c r="D1956" s="16" t="s">
        <v>6826</v>
      </c>
      <c r="E1956" s="52" t="s">
        <v>65</v>
      </c>
      <c r="F1956" s="16" t="s">
        <v>11862</v>
      </c>
      <c r="G1956" s="16" t="s">
        <v>2091</v>
      </c>
      <c r="H1956" s="14">
        <v>0.21099999999999999</v>
      </c>
      <c r="I1956" s="14" t="s">
        <v>16954</v>
      </c>
      <c r="J1956" s="14" t="s">
        <v>16955</v>
      </c>
      <c r="K1956" s="14" t="s">
        <v>16956</v>
      </c>
      <c r="L1956" s="14" t="s">
        <v>16957</v>
      </c>
      <c r="O1956" s="14" t="s">
        <v>16950</v>
      </c>
      <c r="P1956" s="14" t="s">
        <v>16951</v>
      </c>
      <c r="Q1956" s="14">
        <v>410790.22</v>
      </c>
      <c r="R1956" s="14">
        <v>6197141.6900000004</v>
      </c>
      <c r="S1956" s="14" t="s">
        <v>16952</v>
      </c>
      <c r="T1956" s="14" t="s">
        <v>16953</v>
      </c>
      <c r="U1956" s="14">
        <v>410816.48</v>
      </c>
      <c r="V1956" s="14">
        <v>6197138.7699999996</v>
      </c>
      <c r="W1956" s="14">
        <v>0.06</v>
      </c>
      <c r="X1956" s="14">
        <v>200.06</v>
      </c>
    </row>
    <row r="1957" spans="1:24" s="14" customFormat="1" x14ac:dyDescent="0.25">
      <c r="A1957" s="50">
        <v>45103</v>
      </c>
      <c r="B1957" s="57">
        <v>177</v>
      </c>
      <c r="C1957" s="36">
        <v>0.31865740740740739</v>
      </c>
      <c r="D1957" s="16" t="s">
        <v>6826</v>
      </c>
      <c r="E1957" s="14" t="s">
        <v>70</v>
      </c>
      <c r="F1957" s="16" t="s">
        <v>11862</v>
      </c>
      <c r="G1957" s="16" t="s">
        <v>2091</v>
      </c>
      <c r="H1957" s="14">
        <v>-1.6E-2</v>
      </c>
      <c r="I1957" s="14" t="s">
        <v>16954</v>
      </c>
      <c r="J1957" s="14" t="s">
        <v>16955</v>
      </c>
      <c r="K1957" s="14" t="s">
        <v>16956</v>
      </c>
      <c r="L1957" s="14" t="s">
        <v>16957</v>
      </c>
      <c r="O1957" s="14" t="s">
        <v>16958</v>
      </c>
      <c r="P1957" s="14" t="s">
        <v>16959</v>
      </c>
      <c r="Q1957" s="14">
        <v>410791.6</v>
      </c>
      <c r="R1957" s="14">
        <v>6197368.9000000004</v>
      </c>
      <c r="S1957" s="14" t="s">
        <v>16960</v>
      </c>
      <c r="T1957" s="14" t="s">
        <v>16961</v>
      </c>
      <c r="U1957" s="14">
        <v>410816.5</v>
      </c>
      <c r="V1957" s="14">
        <v>6197365.7800000003</v>
      </c>
      <c r="W1957" s="14">
        <v>359.77</v>
      </c>
      <c r="X1957" s="14">
        <v>200.06</v>
      </c>
    </row>
    <row r="1958" spans="1:24" s="14" customFormat="1" x14ac:dyDescent="0.25">
      <c r="A1958" s="50">
        <v>45103</v>
      </c>
      <c r="B1958" s="57">
        <v>177</v>
      </c>
      <c r="C1958" s="36">
        <v>0.32137731481481485</v>
      </c>
      <c r="D1958" s="16" t="s">
        <v>6826</v>
      </c>
      <c r="E1958" s="52" t="s">
        <v>65</v>
      </c>
      <c r="F1958" s="16" t="s">
        <v>11862</v>
      </c>
      <c r="G1958" s="16" t="s">
        <v>2090</v>
      </c>
      <c r="H1958" s="14">
        <v>-1.2999999999999999E-2</v>
      </c>
      <c r="I1958" s="14" t="s">
        <v>16966</v>
      </c>
      <c r="J1958" s="14" t="s">
        <v>16967</v>
      </c>
      <c r="K1958" s="14" t="s">
        <v>16968</v>
      </c>
      <c r="L1958" s="14" t="s">
        <v>16957</v>
      </c>
      <c r="O1958" s="14" t="s">
        <v>16962</v>
      </c>
      <c r="P1958" s="14" t="s">
        <v>16963</v>
      </c>
      <c r="Q1958" s="14">
        <v>410783.59</v>
      </c>
      <c r="R1958" s="14">
        <v>6197377.3099999996</v>
      </c>
      <c r="S1958" s="14" t="s">
        <v>16964</v>
      </c>
      <c r="T1958" s="14" t="s">
        <v>16965</v>
      </c>
      <c r="U1958" s="14">
        <v>410807.48</v>
      </c>
      <c r="V1958" s="14">
        <v>6197373.6900000004</v>
      </c>
      <c r="W1958" s="14">
        <v>180.69</v>
      </c>
      <c r="X1958" s="14">
        <v>200.06</v>
      </c>
    </row>
    <row r="1959" spans="1:24" s="14" customFormat="1" x14ac:dyDescent="0.25">
      <c r="A1959" s="50">
        <v>45103</v>
      </c>
      <c r="B1959" s="57">
        <v>177</v>
      </c>
      <c r="C1959" s="36">
        <v>0.3263773148148148</v>
      </c>
      <c r="D1959" s="16" t="s">
        <v>6826</v>
      </c>
      <c r="E1959" s="52" t="s">
        <v>70</v>
      </c>
      <c r="F1959" s="16" t="s">
        <v>11862</v>
      </c>
      <c r="G1959" s="16" t="s">
        <v>2090</v>
      </c>
      <c r="H1959" s="14">
        <v>0.215</v>
      </c>
      <c r="I1959" s="14" t="s">
        <v>16966</v>
      </c>
      <c r="J1959" s="14" t="s">
        <v>16967</v>
      </c>
      <c r="K1959" s="14" t="s">
        <v>16968</v>
      </c>
      <c r="L1959" s="14" t="s">
        <v>16973</v>
      </c>
      <c r="O1959" s="14" t="s">
        <v>16969</v>
      </c>
      <c r="P1959" s="14" t="s">
        <v>16970</v>
      </c>
      <c r="Q1959" s="14">
        <v>410782.31</v>
      </c>
      <c r="R1959" s="14">
        <v>6197154.4900000002</v>
      </c>
      <c r="S1959" s="14" t="s">
        <v>16971</v>
      </c>
      <c r="T1959" s="14" t="s">
        <v>16972</v>
      </c>
      <c r="U1959" s="14">
        <v>410807.49</v>
      </c>
      <c r="V1959" s="14">
        <v>6197146.0300000003</v>
      </c>
      <c r="W1959" s="14">
        <v>180.02</v>
      </c>
      <c r="X1959" s="14">
        <v>200.06</v>
      </c>
    </row>
    <row r="1960" spans="1:24" s="14" customFormat="1" x14ac:dyDescent="0.25">
      <c r="A1960" s="50">
        <v>45103</v>
      </c>
      <c r="B1960" s="57">
        <v>177</v>
      </c>
      <c r="C1960" s="36">
        <v>0.32859953703703704</v>
      </c>
      <c r="D1960" s="16" t="s">
        <v>6826</v>
      </c>
      <c r="E1960" s="52" t="s">
        <v>65</v>
      </c>
      <c r="F1960" s="16" t="s">
        <v>11862</v>
      </c>
      <c r="G1960" s="16" t="s">
        <v>2089</v>
      </c>
      <c r="H1960" s="14">
        <v>0.21199999999999999</v>
      </c>
      <c r="I1960" s="14" t="s">
        <v>16978</v>
      </c>
      <c r="J1960" s="14" t="s">
        <v>16979</v>
      </c>
      <c r="K1960" s="14" t="s">
        <v>16980</v>
      </c>
      <c r="L1960" s="14" t="s">
        <v>16973</v>
      </c>
      <c r="O1960" s="14" t="s">
        <v>16974</v>
      </c>
      <c r="P1960" s="14" t="s">
        <v>16975</v>
      </c>
      <c r="Q1960" s="14">
        <v>410773.58</v>
      </c>
      <c r="R1960" s="14">
        <v>6197135.4900000002</v>
      </c>
      <c r="S1960" s="14" t="s">
        <v>16976</v>
      </c>
      <c r="T1960" s="14" t="s">
        <v>16977</v>
      </c>
      <c r="U1960" s="14">
        <v>410798.42</v>
      </c>
      <c r="V1960" s="14">
        <v>6197138.4400000004</v>
      </c>
      <c r="W1960" s="14">
        <v>359.48</v>
      </c>
      <c r="X1960" s="14">
        <v>200.06</v>
      </c>
    </row>
    <row r="1961" spans="1:24" s="14" customFormat="1" x14ac:dyDescent="0.25">
      <c r="A1961" s="50">
        <v>45103</v>
      </c>
      <c r="B1961" s="57">
        <v>177</v>
      </c>
      <c r="C1961" s="36">
        <v>0.33292824074074073</v>
      </c>
      <c r="D1961" s="16" t="s">
        <v>6826</v>
      </c>
      <c r="E1961" s="52" t="s">
        <v>70</v>
      </c>
      <c r="F1961" s="16" t="s">
        <v>11862</v>
      </c>
      <c r="G1961" s="16" t="s">
        <v>2089</v>
      </c>
      <c r="H1961" s="14">
        <v>-1.6E-2</v>
      </c>
      <c r="I1961" s="14" t="s">
        <v>16978</v>
      </c>
      <c r="J1961" s="14" t="s">
        <v>16979</v>
      </c>
      <c r="K1961" s="14" t="s">
        <v>16980</v>
      </c>
      <c r="L1961" s="14" t="s">
        <v>16973</v>
      </c>
      <c r="O1961" s="14" t="s">
        <v>16981</v>
      </c>
      <c r="P1961" s="14" t="s">
        <v>16982</v>
      </c>
      <c r="Q1961" s="14">
        <v>410773.05</v>
      </c>
      <c r="R1961" s="14">
        <v>6197361.1900000004</v>
      </c>
      <c r="S1961" s="14" t="s">
        <v>16983</v>
      </c>
      <c r="T1961" s="14" t="s">
        <v>16984</v>
      </c>
      <c r="U1961" s="14">
        <v>410798.4</v>
      </c>
      <c r="V1961" s="14">
        <v>6197365.9400000004</v>
      </c>
      <c r="W1961" s="14">
        <v>0.22</v>
      </c>
      <c r="X1961" s="14">
        <v>200.06</v>
      </c>
    </row>
    <row r="1962" spans="1:24" s="14" customFormat="1" x14ac:dyDescent="0.25">
      <c r="A1962" s="50">
        <v>45103</v>
      </c>
      <c r="B1962" s="57">
        <v>177</v>
      </c>
      <c r="C1962" s="36">
        <v>0.33543981481481483</v>
      </c>
      <c r="D1962" s="16" t="s">
        <v>6826</v>
      </c>
      <c r="E1962" s="52" t="s">
        <v>65</v>
      </c>
      <c r="F1962" s="16" t="s">
        <v>11862</v>
      </c>
      <c r="G1962" s="16" t="s">
        <v>2088</v>
      </c>
      <c r="H1962" s="14">
        <v>-1.2999999999999999E-2</v>
      </c>
      <c r="I1962" s="14" t="s">
        <v>16989</v>
      </c>
      <c r="J1962" s="14" t="s">
        <v>16990</v>
      </c>
      <c r="K1962" s="14" t="s">
        <v>16991</v>
      </c>
      <c r="L1962" s="14" t="s">
        <v>16992</v>
      </c>
      <c r="O1962" s="14" t="s">
        <v>16985</v>
      </c>
      <c r="P1962" s="14" t="s">
        <v>16986</v>
      </c>
      <c r="Q1962" s="14">
        <v>410764.24</v>
      </c>
      <c r="R1962" s="14">
        <v>6197373.6799999997</v>
      </c>
      <c r="S1962" s="14" t="s">
        <v>16987</v>
      </c>
      <c r="T1962" s="14" t="s">
        <v>16988</v>
      </c>
      <c r="U1962" s="14">
        <v>410789.45</v>
      </c>
      <c r="V1962" s="14">
        <v>6197373.6799999997</v>
      </c>
      <c r="W1962" s="14">
        <v>180.31</v>
      </c>
      <c r="X1962" s="14">
        <v>200.06</v>
      </c>
    </row>
    <row r="1963" spans="1:24" s="14" customFormat="1" x14ac:dyDescent="0.25">
      <c r="A1963" s="50">
        <v>45103</v>
      </c>
      <c r="B1963" s="57">
        <v>177</v>
      </c>
      <c r="C1963" s="36">
        <v>0.34053240740740742</v>
      </c>
      <c r="D1963" s="16" t="s">
        <v>6826</v>
      </c>
      <c r="E1963" s="52" t="s">
        <v>70</v>
      </c>
      <c r="F1963" s="16" t="s">
        <v>11862</v>
      </c>
      <c r="G1963" s="16" t="s">
        <v>2088</v>
      </c>
      <c r="H1963" s="14">
        <v>0.215</v>
      </c>
      <c r="I1963" s="14" t="s">
        <v>16989</v>
      </c>
      <c r="J1963" s="14" t="s">
        <v>16990</v>
      </c>
      <c r="K1963" s="14" t="s">
        <v>16991</v>
      </c>
      <c r="L1963" s="14" t="s">
        <v>16992</v>
      </c>
      <c r="O1963" s="14" t="s">
        <v>16993</v>
      </c>
      <c r="P1963" s="14" t="s">
        <v>16994</v>
      </c>
      <c r="Q1963" s="14">
        <v>410763.35</v>
      </c>
      <c r="R1963" s="14">
        <v>6197147.8499999996</v>
      </c>
      <c r="S1963" s="14" t="s">
        <v>16995</v>
      </c>
      <c r="T1963" s="14" t="s">
        <v>16996</v>
      </c>
      <c r="U1963" s="14">
        <v>410789.45</v>
      </c>
      <c r="V1963" s="14">
        <v>6197146.4699999997</v>
      </c>
      <c r="W1963" s="14">
        <v>178.85</v>
      </c>
      <c r="X1963" s="14">
        <v>200.06</v>
      </c>
    </row>
    <row r="1964" spans="1:24" s="14" customFormat="1" x14ac:dyDescent="0.25">
      <c r="A1964" s="50">
        <v>45103</v>
      </c>
      <c r="B1964" s="57">
        <v>177</v>
      </c>
      <c r="C1964" s="36">
        <v>0.34255787037037039</v>
      </c>
      <c r="D1964" s="16" t="s">
        <v>6826</v>
      </c>
      <c r="E1964" s="52" t="s">
        <v>65</v>
      </c>
      <c r="F1964" s="16" t="s">
        <v>11862</v>
      </c>
      <c r="G1964" s="16" t="s">
        <v>2087</v>
      </c>
      <c r="H1964" s="14">
        <v>0.21199999999999999</v>
      </c>
      <c r="I1964" s="14" t="s">
        <v>17001</v>
      </c>
      <c r="J1964" s="14" t="s">
        <v>17002</v>
      </c>
      <c r="K1964" s="14" t="s">
        <v>17003</v>
      </c>
      <c r="L1964" s="14" t="s">
        <v>16992</v>
      </c>
      <c r="O1964" s="14" t="s">
        <v>16997</v>
      </c>
      <c r="P1964" s="14" t="s">
        <v>16998</v>
      </c>
      <c r="Q1964" s="14">
        <v>410755.69</v>
      </c>
      <c r="R1964" s="14">
        <v>6197136.8499999996</v>
      </c>
      <c r="S1964" s="14" t="s">
        <v>16999</v>
      </c>
      <c r="T1964" s="14" t="s">
        <v>17000</v>
      </c>
      <c r="U1964" s="14">
        <v>410780.56</v>
      </c>
      <c r="V1964" s="14">
        <v>6197138.0300000003</v>
      </c>
      <c r="W1964" s="14">
        <v>357.23</v>
      </c>
      <c r="X1964" s="14">
        <v>200.06</v>
      </c>
    </row>
    <row r="1965" spans="1:24" s="14" customFormat="1" x14ac:dyDescent="0.25">
      <c r="A1965" s="50">
        <v>45103</v>
      </c>
      <c r="B1965" s="57">
        <v>177</v>
      </c>
      <c r="C1965" s="36">
        <v>0.34696759259259258</v>
      </c>
      <c r="D1965" s="16" t="s">
        <v>6826</v>
      </c>
      <c r="E1965" s="52" t="s">
        <v>70</v>
      </c>
      <c r="F1965" s="16" t="s">
        <v>11862</v>
      </c>
      <c r="G1965" s="16" t="s">
        <v>2087</v>
      </c>
      <c r="H1965" s="14">
        <v>-1.7000000000000001E-2</v>
      </c>
      <c r="I1965" s="14" t="s">
        <v>17001</v>
      </c>
      <c r="J1965" s="14" t="s">
        <v>17002</v>
      </c>
      <c r="K1965" s="14" t="s">
        <v>17003</v>
      </c>
      <c r="L1965" s="14" t="s">
        <v>17008</v>
      </c>
      <c r="O1965" s="14" t="s">
        <v>17004</v>
      </c>
      <c r="P1965" s="14" t="s">
        <v>17005</v>
      </c>
      <c r="Q1965" s="14">
        <v>410754.37</v>
      </c>
      <c r="R1965" s="14">
        <v>6197366.7400000002</v>
      </c>
      <c r="S1965" s="14" t="s">
        <v>17006</v>
      </c>
      <c r="T1965" s="14" t="s">
        <v>17007</v>
      </c>
      <c r="U1965" s="14">
        <v>410780.45</v>
      </c>
      <c r="V1965" s="14">
        <v>6197366.8200000003</v>
      </c>
      <c r="W1965" s="14">
        <v>358.94</v>
      </c>
      <c r="X1965" s="14">
        <v>200.06</v>
      </c>
    </row>
    <row r="1966" spans="1:24" s="14" customFormat="1" x14ac:dyDescent="0.25">
      <c r="A1966" s="50">
        <v>45103</v>
      </c>
      <c r="B1966" s="57">
        <v>177</v>
      </c>
      <c r="C1966" s="36">
        <v>0.34939814814814812</v>
      </c>
      <c r="D1966" s="16" t="s">
        <v>6826</v>
      </c>
      <c r="E1966" s="52" t="s">
        <v>65</v>
      </c>
      <c r="F1966" s="16" t="s">
        <v>11862</v>
      </c>
      <c r="G1966" s="16" t="s">
        <v>2086</v>
      </c>
      <c r="H1966" s="14">
        <v>-1.2999999999999999E-2</v>
      </c>
      <c r="I1966" s="14" t="s">
        <v>17013</v>
      </c>
      <c r="J1966" s="14" t="s">
        <v>17014</v>
      </c>
      <c r="K1966" s="14" t="s">
        <v>17015</v>
      </c>
      <c r="L1966" s="14" t="s">
        <v>17008</v>
      </c>
      <c r="O1966" s="14" t="s">
        <v>17009</v>
      </c>
      <c r="P1966" s="14" t="s">
        <v>17010</v>
      </c>
      <c r="Q1966" s="14">
        <v>410746.29</v>
      </c>
      <c r="R1966" s="14">
        <v>6197378.7199999997</v>
      </c>
      <c r="S1966" s="14" t="s">
        <v>17011</v>
      </c>
      <c r="T1966" s="14" t="s">
        <v>17012</v>
      </c>
      <c r="U1966" s="14">
        <v>410771.53</v>
      </c>
      <c r="V1966" s="14">
        <v>6197373.6799999997</v>
      </c>
      <c r="W1966" s="14">
        <v>179.98</v>
      </c>
      <c r="X1966" s="14">
        <v>200.06</v>
      </c>
    </row>
    <row r="1967" spans="1:24" s="14" customFormat="1" x14ac:dyDescent="0.25">
      <c r="A1967" s="50">
        <v>45103</v>
      </c>
      <c r="B1967" s="57">
        <v>177</v>
      </c>
      <c r="C1967" s="36">
        <v>0.35450231481481481</v>
      </c>
      <c r="D1967" s="16" t="s">
        <v>6826</v>
      </c>
      <c r="E1967" s="52" t="s">
        <v>70</v>
      </c>
      <c r="F1967" s="16" t="s">
        <v>11862</v>
      </c>
      <c r="G1967" s="16" t="s">
        <v>2086</v>
      </c>
      <c r="H1967" s="14">
        <v>0.214</v>
      </c>
      <c r="I1967" s="14" t="s">
        <v>17013</v>
      </c>
      <c r="J1967" s="14" t="s">
        <v>17014</v>
      </c>
      <c r="K1967" s="14" t="s">
        <v>17015</v>
      </c>
      <c r="L1967" s="14" t="s">
        <v>17020</v>
      </c>
      <c r="O1967" s="14" t="s">
        <v>17016</v>
      </c>
      <c r="P1967" s="14" t="s">
        <v>17017</v>
      </c>
      <c r="Q1967" s="14">
        <v>410745.93</v>
      </c>
      <c r="R1967" s="14">
        <v>6197152.8200000003</v>
      </c>
      <c r="S1967" s="14" t="s">
        <v>17018</v>
      </c>
      <c r="T1967" s="14" t="s">
        <v>17019</v>
      </c>
      <c r="U1967" s="14">
        <v>410771.49</v>
      </c>
      <c r="V1967" s="14">
        <v>6197146.6299999999</v>
      </c>
      <c r="W1967" s="14">
        <v>179.06</v>
      </c>
      <c r="X1967" s="14">
        <v>200.06</v>
      </c>
    </row>
    <row r="1968" spans="1:24" s="14" customFormat="1" x14ac:dyDescent="0.25">
      <c r="A1968" s="50">
        <v>45103</v>
      </c>
      <c r="B1968" s="57">
        <v>177</v>
      </c>
      <c r="C1968" s="36">
        <v>0.35690972222222223</v>
      </c>
      <c r="D1968" s="16" t="s">
        <v>6826</v>
      </c>
      <c r="E1968" s="52" t="s">
        <v>65</v>
      </c>
      <c r="F1968" s="16" t="s">
        <v>11862</v>
      </c>
      <c r="G1968" s="16" t="s">
        <v>2077</v>
      </c>
      <c r="H1968" s="14">
        <v>0.21099999999999999</v>
      </c>
      <c r="I1968" s="14" t="s">
        <v>17025</v>
      </c>
      <c r="J1968" s="14" t="s">
        <v>17026</v>
      </c>
      <c r="K1968" s="14" t="s">
        <v>17027</v>
      </c>
      <c r="L1968" s="14" t="s">
        <v>17020</v>
      </c>
      <c r="O1968" s="14" t="s">
        <v>17021</v>
      </c>
      <c r="P1968" s="14" t="s">
        <v>17022</v>
      </c>
      <c r="Q1968" s="14">
        <v>410736.6</v>
      </c>
      <c r="R1968" s="14">
        <v>6197140.0700000003</v>
      </c>
      <c r="S1968" s="14" t="s">
        <v>17023</v>
      </c>
      <c r="T1968" s="14" t="s">
        <v>17024</v>
      </c>
      <c r="U1968" s="14">
        <v>410762.44</v>
      </c>
      <c r="V1968" s="14">
        <v>6197139.0099999998</v>
      </c>
      <c r="W1968" s="14">
        <v>357.49</v>
      </c>
      <c r="X1968" s="14">
        <v>200.06</v>
      </c>
    </row>
    <row r="1969" spans="1:24" s="14" customFormat="1" x14ac:dyDescent="0.25">
      <c r="A1969" s="50">
        <v>45103</v>
      </c>
      <c r="B1969" s="57">
        <v>177</v>
      </c>
      <c r="C1969" s="36">
        <v>0.36121527777777779</v>
      </c>
      <c r="D1969" s="16" t="s">
        <v>6826</v>
      </c>
      <c r="E1969" s="52" t="s">
        <v>70</v>
      </c>
      <c r="F1969" s="16" t="s">
        <v>11862</v>
      </c>
      <c r="G1969" s="16" t="s">
        <v>2077</v>
      </c>
      <c r="H1969" s="14">
        <v>-1.6E-2</v>
      </c>
      <c r="I1969" s="14" t="s">
        <v>17025</v>
      </c>
      <c r="J1969" s="14" t="s">
        <v>17026</v>
      </c>
      <c r="K1969" s="14" t="s">
        <v>17027</v>
      </c>
      <c r="L1969" s="14" t="s">
        <v>17020</v>
      </c>
      <c r="O1969" s="14" t="s">
        <v>17028</v>
      </c>
      <c r="P1969" s="14" t="s">
        <v>17029</v>
      </c>
      <c r="Q1969" s="14">
        <v>410736.12</v>
      </c>
      <c r="R1969" s="14">
        <v>6197366.0099999998</v>
      </c>
      <c r="S1969" s="14" t="s">
        <v>17030</v>
      </c>
      <c r="T1969" s="14" t="s">
        <v>17031</v>
      </c>
      <c r="U1969" s="14">
        <v>410762.47</v>
      </c>
      <c r="V1969" s="14">
        <v>6197365.9400000004</v>
      </c>
      <c r="W1969" s="14">
        <v>358.35</v>
      </c>
      <c r="X1969" s="14">
        <v>200.06</v>
      </c>
    </row>
    <row r="1970" spans="1:24" s="14" customFormat="1" x14ac:dyDescent="0.25">
      <c r="A1970" s="50">
        <v>45103</v>
      </c>
      <c r="B1970" s="57">
        <v>177</v>
      </c>
      <c r="C1970" s="36">
        <v>0.36353009259259261</v>
      </c>
      <c r="D1970" s="16" t="s">
        <v>6826</v>
      </c>
      <c r="E1970" s="52" t="s">
        <v>65</v>
      </c>
      <c r="F1970" s="16" t="s">
        <v>11862</v>
      </c>
      <c r="G1970" s="16" t="s">
        <v>2078</v>
      </c>
      <c r="H1970" s="14">
        <v>-1.2999999999999999E-2</v>
      </c>
      <c r="I1970" s="14" t="s">
        <v>17036</v>
      </c>
      <c r="J1970" s="14" t="s">
        <v>17037</v>
      </c>
      <c r="K1970" s="14" t="s">
        <v>17038</v>
      </c>
      <c r="L1970" s="14" t="s">
        <v>17020</v>
      </c>
      <c r="O1970" s="14" t="s">
        <v>17032</v>
      </c>
      <c r="P1970" s="14" t="s">
        <v>17033</v>
      </c>
      <c r="Q1970" s="14">
        <v>410728.9</v>
      </c>
      <c r="R1970" s="14">
        <v>6197377.7699999996</v>
      </c>
      <c r="S1970" s="14" t="s">
        <v>17034</v>
      </c>
      <c r="T1970" s="14" t="s">
        <v>17035</v>
      </c>
      <c r="U1970" s="14">
        <v>410753.41</v>
      </c>
      <c r="V1970" s="14">
        <v>6197373.6100000003</v>
      </c>
      <c r="W1970" s="14">
        <v>179.56</v>
      </c>
      <c r="X1970" s="14">
        <v>200.06</v>
      </c>
    </row>
    <row r="1971" spans="1:24" s="14" customFormat="1" x14ac:dyDescent="0.25">
      <c r="A1971" s="50">
        <v>45103</v>
      </c>
      <c r="B1971" s="57">
        <v>177</v>
      </c>
      <c r="C1971" s="36">
        <v>0.36866898148148147</v>
      </c>
      <c r="D1971" s="16" t="s">
        <v>6826</v>
      </c>
      <c r="E1971" s="52" t="s">
        <v>70</v>
      </c>
      <c r="F1971" s="16" t="s">
        <v>11862</v>
      </c>
      <c r="G1971" s="16" t="s">
        <v>2078</v>
      </c>
      <c r="H1971" s="14">
        <v>0.214</v>
      </c>
      <c r="I1971" s="14" t="s">
        <v>17036</v>
      </c>
      <c r="J1971" s="14" t="s">
        <v>17037</v>
      </c>
      <c r="K1971" s="14" t="s">
        <v>17038</v>
      </c>
      <c r="L1971" s="14" t="s">
        <v>17043</v>
      </c>
      <c r="O1971" s="14" t="s">
        <v>17039</v>
      </c>
      <c r="P1971" s="14" t="s">
        <v>17040</v>
      </c>
      <c r="Q1971" s="14">
        <v>410728.61</v>
      </c>
      <c r="R1971" s="14">
        <v>6197151.0700000003</v>
      </c>
      <c r="S1971" s="14" t="s">
        <v>17041</v>
      </c>
      <c r="T1971" s="14" t="s">
        <v>17042</v>
      </c>
      <c r="U1971" s="14">
        <v>410753.47</v>
      </c>
      <c r="V1971" s="14">
        <v>6197146.6299999999</v>
      </c>
      <c r="W1971" s="14">
        <v>178.37</v>
      </c>
      <c r="X1971" s="14">
        <v>200.06</v>
      </c>
    </row>
    <row r="1972" spans="1:24" s="14" customFormat="1" x14ac:dyDescent="0.25">
      <c r="A1972" s="50">
        <v>45103</v>
      </c>
      <c r="B1972" s="57">
        <v>177</v>
      </c>
      <c r="C1972" s="36">
        <v>0.37119212962962966</v>
      </c>
      <c r="D1972" s="16" t="s">
        <v>6826</v>
      </c>
      <c r="E1972" s="14" t="s">
        <v>65</v>
      </c>
      <c r="F1972" s="16" t="s">
        <v>11862</v>
      </c>
      <c r="G1972" s="16" t="s">
        <v>2079</v>
      </c>
      <c r="H1972" s="14">
        <v>0.21099999999999999</v>
      </c>
      <c r="I1972" s="14" t="s">
        <v>17048</v>
      </c>
      <c r="J1972" s="14" t="s">
        <v>17049</v>
      </c>
      <c r="K1972" s="14" t="s">
        <v>17050</v>
      </c>
      <c r="L1972" s="14" t="s">
        <v>17043</v>
      </c>
      <c r="O1972" s="14" t="s">
        <v>17044</v>
      </c>
      <c r="P1972" s="14" t="s">
        <v>17045</v>
      </c>
      <c r="Q1972" s="14">
        <v>410719.89</v>
      </c>
      <c r="R1972" s="14">
        <v>6197139.5800000001</v>
      </c>
      <c r="S1972" s="14" t="s">
        <v>17046</v>
      </c>
      <c r="T1972" s="14" t="s">
        <v>17047</v>
      </c>
      <c r="U1972" s="14">
        <v>410744.45</v>
      </c>
      <c r="V1972" s="14">
        <v>6197138.79</v>
      </c>
      <c r="W1972" s="14">
        <v>359.04</v>
      </c>
      <c r="X1972" s="14">
        <v>200.06</v>
      </c>
    </row>
    <row r="1973" spans="1:24" s="14" customFormat="1" x14ac:dyDescent="0.25">
      <c r="A1973" s="50">
        <v>45103</v>
      </c>
      <c r="B1973" s="57">
        <v>177</v>
      </c>
      <c r="C1973" s="36">
        <v>0.37557870370370372</v>
      </c>
      <c r="D1973" s="16" t="s">
        <v>6826</v>
      </c>
      <c r="E1973" s="52" t="s">
        <v>70</v>
      </c>
      <c r="F1973" s="16" t="s">
        <v>11862</v>
      </c>
      <c r="G1973" s="16" t="s">
        <v>2079</v>
      </c>
      <c r="H1973" s="14">
        <v>-1.7000000000000001E-2</v>
      </c>
      <c r="I1973" s="14" t="s">
        <v>17048</v>
      </c>
      <c r="J1973" s="14" t="s">
        <v>17049</v>
      </c>
      <c r="K1973" s="14" t="s">
        <v>17050</v>
      </c>
      <c r="L1973" s="14" t="s">
        <v>17055</v>
      </c>
      <c r="O1973" s="14" t="s">
        <v>17051</v>
      </c>
      <c r="P1973" s="14" t="s">
        <v>17052</v>
      </c>
      <c r="Q1973" s="14">
        <v>410719.71</v>
      </c>
      <c r="R1973" s="14">
        <v>6197368.7999999998</v>
      </c>
      <c r="S1973" s="14" t="s">
        <v>17053</v>
      </c>
      <c r="T1973" s="14" t="s">
        <v>17054</v>
      </c>
      <c r="U1973" s="14">
        <v>410744.51</v>
      </c>
      <c r="V1973" s="14">
        <v>6197366.4699999997</v>
      </c>
      <c r="W1973" s="14">
        <v>358.74</v>
      </c>
      <c r="X1973" s="14">
        <v>200.06</v>
      </c>
    </row>
    <row r="1974" spans="1:24" s="132" customFormat="1" x14ac:dyDescent="0.25">
      <c r="A1974" s="102">
        <v>45103</v>
      </c>
      <c r="B1974" s="100">
        <v>177</v>
      </c>
      <c r="C1974" s="104">
        <v>0.37635416666666671</v>
      </c>
      <c r="D1974" s="96" t="s">
        <v>6826</v>
      </c>
      <c r="E1974" s="133" t="s">
        <v>17060</v>
      </c>
      <c r="F1974" s="96" t="s">
        <v>11862</v>
      </c>
      <c r="G1974" s="96" t="s">
        <v>2080</v>
      </c>
      <c r="H1974" s="132">
        <v>-4.2000000000000003E-2</v>
      </c>
      <c r="O1974" s="132" t="s">
        <v>17056</v>
      </c>
      <c r="P1974" s="132" t="s">
        <v>17057</v>
      </c>
      <c r="Q1974" s="132">
        <v>410719.02</v>
      </c>
      <c r="R1974" s="132">
        <v>6197406.2300000004</v>
      </c>
      <c r="S1974" s="132" t="s">
        <v>17058</v>
      </c>
      <c r="T1974" s="132" t="s">
        <v>17059</v>
      </c>
      <c r="U1974" s="132">
        <v>410741.13</v>
      </c>
      <c r="V1974" s="132">
        <v>6197393.5</v>
      </c>
      <c r="W1974" s="132">
        <v>45.45</v>
      </c>
      <c r="X1974" s="132">
        <v>200.06</v>
      </c>
    </row>
    <row r="1975" spans="1:24" s="14" customFormat="1" x14ac:dyDescent="0.25">
      <c r="A1975" s="50">
        <v>45103</v>
      </c>
      <c r="B1975" s="57">
        <v>177</v>
      </c>
      <c r="C1975" s="36">
        <v>0.37942129629629634</v>
      </c>
      <c r="D1975" s="16" t="s">
        <v>6826</v>
      </c>
      <c r="E1975" s="52" t="s">
        <v>65</v>
      </c>
      <c r="F1975" s="16" t="s">
        <v>11862</v>
      </c>
      <c r="G1975" s="16" t="s">
        <v>2080</v>
      </c>
      <c r="H1975" s="14">
        <v>-1.2999999999999999E-2</v>
      </c>
      <c r="I1975" s="14" t="s">
        <v>17065</v>
      </c>
      <c r="J1975" s="14" t="s">
        <v>17066</v>
      </c>
      <c r="K1975" s="14" t="s">
        <v>17067</v>
      </c>
      <c r="L1975" s="14" t="s">
        <v>17055</v>
      </c>
      <c r="O1975" s="14" t="s">
        <v>17061</v>
      </c>
      <c r="P1975" s="14" t="s">
        <v>17062</v>
      </c>
      <c r="Q1975" s="14">
        <v>410709.78</v>
      </c>
      <c r="R1975" s="14">
        <v>6197386.1299999999</v>
      </c>
      <c r="S1975" s="14" t="s">
        <v>17063</v>
      </c>
      <c r="T1975" s="14" t="s">
        <v>17064</v>
      </c>
      <c r="U1975" s="14">
        <v>410735.54</v>
      </c>
      <c r="V1975" s="14">
        <v>6197374.4500000002</v>
      </c>
      <c r="W1975" s="14">
        <v>179.85</v>
      </c>
      <c r="X1975" s="14">
        <v>200.06</v>
      </c>
    </row>
    <row r="1976" spans="1:24" s="14" customFormat="1" x14ac:dyDescent="0.25">
      <c r="A1976" s="50">
        <v>45103</v>
      </c>
      <c r="B1976" s="57">
        <v>177</v>
      </c>
      <c r="C1976" s="36">
        <v>0.38452546296296292</v>
      </c>
      <c r="D1976" s="16" t="s">
        <v>6826</v>
      </c>
      <c r="E1976" s="52" t="s">
        <v>70</v>
      </c>
      <c r="F1976" s="16" t="s">
        <v>11862</v>
      </c>
      <c r="G1976" s="16" t="s">
        <v>2080</v>
      </c>
      <c r="H1976" s="14">
        <v>0.214</v>
      </c>
      <c r="I1976" s="14" t="s">
        <v>17065</v>
      </c>
      <c r="J1976" s="14" t="s">
        <v>17066</v>
      </c>
      <c r="K1976" s="14" t="s">
        <v>17067</v>
      </c>
      <c r="L1976" s="14" t="s">
        <v>17055</v>
      </c>
      <c r="O1976" s="14" t="s">
        <v>17068</v>
      </c>
      <c r="P1976" s="14" t="s">
        <v>17069</v>
      </c>
      <c r="Q1976" s="14">
        <v>410710.27</v>
      </c>
      <c r="R1976" s="14">
        <v>6197158.5899999999</v>
      </c>
      <c r="S1976" s="14" t="s">
        <v>17070</v>
      </c>
      <c r="T1976" s="14" t="s">
        <v>17071</v>
      </c>
      <c r="U1976" s="14">
        <v>410735.54</v>
      </c>
      <c r="V1976" s="14">
        <v>6197147.4800000004</v>
      </c>
      <c r="W1976" s="14">
        <v>179.37</v>
      </c>
      <c r="X1976" s="14">
        <v>200.06</v>
      </c>
    </row>
    <row r="1977" spans="1:24" s="14" customFormat="1" x14ac:dyDescent="0.25">
      <c r="A1977" s="50">
        <v>45103</v>
      </c>
      <c r="B1977" s="57">
        <v>177</v>
      </c>
      <c r="C1977" s="36">
        <v>0.38747685185185188</v>
      </c>
      <c r="D1977" s="16" t="s">
        <v>6826</v>
      </c>
      <c r="E1977" s="52" t="s">
        <v>65</v>
      </c>
      <c r="F1977" s="16" t="s">
        <v>11862</v>
      </c>
      <c r="G1977" s="16" t="s">
        <v>2081</v>
      </c>
      <c r="H1977" s="14">
        <v>0.21099999999999999</v>
      </c>
      <c r="I1977" s="14" t="s">
        <v>17076</v>
      </c>
      <c r="J1977" s="14" t="s">
        <v>17077</v>
      </c>
      <c r="K1977" s="14" t="s">
        <v>17078</v>
      </c>
      <c r="L1977" s="14" t="s">
        <v>17079</v>
      </c>
      <c r="O1977" s="14" t="s">
        <v>17072</v>
      </c>
      <c r="P1977" s="14" t="s">
        <v>17073</v>
      </c>
      <c r="Q1977" s="14">
        <v>410702.75</v>
      </c>
      <c r="R1977" s="14">
        <v>6197136</v>
      </c>
      <c r="S1977" s="14" t="s">
        <v>17074</v>
      </c>
      <c r="T1977" s="14" t="s">
        <v>17075</v>
      </c>
      <c r="U1977" s="14">
        <v>410726.55</v>
      </c>
      <c r="V1977" s="14">
        <v>6197139.0599999996</v>
      </c>
      <c r="W1977" s="14">
        <v>357.89</v>
      </c>
      <c r="X1977" s="14">
        <v>200.06</v>
      </c>
    </row>
    <row r="1978" spans="1:24" s="14" customFormat="1" x14ac:dyDescent="0.25">
      <c r="A1978" s="50">
        <v>45103</v>
      </c>
      <c r="B1978" s="57">
        <v>177</v>
      </c>
      <c r="C1978" s="36">
        <v>0.39199074074074075</v>
      </c>
      <c r="D1978" s="16" t="s">
        <v>6826</v>
      </c>
      <c r="E1978" s="52" t="s">
        <v>70</v>
      </c>
      <c r="F1978" s="16" t="s">
        <v>11862</v>
      </c>
      <c r="G1978" s="16" t="s">
        <v>2081</v>
      </c>
      <c r="H1978" s="14">
        <v>-1.7000000000000001E-2</v>
      </c>
      <c r="I1978" s="14" t="s">
        <v>17076</v>
      </c>
      <c r="J1978" s="14" t="s">
        <v>17077</v>
      </c>
      <c r="K1978" s="14" t="s">
        <v>17078</v>
      </c>
      <c r="L1978" s="14" t="s">
        <v>17079</v>
      </c>
      <c r="O1978" s="14" t="s">
        <v>17080</v>
      </c>
      <c r="P1978" s="14" t="s">
        <v>17081</v>
      </c>
      <c r="Q1978" s="14">
        <v>410701.59</v>
      </c>
      <c r="R1978" s="14">
        <v>6197371.6200000001</v>
      </c>
      <c r="S1978" s="14" t="s">
        <v>17082</v>
      </c>
      <c r="T1978" s="14" t="s">
        <v>17083</v>
      </c>
      <c r="U1978" s="14">
        <v>410726.42</v>
      </c>
      <c r="V1978" s="14">
        <v>6197367.0300000003</v>
      </c>
      <c r="W1978" s="14">
        <v>358.67</v>
      </c>
      <c r="X1978" s="14">
        <v>200.06</v>
      </c>
    </row>
    <row r="1979" spans="1:24" s="14" customFormat="1" x14ac:dyDescent="0.25">
      <c r="A1979" s="50">
        <v>45103</v>
      </c>
      <c r="B1979" s="57">
        <v>177</v>
      </c>
      <c r="C1979" s="36">
        <v>0.39550925925925928</v>
      </c>
      <c r="D1979" s="16" t="s">
        <v>6826</v>
      </c>
      <c r="E1979" s="52" t="s">
        <v>65</v>
      </c>
      <c r="F1979" s="16" t="s">
        <v>11862</v>
      </c>
      <c r="G1979" s="16" t="s">
        <v>2082</v>
      </c>
      <c r="H1979" s="14">
        <v>-1.2999999999999999E-2</v>
      </c>
      <c r="I1979" s="14" t="s">
        <v>17088</v>
      </c>
      <c r="J1979" s="14" t="s">
        <v>17089</v>
      </c>
      <c r="K1979" s="14" t="s">
        <v>17090</v>
      </c>
      <c r="L1979" s="14" t="s">
        <v>17091</v>
      </c>
      <c r="O1979" s="14" t="s">
        <v>17084</v>
      </c>
      <c r="P1979" s="14" t="s">
        <v>17085</v>
      </c>
      <c r="Q1979" s="14">
        <v>410692.44</v>
      </c>
      <c r="R1979" s="14">
        <v>6197383.1100000003</v>
      </c>
      <c r="S1979" s="14" t="s">
        <v>17086</v>
      </c>
      <c r="T1979" s="14" t="s">
        <v>17087</v>
      </c>
      <c r="U1979" s="14">
        <v>410717.46</v>
      </c>
      <c r="V1979" s="14">
        <v>6197374.2999999998</v>
      </c>
      <c r="W1979" s="14">
        <v>179.38</v>
      </c>
      <c r="X1979" s="14">
        <v>200.06</v>
      </c>
    </row>
    <row r="1980" spans="1:24" s="14" customFormat="1" x14ac:dyDescent="0.25">
      <c r="A1980" s="50">
        <v>45103</v>
      </c>
      <c r="B1980" s="57">
        <v>177</v>
      </c>
      <c r="C1980" s="36">
        <v>0.40077546296296296</v>
      </c>
      <c r="D1980" s="16" t="s">
        <v>6826</v>
      </c>
      <c r="E1980" s="14" t="s">
        <v>70</v>
      </c>
      <c r="F1980" s="16" t="s">
        <v>11862</v>
      </c>
      <c r="G1980" s="16" t="s">
        <v>2082</v>
      </c>
      <c r="H1980" s="14">
        <v>0.216</v>
      </c>
      <c r="I1980" s="14" t="s">
        <v>17088</v>
      </c>
      <c r="J1980" s="14" t="s">
        <v>17089</v>
      </c>
      <c r="K1980" s="14" t="s">
        <v>17090</v>
      </c>
      <c r="L1980" s="14" t="s">
        <v>17091</v>
      </c>
      <c r="O1980" s="14" t="s">
        <v>17092</v>
      </c>
      <c r="P1980" s="14" t="s">
        <v>17093</v>
      </c>
      <c r="Q1980" s="14">
        <v>410691.66</v>
      </c>
      <c r="R1980" s="14">
        <v>6197149.4400000004</v>
      </c>
      <c r="S1980" s="14" t="s">
        <v>17094</v>
      </c>
      <c r="T1980" s="14" t="s">
        <v>17095</v>
      </c>
      <c r="U1980" s="14">
        <v>410717.42</v>
      </c>
      <c r="V1980" s="14">
        <v>6197145.4400000004</v>
      </c>
      <c r="W1980" s="14">
        <v>179.39</v>
      </c>
      <c r="X1980" s="14">
        <v>200.06</v>
      </c>
    </row>
    <row r="1981" spans="1:24" s="14" customFormat="1" x14ac:dyDescent="0.25">
      <c r="A1981" s="50">
        <v>45103</v>
      </c>
      <c r="B1981" s="57">
        <v>177</v>
      </c>
      <c r="C1981" s="36">
        <v>0.41050925925925924</v>
      </c>
      <c r="D1981" s="16" t="s">
        <v>6826</v>
      </c>
      <c r="E1981" s="52" t="s">
        <v>65</v>
      </c>
      <c r="F1981" s="16" t="s">
        <v>11862</v>
      </c>
      <c r="G1981" s="16" t="s">
        <v>2083</v>
      </c>
      <c r="H1981" s="14">
        <v>0.20799999999999999</v>
      </c>
      <c r="I1981" s="14" t="s">
        <v>17100</v>
      </c>
      <c r="J1981" s="14" t="s">
        <v>17101</v>
      </c>
      <c r="K1981" s="14" t="s">
        <v>17102</v>
      </c>
      <c r="L1981" s="14" t="s">
        <v>17103</v>
      </c>
      <c r="O1981" s="14" t="s">
        <v>17096</v>
      </c>
      <c r="P1981" s="14" t="s">
        <v>17097</v>
      </c>
      <c r="Q1981" s="14">
        <v>410736.43</v>
      </c>
      <c r="R1981" s="14">
        <v>6197141.1399999997</v>
      </c>
      <c r="S1981" s="14" t="s">
        <v>17098</v>
      </c>
      <c r="T1981" s="14" t="s">
        <v>17099</v>
      </c>
      <c r="U1981" s="14">
        <v>410708.36</v>
      </c>
      <c r="V1981" s="14">
        <v>6197142.0999999996</v>
      </c>
      <c r="W1981" s="14">
        <v>1.06</v>
      </c>
      <c r="X1981" s="14">
        <v>200.06</v>
      </c>
    </row>
    <row r="1982" spans="1:24" s="14" customFormat="1" x14ac:dyDescent="0.25">
      <c r="A1982" s="50">
        <v>45103</v>
      </c>
      <c r="B1982" s="57">
        <v>177</v>
      </c>
      <c r="C1982" s="36">
        <v>0.41585648148148152</v>
      </c>
      <c r="D1982" s="16" t="s">
        <v>6826</v>
      </c>
      <c r="E1982" s="14" t="s">
        <v>70</v>
      </c>
      <c r="F1982" s="16" t="s">
        <v>11862</v>
      </c>
      <c r="G1982" s="16" t="s">
        <v>2083</v>
      </c>
      <c r="H1982" s="14">
        <v>-1.9E-2</v>
      </c>
      <c r="I1982" s="14" t="s">
        <v>17100</v>
      </c>
      <c r="J1982" s="14" t="s">
        <v>17101</v>
      </c>
      <c r="K1982" s="14" t="s">
        <v>17102</v>
      </c>
      <c r="L1982" s="14" t="s">
        <v>17103</v>
      </c>
      <c r="O1982" s="14" t="s">
        <v>17104</v>
      </c>
      <c r="P1982" s="14" t="s">
        <v>17105</v>
      </c>
      <c r="Q1982" s="14">
        <v>410735.77</v>
      </c>
      <c r="R1982" s="14">
        <v>6197377.3399999999</v>
      </c>
      <c r="S1982" s="14" t="s">
        <v>17106</v>
      </c>
      <c r="T1982" s="14" t="s">
        <v>17107</v>
      </c>
      <c r="U1982" s="14">
        <v>410708.36</v>
      </c>
      <c r="V1982" s="14">
        <v>6197368.8499999996</v>
      </c>
      <c r="W1982" s="14">
        <v>359.86</v>
      </c>
      <c r="X1982" s="14">
        <v>200.06</v>
      </c>
    </row>
    <row r="1983" spans="1:24" s="14" customFormat="1" x14ac:dyDescent="0.25">
      <c r="A1983" s="50">
        <v>45103</v>
      </c>
      <c r="B1983" s="57">
        <v>177</v>
      </c>
      <c r="C1983" s="36">
        <v>0.4230902777777778</v>
      </c>
      <c r="D1983" s="117" t="s">
        <v>7074</v>
      </c>
      <c r="E1983" s="52" t="s">
        <v>6103</v>
      </c>
      <c r="F1983" s="16" t="s">
        <v>11862</v>
      </c>
      <c r="G1983" s="16" t="s">
        <v>2084</v>
      </c>
      <c r="H1983" s="14">
        <v>-5.1999999999999998E-2</v>
      </c>
      <c r="O1983" s="14" t="s">
        <v>17108</v>
      </c>
      <c r="P1983" s="14" t="s">
        <v>17109</v>
      </c>
      <c r="Q1983" s="14">
        <v>410723.37</v>
      </c>
      <c r="R1983" s="14">
        <v>6197426.4000000004</v>
      </c>
      <c r="S1983" s="14" t="s">
        <v>17110</v>
      </c>
      <c r="T1983" s="14" t="s">
        <v>17111</v>
      </c>
      <c r="U1983" s="14">
        <v>410709.22</v>
      </c>
      <c r="V1983" s="14">
        <v>6197412.5800000001</v>
      </c>
      <c r="W1983" s="14">
        <v>179.63</v>
      </c>
      <c r="X1983" s="14">
        <v>200.06</v>
      </c>
    </row>
    <row r="1984" spans="1:24" s="14" customFormat="1" x14ac:dyDescent="0.25">
      <c r="A1984" s="50">
        <v>45103</v>
      </c>
      <c r="B1984" s="57">
        <v>177</v>
      </c>
      <c r="C1984" s="36">
        <v>0.42604166666666665</v>
      </c>
      <c r="D1984" s="117" t="s">
        <v>7074</v>
      </c>
      <c r="E1984" s="52" t="s">
        <v>65</v>
      </c>
      <c r="F1984" s="16" t="s">
        <v>11862</v>
      </c>
      <c r="G1984" s="16" t="s">
        <v>2084</v>
      </c>
      <c r="H1984" s="14">
        <v>-1.4999999999999999E-2</v>
      </c>
      <c r="I1984" s="14" t="s">
        <v>17116</v>
      </c>
      <c r="J1984" s="14" t="s">
        <v>17117</v>
      </c>
      <c r="K1984" s="14" t="s">
        <v>17118</v>
      </c>
      <c r="L1984" s="14" t="s">
        <v>17119</v>
      </c>
      <c r="O1984" s="14" t="s">
        <v>17112</v>
      </c>
      <c r="P1984" s="14" t="s">
        <v>17113</v>
      </c>
      <c r="Q1984" s="14">
        <v>410702.45</v>
      </c>
      <c r="R1984" s="14">
        <v>6197398.4299999997</v>
      </c>
      <c r="S1984" s="14" t="s">
        <v>17114</v>
      </c>
      <c r="T1984" s="14" t="s">
        <v>17115</v>
      </c>
      <c r="U1984" s="14">
        <v>410699.4</v>
      </c>
      <c r="V1984" s="14">
        <v>6197376.1600000001</v>
      </c>
      <c r="W1984" s="14">
        <v>180.4</v>
      </c>
      <c r="X1984" s="14">
        <v>200.06</v>
      </c>
    </row>
    <row r="1985" spans="1:24" s="132" customFormat="1" x14ac:dyDescent="0.25">
      <c r="A1985" s="102">
        <v>45103</v>
      </c>
      <c r="B1985" s="100">
        <v>177</v>
      </c>
      <c r="C1985" s="104">
        <v>0.42618055555555556</v>
      </c>
      <c r="D1985" s="96" t="s">
        <v>7074</v>
      </c>
      <c r="E1985" s="133" t="s">
        <v>17124</v>
      </c>
      <c r="F1985" s="96" t="s">
        <v>11862</v>
      </c>
      <c r="G1985" s="96" t="s">
        <v>2084</v>
      </c>
      <c r="H1985" s="132">
        <v>-0.01</v>
      </c>
      <c r="O1985" s="132" t="s">
        <v>17120</v>
      </c>
      <c r="P1985" s="132" t="s">
        <v>17121</v>
      </c>
      <c r="Q1985" s="132">
        <v>410702.19</v>
      </c>
      <c r="R1985" s="132">
        <v>6197393.0999999996</v>
      </c>
      <c r="S1985" s="132" t="s">
        <v>17122</v>
      </c>
      <c r="T1985" s="132" t="s">
        <v>17123</v>
      </c>
      <c r="U1985" s="132">
        <v>410699.37</v>
      </c>
      <c r="V1985" s="132">
        <v>6197371.4900000002</v>
      </c>
      <c r="W1985" s="132">
        <v>179.82</v>
      </c>
      <c r="X1985" s="132">
        <v>200.06</v>
      </c>
    </row>
    <row r="1986" spans="1:24" s="14" customFormat="1" x14ac:dyDescent="0.25">
      <c r="A1986" s="50">
        <v>45103</v>
      </c>
      <c r="B1986" s="57">
        <v>177</v>
      </c>
      <c r="C1986" s="36">
        <v>0.43141203703703707</v>
      </c>
      <c r="D1986" s="117" t="s">
        <v>7074</v>
      </c>
      <c r="E1986" s="52" t="s">
        <v>70</v>
      </c>
      <c r="F1986" s="16" t="s">
        <v>11862</v>
      </c>
      <c r="G1986" s="16" t="s">
        <v>2084</v>
      </c>
      <c r="H1986" s="14">
        <v>0.215</v>
      </c>
      <c r="I1986" s="14" t="s">
        <v>17116</v>
      </c>
      <c r="J1986" s="14" t="s">
        <v>17117</v>
      </c>
      <c r="K1986" s="14" t="s">
        <v>17118</v>
      </c>
      <c r="L1986" s="14" t="s">
        <v>17129</v>
      </c>
      <c r="O1986" s="14" t="s">
        <v>17125</v>
      </c>
      <c r="P1986" s="14" t="s">
        <v>17126</v>
      </c>
      <c r="Q1986" s="14">
        <v>410702.42</v>
      </c>
      <c r="R1986" s="14">
        <v>6197167.3700000001</v>
      </c>
      <c r="S1986" s="14" t="s">
        <v>17127</v>
      </c>
      <c r="T1986" s="14" t="s">
        <v>17128</v>
      </c>
      <c r="U1986" s="14">
        <v>410699.39</v>
      </c>
      <c r="V1986" s="14">
        <v>6197146.54</v>
      </c>
      <c r="W1986" s="14">
        <v>179.98</v>
      </c>
      <c r="X1986" s="14">
        <v>200.06</v>
      </c>
    </row>
    <row r="1987" spans="1:24" s="14" customFormat="1" x14ac:dyDescent="0.25">
      <c r="A1987" s="50">
        <v>45103</v>
      </c>
      <c r="B1987" s="57">
        <v>177</v>
      </c>
      <c r="C1987" s="36">
        <v>0.43623842592592593</v>
      </c>
      <c r="D1987" s="117" t="s">
        <v>7074</v>
      </c>
      <c r="E1987" s="52" t="s">
        <v>65</v>
      </c>
      <c r="F1987" s="16" t="s">
        <v>11862</v>
      </c>
      <c r="G1987" s="16" t="s">
        <v>2085</v>
      </c>
      <c r="H1987" s="14">
        <v>0.21199999999999999</v>
      </c>
      <c r="I1987" s="14" t="s">
        <v>17134</v>
      </c>
      <c r="J1987" s="115" t="s">
        <v>17135</v>
      </c>
      <c r="K1987" s="115" t="s">
        <v>17136</v>
      </c>
      <c r="L1987" s="14" t="s">
        <v>17129</v>
      </c>
      <c r="O1987" s="14" t="s">
        <v>17130</v>
      </c>
      <c r="P1987" s="14" t="s">
        <v>17131</v>
      </c>
      <c r="Q1987" s="14">
        <v>410701.89</v>
      </c>
      <c r="R1987" s="14">
        <v>6197157.5599999996</v>
      </c>
      <c r="S1987" s="14" t="s">
        <v>17132</v>
      </c>
      <c r="T1987" s="14" t="s">
        <v>17133</v>
      </c>
      <c r="U1987" s="14">
        <v>410690.51</v>
      </c>
      <c r="V1987" s="14">
        <v>6197138.3600000003</v>
      </c>
      <c r="W1987" s="14">
        <v>359.64</v>
      </c>
      <c r="X1987" s="14">
        <v>200.06</v>
      </c>
    </row>
    <row r="1988" spans="1:24" s="14" customFormat="1" x14ac:dyDescent="0.25">
      <c r="A1988" s="50">
        <v>45103</v>
      </c>
      <c r="B1988" s="57">
        <v>177</v>
      </c>
      <c r="C1988" s="36">
        <v>0.44156250000000002</v>
      </c>
      <c r="D1988" s="117" t="s">
        <v>7074</v>
      </c>
      <c r="E1988" s="52" t="s">
        <v>70</v>
      </c>
      <c r="F1988" s="16" t="s">
        <v>11862</v>
      </c>
      <c r="G1988" s="16" t="s">
        <v>2085</v>
      </c>
      <c r="H1988" s="14">
        <v>-2.1000000000000001E-2</v>
      </c>
      <c r="I1988" s="14" t="s">
        <v>17134</v>
      </c>
      <c r="J1988" s="14" t="s">
        <v>17135</v>
      </c>
      <c r="K1988" s="14" t="s">
        <v>17136</v>
      </c>
      <c r="L1988" s="14" t="s">
        <v>17141</v>
      </c>
      <c r="O1988" s="14" t="s">
        <v>17137</v>
      </c>
      <c r="P1988" s="14" t="s">
        <v>17138</v>
      </c>
      <c r="Q1988" s="14">
        <v>410702</v>
      </c>
      <c r="R1988" s="14">
        <v>6197390.7699999996</v>
      </c>
      <c r="S1988" s="14" t="s">
        <v>17139</v>
      </c>
      <c r="T1988" s="14" t="s">
        <v>17140</v>
      </c>
      <c r="U1988" s="14">
        <v>410690.49</v>
      </c>
      <c r="V1988" s="14">
        <v>6197370.4900000002</v>
      </c>
      <c r="W1988" s="14">
        <v>359.59</v>
      </c>
      <c r="X1988" s="14">
        <v>200.06</v>
      </c>
    </row>
    <row r="1989" spans="1:24" s="14" customFormat="1" x14ac:dyDescent="0.25">
      <c r="A1989" s="50">
        <v>45103</v>
      </c>
      <c r="B1989" s="57">
        <v>177</v>
      </c>
      <c r="C1989" s="36">
        <v>0.44451388888888888</v>
      </c>
      <c r="D1989" s="16" t="s">
        <v>7074</v>
      </c>
      <c r="E1989" s="115" t="s">
        <v>8171</v>
      </c>
      <c r="F1989" s="16" t="s">
        <v>11862</v>
      </c>
      <c r="G1989" s="16" t="s">
        <v>2085</v>
      </c>
      <c r="H1989" s="14">
        <v>-4.7E-2</v>
      </c>
      <c r="O1989" s="14" t="s">
        <v>17142</v>
      </c>
      <c r="P1989" s="14" t="s">
        <v>17143</v>
      </c>
      <c r="Q1989" s="14">
        <v>410703.52</v>
      </c>
      <c r="R1989" s="14">
        <v>6197432.4400000004</v>
      </c>
      <c r="S1989" s="14" t="s">
        <v>17144</v>
      </c>
      <c r="T1989" s="14" t="s">
        <v>17145</v>
      </c>
      <c r="U1989" s="14">
        <v>410690.37</v>
      </c>
      <c r="V1989" s="14">
        <v>6197408.3300000001</v>
      </c>
      <c r="W1989" s="14">
        <v>177.85</v>
      </c>
      <c r="X1989" s="14">
        <v>200.06</v>
      </c>
    </row>
    <row r="1990" spans="1:24" s="14" customFormat="1" x14ac:dyDescent="0.25">
      <c r="A1990" s="50">
        <v>45103</v>
      </c>
      <c r="B1990" s="57">
        <v>177</v>
      </c>
      <c r="C1990" s="36">
        <v>0.44958333333333328</v>
      </c>
      <c r="D1990" s="16" t="s">
        <v>7074</v>
      </c>
      <c r="E1990" s="14" t="s">
        <v>65</v>
      </c>
      <c r="F1990" s="16" t="s">
        <v>11862</v>
      </c>
      <c r="G1990" s="16" t="s">
        <v>17146</v>
      </c>
      <c r="H1990" s="14">
        <v>-1.4999999999999999E-2</v>
      </c>
      <c r="I1990" s="14" t="s">
        <v>17151</v>
      </c>
      <c r="J1990" s="14" t="s">
        <v>17152</v>
      </c>
      <c r="K1990" s="14" t="s">
        <v>17153</v>
      </c>
      <c r="L1990" s="14" t="s">
        <v>17154</v>
      </c>
      <c r="O1990" s="14" t="s">
        <v>17147</v>
      </c>
      <c r="P1990" s="14" t="s">
        <v>17148</v>
      </c>
      <c r="Q1990" s="14">
        <v>410703.78</v>
      </c>
      <c r="R1990" s="14">
        <v>6197401.0899999999</v>
      </c>
      <c r="S1990" s="14" t="s">
        <v>17149</v>
      </c>
      <c r="T1990" s="14" t="s">
        <v>17150</v>
      </c>
      <c r="U1990" s="14">
        <v>410690.44</v>
      </c>
      <c r="V1990" s="14">
        <v>6197376.1500000004</v>
      </c>
      <c r="W1990" s="14">
        <v>180.25</v>
      </c>
      <c r="X1990" s="14">
        <v>200.06</v>
      </c>
    </row>
    <row r="1991" spans="1:24" s="14" customFormat="1" x14ac:dyDescent="0.25">
      <c r="A1991" s="50">
        <v>45103</v>
      </c>
      <c r="B1991" s="57">
        <v>177</v>
      </c>
      <c r="C1991" s="36">
        <v>0.45498842592592598</v>
      </c>
      <c r="D1991" s="16" t="s">
        <v>7074</v>
      </c>
      <c r="E1991" s="52" t="s">
        <v>70</v>
      </c>
      <c r="F1991" s="16" t="s">
        <v>11862</v>
      </c>
      <c r="G1991" s="16" t="s">
        <v>17146</v>
      </c>
      <c r="H1991" s="14">
        <v>0.22</v>
      </c>
      <c r="I1991" s="14" t="s">
        <v>17151</v>
      </c>
      <c r="J1991" s="14" t="s">
        <v>17152</v>
      </c>
      <c r="K1991" s="14" t="s">
        <v>17153</v>
      </c>
      <c r="L1991" s="14" t="s">
        <v>17154</v>
      </c>
      <c r="O1991" s="14" t="s">
        <v>17155</v>
      </c>
      <c r="P1991" s="14" t="s">
        <v>17156</v>
      </c>
      <c r="Q1991" s="14">
        <v>410702.43</v>
      </c>
      <c r="R1991" s="14">
        <v>6197165.0300000003</v>
      </c>
      <c r="S1991" s="14" t="s">
        <v>17157</v>
      </c>
      <c r="T1991" s="14" t="s">
        <v>17158</v>
      </c>
      <c r="U1991" s="14">
        <v>410690.41</v>
      </c>
      <c r="V1991" s="14">
        <v>6197141.0700000003</v>
      </c>
      <c r="W1991" s="14">
        <v>179.75</v>
      </c>
      <c r="X1991" s="14">
        <v>200.06</v>
      </c>
    </row>
    <row r="1992" spans="1:24" s="14" customFormat="1" x14ac:dyDescent="0.25">
      <c r="A1992" s="50">
        <v>45103</v>
      </c>
      <c r="B1992" s="57">
        <v>177</v>
      </c>
      <c r="C1992" s="36">
        <v>0.45885416666666662</v>
      </c>
      <c r="D1992" s="16" t="s">
        <v>7074</v>
      </c>
      <c r="E1992" s="116" t="s">
        <v>11210</v>
      </c>
      <c r="F1992" s="16" t="s">
        <v>11862</v>
      </c>
      <c r="G1992" s="16" t="s">
        <v>1972</v>
      </c>
      <c r="H1992" s="14">
        <v>1.5609999999999999</v>
      </c>
      <c r="O1992" s="14" t="s">
        <v>17159</v>
      </c>
      <c r="P1992" s="14" t="s">
        <v>17160</v>
      </c>
      <c r="Q1992" s="14">
        <v>410703.19</v>
      </c>
      <c r="R1992" s="14">
        <v>6197133.4400000004</v>
      </c>
      <c r="S1992" s="14" t="s">
        <v>17161</v>
      </c>
      <c r="T1992" s="14" t="s">
        <v>17162</v>
      </c>
      <c r="U1992" s="14">
        <v>410700.37</v>
      </c>
      <c r="V1992" s="14">
        <v>6197123.0300000003</v>
      </c>
      <c r="W1992" s="14">
        <v>164.47</v>
      </c>
      <c r="X1992" s="14">
        <v>150.05000000000001</v>
      </c>
    </row>
    <row r="1993" spans="1:24" s="126" customFormat="1" x14ac:dyDescent="0.25">
      <c r="A1993" s="78">
        <v>45103</v>
      </c>
      <c r="B1993" s="108">
        <v>177</v>
      </c>
      <c r="C1993" s="80">
        <v>0.46252314814814816</v>
      </c>
      <c r="D1993" s="79" t="s">
        <v>7074</v>
      </c>
      <c r="E1993" s="127" t="s">
        <v>17167</v>
      </c>
      <c r="F1993" s="79" t="s">
        <v>11862</v>
      </c>
      <c r="G1993" s="79" t="s">
        <v>1972</v>
      </c>
      <c r="H1993" s="126">
        <v>1.5629999999999999</v>
      </c>
      <c r="O1993" s="126" t="s">
        <v>17163</v>
      </c>
      <c r="P1993" s="126" t="s">
        <v>17164</v>
      </c>
      <c r="Q1993" s="126">
        <v>410703.09</v>
      </c>
      <c r="R1993" s="126">
        <v>6197132.1200000001</v>
      </c>
      <c r="S1993" s="126" t="s">
        <v>17165</v>
      </c>
      <c r="T1993" s="126" t="s">
        <v>17166</v>
      </c>
      <c r="U1993" s="126">
        <v>410699.04</v>
      </c>
      <c r="V1993" s="126">
        <v>6197120.9699999997</v>
      </c>
      <c r="W1993" s="126">
        <v>191.55</v>
      </c>
      <c r="X1993" s="126">
        <v>150.05000000000001</v>
      </c>
    </row>
    <row r="1994" spans="1:24" s="14" customFormat="1" x14ac:dyDescent="0.25">
      <c r="A1994" s="50">
        <v>45103</v>
      </c>
      <c r="B1994" s="57">
        <v>177</v>
      </c>
      <c r="C1994" s="36">
        <v>0.47552083333333334</v>
      </c>
      <c r="D1994" s="16" t="s">
        <v>7074</v>
      </c>
      <c r="E1994" s="52" t="s">
        <v>6102</v>
      </c>
      <c r="F1994" s="16" t="s">
        <v>8759</v>
      </c>
      <c r="G1994" s="16" t="s">
        <v>1972</v>
      </c>
      <c r="H1994" s="14">
        <v>-3.9E-2</v>
      </c>
      <c r="O1994" s="14" t="s">
        <v>17168</v>
      </c>
      <c r="P1994" s="14" t="s">
        <v>17169</v>
      </c>
      <c r="Q1994" s="14">
        <v>412212.51</v>
      </c>
      <c r="R1994" s="14">
        <v>6198733.4199999999</v>
      </c>
      <c r="S1994" s="14" t="s">
        <v>17170</v>
      </c>
      <c r="T1994" s="14" t="s">
        <v>17171</v>
      </c>
      <c r="U1994" s="14">
        <v>412209.03</v>
      </c>
      <c r="V1994" s="14">
        <v>6198722.96</v>
      </c>
      <c r="W1994" s="14">
        <v>179.26</v>
      </c>
      <c r="X1994" s="14">
        <v>150.05000000000001</v>
      </c>
    </row>
    <row r="1995" spans="1:24" s="124" customFormat="1" x14ac:dyDescent="0.25">
      <c r="A1995" s="74">
        <v>45103</v>
      </c>
      <c r="B1995" s="105">
        <v>177</v>
      </c>
      <c r="C1995" s="76">
        <v>0.4758101851851852</v>
      </c>
      <c r="D1995" s="75" t="s">
        <v>7074</v>
      </c>
      <c r="E1995" s="125" t="s">
        <v>17176</v>
      </c>
      <c r="F1995" s="75" t="s">
        <v>8759</v>
      </c>
      <c r="G1995" s="75" t="s">
        <v>1972</v>
      </c>
      <c r="H1995" s="124">
        <v>-3.9E-2</v>
      </c>
      <c r="O1995" s="124" t="s">
        <v>17172</v>
      </c>
      <c r="P1995" s="124" t="s">
        <v>17173</v>
      </c>
      <c r="Q1995" s="124">
        <v>412212.23</v>
      </c>
      <c r="R1995" s="124">
        <v>6198733.6100000003</v>
      </c>
      <c r="S1995" s="124" t="s">
        <v>17174</v>
      </c>
      <c r="T1995" s="124" t="s">
        <v>17175</v>
      </c>
      <c r="U1995" s="124">
        <v>412209.16</v>
      </c>
      <c r="V1995" s="124">
        <v>6198722.8399999999</v>
      </c>
      <c r="W1995" s="124">
        <v>179.39</v>
      </c>
      <c r="X1995" s="124">
        <v>150.05000000000001</v>
      </c>
    </row>
    <row r="1996" spans="1:24" s="122" customFormat="1" x14ac:dyDescent="0.25">
      <c r="A1996" s="65">
        <v>45103</v>
      </c>
      <c r="B1996" s="106">
        <v>177</v>
      </c>
      <c r="C1996" s="67">
        <v>0.48063657407407406</v>
      </c>
      <c r="D1996" s="66" t="s">
        <v>7074</v>
      </c>
      <c r="E1996" s="123" t="s">
        <v>17182</v>
      </c>
      <c r="F1996" s="66" t="s">
        <v>8759</v>
      </c>
      <c r="G1996" s="66" t="s">
        <v>1972</v>
      </c>
      <c r="H1996" s="122">
        <v>-3.5999999999999997E-2</v>
      </c>
      <c r="M1996" s="122" t="s">
        <v>17177</v>
      </c>
      <c r="O1996" s="122" t="s">
        <v>17178</v>
      </c>
      <c r="P1996" s="122" t="s">
        <v>17179</v>
      </c>
      <c r="Q1996" s="122">
        <v>412211.28</v>
      </c>
      <c r="R1996" s="122">
        <v>6198734.46</v>
      </c>
      <c r="S1996" s="122" t="s">
        <v>17180</v>
      </c>
      <c r="T1996" s="122" t="s">
        <v>17181</v>
      </c>
      <c r="U1996" s="122">
        <v>412206.5</v>
      </c>
      <c r="V1996" s="122">
        <v>6198720.4900000002</v>
      </c>
      <c r="W1996" s="122">
        <v>171.56</v>
      </c>
      <c r="X1996" s="122">
        <v>150.05000000000001</v>
      </c>
    </row>
    <row r="1997" spans="1:24" s="115" customFormat="1" x14ac:dyDescent="0.25">
      <c r="A1997" s="50">
        <v>45103</v>
      </c>
      <c r="B1997" s="57"/>
      <c r="C1997" s="36">
        <v>0.4826388888888889</v>
      </c>
      <c r="D1997" s="117" t="s">
        <v>7074</v>
      </c>
      <c r="E1997" s="116" t="s">
        <v>17213</v>
      </c>
      <c r="F1997" s="117"/>
      <c r="G1997" s="117"/>
    </row>
    <row r="1998" spans="1:24" s="14" customFormat="1" x14ac:dyDescent="0.25">
      <c r="A1998" s="50">
        <v>45103</v>
      </c>
      <c r="B1998" s="57">
        <v>177</v>
      </c>
      <c r="C1998" s="36">
        <v>0.48519675925925926</v>
      </c>
      <c r="D1998" s="16" t="s">
        <v>7074</v>
      </c>
      <c r="E1998" s="52" t="s">
        <v>65</v>
      </c>
      <c r="F1998" s="16" t="s">
        <v>8759</v>
      </c>
      <c r="G1998" s="16" t="s">
        <v>1972</v>
      </c>
      <c r="H1998" s="14">
        <v>-0.01</v>
      </c>
      <c r="I1998" s="14" t="s">
        <v>17187</v>
      </c>
      <c r="J1998" s="14" t="s">
        <v>17188</v>
      </c>
      <c r="K1998" s="14" t="s">
        <v>17189</v>
      </c>
      <c r="L1998" s="14" t="s">
        <v>17190</v>
      </c>
      <c r="O1998" s="14" t="s">
        <v>17183</v>
      </c>
      <c r="P1998" s="14" t="s">
        <v>17184</v>
      </c>
      <c r="Q1998" s="14">
        <v>412211.20000000001</v>
      </c>
      <c r="R1998" s="14">
        <v>6198715.3099999996</v>
      </c>
      <c r="S1998" s="14" t="s">
        <v>17185</v>
      </c>
      <c r="T1998" s="14" t="s">
        <v>17186</v>
      </c>
      <c r="U1998" s="14">
        <v>412211.4</v>
      </c>
      <c r="V1998" s="14">
        <v>6198694.1900000004</v>
      </c>
      <c r="W1998" s="14">
        <v>179.1</v>
      </c>
      <c r="X1998" s="14">
        <v>150.05000000000001</v>
      </c>
    </row>
    <row r="1999" spans="1:24" s="14" customFormat="1" x14ac:dyDescent="0.25">
      <c r="A1999" s="50">
        <v>45103</v>
      </c>
      <c r="B1999" s="57">
        <v>177</v>
      </c>
      <c r="C1999" s="36">
        <v>0.48937499999999995</v>
      </c>
      <c r="D1999" s="16" t="s">
        <v>7074</v>
      </c>
      <c r="E1999" s="52" t="s">
        <v>70</v>
      </c>
      <c r="F1999" s="16" t="s">
        <v>8759</v>
      </c>
      <c r="G1999" s="16" t="s">
        <v>1972</v>
      </c>
      <c r="H1999" s="14">
        <v>0.16500000000000001</v>
      </c>
      <c r="I1999" s="14" t="s">
        <v>17187</v>
      </c>
      <c r="J1999" s="14" t="s">
        <v>17188</v>
      </c>
      <c r="K1999" s="14" t="s">
        <v>17189</v>
      </c>
      <c r="L1999" s="14" t="s">
        <v>17195</v>
      </c>
      <c r="O1999" s="14" t="s">
        <v>17191</v>
      </c>
      <c r="P1999" s="14" t="s">
        <v>17192</v>
      </c>
      <c r="Q1999" s="14">
        <v>412210.69</v>
      </c>
      <c r="R1999" s="14">
        <v>6198536.1100000003</v>
      </c>
      <c r="S1999" s="14" t="s">
        <v>17193</v>
      </c>
      <c r="T1999" s="14" t="s">
        <v>17194</v>
      </c>
      <c r="U1999" s="14">
        <v>412211.38</v>
      </c>
      <c r="V1999" s="14">
        <v>6198519.1699999999</v>
      </c>
      <c r="W1999" s="14">
        <v>178.85</v>
      </c>
      <c r="X1999" s="14">
        <v>150.05000000000001</v>
      </c>
    </row>
    <row r="2000" spans="1:24" s="132" customFormat="1" x14ac:dyDescent="0.25">
      <c r="A2000" s="102">
        <v>45103</v>
      </c>
      <c r="B2000" s="100">
        <v>177</v>
      </c>
      <c r="C2000" s="104">
        <v>0.49343749999999997</v>
      </c>
      <c r="D2000" s="96" t="s">
        <v>7074</v>
      </c>
      <c r="E2000" s="133" t="s">
        <v>17200</v>
      </c>
      <c r="F2000" s="96" t="s">
        <v>8759</v>
      </c>
      <c r="G2000" s="96" t="s">
        <v>1971</v>
      </c>
      <c r="H2000" s="132">
        <v>0.17899999999999999</v>
      </c>
      <c r="O2000" s="132" t="s">
        <v>17196</v>
      </c>
      <c r="P2000" s="132" t="s">
        <v>17197</v>
      </c>
      <c r="Q2000" s="132">
        <v>412233.68</v>
      </c>
      <c r="R2000" s="132">
        <v>6198504.0099999998</v>
      </c>
      <c r="S2000" s="132" t="s">
        <v>17198</v>
      </c>
      <c r="T2000" s="132" t="s">
        <v>17199</v>
      </c>
      <c r="U2000" s="132">
        <v>412220.13</v>
      </c>
      <c r="V2000" s="132">
        <v>6198493.6699999999</v>
      </c>
      <c r="W2000" s="132">
        <v>1.06</v>
      </c>
      <c r="X2000" s="132">
        <v>150.05000000000001</v>
      </c>
    </row>
    <row r="2001" spans="1:24" s="14" customFormat="1" x14ac:dyDescent="0.25">
      <c r="A2001" s="50">
        <v>45103</v>
      </c>
      <c r="B2001" s="57">
        <v>177</v>
      </c>
      <c r="C2001" s="36">
        <v>0.49570601851851853</v>
      </c>
      <c r="D2001" s="16" t="s">
        <v>7074</v>
      </c>
      <c r="E2001" s="52" t="s">
        <v>65</v>
      </c>
      <c r="F2001" s="16" t="s">
        <v>8759</v>
      </c>
      <c r="G2001" s="16" t="s">
        <v>1971</v>
      </c>
      <c r="H2001" s="14">
        <v>0.16200000000000001</v>
      </c>
      <c r="I2001" s="14" t="s">
        <v>17205</v>
      </c>
      <c r="J2001" s="14" t="s">
        <v>17206</v>
      </c>
      <c r="K2001" s="14" t="s">
        <v>17207</v>
      </c>
      <c r="L2001" s="14" t="s">
        <v>17195</v>
      </c>
      <c r="O2001" s="14" t="s">
        <v>17201</v>
      </c>
      <c r="P2001" s="14" t="s">
        <v>17202</v>
      </c>
      <c r="Q2001" s="14">
        <v>412234.3</v>
      </c>
      <c r="R2001" s="14">
        <v>6198526.9199999999</v>
      </c>
      <c r="S2001" s="14" t="s">
        <v>17203</v>
      </c>
      <c r="T2001" s="14" t="s">
        <v>17204</v>
      </c>
      <c r="U2001" s="14">
        <v>412220.41</v>
      </c>
      <c r="V2001" s="14">
        <v>6198511.3600000003</v>
      </c>
      <c r="W2001" s="14">
        <v>0.08</v>
      </c>
      <c r="X2001" s="14">
        <v>150.05000000000001</v>
      </c>
    </row>
    <row r="2002" spans="1:24" s="14" customFormat="1" x14ac:dyDescent="0.25">
      <c r="A2002" s="50">
        <v>45103</v>
      </c>
      <c r="B2002" s="57">
        <v>177</v>
      </c>
      <c r="C2002" s="36">
        <v>0.49994212962962964</v>
      </c>
      <c r="D2002" s="16" t="s">
        <v>7074</v>
      </c>
      <c r="E2002" s="52" t="s">
        <v>70</v>
      </c>
      <c r="F2002" s="16" t="s">
        <v>8759</v>
      </c>
      <c r="G2002" s="16" t="s">
        <v>1971</v>
      </c>
      <c r="H2002" s="14">
        <v>-1.6E-2</v>
      </c>
      <c r="I2002" s="14" t="s">
        <v>17205</v>
      </c>
      <c r="J2002" s="14" t="s">
        <v>17206</v>
      </c>
      <c r="K2002" s="14" t="s">
        <v>17207</v>
      </c>
      <c r="L2002" s="14" t="s">
        <v>17212</v>
      </c>
      <c r="O2002" s="14" t="s">
        <v>17208</v>
      </c>
      <c r="P2002" s="14" t="s">
        <v>17209</v>
      </c>
      <c r="Q2002" s="14">
        <v>412235.03</v>
      </c>
      <c r="R2002" s="14">
        <v>6198713.1600000001</v>
      </c>
      <c r="S2002" s="14" t="s">
        <v>17210</v>
      </c>
      <c r="T2002" s="14" t="s">
        <v>17211</v>
      </c>
      <c r="U2002" s="14">
        <v>412220.33</v>
      </c>
      <c r="V2002" s="14">
        <v>6198688.8300000001</v>
      </c>
      <c r="W2002" s="14">
        <v>0.47</v>
      </c>
      <c r="X2002" s="14">
        <v>150.05000000000001</v>
      </c>
    </row>
    <row r="2003" spans="1:24" s="14" customFormat="1" x14ac:dyDescent="0.25">
      <c r="A2003" s="50">
        <v>45103</v>
      </c>
      <c r="B2003" s="57">
        <v>177</v>
      </c>
      <c r="C2003" s="36">
        <v>0.50342592592592594</v>
      </c>
      <c r="D2003" s="16" t="s">
        <v>7074</v>
      </c>
      <c r="E2003" s="14" t="s">
        <v>65</v>
      </c>
      <c r="F2003" s="16" t="s">
        <v>8759</v>
      </c>
      <c r="G2003" s="16" t="s">
        <v>1970</v>
      </c>
      <c r="H2003" s="14">
        <v>-1.0999999999999999E-2</v>
      </c>
      <c r="I2003" s="14" t="s">
        <v>17218</v>
      </c>
      <c r="J2003" s="14" t="s">
        <v>17219</v>
      </c>
      <c r="K2003" s="14" t="s">
        <v>17220</v>
      </c>
      <c r="L2003" s="14" t="s">
        <v>17212</v>
      </c>
      <c r="O2003" s="14" t="s">
        <v>17214</v>
      </c>
      <c r="P2003" s="14" t="s">
        <v>17215</v>
      </c>
      <c r="Q2003" s="14">
        <v>412235.74</v>
      </c>
      <c r="R2003" s="14">
        <v>6198719.6799999997</v>
      </c>
      <c r="S2003" s="14" t="s">
        <v>17216</v>
      </c>
      <c r="T2003" s="14" t="s">
        <v>17217</v>
      </c>
      <c r="U2003" s="14">
        <v>412229.49</v>
      </c>
      <c r="V2003" s="14">
        <v>6198694.6600000001</v>
      </c>
      <c r="W2003" s="14">
        <v>180.71</v>
      </c>
      <c r="X2003" s="14">
        <v>150.05000000000001</v>
      </c>
    </row>
    <row r="2004" spans="1:24" s="14" customFormat="1" x14ac:dyDescent="0.25">
      <c r="A2004" s="50">
        <v>45103</v>
      </c>
      <c r="B2004" s="57">
        <v>177</v>
      </c>
      <c r="C2004" s="36">
        <v>0.50744212962962965</v>
      </c>
      <c r="D2004" s="16" t="s">
        <v>7074</v>
      </c>
      <c r="E2004" s="52" t="s">
        <v>70</v>
      </c>
      <c r="F2004" s="16" t="s">
        <v>8759</v>
      </c>
      <c r="G2004" s="16" t="s">
        <v>1970</v>
      </c>
      <c r="H2004" s="14">
        <v>0.16500000000000001</v>
      </c>
      <c r="I2004" s="14" t="s">
        <v>17218</v>
      </c>
      <c r="J2004" s="14" t="s">
        <v>17219</v>
      </c>
      <c r="K2004" s="14" t="s">
        <v>17220</v>
      </c>
      <c r="L2004" s="14" t="s">
        <v>17212</v>
      </c>
      <c r="O2004" s="14" t="s">
        <v>17221</v>
      </c>
      <c r="P2004" s="14" t="s">
        <v>17222</v>
      </c>
      <c r="Q2004" s="14">
        <v>412234.85</v>
      </c>
      <c r="R2004" s="14">
        <v>6198540.3799999999</v>
      </c>
      <c r="S2004" s="14" t="s">
        <v>17223</v>
      </c>
      <c r="T2004" s="14" t="s">
        <v>17224</v>
      </c>
      <c r="U2004" s="14">
        <v>412229.44</v>
      </c>
      <c r="V2004" s="14">
        <v>6198519.4199999999</v>
      </c>
      <c r="W2004" s="14">
        <v>179.58</v>
      </c>
      <c r="X2004" s="14">
        <v>150.05000000000001</v>
      </c>
    </row>
    <row r="2005" spans="1:24" s="14" customFormat="1" x14ac:dyDescent="0.25">
      <c r="A2005" s="50">
        <v>45103</v>
      </c>
      <c r="B2005" s="57">
        <v>177</v>
      </c>
      <c r="C2005" s="36">
        <v>0.51479166666666665</v>
      </c>
      <c r="D2005" s="16" t="s">
        <v>7074</v>
      </c>
      <c r="E2005" s="14" t="s">
        <v>65</v>
      </c>
      <c r="F2005" s="16" t="s">
        <v>8759</v>
      </c>
      <c r="G2005" s="16" t="s">
        <v>1969</v>
      </c>
      <c r="H2005" s="14">
        <v>0.161</v>
      </c>
      <c r="I2005" s="14" t="s">
        <v>17229</v>
      </c>
      <c r="J2005" s="14" t="s">
        <v>17230</v>
      </c>
      <c r="K2005" s="14" t="s">
        <v>17231</v>
      </c>
      <c r="L2005" s="14" t="s">
        <v>17232</v>
      </c>
      <c r="O2005" s="14" t="s">
        <v>17225</v>
      </c>
      <c r="P2005" s="14" t="s">
        <v>17226</v>
      </c>
      <c r="Q2005" s="14">
        <v>412252.78</v>
      </c>
      <c r="R2005" s="14">
        <v>6198534.1799999997</v>
      </c>
      <c r="S2005" s="14" t="s">
        <v>17227</v>
      </c>
      <c r="T2005" s="14" t="s">
        <v>17228</v>
      </c>
      <c r="U2005" s="14">
        <v>412238.29</v>
      </c>
      <c r="V2005" s="14">
        <v>6198511.7000000002</v>
      </c>
      <c r="W2005" s="14">
        <v>359.96</v>
      </c>
      <c r="X2005" s="14">
        <v>150.05000000000001</v>
      </c>
    </row>
    <row r="2006" spans="1:24" s="14" customFormat="1" x14ac:dyDescent="0.25">
      <c r="A2006" s="50">
        <v>45103</v>
      </c>
      <c r="B2006" s="57">
        <v>177</v>
      </c>
      <c r="C2006" s="36">
        <v>0.51872685185185186</v>
      </c>
      <c r="D2006" s="16" t="s">
        <v>7074</v>
      </c>
      <c r="E2006" s="52" t="s">
        <v>70</v>
      </c>
      <c r="F2006" s="16" t="s">
        <v>8759</v>
      </c>
      <c r="G2006" s="16" t="s">
        <v>1969</v>
      </c>
      <c r="H2006" s="14">
        <v>-1.4999999999999999E-2</v>
      </c>
      <c r="I2006" s="14" t="s">
        <v>17229</v>
      </c>
      <c r="J2006" s="14" t="s">
        <v>17230</v>
      </c>
      <c r="K2006" s="14" t="s">
        <v>17231</v>
      </c>
      <c r="L2006" s="14" t="s">
        <v>17232</v>
      </c>
      <c r="O2006" s="14" t="s">
        <v>17233</v>
      </c>
      <c r="P2006" s="14" t="s">
        <v>17234</v>
      </c>
      <c r="Q2006" s="14">
        <v>412253.15</v>
      </c>
      <c r="R2006" s="14">
        <v>6198710.7000000002</v>
      </c>
      <c r="S2006" s="14" t="s">
        <v>17235</v>
      </c>
      <c r="T2006" s="14" t="s">
        <v>17236</v>
      </c>
      <c r="U2006" s="14">
        <v>412238.44</v>
      </c>
      <c r="V2006" s="14">
        <v>6198687.8600000003</v>
      </c>
      <c r="W2006" s="14">
        <v>358.45</v>
      </c>
      <c r="X2006" s="14">
        <v>150.05000000000001</v>
      </c>
    </row>
    <row r="2007" spans="1:24" s="14" customFormat="1" x14ac:dyDescent="0.25">
      <c r="A2007" s="50">
        <v>45103</v>
      </c>
      <c r="B2007" s="57">
        <v>177</v>
      </c>
      <c r="C2007" s="36">
        <v>0.52339120370370373</v>
      </c>
      <c r="D2007" s="16" t="s">
        <v>7074</v>
      </c>
      <c r="E2007" s="52" t="s">
        <v>65</v>
      </c>
      <c r="F2007" s="16" t="s">
        <v>8759</v>
      </c>
      <c r="G2007" s="16" t="s">
        <v>1968</v>
      </c>
      <c r="H2007" s="14">
        <v>-1.0999999999999999E-2</v>
      </c>
      <c r="I2007" s="14" t="s">
        <v>17241</v>
      </c>
      <c r="J2007" s="14" t="s">
        <v>17242</v>
      </c>
      <c r="K2007" s="14" t="s">
        <v>17243</v>
      </c>
      <c r="L2007" s="14" t="s">
        <v>17244</v>
      </c>
      <c r="O2007" s="14" t="s">
        <v>17237</v>
      </c>
      <c r="P2007" s="14" t="s">
        <v>17238</v>
      </c>
      <c r="Q2007" s="14">
        <v>412262.73</v>
      </c>
      <c r="R2007" s="14">
        <v>6198711.6799999997</v>
      </c>
      <c r="S2007" s="14" t="s">
        <v>17239</v>
      </c>
      <c r="T2007" s="14" t="s">
        <v>17240</v>
      </c>
      <c r="U2007" s="14">
        <v>412247.41</v>
      </c>
      <c r="V2007" s="14">
        <v>6198695.2800000003</v>
      </c>
      <c r="W2007" s="14">
        <v>180.09</v>
      </c>
      <c r="X2007" s="14">
        <v>150.05000000000001</v>
      </c>
    </row>
    <row r="2008" spans="1:24" s="14" customFormat="1" x14ac:dyDescent="0.25">
      <c r="A2008" s="50">
        <v>45103</v>
      </c>
      <c r="B2008" s="57">
        <v>177</v>
      </c>
      <c r="C2008" s="36">
        <v>0.52741898148148147</v>
      </c>
      <c r="D2008" s="16" t="s">
        <v>7074</v>
      </c>
      <c r="E2008" s="52" t="s">
        <v>70</v>
      </c>
      <c r="F2008" s="16" t="s">
        <v>8759</v>
      </c>
      <c r="G2008" s="16" t="s">
        <v>1968</v>
      </c>
      <c r="H2008" s="14">
        <v>0.16600000000000001</v>
      </c>
      <c r="I2008" s="14" t="s">
        <v>17241</v>
      </c>
      <c r="J2008" s="14" t="s">
        <v>17242</v>
      </c>
      <c r="K2008" s="14" t="s">
        <v>17243</v>
      </c>
      <c r="L2008" s="14" t="s">
        <v>17244</v>
      </c>
      <c r="O2008" s="14" t="s">
        <v>17245</v>
      </c>
      <c r="P2008" s="14" t="s">
        <v>17246</v>
      </c>
      <c r="Q2008" s="14">
        <v>412262.34</v>
      </c>
      <c r="R2008" s="14">
        <v>6198534.0099999998</v>
      </c>
      <c r="S2008" s="14" t="s">
        <v>17247</v>
      </c>
      <c r="T2008" s="14" t="s">
        <v>17248</v>
      </c>
      <c r="U2008" s="14">
        <v>412247.38</v>
      </c>
      <c r="V2008" s="14">
        <v>6198518.3799999999</v>
      </c>
      <c r="W2008" s="14">
        <v>178.64</v>
      </c>
      <c r="X2008" s="14">
        <v>150.05000000000001</v>
      </c>
    </row>
    <row r="2009" spans="1:24" s="14" customFormat="1" x14ac:dyDescent="0.25">
      <c r="A2009" s="50">
        <v>45103</v>
      </c>
      <c r="B2009" s="57">
        <v>177</v>
      </c>
      <c r="C2009" s="36">
        <v>0.53472222222222221</v>
      </c>
      <c r="D2009" s="16" t="s">
        <v>7074</v>
      </c>
      <c r="E2009" s="52" t="s">
        <v>65</v>
      </c>
      <c r="F2009" s="16" t="s">
        <v>8759</v>
      </c>
      <c r="G2009" s="16" t="s">
        <v>1967</v>
      </c>
      <c r="H2009" s="14">
        <v>0.16200000000000001</v>
      </c>
      <c r="I2009" s="14" t="s">
        <v>17253</v>
      </c>
      <c r="J2009" s="14" t="s">
        <v>17254</v>
      </c>
      <c r="K2009" s="14" t="s">
        <v>17255</v>
      </c>
      <c r="L2009" s="14" t="s">
        <v>17256</v>
      </c>
      <c r="O2009" s="14" t="s">
        <v>17249</v>
      </c>
      <c r="P2009" s="14" t="s">
        <v>17250</v>
      </c>
      <c r="Q2009" s="14">
        <v>412269.65</v>
      </c>
      <c r="R2009" s="14">
        <v>6198528.8499999996</v>
      </c>
      <c r="S2009" s="14" t="s">
        <v>17251</v>
      </c>
      <c r="T2009" s="14" t="s">
        <v>17252</v>
      </c>
      <c r="U2009" s="14">
        <v>412256.41</v>
      </c>
      <c r="V2009" s="14">
        <v>6198511.1699999999</v>
      </c>
      <c r="W2009" s="14">
        <v>358.57</v>
      </c>
      <c r="X2009" s="14">
        <v>150.05000000000001</v>
      </c>
    </row>
    <row r="2010" spans="1:24" s="14" customFormat="1" x14ac:dyDescent="0.25">
      <c r="A2010" s="50">
        <v>45103</v>
      </c>
      <c r="B2010" s="57">
        <v>177</v>
      </c>
      <c r="C2010" s="36">
        <v>0.5389004629629629</v>
      </c>
      <c r="D2010" s="16" t="s">
        <v>7074</v>
      </c>
      <c r="E2010" s="52" t="s">
        <v>70</v>
      </c>
      <c r="F2010" s="16" t="s">
        <v>8759</v>
      </c>
      <c r="G2010" s="16" t="s">
        <v>1967</v>
      </c>
      <c r="H2010" s="14">
        <v>-1.4E-2</v>
      </c>
      <c r="I2010" s="14" t="s">
        <v>17253</v>
      </c>
      <c r="J2010" s="14" t="s">
        <v>17254</v>
      </c>
      <c r="K2010" s="14" t="s">
        <v>17255</v>
      </c>
      <c r="L2010" s="14" t="s">
        <v>17256</v>
      </c>
      <c r="O2010" s="14" t="s">
        <v>17257</v>
      </c>
      <c r="P2010" s="14" t="s">
        <v>17258</v>
      </c>
      <c r="Q2010" s="14">
        <v>412270.54</v>
      </c>
      <c r="R2010" s="14">
        <v>6198709.8700000001</v>
      </c>
      <c r="S2010" s="14" t="s">
        <v>17259</v>
      </c>
      <c r="T2010" s="14" t="s">
        <v>17260</v>
      </c>
      <c r="U2010" s="14">
        <v>412256.4</v>
      </c>
      <c r="V2010" s="14">
        <v>6198687.3799999999</v>
      </c>
      <c r="W2010" s="14">
        <v>358.43</v>
      </c>
      <c r="X2010" s="14">
        <v>150.05000000000001</v>
      </c>
    </row>
    <row r="2011" spans="1:24" s="132" customFormat="1" x14ac:dyDescent="0.25">
      <c r="A2011" s="102">
        <v>45103</v>
      </c>
      <c r="B2011" s="100">
        <v>177</v>
      </c>
      <c r="C2011" s="104">
        <v>0.53951388888888896</v>
      </c>
      <c r="D2011" s="96" t="s">
        <v>7074</v>
      </c>
      <c r="E2011" s="133" t="s">
        <v>17265</v>
      </c>
      <c r="F2011" s="96" t="s">
        <v>8759</v>
      </c>
      <c r="G2011" s="96" t="s">
        <v>1973</v>
      </c>
      <c r="H2011" s="132">
        <v>-3.9E-2</v>
      </c>
      <c r="O2011" s="132" t="s">
        <v>17261</v>
      </c>
      <c r="P2011" s="132" t="s">
        <v>17262</v>
      </c>
      <c r="Q2011" s="132">
        <v>412269.84</v>
      </c>
      <c r="R2011" s="132">
        <v>6198733.46</v>
      </c>
      <c r="S2011" s="132" t="s">
        <v>17263</v>
      </c>
      <c r="T2011" s="132" t="s">
        <v>17264</v>
      </c>
      <c r="U2011" s="132">
        <v>412256.85</v>
      </c>
      <c r="V2011" s="132">
        <v>6198711.9699999997</v>
      </c>
      <c r="W2011" s="132">
        <v>350.1</v>
      </c>
      <c r="X2011" s="132">
        <v>150.05000000000001</v>
      </c>
    </row>
    <row r="2012" spans="1:24" s="14" customFormat="1" x14ac:dyDescent="0.25">
      <c r="A2012" s="50">
        <v>45103</v>
      </c>
      <c r="B2012" s="57">
        <v>177</v>
      </c>
      <c r="C2012" s="36">
        <v>0.54413194444444446</v>
      </c>
      <c r="D2012" s="16" t="s">
        <v>7074</v>
      </c>
      <c r="E2012" s="52" t="s">
        <v>65</v>
      </c>
      <c r="F2012" s="16" t="s">
        <v>8759</v>
      </c>
      <c r="G2012" s="16" t="s">
        <v>1973</v>
      </c>
      <c r="H2012" s="14">
        <v>-1.0999999999999999E-2</v>
      </c>
      <c r="I2012" s="14" t="s">
        <v>17270</v>
      </c>
      <c r="J2012" s="14" t="s">
        <v>17271</v>
      </c>
      <c r="K2012" s="14" t="s">
        <v>17272</v>
      </c>
      <c r="L2012" s="14" t="s">
        <v>17273</v>
      </c>
      <c r="O2012" s="14" t="s">
        <v>17266</v>
      </c>
      <c r="P2012" s="14" t="s">
        <v>17267</v>
      </c>
      <c r="Q2012" s="14">
        <v>412280.11</v>
      </c>
      <c r="R2012" s="14">
        <v>6198706.7999999998</v>
      </c>
      <c r="S2012" s="14" t="s">
        <v>17268</v>
      </c>
      <c r="T2012" s="14" t="s">
        <v>17269</v>
      </c>
      <c r="U2012" s="14">
        <v>412265.47</v>
      </c>
      <c r="V2012" s="14">
        <v>6198694.7599999998</v>
      </c>
      <c r="W2012" s="14">
        <v>180.23</v>
      </c>
      <c r="X2012" s="14">
        <v>150.05000000000001</v>
      </c>
    </row>
    <row r="2013" spans="1:24" s="14" customFormat="1" x14ac:dyDescent="0.25">
      <c r="A2013" s="50">
        <v>45103</v>
      </c>
      <c r="B2013" s="57">
        <v>177</v>
      </c>
      <c r="C2013" s="36">
        <v>0.54805555555555552</v>
      </c>
      <c r="D2013" s="16" t="s">
        <v>7074</v>
      </c>
      <c r="E2013" s="14" t="s">
        <v>70</v>
      </c>
      <c r="F2013" s="16" t="s">
        <v>8759</v>
      </c>
      <c r="G2013" s="16" t="s">
        <v>1973</v>
      </c>
      <c r="H2013" s="14">
        <v>0.16500000000000001</v>
      </c>
      <c r="I2013" s="14" t="s">
        <v>17270</v>
      </c>
      <c r="J2013" s="14" t="s">
        <v>17271</v>
      </c>
      <c r="K2013" s="14" t="s">
        <v>17272</v>
      </c>
      <c r="L2013" s="14" t="s">
        <v>17273</v>
      </c>
      <c r="O2013" s="14" t="s">
        <v>17274</v>
      </c>
      <c r="P2013" s="14" t="s">
        <v>17275</v>
      </c>
      <c r="Q2013" s="14">
        <v>412280.75</v>
      </c>
      <c r="R2013" s="14">
        <v>6198531.3200000003</v>
      </c>
      <c r="S2013" s="14" t="s">
        <v>17276</v>
      </c>
      <c r="T2013" s="14" t="s">
        <v>17277</v>
      </c>
      <c r="U2013" s="14">
        <v>412265.4</v>
      </c>
      <c r="V2013" s="14">
        <v>6198518.6299999999</v>
      </c>
      <c r="W2013" s="14">
        <v>179.09</v>
      </c>
      <c r="X2013" s="14">
        <v>150.05000000000001</v>
      </c>
    </row>
    <row r="2014" spans="1:24" s="14" customFormat="1" x14ac:dyDescent="0.25">
      <c r="A2014" s="50">
        <v>45103</v>
      </c>
      <c r="B2014" s="57">
        <v>177</v>
      </c>
      <c r="C2014" s="36">
        <v>0.55579861111111117</v>
      </c>
      <c r="D2014" s="16" t="s">
        <v>7074</v>
      </c>
      <c r="E2014" s="52" t="s">
        <v>65</v>
      </c>
      <c r="F2014" s="16" t="s">
        <v>8759</v>
      </c>
      <c r="G2014" s="16" t="s">
        <v>1974</v>
      </c>
      <c r="H2014" s="14">
        <v>0.16300000000000001</v>
      </c>
      <c r="I2014" s="14" t="s">
        <v>17282</v>
      </c>
      <c r="J2014" s="14" t="s">
        <v>17283</v>
      </c>
      <c r="K2014" s="14" t="s">
        <v>17284</v>
      </c>
      <c r="L2014" s="14" t="s">
        <v>17285</v>
      </c>
      <c r="O2014" s="14" t="s">
        <v>17278</v>
      </c>
      <c r="P2014" s="14" t="s">
        <v>17279</v>
      </c>
      <c r="Q2014" s="14">
        <v>412287.18</v>
      </c>
      <c r="R2014" s="14">
        <v>6198531.6900000004</v>
      </c>
      <c r="S2014" s="14" t="s">
        <v>17280</v>
      </c>
      <c r="T2014" s="14" t="s">
        <v>17281</v>
      </c>
      <c r="U2014" s="14">
        <v>412274.27</v>
      </c>
      <c r="V2014" s="14">
        <v>6198510.3799999999</v>
      </c>
      <c r="W2014" s="14">
        <v>1.4</v>
      </c>
      <c r="X2014" s="14">
        <v>150.05000000000001</v>
      </c>
    </row>
    <row r="2015" spans="1:24" s="14" customFormat="1" x14ac:dyDescent="0.25">
      <c r="A2015" s="50">
        <v>45103</v>
      </c>
      <c r="B2015" s="57">
        <v>177</v>
      </c>
      <c r="C2015" s="36">
        <v>0.55979166666666669</v>
      </c>
      <c r="D2015" s="16" t="s">
        <v>7074</v>
      </c>
      <c r="E2015" s="14" t="s">
        <v>70</v>
      </c>
      <c r="F2015" s="16" t="s">
        <v>8759</v>
      </c>
      <c r="G2015" s="16" t="s">
        <v>1974</v>
      </c>
      <c r="H2015" s="14">
        <v>-1.4E-2</v>
      </c>
      <c r="I2015" s="14" t="s">
        <v>17282</v>
      </c>
      <c r="J2015" s="14" t="s">
        <v>17283</v>
      </c>
      <c r="K2015" s="14" t="s">
        <v>17284</v>
      </c>
      <c r="L2015" s="14" t="s">
        <v>17285</v>
      </c>
      <c r="O2015" s="14" t="s">
        <v>17286</v>
      </c>
      <c r="P2015" s="14" t="s">
        <v>17287</v>
      </c>
      <c r="Q2015" s="14">
        <v>412288.18</v>
      </c>
      <c r="R2015" s="14">
        <v>6198712.4000000004</v>
      </c>
      <c r="S2015" s="14" t="s">
        <v>17288</v>
      </c>
      <c r="T2015" s="14" t="s">
        <v>17289</v>
      </c>
      <c r="U2015" s="14">
        <v>412274.35</v>
      </c>
      <c r="V2015" s="14">
        <v>6198687.2199999997</v>
      </c>
      <c r="W2015" s="14">
        <v>0.12</v>
      </c>
      <c r="X2015" s="14">
        <v>150.05000000000001</v>
      </c>
    </row>
    <row r="2016" spans="1:24" s="14" customFormat="1" x14ac:dyDescent="0.25">
      <c r="A2016" s="50">
        <v>45103</v>
      </c>
      <c r="B2016" s="57">
        <v>177</v>
      </c>
      <c r="C2016" s="36">
        <v>0.56357638888888884</v>
      </c>
      <c r="D2016" s="16" t="s">
        <v>7074</v>
      </c>
      <c r="E2016" s="52" t="s">
        <v>65</v>
      </c>
      <c r="F2016" s="16" t="s">
        <v>8759</v>
      </c>
      <c r="G2016" s="16" t="s">
        <v>1975</v>
      </c>
      <c r="H2016" s="14">
        <v>-1.0999999999999999E-2</v>
      </c>
      <c r="I2016" s="14" t="s">
        <v>17294</v>
      </c>
      <c r="J2016" s="14" t="s">
        <v>17295</v>
      </c>
      <c r="K2016" s="14" t="s">
        <v>17296</v>
      </c>
      <c r="L2016" s="14" t="s">
        <v>17297</v>
      </c>
      <c r="O2016" s="14" t="s">
        <v>17290</v>
      </c>
      <c r="P2016" s="14" t="s">
        <v>17291</v>
      </c>
      <c r="Q2016" s="14">
        <v>412298.46</v>
      </c>
      <c r="R2016" s="14">
        <v>6198715.2300000004</v>
      </c>
      <c r="S2016" s="14" t="s">
        <v>17292</v>
      </c>
      <c r="T2016" s="14" t="s">
        <v>17293</v>
      </c>
      <c r="U2016" s="14">
        <v>412283.4</v>
      </c>
      <c r="V2016" s="14">
        <v>6198694.71</v>
      </c>
      <c r="W2016" s="14">
        <v>179.96</v>
      </c>
      <c r="X2016" s="14">
        <v>150.05000000000001</v>
      </c>
    </row>
    <row r="2017" spans="1:24" s="14" customFormat="1" x14ac:dyDescent="0.25">
      <c r="A2017" s="50">
        <v>45103</v>
      </c>
      <c r="B2017" s="57">
        <v>177</v>
      </c>
      <c r="C2017" s="36">
        <v>0.56774305555555549</v>
      </c>
      <c r="D2017" s="16" t="s">
        <v>7074</v>
      </c>
      <c r="E2017" s="52" t="s">
        <v>70</v>
      </c>
      <c r="F2017" s="16" t="s">
        <v>8759</v>
      </c>
      <c r="G2017" s="16" t="s">
        <v>1975</v>
      </c>
      <c r="H2017" s="14">
        <v>0.16600000000000001</v>
      </c>
      <c r="I2017" s="14" t="s">
        <v>17294</v>
      </c>
      <c r="J2017" s="14" t="s">
        <v>17295</v>
      </c>
      <c r="K2017" s="14" t="s">
        <v>17296</v>
      </c>
      <c r="L2017" s="14" t="s">
        <v>17297</v>
      </c>
      <c r="O2017" s="14" t="s">
        <v>17298</v>
      </c>
      <c r="P2017" s="14" t="s">
        <v>17299</v>
      </c>
      <c r="Q2017" s="14">
        <v>412299.77</v>
      </c>
      <c r="R2017" s="14">
        <v>6198535.1900000004</v>
      </c>
      <c r="S2017" s="14" t="s">
        <v>17300</v>
      </c>
      <c r="T2017" s="14" t="s">
        <v>17301</v>
      </c>
      <c r="U2017" s="14">
        <v>412283.28</v>
      </c>
      <c r="V2017" s="14">
        <v>6198518.2000000002</v>
      </c>
      <c r="W2017" s="14">
        <v>179.72</v>
      </c>
      <c r="X2017" s="14">
        <v>150.05000000000001</v>
      </c>
    </row>
    <row r="2018" spans="1:24" s="14" customFormat="1" x14ac:dyDescent="0.25">
      <c r="A2018" s="50">
        <v>45103</v>
      </c>
      <c r="B2018" s="57">
        <v>177</v>
      </c>
      <c r="C2018" s="36">
        <v>0.57361111111111118</v>
      </c>
      <c r="D2018" s="16" t="s">
        <v>7074</v>
      </c>
      <c r="E2018" s="52" t="s">
        <v>65</v>
      </c>
      <c r="F2018" s="16" t="s">
        <v>8759</v>
      </c>
      <c r="G2018" s="16" t="s">
        <v>1976</v>
      </c>
      <c r="H2018" s="14">
        <v>0.16300000000000001</v>
      </c>
      <c r="I2018" s="14" t="s">
        <v>17306</v>
      </c>
      <c r="J2018" s="14" t="s">
        <v>17307</v>
      </c>
      <c r="K2018" s="14" t="s">
        <v>17308</v>
      </c>
      <c r="L2018" s="14" t="s">
        <v>17309</v>
      </c>
      <c r="O2018" s="14" t="s">
        <v>17302</v>
      </c>
      <c r="P2018" s="14" t="s">
        <v>17303</v>
      </c>
      <c r="Q2018" s="14">
        <v>412308.84</v>
      </c>
      <c r="R2018" s="14">
        <v>6198529.4100000001</v>
      </c>
      <c r="S2018" s="14" t="s">
        <v>17304</v>
      </c>
      <c r="T2018" s="14" t="s">
        <v>17305</v>
      </c>
      <c r="U2018" s="14">
        <v>412292.26</v>
      </c>
      <c r="V2018" s="14">
        <v>6198510.4100000001</v>
      </c>
      <c r="W2018" s="14">
        <v>1.49</v>
      </c>
      <c r="X2018" s="14">
        <v>150.05000000000001</v>
      </c>
    </row>
    <row r="2019" spans="1:24" s="132" customFormat="1" x14ac:dyDescent="0.25">
      <c r="A2019" s="102">
        <v>45103</v>
      </c>
      <c r="B2019" s="100">
        <v>177</v>
      </c>
      <c r="C2019" s="104">
        <v>0.5739467592592592</v>
      </c>
      <c r="D2019" s="96" t="s">
        <v>7074</v>
      </c>
      <c r="E2019" s="133" t="s">
        <v>17314</v>
      </c>
      <c r="F2019" s="96" t="s">
        <v>8759</v>
      </c>
      <c r="G2019" s="96" t="s">
        <v>1976</v>
      </c>
      <c r="H2019" s="132">
        <v>0.14899999999999999</v>
      </c>
      <c r="O2019" s="132" t="s">
        <v>17310</v>
      </c>
      <c r="P2019" s="132" t="s">
        <v>17311</v>
      </c>
      <c r="Q2019" s="132">
        <v>412307.55</v>
      </c>
      <c r="R2019" s="132">
        <v>6198545.25</v>
      </c>
      <c r="S2019" s="132" t="s">
        <v>17312</v>
      </c>
      <c r="T2019" s="132" t="s">
        <v>17313</v>
      </c>
      <c r="U2019" s="132">
        <v>412292.35</v>
      </c>
      <c r="V2019" s="132">
        <v>6198524.4400000004</v>
      </c>
      <c r="W2019" s="132">
        <v>0.6</v>
      </c>
      <c r="X2019" s="132">
        <v>150.05000000000001</v>
      </c>
    </row>
    <row r="2020" spans="1:24" s="14" customFormat="1" x14ac:dyDescent="0.25">
      <c r="A2020" s="50">
        <v>45103</v>
      </c>
      <c r="B2020" s="57">
        <v>177</v>
      </c>
      <c r="C2020" s="36">
        <v>0.577662037037037</v>
      </c>
      <c r="D2020" s="16" t="s">
        <v>7074</v>
      </c>
      <c r="E2020" s="52" t="s">
        <v>70</v>
      </c>
      <c r="F2020" s="16" t="s">
        <v>8759</v>
      </c>
      <c r="G2020" s="16" t="s">
        <v>1976</v>
      </c>
      <c r="H2020" s="14">
        <v>-1.4E-2</v>
      </c>
      <c r="I2020" s="14" t="s">
        <v>17306</v>
      </c>
      <c r="J2020" s="14" t="s">
        <v>17307</v>
      </c>
      <c r="K2020" s="14" t="s">
        <v>17308</v>
      </c>
      <c r="L2020" s="14" t="s">
        <v>17309</v>
      </c>
      <c r="O2020" s="14" t="s">
        <v>17315</v>
      </c>
      <c r="P2020" s="14" t="s">
        <v>17316</v>
      </c>
      <c r="Q2020" s="14">
        <v>412307.25</v>
      </c>
      <c r="R2020" s="14">
        <v>6198709.3200000003</v>
      </c>
      <c r="S2020" s="14" t="s">
        <v>17288</v>
      </c>
      <c r="T2020" s="14" t="s">
        <v>17317</v>
      </c>
      <c r="U2020" s="14">
        <v>412292.31</v>
      </c>
      <c r="V2020" s="14">
        <v>6198686.8499999996</v>
      </c>
      <c r="W2020" s="14">
        <v>359.84</v>
      </c>
      <c r="X2020" s="14">
        <v>150.05000000000001</v>
      </c>
    </row>
    <row r="2021" spans="1:24" s="14" customFormat="1" x14ac:dyDescent="0.25">
      <c r="A2021" s="50">
        <v>45103</v>
      </c>
      <c r="B2021" s="57">
        <v>177</v>
      </c>
      <c r="C2021" s="36">
        <v>0.57800925925925928</v>
      </c>
      <c r="D2021" s="16" t="s">
        <v>7074</v>
      </c>
      <c r="E2021" s="52" t="s">
        <v>17322</v>
      </c>
      <c r="F2021" s="16" t="s">
        <v>8759</v>
      </c>
      <c r="G2021" s="16" t="s">
        <v>1976</v>
      </c>
      <c r="H2021" s="14">
        <v>-0.03</v>
      </c>
      <c r="O2021" s="14" t="s">
        <v>17318</v>
      </c>
      <c r="P2021" s="14" t="s">
        <v>17319</v>
      </c>
      <c r="Q2021" s="14">
        <v>412307.21</v>
      </c>
      <c r="R2021" s="14">
        <v>6198722.5300000003</v>
      </c>
      <c r="S2021" s="14" t="s">
        <v>17320</v>
      </c>
      <c r="T2021" s="14" t="s">
        <v>17321</v>
      </c>
      <c r="U2021" s="14">
        <v>412292.24</v>
      </c>
      <c r="V2021" s="14">
        <v>6198703.1299999999</v>
      </c>
      <c r="W2021" s="14">
        <v>358.59</v>
      </c>
      <c r="X2021" s="14">
        <v>150.05000000000001</v>
      </c>
    </row>
    <row r="2022" spans="1:24" s="14" customFormat="1" x14ac:dyDescent="0.25">
      <c r="A2022" s="50">
        <v>45103</v>
      </c>
      <c r="B2022" s="57">
        <v>177</v>
      </c>
      <c r="C2022" s="36">
        <v>0.58234953703703707</v>
      </c>
      <c r="D2022" s="16" t="s">
        <v>7074</v>
      </c>
      <c r="E2022" s="52" t="s">
        <v>65</v>
      </c>
      <c r="F2022" s="16" t="s">
        <v>8759</v>
      </c>
      <c r="G2022" s="16" t="s">
        <v>1977</v>
      </c>
      <c r="H2022" s="14">
        <v>-8.9999999999999993E-3</v>
      </c>
      <c r="I2022" s="14" t="s">
        <v>17327</v>
      </c>
      <c r="J2022" s="14" t="s">
        <v>17328</v>
      </c>
      <c r="K2022" s="14" t="s">
        <v>17329</v>
      </c>
      <c r="L2022" s="14" t="s">
        <v>17309</v>
      </c>
      <c r="O2022" s="14" t="s">
        <v>17323</v>
      </c>
      <c r="P2022" s="14" t="s">
        <v>17324</v>
      </c>
      <c r="Q2022" s="14">
        <v>412318.32</v>
      </c>
      <c r="R2022" s="14">
        <v>6198705.79</v>
      </c>
      <c r="S2022" s="14" t="s">
        <v>17325</v>
      </c>
      <c r="T2022" s="14" t="s">
        <v>17326</v>
      </c>
      <c r="U2022" s="14">
        <v>412301.36</v>
      </c>
      <c r="V2022" s="14">
        <v>6198693.1399999997</v>
      </c>
      <c r="W2022" s="14">
        <v>179.92</v>
      </c>
      <c r="X2022" s="14">
        <v>150.05000000000001</v>
      </c>
    </row>
    <row r="2023" spans="1:24" s="14" customFormat="1" x14ac:dyDescent="0.25">
      <c r="A2023" s="50">
        <v>45103</v>
      </c>
      <c r="B2023" s="57">
        <v>177</v>
      </c>
      <c r="C2023" s="36">
        <v>0.58648148148148149</v>
      </c>
      <c r="D2023" s="16" t="s">
        <v>7074</v>
      </c>
      <c r="E2023" s="52" t="s">
        <v>70</v>
      </c>
      <c r="F2023" s="16" t="s">
        <v>8759</v>
      </c>
      <c r="G2023" s="16" t="s">
        <v>1977</v>
      </c>
      <c r="H2023" s="14">
        <v>0.16700000000000001</v>
      </c>
      <c r="I2023" s="14" t="s">
        <v>17327</v>
      </c>
      <c r="J2023" s="14" t="s">
        <v>17328</v>
      </c>
      <c r="K2023" s="14" t="s">
        <v>17329</v>
      </c>
      <c r="L2023" s="14" t="s">
        <v>17334</v>
      </c>
      <c r="O2023" s="14" t="s">
        <v>17330</v>
      </c>
      <c r="P2023" s="14" t="s">
        <v>17331</v>
      </c>
      <c r="Q2023" s="14">
        <v>412317.71</v>
      </c>
      <c r="R2023" s="14">
        <v>6198530.8099999996</v>
      </c>
      <c r="S2023" s="14" t="s">
        <v>17332</v>
      </c>
      <c r="T2023" s="14" t="s">
        <v>17333</v>
      </c>
      <c r="U2023" s="14">
        <v>412301.44</v>
      </c>
      <c r="V2023" s="14">
        <v>6198516.8399999999</v>
      </c>
      <c r="W2023" s="14">
        <v>179.97</v>
      </c>
      <c r="X2023" s="14">
        <v>150.05000000000001</v>
      </c>
    </row>
    <row r="2024" spans="1:24" s="14" customFormat="1" x14ac:dyDescent="0.25">
      <c r="A2024" s="50">
        <v>45103</v>
      </c>
      <c r="B2024" s="57">
        <v>177</v>
      </c>
      <c r="C2024" s="36">
        <v>0.59267361111111116</v>
      </c>
      <c r="D2024" s="16" t="s">
        <v>7074</v>
      </c>
      <c r="E2024" s="52" t="s">
        <v>65</v>
      </c>
      <c r="F2024" s="16" t="s">
        <v>8759</v>
      </c>
      <c r="G2024" s="16" t="s">
        <v>1978</v>
      </c>
      <c r="H2024" s="14">
        <v>0.16400000000000001</v>
      </c>
      <c r="I2024" s="14" t="s">
        <v>17339</v>
      </c>
      <c r="J2024" s="14" t="s">
        <v>17340</v>
      </c>
      <c r="K2024" s="14" t="s">
        <v>17341</v>
      </c>
      <c r="L2024" s="14" t="s">
        <v>17334</v>
      </c>
      <c r="O2024" s="14" t="s">
        <v>17335</v>
      </c>
      <c r="P2024" s="14" t="s">
        <v>17336</v>
      </c>
      <c r="Q2024" s="14">
        <v>412324.21</v>
      </c>
      <c r="R2024" s="14">
        <v>6198530.0099999998</v>
      </c>
      <c r="S2024" s="14" t="s">
        <v>17337</v>
      </c>
      <c r="T2024" s="14" t="s">
        <v>17338</v>
      </c>
      <c r="U2024" s="14">
        <v>412310.61</v>
      </c>
      <c r="V2024" s="14">
        <v>6198509.0499999998</v>
      </c>
      <c r="W2024" s="14">
        <v>358.29</v>
      </c>
      <c r="X2024" s="14">
        <v>150.05000000000001</v>
      </c>
    </row>
    <row r="2025" spans="1:24" s="14" customFormat="1" x14ac:dyDescent="0.25">
      <c r="A2025" s="50">
        <v>45103</v>
      </c>
      <c r="B2025" s="57">
        <v>177</v>
      </c>
      <c r="C2025" s="36">
        <v>0.59667824074074072</v>
      </c>
      <c r="D2025" s="16" t="s">
        <v>7074</v>
      </c>
      <c r="E2025" s="14" t="s">
        <v>70</v>
      </c>
      <c r="F2025" s="16" t="s">
        <v>8759</v>
      </c>
      <c r="G2025" s="16" t="s">
        <v>1978</v>
      </c>
      <c r="H2025" s="14">
        <v>-1.4E-2</v>
      </c>
      <c r="I2025" s="14" t="s">
        <v>17339</v>
      </c>
      <c r="J2025" s="14" t="s">
        <v>17340</v>
      </c>
      <c r="K2025" s="14" t="s">
        <v>17341</v>
      </c>
      <c r="L2025" s="14" t="s">
        <v>17346</v>
      </c>
      <c r="O2025" s="14" t="s">
        <v>17342</v>
      </c>
      <c r="P2025" s="14" t="s">
        <v>17343</v>
      </c>
      <c r="Q2025" s="14">
        <v>412325.56</v>
      </c>
      <c r="R2025" s="14">
        <v>6198709.54</v>
      </c>
      <c r="S2025" s="14" t="s">
        <v>17344</v>
      </c>
      <c r="T2025" s="14" t="s">
        <v>17345</v>
      </c>
      <c r="U2025" s="14">
        <v>412310.46</v>
      </c>
      <c r="V2025" s="14">
        <v>6198686.6500000004</v>
      </c>
      <c r="W2025" s="14">
        <v>358.99</v>
      </c>
      <c r="X2025" s="14">
        <v>150.05000000000001</v>
      </c>
    </row>
    <row r="2026" spans="1:24" s="14" customFormat="1" x14ac:dyDescent="0.25">
      <c r="A2026" s="50">
        <v>45103</v>
      </c>
      <c r="B2026" s="57">
        <v>177</v>
      </c>
      <c r="C2026" s="36">
        <v>0.59729166666666667</v>
      </c>
      <c r="D2026" s="16" t="s">
        <v>7074</v>
      </c>
      <c r="E2026" s="115" t="s">
        <v>8171</v>
      </c>
      <c r="F2026" s="16" t="s">
        <v>8759</v>
      </c>
      <c r="G2026" s="16" t="s">
        <v>1978</v>
      </c>
      <c r="H2026" s="14">
        <v>-3.4000000000000002E-2</v>
      </c>
      <c r="O2026" s="14" t="s">
        <v>17347</v>
      </c>
      <c r="P2026" s="14" t="s">
        <v>17348</v>
      </c>
      <c r="Q2026" s="14">
        <v>412325.13</v>
      </c>
      <c r="R2026" s="14">
        <v>6198730.7199999997</v>
      </c>
      <c r="S2026" s="14" t="s">
        <v>17349</v>
      </c>
      <c r="T2026" s="14" t="s">
        <v>17350</v>
      </c>
      <c r="U2026" s="14">
        <v>412311.63</v>
      </c>
      <c r="V2026" s="14">
        <v>6198707.1100000003</v>
      </c>
      <c r="W2026" s="14">
        <v>352.28</v>
      </c>
      <c r="X2026" s="14">
        <v>150.05000000000001</v>
      </c>
    </row>
    <row r="2027" spans="1:24" s="132" customFormat="1" x14ac:dyDescent="0.25">
      <c r="A2027" s="102">
        <v>45103</v>
      </c>
      <c r="B2027" s="100">
        <v>177</v>
      </c>
      <c r="C2027" s="104">
        <v>0.59854166666666664</v>
      </c>
      <c r="D2027" s="96" t="s">
        <v>7074</v>
      </c>
      <c r="E2027" s="132" t="s">
        <v>17355</v>
      </c>
      <c r="F2027" s="96" t="s">
        <v>8759</v>
      </c>
      <c r="G2027" s="96" t="s">
        <v>1978</v>
      </c>
      <c r="H2027" s="132">
        <v>-4.2000000000000003E-2</v>
      </c>
      <c r="O2027" s="132" t="s">
        <v>17351</v>
      </c>
      <c r="P2027" s="132" t="s">
        <v>17352</v>
      </c>
      <c r="Q2027" s="132">
        <v>412326.13</v>
      </c>
      <c r="R2027" s="132">
        <v>6198737.8499999996</v>
      </c>
      <c r="S2027" s="132" t="s">
        <v>17353</v>
      </c>
      <c r="T2027" s="132" t="s">
        <v>17354</v>
      </c>
      <c r="U2027" s="132">
        <v>412319.15</v>
      </c>
      <c r="V2027" s="132">
        <v>6198725.5199999996</v>
      </c>
      <c r="W2027" s="132">
        <v>201.19</v>
      </c>
      <c r="X2027" s="132">
        <v>150.05000000000001</v>
      </c>
    </row>
    <row r="2028" spans="1:24" s="14" customFormat="1" x14ac:dyDescent="0.25">
      <c r="A2028" s="50">
        <v>45103</v>
      </c>
      <c r="B2028" s="57">
        <v>177</v>
      </c>
      <c r="C2028" s="36">
        <v>0.60629629629629633</v>
      </c>
      <c r="D2028" s="16" t="s">
        <v>7074</v>
      </c>
      <c r="E2028" s="52" t="s">
        <v>17360</v>
      </c>
      <c r="F2028" s="16" t="s">
        <v>8759</v>
      </c>
      <c r="G2028" s="16" t="s">
        <v>1978</v>
      </c>
      <c r="H2028" s="14">
        <v>-4.2000000000000003E-2</v>
      </c>
      <c r="O2028" s="14" t="s">
        <v>17356</v>
      </c>
      <c r="P2028" s="14" t="s">
        <v>17357</v>
      </c>
      <c r="Q2028" s="14">
        <v>412324.63</v>
      </c>
      <c r="R2028" s="14">
        <v>6198737.1500000004</v>
      </c>
      <c r="S2028" s="14" t="s">
        <v>17358</v>
      </c>
      <c r="T2028" s="14" t="s">
        <v>17359</v>
      </c>
      <c r="U2028" s="14">
        <v>412319.16</v>
      </c>
      <c r="V2028" s="14">
        <v>6198725.7699999996</v>
      </c>
      <c r="W2028" s="14">
        <v>200</v>
      </c>
      <c r="X2028" s="14">
        <v>150.05000000000001</v>
      </c>
    </row>
    <row r="2029" spans="1:24" s="126" customFormat="1" x14ac:dyDescent="0.25">
      <c r="A2029" s="78">
        <v>45103</v>
      </c>
      <c r="B2029" s="108">
        <v>177</v>
      </c>
      <c r="C2029" s="80">
        <v>0.61195601851851855</v>
      </c>
      <c r="D2029" s="79" t="s">
        <v>7074</v>
      </c>
      <c r="E2029" s="127" t="s">
        <v>17365</v>
      </c>
      <c r="F2029" s="79" t="s">
        <v>8759</v>
      </c>
      <c r="G2029" s="79" t="s">
        <v>1978</v>
      </c>
      <c r="H2029" s="126">
        <v>-4.2999999999999997E-2</v>
      </c>
      <c r="O2029" s="126" t="s">
        <v>17361</v>
      </c>
      <c r="P2029" s="126" t="s">
        <v>17362</v>
      </c>
      <c r="Q2029" s="126">
        <v>412324.39</v>
      </c>
      <c r="R2029" s="126">
        <v>6198738.6900000004</v>
      </c>
      <c r="S2029" s="126" t="s">
        <v>17363</v>
      </c>
      <c r="T2029" s="126" t="s">
        <v>17364</v>
      </c>
      <c r="U2029" s="126">
        <v>412290</v>
      </c>
      <c r="V2029" s="126">
        <v>6198726.5499999998</v>
      </c>
      <c r="W2029" s="126">
        <v>186.72</v>
      </c>
      <c r="X2029" s="126">
        <v>150.05000000000001</v>
      </c>
    </row>
    <row r="2030" spans="1:24" s="134" customFormat="1" x14ac:dyDescent="0.25">
      <c r="A2030" s="143">
        <v>45103</v>
      </c>
      <c r="B2030" s="144">
        <v>177</v>
      </c>
      <c r="C2030" s="145">
        <v>0.62167824074074074</v>
      </c>
      <c r="D2030" s="146" t="s">
        <v>7074</v>
      </c>
      <c r="E2030" s="97" t="s">
        <v>17376</v>
      </c>
      <c r="F2030" s="146" t="s">
        <v>8759</v>
      </c>
      <c r="G2030" s="146" t="s">
        <v>1978</v>
      </c>
      <c r="H2030" s="134">
        <v>-4.3999999999999997E-2</v>
      </c>
      <c r="I2030" s="134" t="s">
        <v>17370</v>
      </c>
      <c r="L2030" s="134" t="s">
        <v>17371</v>
      </c>
      <c r="O2030" s="134" t="s">
        <v>17366</v>
      </c>
      <c r="P2030" s="134" t="s">
        <v>17367</v>
      </c>
      <c r="Q2030" s="134">
        <v>412348.61</v>
      </c>
      <c r="R2030" s="134">
        <v>6198737.4000000004</v>
      </c>
      <c r="S2030" s="134" t="s">
        <v>17368</v>
      </c>
      <c r="T2030" s="134" t="s">
        <v>17369</v>
      </c>
      <c r="U2030" s="134">
        <v>412344.5</v>
      </c>
      <c r="V2030" s="134">
        <v>6198727.54</v>
      </c>
      <c r="W2030" s="134">
        <v>189.8</v>
      </c>
      <c r="X2030" s="134">
        <v>150.05000000000001</v>
      </c>
    </row>
    <row r="2031" spans="1:24" s="134" customFormat="1" x14ac:dyDescent="0.25">
      <c r="A2031" s="143">
        <v>45103</v>
      </c>
      <c r="B2031" s="144">
        <v>177</v>
      </c>
      <c r="C2031" s="145">
        <v>0.62187500000000007</v>
      </c>
      <c r="D2031" s="146" t="s">
        <v>7074</v>
      </c>
      <c r="E2031" s="97" t="s">
        <v>70</v>
      </c>
      <c r="F2031" s="146" t="s">
        <v>8759</v>
      </c>
      <c r="G2031" s="146" t="s">
        <v>1978</v>
      </c>
      <c r="H2031" s="134">
        <v>-4.3999999999999997E-2</v>
      </c>
      <c r="I2031" s="134" t="s">
        <v>17370</v>
      </c>
      <c r="L2031" s="134" t="s">
        <v>17371</v>
      </c>
      <c r="O2031" s="134" t="s">
        <v>17372</v>
      </c>
      <c r="P2031" s="134" t="s">
        <v>17373</v>
      </c>
      <c r="Q2031" s="134">
        <v>412348.62</v>
      </c>
      <c r="R2031" s="134">
        <v>6198738.21</v>
      </c>
      <c r="S2031" s="134" t="s">
        <v>17374</v>
      </c>
      <c r="T2031" s="134" t="s">
        <v>17375</v>
      </c>
      <c r="U2031" s="134">
        <v>412344.56</v>
      </c>
      <c r="V2031" s="134">
        <v>6198728.21</v>
      </c>
      <c r="W2031" s="134">
        <v>188.51</v>
      </c>
      <c r="X2031" s="134">
        <v>150.05000000000001</v>
      </c>
    </row>
    <row r="2032" spans="1:24" s="132" customFormat="1" x14ac:dyDescent="0.25">
      <c r="A2032" s="102">
        <v>45103</v>
      </c>
      <c r="B2032" s="100">
        <v>177</v>
      </c>
      <c r="C2032" s="104">
        <v>0.67208333333333325</v>
      </c>
      <c r="D2032" s="96" t="s">
        <v>7408</v>
      </c>
      <c r="E2032" s="133" t="s">
        <v>17381</v>
      </c>
      <c r="F2032" s="96" t="s">
        <v>8759</v>
      </c>
      <c r="G2032" s="96" t="s">
        <v>1978</v>
      </c>
      <c r="O2032" s="132" t="s">
        <v>17379</v>
      </c>
      <c r="P2032" s="132" t="s">
        <v>17380</v>
      </c>
      <c r="Q2032" s="132">
        <v>412335.59</v>
      </c>
      <c r="R2032" s="132">
        <v>6198735.8399999999</v>
      </c>
      <c r="X2032" s="132">
        <v>150.05000000000001</v>
      </c>
    </row>
    <row r="2033" spans="1:24" s="132" customFormat="1" x14ac:dyDescent="0.25">
      <c r="A2033" s="102">
        <v>45103</v>
      </c>
      <c r="B2033" s="100">
        <v>177</v>
      </c>
      <c r="C2033" s="104">
        <v>0.75531250000000005</v>
      </c>
      <c r="D2033" s="96" t="s">
        <v>7408</v>
      </c>
      <c r="E2033" s="133" t="s">
        <v>17384</v>
      </c>
      <c r="F2033" s="96" t="s">
        <v>8759</v>
      </c>
      <c r="G2033" s="96" t="s">
        <v>1978</v>
      </c>
      <c r="O2033" s="132" t="s">
        <v>17382</v>
      </c>
      <c r="P2033" s="132" t="s">
        <v>17383</v>
      </c>
      <c r="Q2033" s="132">
        <v>412375.9</v>
      </c>
      <c r="R2033" s="132">
        <v>6198746.04</v>
      </c>
      <c r="X2033" s="132">
        <v>150.05000000000001</v>
      </c>
    </row>
    <row r="2034" spans="1:24" s="14" customFormat="1" x14ac:dyDescent="0.25">
      <c r="A2034" s="50">
        <v>45103</v>
      </c>
      <c r="B2034" s="57">
        <v>177</v>
      </c>
      <c r="C2034" s="36">
        <v>0.874537037037037</v>
      </c>
      <c r="D2034" s="16" t="s">
        <v>7408</v>
      </c>
      <c r="E2034" s="52" t="s">
        <v>17387</v>
      </c>
      <c r="F2034" s="16" t="s">
        <v>8759</v>
      </c>
      <c r="G2034" s="16" t="s">
        <v>1978</v>
      </c>
      <c r="O2034" s="14" t="s">
        <v>17385</v>
      </c>
      <c r="P2034" s="14" t="s">
        <v>17386</v>
      </c>
      <c r="Q2034" s="14">
        <v>412232.78</v>
      </c>
      <c r="R2034" s="14">
        <v>6198791.4800000004</v>
      </c>
      <c r="X2034" s="14">
        <v>150.05000000000001</v>
      </c>
    </row>
    <row r="2035" spans="1:24" s="112" customFormat="1" x14ac:dyDescent="0.25">
      <c r="A2035" s="69">
        <v>45104</v>
      </c>
      <c r="B2035" s="103">
        <v>178</v>
      </c>
      <c r="C2035" s="71">
        <v>1.1574074074074073E-5</v>
      </c>
      <c r="D2035" s="70" t="s">
        <v>175</v>
      </c>
      <c r="E2035" s="113" t="s">
        <v>77</v>
      </c>
      <c r="F2035" s="70" t="s">
        <v>8759</v>
      </c>
      <c r="G2035" s="70" t="s">
        <v>1978</v>
      </c>
      <c r="O2035" s="112" t="s">
        <v>17388</v>
      </c>
      <c r="P2035" s="112" t="s">
        <v>17389</v>
      </c>
      <c r="Q2035" s="112">
        <v>400805.55</v>
      </c>
      <c r="R2035" s="112">
        <v>6158852.2199999997</v>
      </c>
      <c r="X2035" s="112">
        <v>150.05000000000001</v>
      </c>
    </row>
    <row r="2036" spans="1:24" s="14" customFormat="1" x14ac:dyDescent="0.25">
      <c r="A2036" s="50">
        <v>45104</v>
      </c>
      <c r="B2036" s="57">
        <v>178</v>
      </c>
      <c r="C2036" s="36">
        <v>0.20922453703703703</v>
      </c>
      <c r="D2036" s="16" t="s">
        <v>177</v>
      </c>
      <c r="E2036" s="116" t="s">
        <v>17390</v>
      </c>
      <c r="F2036" s="16" t="s">
        <v>17391</v>
      </c>
      <c r="G2036" s="16"/>
      <c r="O2036" s="14" t="s">
        <v>17392</v>
      </c>
      <c r="P2036" s="14" t="s">
        <v>17393</v>
      </c>
      <c r="Q2036" s="14">
        <v>464110.13</v>
      </c>
      <c r="R2036" s="14">
        <v>6146704.9400000004</v>
      </c>
      <c r="X2036" s="14">
        <v>200.06</v>
      </c>
    </row>
    <row r="2037" spans="1:24" s="112" customFormat="1" x14ac:dyDescent="0.25">
      <c r="A2037" s="69">
        <v>45105</v>
      </c>
      <c r="B2037" s="103">
        <v>179</v>
      </c>
      <c r="C2037" s="71">
        <v>1.1574074074074073E-5</v>
      </c>
      <c r="D2037" s="70" t="s">
        <v>177</v>
      </c>
      <c r="E2037" s="113" t="s">
        <v>77</v>
      </c>
      <c r="F2037" s="70" t="s">
        <v>17391</v>
      </c>
      <c r="G2037" s="70" t="s">
        <v>1710</v>
      </c>
      <c r="O2037" s="112" t="s">
        <v>17394</v>
      </c>
      <c r="P2037" s="112" t="s">
        <v>17395</v>
      </c>
      <c r="Q2037" s="112">
        <v>464305.48</v>
      </c>
      <c r="R2037" s="112">
        <v>6146797.46</v>
      </c>
      <c r="X2037" s="112">
        <v>200.06</v>
      </c>
    </row>
    <row r="2038" spans="1:24" s="14" customFormat="1" x14ac:dyDescent="0.25">
      <c r="A2038" s="50">
        <v>45105</v>
      </c>
      <c r="B2038" s="57">
        <v>179</v>
      </c>
      <c r="C2038" s="36">
        <v>0.26854166666666668</v>
      </c>
      <c r="D2038" s="16" t="s">
        <v>17396</v>
      </c>
      <c r="E2038" s="52" t="s">
        <v>102</v>
      </c>
      <c r="F2038" s="16" t="s">
        <v>17391</v>
      </c>
      <c r="G2038" s="16"/>
      <c r="O2038" s="14" t="s">
        <v>17397</v>
      </c>
      <c r="P2038" s="14" t="s">
        <v>17398</v>
      </c>
      <c r="Q2038" s="14">
        <v>464305.36</v>
      </c>
      <c r="R2038" s="14">
        <v>6146797.9199999999</v>
      </c>
      <c r="X2038" s="14">
        <v>200.06</v>
      </c>
    </row>
    <row r="2039" spans="1:24" s="14" customFormat="1" x14ac:dyDescent="0.25">
      <c r="A2039" s="50">
        <v>45105</v>
      </c>
      <c r="B2039" s="57">
        <v>179</v>
      </c>
      <c r="C2039" s="36">
        <v>0.67824074074074081</v>
      </c>
      <c r="D2039" s="16" t="s">
        <v>6737</v>
      </c>
      <c r="E2039" s="116" t="s">
        <v>102</v>
      </c>
      <c r="F2039" s="117" t="s">
        <v>17391</v>
      </c>
      <c r="G2039" s="16" t="s">
        <v>1710</v>
      </c>
      <c r="O2039" s="14" t="s">
        <v>17399</v>
      </c>
      <c r="P2039" s="14" t="s">
        <v>17400</v>
      </c>
      <c r="Q2039" s="14">
        <v>464305.42</v>
      </c>
      <c r="R2039" s="14">
        <v>6146797.8200000003</v>
      </c>
      <c r="X2039" s="14">
        <v>200.06</v>
      </c>
    </row>
    <row r="2040" spans="1:24" s="14" customFormat="1" x14ac:dyDescent="0.25">
      <c r="A2040" s="50">
        <v>45105</v>
      </c>
      <c r="B2040" s="57">
        <v>179</v>
      </c>
      <c r="C2040" s="36">
        <v>0.69400462962962972</v>
      </c>
      <c r="D2040" s="16" t="s">
        <v>6737</v>
      </c>
      <c r="E2040" s="52" t="s">
        <v>17403</v>
      </c>
      <c r="F2040" s="117" t="s">
        <v>17391</v>
      </c>
      <c r="G2040" s="16" t="s">
        <v>1702</v>
      </c>
      <c r="H2040" s="147"/>
      <c r="O2040" s="14" t="s">
        <v>17401</v>
      </c>
      <c r="P2040" s="14" t="s">
        <v>17402</v>
      </c>
      <c r="Q2040" s="14">
        <v>464290.15</v>
      </c>
      <c r="R2040" s="14">
        <v>6146808.7800000003</v>
      </c>
      <c r="X2040" s="14">
        <v>200.06</v>
      </c>
    </row>
    <row r="2041" spans="1:24" s="14" customFormat="1" x14ac:dyDescent="0.25">
      <c r="A2041" s="50">
        <v>45105</v>
      </c>
      <c r="B2041" s="57">
        <v>179</v>
      </c>
      <c r="C2041" s="36">
        <v>0.9294675925925926</v>
      </c>
      <c r="D2041" s="16" t="s">
        <v>69</v>
      </c>
      <c r="E2041" s="52" t="s">
        <v>17408</v>
      </c>
      <c r="F2041" s="16" t="s">
        <v>8759</v>
      </c>
      <c r="G2041" s="16" t="s">
        <v>1702</v>
      </c>
      <c r="H2041" s="14">
        <v>-0.11799999999999999</v>
      </c>
      <c r="O2041" s="14" t="s">
        <v>17404</v>
      </c>
      <c r="P2041" s="14" t="s">
        <v>17405</v>
      </c>
      <c r="Q2041" s="14">
        <v>413749.22</v>
      </c>
      <c r="R2041" s="14">
        <v>6200162.8700000001</v>
      </c>
      <c r="S2041" s="14" t="s">
        <v>17406</v>
      </c>
      <c r="T2041" s="14" t="s">
        <v>17407</v>
      </c>
      <c r="U2041" s="14">
        <v>413739.41</v>
      </c>
      <c r="V2041" s="14">
        <v>6200167.3899999997</v>
      </c>
      <c r="W2041" s="14">
        <v>291.13</v>
      </c>
      <c r="X2041" s="14">
        <v>200.06</v>
      </c>
    </row>
    <row r="2042" spans="1:24" s="14" customFormat="1" x14ac:dyDescent="0.25">
      <c r="A2042" s="50">
        <v>45105</v>
      </c>
      <c r="B2042" s="57">
        <v>179</v>
      </c>
      <c r="C2042" s="36">
        <v>0.94299768518518512</v>
      </c>
      <c r="D2042" s="16" t="s">
        <v>69</v>
      </c>
      <c r="E2042" s="52" t="s">
        <v>17413</v>
      </c>
      <c r="F2042" s="16" t="s">
        <v>8759</v>
      </c>
      <c r="G2042" s="16" t="s">
        <v>1702</v>
      </c>
      <c r="H2042" s="14">
        <v>-4.2999999999999997E-2</v>
      </c>
      <c r="O2042" s="14" t="s">
        <v>17409</v>
      </c>
      <c r="P2042" s="14" t="s">
        <v>17410</v>
      </c>
      <c r="Q2042" s="14">
        <v>413692.21</v>
      </c>
      <c r="R2042" s="14">
        <v>6200098.3700000001</v>
      </c>
      <c r="S2042" s="14" t="s">
        <v>17411</v>
      </c>
      <c r="T2042" s="14" t="s">
        <v>17412</v>
      </c>
      <c r="U2042" s="14">
        <v>413703.21</v>
      </c>
      <c r="V2042" s="14">
        <v>6200095.0099999998</v>
      </c>
      <c r="W2042" s="14">
        <v>93.03</v>
      </c>
      <c r="X2042" s="14">
        <v>200.06</v>
      </c>
    </row>
    <row r="2043" spans="1:24" s="14" customFormat="1" x14ac:dyDescent="0.25">
      <c r="A2043" s="50">
        <v>45105</v>
      </c>
      <c r="B2043" s="57">
        <v>179</v>
      </c>
      <c r="C2043" s="36">
        <v>0.95185185185185184</v>
      </c>
      <c r="D2043" s="16" t="s">
        <v>69</v>
      </c>
      <c r="E2043" s="116" t="s">
        <v>17552</v>
      </c>
      <c r="F2043" s="16" t="s">
        <v>8759</v>
      </c>
      <c r="G2043" s="16" t="s">
        <v>1702</v>
      </c>
      <c r="H2043" s="14">
        <v>-0.03</v>
      </c>
      <c r="O2043" s="14" t="s">
        <v>17414</v>
      </c>
      <c r="P2043" s="14" t="s">
        <v>17415</v>
      </c>
      <c r="Q2043" s="14">
        <v>413693.73</v>
      </c>
      <c r="R2043" s="14">
        <v>6200096.79</v>
      </c>
      <c r="S2043" s="14" t="s">
        <v>17416</v>
      </c>
      <c r="T2043" s="14" t="s">
        <v>17417</v>
      </c>
      <c r="U2043" s="14">
        <v>413697.58</v>
      </c>
      <c r="V2043" s="14">
        <v>6200086.0599999996</v>
      </c>
      <c r="W2043" s="14">
        <v>147.51</v>
      </c>
      <c r="X2043" s="14">
        <v>200.06</v>
      </c>
    </row>
    <row r="2044" spans="1:24" s="124" customFormat="1" x14ac:dyDescent="0.25">
      <c r="A2044" s="74">
        <v>45105</v>
      </c>
      <c r="B2044" s="105">
        <v>179</v>
      </c>
      <c r="C2044" s="76">
        <v>0.98046296296296298</v>
      </c>
      <c r="D2044" s="75" t="s">
        <v>69</v>
      </c>
      <c r="E2044" s="125" t="s">
        <v>17551</v>
      </c>
      <c r="F2044" s="75" t="s">
        <v>8759</v>
      </c>
      <c r="G2044" s="75" t="s">
        <v>1702</v>
      </c>
      <c r="H2044" s="124">
        <v>-0.03</v>
      </c>
      <c r="O2044" s="124" t="s">
        <v>17418</v>
      </c>
      <c r="P2044" s="124" t="s">
        <v>17419</v>
      </c>
      <c r="Q2044" s="124">
        <v>413693.67</v>
      </c>
      <c r="R2044" s="124">
        <v>6200097.1699999999</v>
      </c>
      <c r="S2044" s="124" t="s">
        <v>17420</v>
      </c>
      <c r="T2044" s="124" t="s">
        <v>17421</v>
      </c>
      <c r="U2044" s="124">
        <v>413697.82</v>
      </c>
      <c r="V2044" s="124">
        <v>6200086.4100000001</v>
      </c>
      <c r="W2044" s="124">
        <v>147.5</v>
      </c>
      <c r="X2044" s="124">
        <v>200.06</v>
      </c>
    </row>
    <row r="2045" spans="1:24" s="122" customFormat="1" x14ac:dyDescent="0.25">
      <c r="A2045" s="65">
        <v>45105</v>
      </c>
      <c r="B2045" s="106">
        <v>179</v>
      </c>
      <c r="C2045" s="67">
        <v>0.98912037037037026</v>
      </c>
      <c r="D2045" s="66" t="s">
        <v>69</v>
      </c>
      <c r="E2045" s="122" t="s">
        <v>17427</v>
      </c>
      <c r="F2045" s="66" t="s">
        <v>8759</v>
      </c>
      <c r="G2045" s="66" t="s">
        <v>1702</v>
      </c>
      <c r="H2045" s="122">
        <v>-2.8000000000000001E-2</v>
      </c>
      <c r="M2045" s="122" t="s">
        <v>17422</v>
      </c>
      <c r="O2045" s="122" t="s">
        <v>17423</v>
      </c>
      <c r="P2045" s="122" t="s">
        <v>17424</v>
      </c>
      <c r="Q2045" s="122">
        <v>413693.63</v>
      </c>
      <c r="R2045" s="122">
        <v>6200096.9299999997</v>
      </c>
      <c r="S2045" s="122" t="s">
        <v>17425</v>
      </c>
      <c r="T2045" s="122" t="s">
        <v>17426</v>
      </c>
      <c r="U2045" s="122">
        <v>413702.26</v>
      </c>
      <c r="V2045" s="122">
        <v>6200084.0899999999</v>
      </c>
      <c r="W2045" s="122">
        <v>141.44</v>
      </c>
      <c r="X2045" s="122">
        <v>200.06</v>
      </c>
    </row>
    <row r="2046" spans="1:24" s="14" customFormat="1" x14ac:dyDescent="0.25">
      <c r="A2046" s="50">
        <v>45105</v>
      </c>
      <c r="B2046" s="57">
        <v>179</v>
      </c>
      <c r="C2046" s="36">
        <v>0.9969675925925926</v>
      </c>
      <c r="D2046" s="16" t="s">
        <v>69</v>
      </c>
      <c r="E2046" s="52" t="s">
        <v>65</v>
      </c>
      <c r="F2046" s="16" t="s">
        <v>8759</v>
      </c>
      <c r="G2046" s="16" t="s">
        <v>1702</v>
      </c>
      <c r="H2046" s="14">
        <v>-1.2E-2</v>
      </c>
      <c r="I2046" s="14" t="s">
        <v>17432</v>
      </c>
      <c r="J2046" s="14" t="s">
        <v>17433</v>
      </c>
      <c r="K2046" s="14" t="s">
        <v>17434</v>
      </c>
      <c r="L2046" s="14" t="s">
        <v>17435</v>
      </c>
      <c r="O2046" s="14" t="s">
        <v>17428</v>
      </c>
      <c r="P2046" s="14" t="s">
        <v>17429</v>
      </c>
      <c r="Q2046" s="14">
        <v>413666.65</v>
      </c>
      <c r="R2046" s="14">
        <v>6200085.1699999999</v>
      </c>
      <c r="S2046" s="14" t="s">
        <v>17430</v>
      </c>
      <c r="T2046" s="14" t="s">
        <v>17431</v>
      </c>
      <c r="U2046" s="14">
        <v>413687.35</v>
      </c>
      <c r="V2046" s="14">
        <v>6200068.9400000004</v>
      </c>
      <c r="W2046" s="14">
        <v>180.96</v>
      </c>
      <c r="X2046" s="14">
        <v>200.06</v>
      </c>
    </row>
    <row r="2047" spans="1:24" s="112" customFormat="1" x14ac:dyDescent="0.25">
      <c r="A2047" s="69">
        <v>45106</v>
      </c>
      <c r="B2047" s="103">
        <v>180</v>
      </c>
      <c r="C2047" s="71">
        <v>0</v>
      </c>
      <c r="D2047" s="70" t="s">
        <v>69</v>
      </c>
      <c r="E2047" s="113" t="s">
        <v>77</v>
      </c>
      <c r="F2047" s="70" t="s">
        <v>8759</v>
      </c>
      <c r="G2047" s="70" t="s">
        <v>1702</v>
      </c>
      <c r="H2047" s="112">
        <v>0.122</v>
      </c>
      <c r="O2047" s="112" t="s">
        <v>17436</v>
      </c>
      <c r="P2047" s="112" t="s">
        <v>17437</v>
      </c>
      <c r="Q2047" s="112">
        <v>413664.54</v>
      </c>
      <c r="R2047" s="112">
        <v>6199950.6900000004</v>
      </c>
      <c r="S2047" s="112" t="s">
        <v>17438</v>
      </c>
      <c r="T2047" s="112" t="s">
        <v>17439</v>
      </c>
      <c r="U2047" s="112">
        <v>413687.27</v>
      </c>
      <c r="V2047" s="112">
        <v>6199935.1900000004</v>
      </c>
      <c r="W2047" s="112">
        <v>179.83</v>
      </c>
      <c r="X2047" s="112">
        <v>200.06</v>
      </c>
    </row>
    <row r="2048" spans="1:24" s="14" customFormat="1" x14ac:dyDescent="0.25">
      <c r="A2048" s="50">
        <v>45106</v>
      </c>
      <c r="B2048" s="57">
        <v>180</v>
      </c>
      <c r="C2048" s="36">
        <v>2.1527777777777778E-3</v>
      </c>
      <c r="D2048" s="16" t="s">
        <v>69</v>
      </c>
      <c r="E2048" s="52" t="s">
        <v>70</v>
      </c>
      <c r="F2048" s="16" t="s">
        <v>8759</v>
      </c>
      <c r="G2048" s="16" t="s">
        <v>1702</v>
      </c>
      <c r="H2048" s="14">
        <v>0.216</v>
      </c>
      <c r="I2048" s="14" t="s">
        <v>17432</v>
      </c>
      <c r="J2048" s="14" t="s">
        <v>17433</v>
      </c>
      <c r="K2048" s="14" t="s">
        <v>17434</v>
      </c>
      <c r="L2048" s="14" t="s">
        <v>17444</v>
      </c>
      <c r="O2048" s="14" t="s">
        <v>17440</v>
      </c>
      <c r="P2048" s="14" t="s">
        <v>17441</v>
      </c>
      <c r="Q2048" s="14">
        <v>413664.41</v>
      </c>
      <c r="R2048" s="14">
        <v>6199855.7000000002</v>
      </c>
      <c r="S2048" s="14" t="s">
        <v>17442</v>
      </c>
      <c r="T2048" s="14" t="s">
        <v>17443</v>
      </c>
      <c r="U2048" s="14">
        <v>413687.29</v>
      </c>
      <c r="V2048" s="14">
        <v>6199840.79</v>
      </c>
      <c r="W2048" s="14">
        <v>180.15</v>
      </c>
      <c r="X2048" s="14">
        <v>200.06</v>
      </c>
    </row>
    <row r="2049" spans="1:24" s="14" customFormat="1" x14ac:dyDescent="0.25">
      <c r="A2049" s="50">
        <v>45106</v>
      </c>
      <c r="B2049" s="57">
        <v>180</v>
      </c>
      <c r="C2049" s="36">
        <v>5.3819444444444453E-3</v>
      </c>
      <c r="D2049" s="16" t="s">
        <v>69</v>
      </c>
      <c r="E2049" s="52" t="s">
        <v>65</v>
      </c>
      <c r="F2049" s="16" t="s">
        <v>8759</v>
      </c>
      <c r="G2049" s="16" t="s">
        <v>1701</v>
      </c>
      <c r="H2049" s="14">
        <v>0.216</v>
      </c>
      <c r="I2049" s="14" t="s">
        <v>17449</v>
      </c>
      <c r="J2049" s="14" t="s">
        <v>17450</v>
      </c>
      <c r="K2049" s="14" t="s">
        <v>17451</v>
      </c>
      <c r="L2049" s="14" t="s">
        <v>17444</v>
      </c>
      <c r="O2049" s="14" t="s">
        <v>17445</v>
      </c>
      <c r="P2049" s="14" t="s">
        <v>17446</v>
      </c>
      <c r="Q2049" s="14">
        <v>413673.22</v>
      </c>
      <c r="R2049" s="14">
        <v>6199826.0300000003</v>
      </c>
      <c r="S2049" s="14" t="s">
        <v>17447</v>
      </c>
      <c r="T2049" s="14" t="s">
        <v>17448</v>
      </c>
      <c r="U2049" s="14">
        <v>413696.29</v>
      </c>
      <c r="V2049" s="14">
        <v>6199830.5700000003</v>
      </c>
      <c r="W2049" s="14">
        <v>358.26</v>
      </c>
      <c r="X2049" s="14">
        <v>200.06</v>
      </c>
    </row>
    <row r="2050" spans="1:24" s="14" customFormat="1" x14ac:dyDescent="0.25">
      <c r="A2050" s="50">
        <v>45106</v>
      </c>
      <c r="B2050" s="57">
        <v>180</v>
      </c>
      <c r="C2050" s="36">
        <v>1.0752314814814814E-2</v>
      </c>
      <c r="D2050" s="16" t="s">
        <v>69</v>
      </c>
      <c r="E2050" s="52" t="s">
        <v>70</v>
      </c>
      <c r="F2050" s="16" t="s">
        <v>8759</v>
      </c>
      <c r="G2050" s="16" t="s">
        <v>1701</v>
      </c>
      <c r="H2050" s="14">
        <v>-1.7999999999999999E-2</v>
      </c>
      <c r="I2050" s="14" t="s">
        <v>17449</v>
      </c>
      <c r="J2050" s="14" t="s">
        <v>17450</v>
      </c>
      <c r="K2050" s="14" t="s">
        <v>17451</v>
      </c>
      <c r="L2050" s="14" t="s">
        <v>17444</v>
      </c>
      <c r="O2050" s="14" t="s">
        <v>17452</v>
      </c>
      <c r="P2050" s="14" t="s">
        <v>17453</v>
      </c>
      <c r="Q2050" s="14">
        <v>413674.51</v>
      </c>
      <c r="R2050" s="14">
        <v>6200061.9800000004</v>
      </c>
      <c r="S2050" s="14" t="s">
        <v>17454</v>
      </c>
      <c r="T2050" s="14" t="s">
        <v>17455</v>
      </c>
      <c r="U2050" s="14">
        <v>413696.18</v>
      </c>
      <c r="V2050" s="14">
        <v>6200063.8899999997</v>
      </c>
      <c r="W2050" s="14">
        <v>359.92</v>
      </c>
      <c r="X2050" s="14">
        <v>200.06</v>
      </c>
    </row>
    <row r="2051" spans="1:24" s="14" customFormat="1" x14ac:dyDescent="0.25">
      <c r="A2051" s="50">
        <v>45106</v>
      </c>
      <c r="B2051" s="57">
        <v>180</v>
      </c>
      <c r="C2051" s="36">
        <v>1.3738425925925926E-2</v>
      </c>
      <c r="D2051" s="16" t="s">
        <v>69</v>
      </c>
      <c r="E2051" s="52" t="s">
        <v>65</v>
      </c>
      <c r="F2051" s="16" t="s">
        <v>8759</v>
      </c>
      <c r="G2051" s="16" t="s">
        <v>1700</v>
      </c>
      <c r="H2051" s="14">
        <v>-1.4999999999999999E-2</v>
      </c>
      <c r="I2051" s="14" t="s">
        <v>17460</v>
      </c>
      <c r="J2051" s="115" t="s">
        <v>17463</v>
      </c>
      <c r="K2051" s="14" t="s">
        <v>17461</v>
      </c>
      <c r="L2051" s="14" t="s">
        <v>17462</v>
      </c>
      <c r="O2051" s="14" t="s">
        <v>17456</v>
      </c>
      <c r="P2051" s="14" t="s">
        <v>17457</v>
      </c>
      <c r="Q2051" s="14">
        <v>413683.86</v>
      </c>
      <c r="R2051" s="14">
        <v>6200085.1799999997</v>
      </c>
      <c r="S2051" s="14" t="s">
        <v>17458</v>
      </c>
      <c r="T2051" s="14" t="s">
        <v>17459</v>
      </c>
      <c r="U2051" s="14">
        <v>413705.2</v>
      </c>
      <c r="V2051" s="14">
        <v>6200072.04</v>
      </c>
      <c r="W2051" s="14">
        <v>180.61</v>
      </c>
      <c r="X2051" s="14">
        <v>200.06</v>
      </c>
    </row>
    <row r="2052" spans="1:24" s="14" customFormat="1" x14ac:dyDescent="0.25">
      <c r="A2052" s="50">
        <v>45106</v>
      </c>
      <c r="B2052" s="57">
        <v>180</v>
      </c>
      <c r="C2052" s="36">
        <v>1.9016203703703705E-2</v>
      </c>
      <c r="D2052" s="16" t="s">
        <v>69</v>
      </c>
      <c r="E2052" s="52" t="s">
        <v>70</v>
      </c>
      <c r="F2052" s="16" t="s">
        <v>8759</v>
      </c>
      <c r="G2052" s="16" t="s">
        <v>1700</v>
      </c>
      <c r="H2052" s="14">
        <v>0.221</v>
      </c>
      <c r="I2052" s="14" t="s">
        <v>17460</v>
      </c>
      <c r="J2052" s="14" t="s">
        <v>17463</v>
      </c>
      <c r="K2052" s="14" t="s">
        <v>17461</v>
      </c>
      <c r="L2052" s="14" t="s">
        <v>17462</v>
      </c>
      <c r="O2052" s="14" t="s">
        <v>17464</v>
      </c>
      <c r="P2052" s="14" t="s">
        <v>17465</v>
      </c>
      <c r="Q2052" s="14">
        <v>413682.61</v>
      </c>
      <c r="R2052" s="14">
        <v>6199852</v>
      </c>
      <c r="S2052" s="14" t="s">
        <v>17466</v>
      </c>
      <c r="T2052" s="14" t="s">
        <v>17467</v>
      </c>
      <c r="U2052" s="14">
        <v>413705.41</v>
      </c>
      <c r="V2052" s="14">
        <v>6199836.1399999997</v>
      </c>
      <c r="W2052" s="14">
        <v>180.08</v>
      </c>
      <c r="X2052" s="14">
        <v>200.06</v>
      </c>
    </row>
    <row r="2053" spans="1:24" s="14" customFormat="1" x14ac:dyDescent="0.25">
      <c r="A2053" s="50">
        <v>45106</v>
      </c>
      <c r="B2053" s="57">
        <v>180</v>
      </c>
      <c r="C2053" s="36">
        <v>2.3298611111111107E-2</v>
      </c>
      <c r="D2053" s="16" t="s">
        <v>69</v>
      </c>
      <c r="E2053" s="14" t="s">
        <v>65</v>
      </c>
      <c r="F2053" s="16" t="s">
        <v>8759</v>
      </c>
      <c r="G2053" s="16" t="s">
        <v>1699</v>
      </c>
      <c r="H2053" s="14">
        <v>0.216</v>
      </c>
      <c r="I2053" s="14" t="s">
        <v>17472</v>
      </c>
      <c r="J2053" s="14" t="s">
        <v>17473</v>
      </c>
      <c r="K2053" s="14" t="s">
        <v>17474</v>
      </c>
      <c r="L2053" s="14" t="s">
        <v>17475</v>
      </c>
      <c r="O2053" s="14" t="s">
        <v>17468</v>
      </c>
      <c r="P2053" s="14" t="s">
        <v>17469</v>
      </c>
      <c r="Q2053" s="14">
        <v>413691.39</v>
      </c>
      <c r="R2053" s="14">
        <v>6199835.54</v>
      </c>
      <c r="S2053" s="14" t="s">
        <v>17470</v>
      </c>
      <c r="T2053" s="14" t="s">
        <v>17471</v>
      </c>
      <c r="U2053" s="14">
        <v>413714.2</v>
      </c>
      <c r="V2053" s="14">
        <v>6199829.9800000004</v>
      </c>
      <c r="W2053" s="14">
        <v>359.84</v>
      </c>
      <c r="X2053" s="14">
        <v>200.06</v>
      </c>
    </row>
    <row r="2054" spans="1:24" s="14" customFormat="1" x14ac:dyDescent="0.25">
      <c r="A2054" s="50">
        <v>45106</v>
      </c>
      <c r="B2054" s="57">
        <v>180</v>
      </c>
      <c r="C2054" s="36">
        <v>2.8576388888888887E-2</v>
      </c>
      <c r="D2054" s="16" t="s">
        <v>69</v>
      </c>
      <c r="E2054" s="52" t="s">
        <v>70</v>
      </c>
      <c r="F2054" s="16" t="s">
        <v>8759</v>
      </c>
      <c r="G2054" s="16" t="s">
        <v>1699</v>
      </c>
      <c r="H2054" s="14">
        <v>-0.02</v>
      </c>
      <c r="I2054" s="14" t="s">
        <v>17472</v>
      </c>
      <c r="J2054" s="14" t="s">
        <v>17473</v>
      </c>
      <c r="K2054" s="14" t="s">
        <v>17474</v>
      </c>
      <c r="L2054" s="14" t="s">
        <v>17475</v>
      </c>
      <c r="O2054" s="14" t="s">
        <v>17476</v>
      </c>
      <c r="P2054" s="14" t="s">
        <v>17477</v>
      </c>
      <c r="Q2054" s="14">
        <v>413692.13</v>
      </c>
      <c r="R2054" s="14">
        <v>6200068.0700000003</v>
      </c>
      <c r="S2054" s="14" t="s">
        <v>17478</v>
      </c>
      <c r="T2054" s="14" t="s">
        <v>17479</v>
      </c>
      <c r="U2054" s="14">
        <v>413714.23</v>
      </c>
      <c r="V2054" s="14">
        <v>6200065.5599999996</v>
      </c>
      <c r="W2054" s="14">
        <v>0.04</v>
      </c>
      <c r="X2054" s="14">
        <v>200.06</v>
      </c>
    </row>
    <row r="2055" spans="1:24" s="14" customFormat="1" x14ac:dyDescent="0.25">
      <c r="A2055" s="50">
        <v>45106</v>
      </c>
      <c r="B2055" s="57">
        <v>180</v>
      </c>
      <c r="C2055" s="36">
        <v>3.2708333333333332E-2</v>
      </c>
      <c r="D2055" s="16" t="s">
        <v>69</v>
      </c>
      <c r="E2055" s="14" t="s">
        <v>65</v>
      </c>
      <c r="F2055" s="16" t="s">
        <v>8759</v>
      </c>
      <c r="G2055" s="16" t="s">
        <v>1698</v>
      </c>
      <c r="H2055" s="14">
        <v>-1.4999999999999999E-2</v>
      </c>
      <c r="I2055" s="14" t="s">
        <v>17484</v>
      </c>
      <c r="J2055" s="14" t="s">
        <v>17485</v>
      </c>
      <c r="K2055" s="14" t="s">
        <v>17486</v>
      </c>
      <c r="L2055" s="14" t="s">
        <v>17475</v>
      </c>
      <c r="O2055" s="14" t="s">
        <v>17480</v>
      </c>
      <c r="P2055" s="14" t="s">
        <v>17481</v>
      </c>
      <c r="Q2055" s="14">
        <v>413702.6</v>
      </c>
      <c r="R2055" s="14">
        <v>6200075.4199999999</v>
      </c>
      <c r="S2055" s="14" t="s">
        <v>17482</v>
      </c>
      <c r="T2055" s="14" t="s">
        <v>17483</v>
      </c>
      <c r="U2055" s="14">
        <v>413723.23</v>
      </c>
      <c r="V2055" s="14">
        <v>6200071.6100000003</v>
      </c>
      <c r="W2055" s="14">
        <v>180.79</v>
      </c>
      <c r="X2055" s="14">
        <v>200.06</v>
      </c>
    </row>
    <row r="2056" spans="1:24" s="14" customFormat="1" x14ac:dyDescent="0.25">
      <c r="A2056" s="50">
        <v>45106</v>
      </c>
      <c r="B2056" s="57">
        <v>180</v>
      </c>
      <c r="C2056" s="36">
        <v>3.7916666666666668E-2</v>
      </c>
      <c r="D2056" s="16" t="s">
        <v>69</v>
      </c>
      <c r="E2056" s="52" t="s">
        <v>70</v>
      </c>
      <c r="F2056" s="16" t="s">
        <v>8759</v>
      </c>
      <c r="G2056" s="16" t="s">
        <v>1698</v>
      </c>
      <c r="H2056" s="14">
        <v>0.221</v>
      </c>
      <c r="I2056" s="14" t="s">
        <v>17484</v>
      </c>
      <c r="J2056" s="14" t="s">
        <v>17485</v>
      </c>
      <c r="K2056" s="14" t="s">
        <v>17486</v>
      </c>
      <c r="L2056" s="14" t="s">
        <v>17491</v>
      </c>
      <c r="O2056" s="14" t="s">
        <v>17487</v>
      </c>
      <c r="P2056" s="14" t="s">
        <v>17488</v>
      </c>
      <c r="Q2056" s="14">
        <v>413700.62</v>
      </c>
      <c r="R2056" s="14">
        <v>6199845.5800000001</v>
      </c>
      <c r="S2056" s="14" t="s">
        <v>17489</v>
      </c>
      <c r="T2056" s="14" t="s">
        <v>17490</v>
      </c>
      <c r="U2056" s="14">
        <v>413723.23</v>
      </c>
      <c r="V2056" s="14">
        <v>6199836.0599999996</v>
      </c>
      <c r="W2056" s="14">
        <v>179.88</v>
      </c>
      <c r="X2056" s="14">
        <v>200.06</v>
      </c>
    </row>
    <row r="2057" spans="1:24" s="14" customFormat="1" x14ac:dyDescent="0.25">
      <c r="A2057" s="50">
        <v>45106</v>
      </c>
      <c r="B2057" s="57">
        <v>180</v>
      </c>
      <c r="C2057" s="36">
        <v>4.1111111111111112E-2</v>
      </c>
      <c r="D2057" s="16" t="s">
        <v>69</v>
      </c>
      <c r="E2057" s="52" t="s">
        <v>65</v>
      </c>
      <c r="F2057" s="16" t="s">
        <v>8759</v>
      </c>
      <c r="G2057" s="16" t="s">
        <v>1697</v>
      </c>
      <c r="H2057" s="14">
        <v>0.214</v>
      </c>
      <c r="I2057" s="14" t="s">
        <v>17496</v>
      </c>
      <c r="J2057" s="14" t="s">
        <v>17497</v>
      </c>
      <c r="K2057" s="14" t="s">
        <v>17498</v>
      </c>
      <c r="L2057" s="14" t="s">
        <v>17491</v>
      </c>
      <c r="O2057" s="14" t="s">
        <v>17492</v>
      </c>
      <c r="P2057" s="14" t="s">
        <v>17493</v>
      </c>
      <c r="Q2057" s="14">
        <v>413709.27</v>
      </c>
      <c r="R2057" s="14">
        <v>6199834.0199999996</v>
      </c>
      <c r="S2057" s="14" t="s">
        <v>17494</v>
      </c>
      <c r="T2057" s="14" t="s">
        <v>17495</v>
      </c>
      <c r="U2057" s="14">
        <v>413732.17</v>
      </c>
      <c r="V2057" s="14">
        <v>6199832.3099999996</v>
      </c>
      <c r="W2057" s="14">
        <v>0.66</v>
      </c>
      <c r="X2057" s="14">
        <v>200.06</v>
      </c>
    </row>
    <row r="2058" spans="1:24" s="14" customFormat="1" x14ac:dyDescent="0.25">
      <c r="A2058" s="50">
        <v>45106</v>
      </c>
      <c r="B2058" s="57">
        <v>180</v>
      </c>
      <c r="C2058" s="36">
        <v>4.6342592592592595E-2</v>
      </c>
      <c r="D2058" s="16" t="s">
        <v>69</v>
      </c>
      <c r="E2058" s="52" t="s">
        <v>70</v>
      </c>
      <c r="F2058" s="16" t="s">
        <v>8759</v>
      </c>
      <c r="G2058" s="16" t="s">
        <v>1697</v>
      </c>
      <c r="H2058" s="14">
        <v>-1.9E-2</v>
      </c>
      <c r="I2058" s="14" t="s">
        <v>17496</v>
      </c>
      <c r="J2058" s="14" t="s">
        <v>17497</v>
      </c>
      <c r="K2058" s="14" t="s">
        <v>17498</v>
      </c>
      <c r="L2058" s="14" t="s">
        <v>17503</v>
      </c>
      <c r="O2058" s="14" t="s">
        <v>17499</v>
      </c>
      <c r="P2058" s="14" t="s">
        <v>17500</v>
      </c>
      <c r="Q2058" s="14">
        <v>413710.05</v>
      </c>
      <c r="R2058" s="14">
        <v>6200064.3899999997</v>
      </c>
      <c r="S2058" s="14" t="s">
        <v>17501</v>
      </c>
      <c r="T2058" s="14" t="s">
        <v>17502</v>
      </c>
      <c r="U2058" s="14">
        <v>413732.26</v>
      </c>
      <c r="V2058" s="14">
        <v>6200065</v>
      </c>
      <c r="W2058" s="14">
        <v>0.01</v>
      </c>
      <c r="X2058" s="14">
        <v>200.06</v>
      </c>
    </row>
    <row r="2059" spans="1:24" s="14" customFormat="1" x14ac:dyDescent="0.25">
      <c r="A2059" s="50">
        <v>45106</v>
      </c>
      <c r="B2059" s="57">
        <v>180</v>
      </c>
      <c r="C2059" s="36">
        <v>4.9340277777777775E-2</v>
      </c>
      <c r="D2059" s="16" t="s">
        <v>69</v>
      </c>
      <c r="E2059" s="52" t="s">
        <v>65</v>
      </c>
      <c r="F2059" s="16" t="s">
        <v>8759</v>
      </c>
      <c r="G2059" s="16" t="s">
        <v>1696</v>
      </c>
      <c r="H2059" s="14">
        <v>-1.4E-2</v>
      </c>
      <c r="I2059" s="14" t="s">
        <v>17508</v>
      </c>
      <c r="J2059" s="14" t="s">
        <v>17509</v>
      </c>
      <c r="K2059" s="14" t="s">
        <v>17510</v>
      </c>
      <c r="L2059" s="14" t="s">
        <v>17503</v>
      </c>
      <c r="O2059" s="14" t="s">
        <v>17504</v>
      </c>
      <c r="P2059" s="14" t="s">
        <v>17505</v>
      </c>
      <c r="Q2059" s="14">
        <v>413720.81</v>
      </c>
      <c r="R2059" s="14">
        <v>6200078.5</v>
      </c>
      <c r="S2059" s="14" t="s">
        <v>17506</v>
      </c>
      <c r="T2059" s="14" t="s">
        <v>17507</v>
      </c>
      <c r="U2059" s="14">
        <v>413741.33</v>
      </c>
      <c r="V2059" s="14">
        <v>6200070.7699999996</v>
      </c>
      <c r="W2059" s="14">
        <v>180.44</v>
      </c>
      <c r="X2059" s="14">
        <v>200.06</v>
      </c>
    </row>
    <row r="2060" spans="1:24" s="14" customFormat="1" x14ac:dyDescent="0.25">
      <c r="A2060" s="50">
        <v>45106</v>
      </c>
      <c r="B2060" s="57">
        <v>180</v>
      </c>
      <c r="C2060" s="36">
        <v>5.4618055555555552E-2</v>
      </c>
      <c r="D2060" s="16" t="s">
        <v>69</v>
      </c>
      <c r="E2060" s="52" t="s">
        <v>70</v>
      </c>
      <c r="F2060" s="16" t="s">
        <v>8759</v>
      </c>
      <c r="G2060" s="16" t="s">
        <v>1696</v>
      </c>
      <c r="H2060" s="14">
        <v>0.221</v>
      </c>
      <c r="I2060" s="14" t="s">
        <v>17508</v>
      </c>
      <c r="J2060" s="14" t="s">
        <v>17509</v>
      </c>
      <c r="K2060" s="14" t="s">
        <v>17510</v>
      </c>
      <c r="L2060" s="14" t="s">
        <v>17515</v>
      </c>
      <c r="O2060" s="14" t="s">
        <v>17511</v>
      </c>
      <c r="P2060" s="14" t="s">
        <v>17512</v>
      </c>
      <c r="Q2060" s="14">
        <v>413718.15</v>
      </c>
      <c r="R2060" s="14">
        <v>6199845.5199999996</v>
      </c>
      <c r="S2060" s="14" t="s">
        <v>17513</v>
      </c>
      <c r="T2060" s="14" t="s">
        <v>17514</v>
      </c>
      <c r="U2060" s="14">
        <v>413741.4</v>
      </c>
      <c r="V2060" s="14">
        <v>6199836.4199999999</v>
      </c>
      <c r="W2060" s="14">
        <v>180.02</v>
      </c>
      <c r="X2060" s="14">
        <v>200.06</v>
      </c>
    </row>
    <row r="2061" spans="1:24" s="14" customFormat="1" x14ac:dyDescent="0.25">
      <c r="A2061" s="50">
        <v>45106</v>
      </c>
      <c r="B2061" s="57">
        <v>180</v>
      </c>
      <c r="C2061" s="36">
        <v>5.7766203703703702E-2</v>
      </c>
      <c r="D2061" s="16" t="s">
        <v>69</v>
      </c>
      <c r="E2061" s="52" t="s">
        <v>65</v>
      </c>
      <c r="F2061" s="16" t="s">
        <v>8759</v>
      </c>
      <c r="G2061" s="16" t="s">
        <v>1695</v>
      </c>
      <c r="H2061" s="14">
        <v>0.217</v>
      </c>
      <c r="I2061" s="14" t="s">
        <v>17520</v>
      </c>
      <c r="J2061" s="14" t="s">
        <v>17521</v>
      </c>
      <c r="K2061" s="14" t="s">
        <v>17522</v>
      </c>
      <c r="L2061" s="14" t="s">
        <v>17515</v>
      </c>
      <c r="O2061" s="14" t="s">
        <v>17516</v>
      </c>
      <c r="P2061" s="14" t="s">
        <v>17517</v>
      </c>
      <c r="Q2061" s="14">
        <v>413727.35</v>
      </c>
      <c r="R2061" s="14">
        <v>6199831.6399999997</v>
      </c>
      <c r="S2061" s="14" t="s">
        <v>17518</v>
      </c>
      <c r="T2061" s="14" t="s">
        <v>17519</v>
      </c>
      <c r="U2061" s="14">
        <v>413750.49</v>
      </c>
      <c r="V2061" s="14">
        <v>6199829.0099999998</v>
      </c>
      <c r="W2061" s="14">
        <v>0.16</v>
      </c>
      <c r="X2061" s="14">
        <v>200.06</v>
      </c>
    </row>
    <row r="2062" spans="1:24" s="14" customFormat="1" x14ac:dyDescent="0.25">
      <c r="A2062" s="50">
        <v>45106</v>
      </c>
      <c r="B2062" s="57">
        <v>180</v>
      </c>
      <c r="C2062" s="36">
        <v>6.3113425925925934E-2</v>
      </c>
      <c r="D2062" s="16" t="s">
        <v>69</v>
      </c>
      <c r="E2062" s="52" t="s">
        <v>70</v>
      </c>
      <c r="F2062" s="16" t="s">
        <v>8759</v>
      </c>
      <c r="G2062" s="16" t="s">
        <v>1695</v>
      </c>
      <c r="H2062" s="14">
        <v>-1.9E-2</v>
      </c>
      <c r="I2062" s="14" t="s">
        <v>17520</v>
      </c>
      <c r="J2062" s="14" t="s">
        <v>17521</v>
      </c>
      <c r="K2062" s="14" t="s">
        <v>17522</v>
      </c>
      <c r="L2062" s="14" t="s">
        <v>17515</v>
      </c>
      <c r="O2062" s="14" t="s">
        <v>17523</v>
      </c>
      <c r="P2062" s="14" t="s">
        <v>17524</v>
      </c>
      <c r="Q2062" s="14">
        <v>413727.77</v>
      </c>
      <c r="R2062" s="14">
        <v>6200067.1299999999</v>
      </c>
      <c r="S2062" s="14" t="s">
        <v>17525</v>
      </c>
      <c r="T2062" s="14" t="s">
        <v>17526</v>
      </c>
      <c r="U2062" s="14">
        <v>413750.5</v>
      </c>
      <c r="V2062" s="14">
        <v>6200064.9500000002</v>
      </c>
      <c r="W2062" s="14">
        <v>359.69</v>
      </c>
      <c r="X2062" s="14">
        <v>200.06</v>
      </c>
    </row>
    <row r="2063" spans="1:24" s="14" customFormat="1" x14ac:dyDescent="0.25">
      <c r="A2063" s="50">
        <v>45106</v>
      </c>
      <c r="B2063" s="57">
        <v>180</v>
      </c>
      <c r="C2063" s="36">
        <v>6.621527777777779E-2</v>
      </c>
      <c r="D2063" s="16" t="s">
        <v>69</v>
      </c>
      <c r="E2063" s="14" t="s">
        <v>65</v>
      </c>
      <c r="F2063" s="16" t="s">
        <v>8759</v>
      </c>
      <c r="G2063" s="16" t="s">
        <v>1694</v>
      </c>
      <c r="H2063" s="14">
        <v>-1.4999999999999999E-2</v>
      </c>
      <c r="I2063" s="14" t="s">
        <v>17531</v>
      </c>
      <c r="J2063" s="14" t="s">
        <v>17532</v>
      </c>
      <c r="K2063" s="14" t="s">
        <v>17533</v>
      </c>
      <c r="L2063" s="14" t="s">
        <v>17534</v>
      </c>
      <c r="O2063" s="14" t="s">
        <v>17527</v>
      </c>
      <c r="P2063" s="14" t="s">
        <v>17528</v>
      </c>
      <c r="Q2063" s="14">
        <v>413739.59</v>
      </c>
      <c r="R2063" s="14">
        <v>6200078.3899999997</v>
      </c>
      <c r="S2063" s="14" t="s">
        <v>17529</v>
      </c>
      <c r="T2063" s="14" t="s">
        <v>17530</v>
      </c>
      <c r="U2063" s="14">
        <v>413759.26</v>
      </c>
      <c r="V2063" s="14">
        <v>6200071.6699999999</v>
      </c>
      <c r="W2063" s="14">
        <v>179.97</v>
      </c>
      <c r="X2063" s="14">
        <v>200.06</v>
      </c>
    </row>
    <row r="2064" spans="1:24" s="14" customFormat="1" x14ac:dyDescent="0.25">
      <c r="A2064" s="50">
        <v>45106</v>
      </c>
      <c r="B2064" s="57">
        <v>180</v>
      </c>
      <c r="C2064" s="36">
        <v>7.1481481481481479E-2</v>
      </c>
      <c r="D2064" s="16" t="s">
        <v>69</v>
      </c>
      <c r="E2064" s="52" t="s">
        <v>70</v>
      </c>
      <c r="F2064" s="16" t="s">
        <v>8759</v>
      </c>
      <c r="G2064" s="16" t="s">
        <v>1694</v>
      </c>
      <c r="H2064" s="14">
        <v>0.222</v>
      </c>
      <c r="I2064" s="14" t="s">
        <v>17531</v>
      </c>
      <c r="J2064" s="14" t="s">
        <v>17532</v>
      </c>
      <c r="K2064" s="14" t="s">
        <v>17533</v>
      </c>
      <c r="L2064" s="14" t="s">
        <v>17534</v>
      </c>
      <c r="O2064" s="14" t="s">
        <v>17535</v>
      </c>
      <c r="P2064" s="14" t="s">
        <v>17536</v>
      </c>
      <c r="Q2064" s="14">
        <v>413736.51</v>
      </c>
      <c r="R2064" s="14">
        <v>6199845.46</v>
      </c>
      <c r="S2064" s="14" t="s">
        <v>17537</v>
      </c>
      <c r="T2064" s="14" t="s">
        <v>17538</v>
      </c>
      <c r="U2064" s="14">
        <v>413759.32</v>
      </c>
      <c r="V2064" s="14">
        <v>6199834.7699999996</v>
      </c>
      <c r="W2064" s="14">
        <v>180.8</v>
      </c>
      <c r="X2064" s="14">
        <v>200.06</v>
      </c>
    </row>
    <row r="2065" spans="1:24" s="14" customFormat="1" x14ac:dyDescent="0.25">
      <c r="A2065" s="50">
        <v>45106</v>
      </c>
      <c r="B2065" s="57">
        <v>180</v>
      </c>
      <c r="C2065" s="36">
        <v>7.4502314814814813E-2</v>
      </c>
      <c r="D2065" s="16" t="s">
        <v>69</v>
      </c>
      <c r="E2065" s="14" t="s">
        <v>65</v>
      </c>
      <c r="F2065" s="16" t="s">
        <v>8759</v>
      </c>
      <c r="G2065" s="16" t="s">
        <v>1703</v>
      </c>
      <c r="H2065" s="14">
        <v>0.218</v>
      </c>
      <c r="I2065" s="14" t="s">
        <v>17543</v>
      </c>
      <c r="J2065" s="14" t="s">
        <v>17544</v>
      </c>
      <c r="K2065" s="14" t="s">
        <v>17545</v>
      </c>
      <c r="L2065" s="14" t="s">
        <v>17534</v>
      </c>
      <c r="O2065" s="14" t="s">
        <v>17539</v>
      </c>
      <c r="P2065" s="14" t="s">
        <v>17540</v>
      </c>
      <c r="Q2065" s="14">
        <v>413745.44</v>
      </c>
      <c r="R2065" s="14">
        <v>6199831.7300000004</v>
      </c>
      <c r="S2065" s="14" t="s">
        <v>17541</v>
      </c>
      <c r="T2065" s="14" t="s">
        <v>17542</v>
      </c>
      <c r="U2065" s="14">
        <v>413768.08</v>
      </c>
      <c r="V2065" s="14">
        <v>6199828.0499999998</v>
      </c>
      <c r="W2065" s="14">
        <v>0.56000000000000005</v>
      </c>
      <c r="X2065" s="14">
        <v>200.06</v>
      </c>
    </row>
    <row r="2066" spans="1:24" s="14" customFormat="1" x14ac:dyDescent="0.25">
      <c r="A2066" s="50">
        <v>45106</v>
      </c>
      <c r="B2066" s="57">
        <v>180</v>
      </c>
      <c r="C2066" s="36">
        <v>7.9780092592592597E-2</v>
      </c>
      <c r="D2066" s="16" t="s">
        <v>69</v>
      </c>
      <c r="E2066" s="52" t="s">
        <v>70</v>
      </c>
      <c r="F2066" s="16" t="s">
        <v>8759</v>
      </c>
      <c r="G2066" s="16" t="s">
        <v>1703</v>
      </c>
      <c r="H2066" s="14">
        <v>-0.02</v>
      </c>
      <c r="I2066" s="14" t="s">
        <v>17543</v>
      </c>
      <c r="J2066" s="14" t="s">
        <v>17544</v>
      </c>
      <c r="K2066" s="14" t="s">
        <v>17545</v>
      </c>
      <c r="L2066" s="14" t="s">
        <v>17550</v>
      </c>
      <c r="O2066" s="14" t="s">
        <v>17546</v>
      </c>
      <c r="P2066" s="14" t="s">
        <v>17547</v>
      </c>
      <c r="Q2066" s="14">
        <v>413745.82</v>
      </c>
      <c r="R2066" s="14">
        <v>6200064.7999999998</v>
      </c>
      <c r="S2066" s="14" t="s">
        <v>17548</v>
      </c>
      <c r="T2066" s="14" t="s">
        <v>17549</v>
      </c>
      <c r="U2066" s="14">
        <v>413768.09</v>
      </c>
      <c r="V2066" s="14">
        <v>6200065.5099999998</v>
      </c>
      <c r="W2066" s="14">
        <v>0.28999999999999998</v>
      </c>
      <c r="X2066" s="14">
        <v>200.06</v>
      </c>
    </row>
    <row r="2067" spans="1:24" s="14" customFormat="1" x14ac:dyDescent="0.25">
      <c r="A2067" s="50">
        <v>45106</v>
      </c>
      <c r="B2067" s="57">
        <v>180</v>
      </c>
      <c r="C2067" s="36">
        <v>8.2638888888888887E-2</v>
      </c>
      <c r="D2067" s="16" t="s">
        <v>69</v>
      </c>
      <c r="E2067" s="52" t="s">
        <v>65</v>
      </c>
      <c r="F2067" s="16" t="s">
        <v>8759</v>
      </c>
      <c r="G2067" s="16" t="s">
        <v>1704</v>
      </c>
      <c r="H2067" s="14">
        <v>-1.4999999999999999E-2</v>
      </c>
      <c r="I2067" s="14" t="s">
        <v>17557</v>
      </c>
      <c r="J2067" s="14" t="s">
        <v>17558</v>
      </c>
      <c r="K2067" s="14" t="s">
        <v>17559</v>
      </c>
      <c r="L2067" s="14" t="s">
        <v>17550</v>
      </c>
      <c r="O2067" s="14" t="s">
        <v>17553</v>
      </c>
      <c r="P2067" s="14" t="s">
        <v>17554</v>
      </c>
      <c r="Q2067" s="14">
        <v>413757.27</v>
      </c>
      <c r="R2067" s="14">
        <v>6200079.4100000001</v>
      </c>
      <c r="S2067" s="14" t="s">
        <v>17555</v>
      </c>
      <c r="T2067" s="14" t="s">
        <v>17556</v>
      </c>
      <c r="U2067" s="14">
        <v>413777.25</v>
      </c>
      <c r="V2067" s="14">
        <v>6200072.2400000002</v>
      </c>
      <c r="W2067" s="14">
        <v>180.2</v>
      </c>
      <c r="X2067" s="14">
        <v>200.06</v>
      </c>
    </row>
    <row r="2068" spans="1:24" s="14" customFormat="1" x14ac:dyDescent="0.25">
      <c r="A2068" s="50">
        <v>45106</v>
      </c>
      <c r="B2068" s="57">
        <v>180</v>
      </c>
      <c r="C2068" s="36">
        <v>8.789351851851851E-2</v>
      </c>
      <c r="D2068" s="16" t="s">
        <v>69</v>
      </c>
      <c r="E2068" s="52" t="s">
        <v>70</v>
      </c>
      <c r="F2068" s="16" t="s">
        <v>8759</v>
      </c>
      <c r="G2068" s="16" t="s">
        <v>1704</v>
      </c>
      <c r="H2068" s="14">
        <v>0.222</v>
      </c>
      <c r="I2068" s="14" t="s">
        <v>17557</v>
      </c>
      <c r="J2068" s="14" t="s">
        <v>17558</v>
      </c>
      <c r="K2068" s="14" t="s">
        <v>17559</v>
      </c>
      <c r="L2068" s="14" t="s">
        <v>17564</v>
      </c>
      <c r="O2068" s="14" t="s">
        <v>17560</v>
      </c>
      <c r="P2068" s="14" t="s">
        <v>17561</v>
      </c>
      <c r="Q2068" s="14">
        <v>413753.9</v>
      </c>
      <c r="R2068" s="14">
        <v>6199848.1799999997</v>
      </c>
      <c r="S2068" s="14" t="s">
        <v>17562</v>
      </c>
      <c r="T2068" s="14" t="s">
        <v>17563</v>
      </c>
      <c r="U2068" s="14">
        <v>413777.12</v>
      </c>
      <c r="V2068" s="14">
        <v>6199835.2000000002</v>
      </c>
      <c r="W2068" s="14">
        <v>179.47</v>
      </c>
      <c r="X2068" s="14">
        <v>200.06</v>
      </c>
    </row>
    <row r="2069" spans="1:24" s="14" customFormat="1" x14ac:dyDescent="0.25">
      <c r="A2069" s="50">
        <v>45106</v>
      </c>
      <c r="B2069" s="57">
        <v>180</v>
      </c>
      <c r="C2069" s="36">
        <v>9.1805555555555543E-2</v>
      </c>
      <c r="D2069" s="16" t="s">
        <v>69</v>
      </c>
      <c r="E2069" s="52" t="s">
        <v>65</v>
      </c>
      <c r="F2069" s="16" t="s">
        <v>8759</v>
      </c>
      <c r="G2069" s="16" t="s">
        <v>1705</v>
      </c>
      <c r="H2069" s="14">
        <v>0.217</v>
      </c>
      <c r="I2069" s="14" t="s">
        <v>17569</v>
      </c>
      <c r="J2069" s="14" t="s">
        <v>17570</v>
      </c>
      <c r="K2069" s="14" t="s">
        <v>17571</v>
      </c>
      <c r="L2069" s="14" t="s">
        <v>17564</v>
      </c>
      <c r="O2069" s="14" t="s">
        <v>17565</v>
      </c>
      <c r="P2069" s="14" t="s">
        <v>17566</v>
      </c>
      <c r="Q2069" s="14">
        <v>413762.4</v>
      </c>
      <c r="R2069" s="14">
        <v>6199825.3300000001</v>
      </c>
      <c r="S2069" s="14" t="s">
        <v>17567</v>
      </c>
      <c r="T2069" s="14" t="s">
        <v>17568</v>
      </c>
      <c r="U2069" s="14">
        <v>413786.16</v>
      </c>
      <c r="V2069" s="14">
        <v>6199828.7999999998</v>
      </c>
      <c r="W2069" s="14">
        <v>359.81</v>
      </c>
      <c r="X2069" s="14">
        <v>200.06</v>
      </c>
    </row>
    <row r="2070" spans="1:24" s="14" customFormat="1" x14ac:dyDescent="0.25">
      <c r="A2070" s="50">
        <v>45106</v>
      </c>
      <c r="B2070" s="57">
        <v>180</v>
      </c>
      <c r="C2070" s="36">
        <v>9.7187499999999996E-2</v>
      </c>
      <c r="D2070" s="16" t="s">
        <v>69</v>
      </c>
      <c r="E2070" s="52" t="s">
        <v>70</v>
      </c>
      <c r="F2070" s="16" t="s">
        <v>8759</v>
      </c>
      <c r="G2070" s="16" t="s">
        <v>1705</v>
      </c>
      <c r="H2070" s="14">
        <v>-2.1000000000000001E-2</v>
      </c>
      <c r="I2070" s="14" t="s">
        <v>17569</v>
      </c>
      <c r="J2070" s="14" t="s">
        <v>17570</v>
      </c>
      <c r="K2070" s="14" t="s">
        <v>17571</v>
      </c>
      <c r="L2070" s="14" t="s">
        <v>17576</v>
      </c>
      <c r="O2070" s="14" t="s">
        <v>17572</v>
      </c>
      <c r="P2070" s="14" t="s">
        <v>17573</v>
      </c>
      <c r="Q2070" s="14">
        <v>413763.74</v>
      </c>
      <c r="R2070" s="14">
        <v>6200062.3600000003</v>
      </c>
      <c r="S2070" s="14" t="s">
        <v>17574</v>
      </c>
      <c r="T2070" s="14" t="s">
        <v>17575</v>
      </c>
      <c r="U2070" s="14">
        <v>413786.18</v>
      </c>
      <c r="V2070" s="14">
        <v>6200066.7300000004</v>
      </c>
      <c r="W2070" s="14">
        <v>359.86</v>
      </c>
      <c r="X2070" s="14">
        <v>200.06</v>
      </c>
    </row>
    <row r="2071" spans="1:24" s="14" customFormat="1" x14ac:dyDescent="0.25">
      <c r="A2071" s="50">
        <v>45106</v>
      </c>
      <c r="B2071" s="57">
        <v>180</v>
      </c>
      <c r="C2071" s="36">
        <v>0.10116898148148147</v>
      </c>
      <c r="D2071" s="16" t="s">
        <v>69</v>
      </c>
      <c r="E2071" s="52" t="s">
        <v>65</v>
      </c>
      <c r="F2071" s="16" t="s">
        <v>8759</v>
      </c>
      <c r="G2071" s="16" t="s">
        <v>1706</v>
      </c>
      <c r="H2071" s="14">
        <v>-1.6E-2</v>
      </c>
      <c r="I2071" s="14" t="s">
        <v>17581</v>
      </c>
      <c r="J2071" s="14" t="s">
        <v>17582</v>
      </c>
      <c r="K2071" s="14" t="s">
        <v>17583</v>
      </c>
      <c r="L2071" s="14" t="s">
        <v>17576</v>
      </c>
      <c r="O2071" s="14" t="s">
        <v>17577</v>
      </c>
      <c r="P2071" s="14" t="s">
        <v>17578</v>
      </c>
      <c r="Q2071" s="14">
        <v>413773.11</v>
      </c>
      <c r="R2071" s="14">
        <v>6200086.9900000002</v>
      </c>
      <c r="S2071" s="14" t="s">
        <v>17579</v>
      </c>
      <c r="T2071" s="14" t="s">
        <v>17580</v>
      </c>
      <c r="U2071" s="14">
        <v>413795.27</v>
      </c>
      <c r="V2071" s="14">
        <v>6200073.3200000003</v>
      </c>
      <c r="W2071" s="14">
        <v>181.68</v>
      </c>
      <c r="X2071" s="14">
        <v>200.06</v>
      </c>
    </row>
    <row r="2072" spans="1:24" s="14" customFormat="1" x14ac:dyDescent="0.25">
      <c r="A2072" s="50">
        <v>45106</v>
      </c>
      <c r="B2072" s="57">
        <v>180</v>
      </c>
      <c r="C2072" s="36">
        <v>0.10657407407407408</v>
      </c>
      <c r="D2072" s="16" t="s">
        <v>69</v>
      </c>
      <c r="E2072" s="52" t="s">
        <v>70</v>
      </c>
      <c r="F2072" s="16" t="s">
        <v>8759</v>
      </c>
      <c r="G2072" s="16" t="s">
        <v>1706</v>
      </c>
      <c r="H2072" s="14">
        <v>0.223</v>
      </c>
      <c r="I2072" s="14" t="s">
        <v>17581</v>
      </c>
      <c r="J2072" s="14" t="s">
        <v>17582</v>
      </c>
      <c r="K2072" s="14" t="s">
        <v>17583</v>
      </c>
      <c r="L2072" s="14" t="s">
        <v>17588</v>
      </c>
      <c r="O2072" s="14" t="s">
        <v>17584</v>
      </c>
      <c r="P2072" s="14" t="s">
        <v>17585</v>
      </c>
      <c r="Q2072" s="14">
        <v>413770.97</v>
      </c>
      <c r="R2072" s="14">
        <v>6199850.0099999998</v>
      </c>
      <c r="S2072" s="14" t="s">
        <v>17586</v>
      </c>
      <c r="T2072" s="14" t="s">
        <v>17587</v>
      </c>
      <c r="U2072" s="14">
        <v>413795.13</v>
      </c>
      <c r="V2072" s="14">
        <v>6199834.4500000002</v>
      </c>
      <c r="W2072" s="14">
        <v>179.19</v>
      </c>
      <c r="X2072" s="14">
        <v>200.06</v>
      </c>
    </row>
    <row r="2073" spans="1:24" s="14" customFormat="1" x14ac:dyDescent="0.25">
      <c r="A2073" s="50">
        <v>45106</v>
      </c>
      <c r="B2073" s="57">
        <v>180</v>
      </c>
      <c r="C2073" s="36">
        <v>0.11118055555555556</v>
      </c>
      <c r="D2073" s="16" t="s">
        <v>69</v>
      </c>
      <c r="E2073" s="14" t="s">
        <v>65</v>
      </c>
      <c r="F2073" s="16" t="s">
        <v>8759</v>
      </c>
      <c r="G2073" s="16" t="s">
        <v>1707</v>
      </c>
      <c r="H2073" s="14">
        <v>0.219</v>
      </c>
      <c r="I2073" s="14" t="s">
        <v>17593</v>
      </c>
      <c r="J2073" s="14" t="s">
        <v>17594</v>
      </c>
      <c r="K2073" s="14" t="s">
        <v>17595</v>
      </c>
      <c r="L2073" s="14" t="s">
        <v>17588</v>
      </c>
      <c r="O2073" s="14" t="s">
        <v>17589</v>
      </c>
      <c r="P2073" s="14" t="s">
        <v>17590</v>
      </c>
      <c r="Q2073" s="14">
        <v>413780.06</v>
      </c>
      <c r="R2073" s="14">
        <v>6199827.1799999997</v>
      </c>
      <c r="S2073" s="14" t="s">
        <v>17591</v>
      </c>
      <c r="T2073" s="14" t="s">
        <v>17592</v>
      </c>
      <c r="U2073" s="14">
        <v>413804.16</v>
      </c>
      <c r="V2073" s="14">
        <v>6199826.8200000003</v>
      </c>
      <c r="W2073" s="14">
        <v>359.47</v>
      </c>
      <c r="X2073" s="14">
        <v>200.06</v>
      </c>
    </row>
    <row r="2074" spans="1:24" s="14" customFormat="1" x14ac:dyDescent="0.25">
      <c r="A2074" s="50">
        <v>45106</v>
      </c>
      <c r="B2074" s="57">
        <v>180</v>
      </c>
      <c r="C2074" s="36">
        <v>0.11658564814814815</v>
      </c>
      <c r="D2074" s="16" t="s">
        <v>69</v>
      </c>
      <c r="E2074" s="52" t="s">
        <v>70</v>
      </c>
      <c r="F2074" s="16" t="s">
        <v>8759</v>
      </c>
      <c r="G2074" s="16" t="s">
        <v>1707</v>
      </c>
      <c r="H2074" s="14">
        <v>-0.02</v>
      </c>
      <c r="I2074" s="14" t="s">
        <v>17593</v>
      </c>
      <c r="J2074" s="14" t="s">
        <v>17594</v>
      </c>
      <c r="K2074" s="14" t="s">
        <v>17595</v>
      </c>
      <c r="L2074" s="14" t="s">
        <v>17600</v>
      </c>
      <c r="O2074" s="14" t="s">
        <v>17596</v>
      </c>
      <c r="P2074" s="14" t="s">
        <v>17597</v>
      </c>
      <c r="Q2074" s="14">
        <v>413781.46</v>
      </c>
      <c r="R2074" s="14">
        <v>6200066.6100000003</v>
      </c>
      <c r="S2074" s="14" t="s">
        <v>17598</v>
      </c>
      <c r="T2074" s="14" t="s">
        <v>17599</v>
      </c>
      <c r="U2074" s="14">
        <v>413804.23</v>
      </c>
      <c r="V2074" s="14">
        <v>6200066.3200000003</v>
      </c>
      <c r="W2074" s="14">
        <v>359.95</v>
      </c>
      <c r="X2074" s="14">
        <v>200.06</v>
      </c>
    </row>
    <row r="2075" spans="1:24" s="14" customFormat="1" x14ac:dyDescent="0.25">
      <c r="A2075" s="50">
        <v>45106</v>
      </c>
      <c r="B2075" s="57">
        <v>180</v>
      </c>
      <c r="C2075" s="36">
        <v>0.1205787037037037</v>
      </c>
      <c r="D2075" s="16" t="s">
        <v>69</v>
      </c>
      <c r="E2075" s="14" t="s">
        <v>65</v>
      </c>
      <c r="F2075" s="16" t="s">
        <v>8759</v>
      </c>
      <c r="G2075" s="16" t="s">
        <v>1708</v>
      </c>
      <c r="H2075" s="14">
        <v>-1.6E-2</v>
      </c>
      <c r="I2075" s="14" t="s">
        <v>17605</v>
      </c>
      <c r="J2075" s="14" t="s">
        <v>17606</v>
      </c>
      <c r="K2075" s="14" t="s">
        <v>17607</v>
      </c>
      <c r="L2075" s="14" t="s">
        <v>17600</v>
      </c>
      <c r="O2075" s="14" t="s">
        <v>17601</v>
      </c>
      <c r="P2075" s="14" t="s">
        <v>17602</v>
      </c>
      <c r="Q2075" s="14">
        <v>413791.58</v>
      </c>
      <c r="R2075" s="14">
        <v>6200085.46</v>
      </c>
      <c r="S2075" s="14" t="s">
        <v>17603</v>
      </c>
      <c r="T2075" s="14" t="s">
        <v>17604</v>
      </c>
      <c r="U2075" s="14">
        <v>413813.28</v>
      </c>
      <c r="V2075" s="14">
        <v>6200072.71</v>
      </c>
      <c r="W2075" s="14">
        <v>180.47</v>
      </c>
      <c r="X2075" s="14">
        <v>200.06</v>
      </c>
    </row>
    <row r="2076" spans="1:24" s="14" customFormat="1" x14ac:dyDescent="0.25">
      <c r="A2076" s="50">
        <v>45106</v>
      </c>
      <c r="B2076" s="57">
        <v>180</v>
      </c>
      <c r="C2076" s="36">
        <v>0.12589120370370369</v>
      </c>
      <c r="D2076" s="16" t="s">
        <v>69</v>
      </c>
      <c r="E2076" s="52" t="s">
        <v>70</v>
      </c>
      <c r="F2076" s="16" t="s">
        <v>8759</v>
      </c>
      <c r="G2076" s="16" t="s">
        <v>1708</v>
      </c>
      <c r="H2076" s="14">
        <v>0.222</v>
      </c>
      <c r="I2076" s="14" t="s">
        <v>17605</v>
      </c>
      <c r="J2076" s="14" t="s">
        <v>17606</v>
      </c>
      <c r="K2076" s="14" t="s">
        <v>17607</v>
      </c>
      <c r="L2076" s="14" t="s">
        <v>17600</v>
      </c>
      <c r="O2076" s="14" t="s">
        <v>17608</v>
      </c>
      <c r="P2076" s="14" t="s">
        <v>17609</v>
      </c>
      <c r="Q2076" s="14">
        <v>413789.77</v>
      </c>
      <c r="R2076" s="14">
        <v>6199852.8799999999</v>
      </c>
      <c r="S2076" s="14" t="s">
        <v>17610</v>
      </c>
      <c r="T2076" s="14" t="s">
        <v>17611</v>
      </c>
      <c r="U2076" s="14">
        <v>413813.24</v>
      </c>
      <c r="V2076" s="14">
        <v>6199835.0099999998</v>
      </c>
      <c r="W2076" s="14">
        <v>180.07</v>
      </c>
      <c r="X2076" s="14">
        <v>200.06</v>
      </c>
    </row>
    <row r="2077" spans="1:24" s="14" customFormat="1" x14ac:dyDescent="0.25">
      <c r="A2077" s="50">
        <v>45106</v>
      </c>
      <c r="B2077" s="57">
        <v>180</v>
      </c>
      <c r="C2077" s="36">
        <v>0.12915509259259259</v>
      </c>
      <c r="D2077" s="16" t="s">
        <v>69</v>
      </c>
      <c r="E2077" s="52" t="s">
        <v>65</v>
      </c>
      <c r="F2077" s="16" t="s">
        <v>8759</v>
      </c>
      <c r="G2077" s="16" t="s">
        <v>1709</v>
      </c>
      <c r="H2077" s="14">
        <v>0.219</v>
      </c>
      <c r="I2077" s="14" t="s">
        <v>17616</v>
      </c>
      <c r="J2077" s="14" t="s">
        <v>17617</v>
      </c>
      <c r="K2077" s="14" t="s">
        <v>17618</v>
      </c>
      <c r="L2077" s="14" t="s">
        <v>17619</v>
      </c>
      <c r="O2077" s="14" t="s">
        <v>17612</v>
      </c>
      <c r="P2077" s="14" t="s">
        <v>17613</v>
      </c>
      <c r="Q2077" s="14">
        <v>413798.47</v>
      </c>
      <c r="R2077" s="14">
        <v>6199822.0999999996</v>
      </c>
      <c r="S2077" s="14" t="s">
        <v>17614</v>
      </c>
      <c r="T2077" s="14" t="s">
        <v>17615</v>
      </c>
      <c r="U2077" s="14">
        <v>413822.4</v>
      </c>
      <c r="V2077" s="14">
        <v>6199827.2599999998</v>
      </c>
      <c r="W2077" s="14">
        <v>0.03</v>
      </c>
      <c r="X2077" s="14">
        <v>200.06</v>
      </c>
    </row>
    <row r="2078" spans="1:24" s="14" customFormat="1" x14ac:dyDescent="0.25">
      <c r="A2078" s="50">
        <v>45106</v>
      </c>
      <c r="B2078" s="57">
        <v>180</v>
      </c>
      <c r="C2078" s="36">
        <v>0.13460648148148149</v>
      </c>
      <c r="D2078" s="16" t="s">
        <v>69</v>
      </c>
      <c r="E2078" s="52" t="s">
        <v>70</v>
      </c>
      <c r="F2078" s="16" t="s">
        <v>8759</v>
      </c>
      <c r="G2078" s="16" t="s">
        <v>1709</v>
      </c>
      <c r="H2078" s="14">
        <v>-1.9E-2</v>
      </c>
      <c r="I2078" s="14" t="s">
        <v>17616</v>
      </c>
      <c r="J2078" s="14" t="s">
        <v>17617</v>
      </c>
      <c r="K2078" s="14" t="s">
        <v>17618</v>
      </c>
      <c r="L2078" s="14" t="s">
        <v>17619</v>
      </c>
      <c r="O2078" s="14" t="s">
        <v>17620</v>
      </c>
      <c r="P2078" s="14" t="s">
        <v>17621</v>
      </c>
      <c r="Q2078" s="14">
        <v>413799.32</v>
      </c>
      <c r="R2078" s="14">
        <v>6200060.5700000003</v>
      </c>
      <c r="S2078" s="14" t="s">
        <v>17622</v>
      </c>
      <c r="T2078" s="14" t="s">
        <v>17623</v>
      </c>
      <c r="U2078" s="14">
        <v>413822.3</v>
      </c>
      <c r="V2078" s="14">
        <v>6200064.8499999996</v>
      </c>
      <c r="W2078" s="14">
        <v>0.69</v>
      </c>
      <c r="X2078" s="14">
        <v>200.06</v>
      </c>
    </row>
    <row r="2079" spans="1:24" s="14" customFormat="1" x14ac:dyDescent="0.25">
      <c r="A2079" s="50">
        <v>45106</v>
      </c>
      <c r="B2079" s="57">
        <v>180</v>
      </c>
      <c r="C2079" s="36">
        <v>0.13814814814814816</v>
      </c>
      <c r="D2079" s="16" t="s">
        <v>69</v>
      </c>
      <c r="E2079" s="52" t="s">
        <v>65</v>
      </c>
      <c r="F2079" s="16" t="s">
        <v>8759</v>
      </c>
      <c r="G2079" s="16" t="s">
        <v>1710</v>
      </c>
      <c r="H2079" s="14">
        <v>-1.4E-2</v>
      </c>
      <c r="I2079" s="14" t="s">
        <v>17628</v>
      </c>
      <c r="J2079" s="14" t="s">
        <v>17629</v>
      </c>
      <c r="K2079" s="14" t="s">
        <v>17630</v>
      </c>
      <c r="L2079" s="14" t="s">
        <v>17631</v>
      </c>
      <c r="O2079" s="14" t="s">
        <v>17624</v>
      </c>
      <c r="P2079" s="14" t="s">
        <v>17625</v>
      </c>
      <c r="Q2079" s="14">
        <v>413809.8</v>
      </c>
      <c r="R2079" s="14">
        <v>6200083.1600000001</v>
      </c>
      <c r="S2079" s="14" t="s">
        <v>17626</v>
      </c>
      <c r="T2079" s="14" t="s">
        <v>17627</v>
      </c>
      <c r="U2079" s="14">
        <v>413831.21</v>
      </c>
      <c r="V2079" s="14">
        <v>6200070.8099999996</v>
      </c>
      <c r="W2079" s="14">
        <v>180.01</v>
      </c>
      <c r="X2079" s="14">
        <v>200.06</v>
      </c>
    </row>
    <row r="2080" spans="1:24" s="14" customFormat="1" x14ac:dyDescent="0.25">
      <c r="A2080" s="50">
        <v>45106</v>
      </c>
      <c r="B2080" s="57">
        <v>180</v>
      </c>
      <c r="C2080" s="36">
        <v>0.14341435185185183</v>
      </c>
      <c r="D2080" s="16" t="s">
        <v>69</v>
      </c>
      <c r="E2080" s="52" t="s">
        <v>70</v>
      </c>
      <c r="F2080" s="16" t="s">
        <v>8759</v>
      </c>
      <c r="G2080" s="16" t="s">
        <v>1710</v>
      </c>
      <c r="H2080" s="14">
        <v>0.224</v>
      </c>
      <c r="I2080" s="14" t="s">
        <v>17628</v>
      </c>
      <c r="J2080" s="14" t="s">
        <v>17629</v>
      </c>
      <c r="K2080" s="14" t="s">
        <v>17630</v>
      </c>
      <c r="L2080" s="14" t="s">
        <v>17631</v>
      </c>
      <c r="O2080" s="14" t="s">
        <v>17632</v>
      </c>
      <c r="P2080" s="14" t="s">
        <v>17633</v>
      </c>
      <c r="Q2080" s="14">
        <v>413807.35</v>
      </c>
      <c r="R2080" s="14">
        <v>6199852.2300000004</v>
      </c>
      <c r="S2080" s="14" t="s">
        <v>17634</v>
      </c>
      <c r="T2080" s="14" t="s">
        <v>17635</v>
      </c>
      <c r="U2080" s="14">
        <v>413831.21</v>
      </c>
      <c r="V2080" s="14">
        <v>6199833.6600000001</v>
      </c>
      <c r="W2080" s="14">
        <v>179.29</v>
      </c>
      <c r="X2080" s="14">
        <v>200.06</v>
      </c>
    </row>
    <row r="2081" spans="1:24" s="14" customFormat="1" x14ac:dyDescent="0.25">
      <c r="A2081" s="50">
        <v>45106</v>
      </c>
      <c r="B2081" s="57">
        <v>180</v>
      </c>
      <c r="C2081" s="36">
        <v>0.14958333333333332</v>
      </c>
      <c r="D2081" s="16" t="s">
        <v>69</v>
      </c>
      <c r="E2081" s="52" t="s">
        <v>17640</v>
      </c>
      <c r="F2081" s="16" t="s">
        <v>8759</v>
      </c>
      <c r="G2081" s="16" t="s">
        <v>1548</v>
      </c>
      <c r="H2081" s="14">
        <v>0.498</v>
      </c>
      <c r="O2081" s="14" t="s">
        <v>17636</v>
      </c>
      <c r="P2081" s="14" t="s">
        <v>17637</v>
      </c>
      <c r="Q2081" s="14">
        <v>414333.25</v>
      </c>
      <c r="R2081" s="14">
        <v>6199882.4199999999</v>
      </c>
      <c r="S2081" s="14" t="s">
        <v>17638</v>
      </c>
      <c r="T2081" s="14" t="s">
        <v>17639</v>
      </c>
      <c r="U2081" s="14">
        <v>414330.97</v>
      </c>
      <c r="V2081" s="14">
        <v>6199894.21</v>
      </c>
      <c r="W2081" s="14">
        <v>343.29</v>
      </c>
      <c r="X2081" s="14">
        <v>150.05000000000001</v>
      </c>
    </row>
    <row r="2082" spans="1:24" s="122" customFormat="1" x14ac:dyDescent="0.25">
      <c r="A2082" s="65">
        <v>45106</v>
      </c>
      <c r="B2082" s="106">
        <v>180</v>
      </c>
      <c r="C2082" s="67">
        <v>0.16900462962962962</v>
      </c>
      <c r="D2082" s="66" t="s">
        <v>17396</v>
      </c>
      <c r="E2082" s="122" t="s">
        <v>17646</v>
      </c>
      <c r="F2082" s="66" t="s">
        <v>1098</v>
      </c>
      <c r="G2082" s="66" t="s">
        <v>1548</v>
      </c>
      <c r="H2082" s="122">
        <v>0.221</v>
      </c>
      <c r="M2082" s="122" t="s">
        <v>17641</v>
      </c>
      <c r="O2082" s="122" t="s">
        <v>17642</v>
      </c>
      <c r="P2082" s="122" t="s">
        <v>17643</v>
      </c>
      <c r="Q2082" s="122">
        <v>415390.95</v>
      </c>
      <c r="R2082" s="122">
        <v>6200191.0899999999</v>
      </c>
      <c r="S2082" s="122" t="s">
        <v>17644</v>
      </c>
      <c r="T2082" s="122" t="s">
        <v>17645</v>
      </c>
      <c r="U2082" s="122">
        <v>415406.17</v>
      </c>
      <c r="V2082" s="122">
        <v>6200176.1900000004</v>
      </c>
      <c r="W2082" s="122">
        <v>86.56</v>
      </c>
      <c r="X2082" s="122">
        <v>150.05000000000001</v>
      </c>
    </row>
    <row r="2083" spans="1:24" s="14" customFormat="1" x14ac:dyDescent="0.25">
      <c r="A2083" s="50">
        <v>45106</v>
      </c>
      <c r="B2083" s="57">
        <v>180</v>
      </c>
      <c r="C2083" s="36">
        <v>0.17863425925925924</v>
      </c>
      <c r="D2083" s="16" t="s">
        <v>17396</v>
      </c>
      <c r="E2083" s="52" t="s">
        <v>65</v>
      </c>
      <c r="F2083" s="16" t="s">
        <v>1098</v>
      </c>
      <c r="G2083" s="16" t="s">
        <v>1548</v>
      </c>
      <c r="H2083" s="14">
        <v>0.16200000000000001</v>
      </c>
      <c r="I2083" s="14" t="s">
        <v>17651</v>
      </c>
      <c r="J2083" s="14" t="s">
        <v>17652</v>
      </c>
      <c r="K2083" s="14" t="s">
        <v>17653</v>
      </c>
      <c r="L2083" s="14" t="s">
        <v>17654</v>
      </c>
      <c r="O2083" s="14" t="s">
        <v>17647</v>
      </c>
      <c r="P2083" s="14" t="s">
        <v>17648</v>
      </c>
      <c r="Q2083" s="14">
        <v>415394</v>
      </c>
      <c r="R2083" s="14">
        <v>6200236.46</v>
      </c>
      <c r="S2083" s="14" t="s">
        <v>17649</v>
      </c>
      <c r="T2083" s="14" t="s">
        <v>17650</v>
      </c>
      <c r="U2083" s="14">
        <v>415420.34</v>
      </c>
      <c r="V2083" s="14">
        <v>6200229.3600000003</v>
      </c>
      <c r="W2083" s="14">
        <v>359.66</v>
      </c>
      <c r="X2083" s="14">
        <v>150.05000000000001</v>
      </c>
    </row>
    <row r="2084" spans="1:24" s="14" customFormat="1" x14ac:dyDescent="0.25">
      <c r="A2084" s="50">
        <v>45106</v>
      </c>
      <c r="B2084" s="57">
        <v>180</v>
      </c>
      <c r="C2084" s="36">
        <v>0.18270833333333333</v>
      </c>
      <c r="D2084" s="16" t="s">
        <v>17396</v>
      </c>
      <c r="E2084" s="14" t="s">
        <v>70</v>
      </c>
      <c r="F2084" s="16" t="s">
        <v>1098</v>
      </c>
      <c r="G2084" s="16" t="s">
        <v>1548</v>
      </c>
      <c r="H2084" s="14">
        <v>-1.9E-2</v>
      </c>
      <c r="I2084" s="14" t="s">
        <v>17651</v>
      </c>
      <c r="J2084" s="14" t="s">
        <v>17652</v>
      </c>
      <c r="K2084" s="14" t="s">
        <v>17653</v>
      </c>
      <c r="L2084" s="14" t="s">
        <v>17659</v>
      </c>
      <c r="O2084" s="14" t="s">
        <v>17655</v>
      </c>
      <c r="P2084" s="14" t="s">
        <v>17656</v>
      </c>
      <c r="Q2084" s="14">
        <v>415394.99</v>
      </c>
      <c r="R2084" s="14">
        <v>6200417.7300000004</v>
      </c>
      <c r="S2084" s="14" t="s">
        <v>17657</v>
      </c>
      <c r="T2084" s="14" t="s">
        <v>17658</v>
      </c>
      <c r="U2084" s="14">
        <v>415420.06</v>
      </c>
      <c r="V2084" s="14">
        <v>6200410.5</v>
      </c>
      <c r="W2084" s="14">
        <v>359.97</v>
      </c>
      <c r="X2084" s="14">
        <v>150.05000000000001</v>
      </c>
    </row>
    <row r="2085" spans="1:24" s="14" customFormat="1" x14ac:dyDescent="0.25">
      <c r="A2085" s="50">
        <v>45106</v>
      </c>
      <c r="B2085" s="57">
        <v>180</v>
      </c>
      <c r="C2085" s="36">
        <v>0.18927083333333336</v>
      </c>
      <c r="D2085" s="16" t="s">
        <v>17396</v>
      </c>
      <c r="E2085" s="52" t="s">
        <v>65</v>
      </c>
      <c r="F2085" s="16" t="s">
        <v>1098</v>
      </c>
      <c r="G2085" s="16" t="s">
        <v>1547</v>
      </c>
      <c r="H2085" s="14">
        <v>-1.2999999999999999E-2</v>
      </c>
      <c r="I2085" s="14" t="s">
        <v>17664</v>
      </c>
      <c r="J2085" s="14" t="s">
        <v>17665</v>
      </c>
      <c r="K2085" s="14" t="s">
        <v>17666</v>
      </c>
      <c r="L2085" s="14" t="s">
        <v>17659</v>
      </c>
      <c r="O2085" s="14" t="s">
        <v>17660</v>
      </c>
      <c r="P2085" s="14" t="s">
        <v>17661</v>
      </c>
      <c r="Q2085" s="14">
        <v>415405.04</v>
      </c>
      <c r="R2085" s="14">
        <v>6200428.1299999999</v>
      </c>
      <c r="S2085" s="14" t="s">
        <v>17662</v>
      </c>
      <c r="T2085" s="14" t="s">
        <v>17663</v>
      </c>
      <c r="U2085" s="14">
        <v>415429.14</v>
      </c>
      <c r="V2085" s="14">
        <v>6200415.8399999999</v>
      </c>
      <c r="W2085" s="14">
        <v>180.1</v>
      </c>
      <c r="X2085" s="14">
        <v>150.05000000000001</v>
      </c>
    </row>
    <row r="2086" spans="1:24" s="14" customFormat="1" x14ac:dyDescent="0.25">
      <c r="A2086" s="50">
        <v>45106</v>
      </c>
      <c r="B2086" s="57">
        <v>180</v>
      </c>
      <c r="C2086" s="36">
        <v>0.19339120370370369</v>
      </c>
      <c r="D2086" s="16" t="s">
        <v>17396</v>
      </c>
      <c r="E2086" s="52" t="s">
        <v>70</v>
      </c>
      <c r="F2086" s="16" t="s">
        <v>1098</v>
      </c>
      <c r="G2086" s="16" t="s">
        <v>1547</v>
      </c>
      <c r="H2086" s="14">
        <v>0.17</v>
      </c>
      <c r="I2086" s="14" t="s">
        <v>17664</v>
      </c>
      <c r="J2086" s="14" t="s">
        <v>17665</v>
      </c>
      <c r="K2086" s="14" t="s">
        <v>17666</v>
      </c>
      <c r="L2086" s="14" t="s">
        <v>17671</v>
      </c>
      <c r="O2086" s="14" t="s">
        <v>17667</v>
      </c>
      <c r="P2086" s="14" t="s">
        <v>17668</v>
      </c>
      <c r="Q2086" s="14">
        <v>415403.77</v>
      </c>
      <c r="R2086" s="14">
        <v>6200245.8300000001</v>
      </c>
      <c r="S2086" s="14" t="s">
        <v>17669</v>
      </c>
      <c r="T2086" s="14" t="s">
        <v>17670</v>
      </c>
      <c r="U2086" s="14">
        <v>415429.1</v>
      </c>
      <c r="V2086" s="14">
        <v>6200232.6399999997</v>
      </c>
      <c r="W2086" s="14">
        <v>180.65</v>
      </c>
      <c r="X2086" s="14">
        <v>150.05000000000001</v>
      </c>
    </row>
    <row r="2087" spans="1:24" s="14" customFormat="1" x14ac:dyDescent="0.25">
      <c r="A2087" s="50">
        <v>45106</v>
      </c>
      <c r="B2087" s="57">
        <v>180</v>
      </c>
      <c r="C2087" s="36">
        <v>0.19678240740740741</v>
      </c>
      <c r="D2087" s="16" t="s">
        <v>17396</v>
      </c>
      <c r="E2087" s="52" t="s">
        <v>65</v>
      </c>
      <c r="F2087" s="16" t="s">
        <v>1098</v>
      </c>
      <c r="G2087" s="16" t="s">
        <v>1546</v>
      </c>
      <c r="H2087" s="14">
        <v>0.158</v>
      </c>
      <c r="I2087" s="14" t="s">
        <v>17676</v>
      </c>
      <c r="J2087" s="14" t="s">
        <v>17677</v>
      </c>
      <c r="K2087" s="14" t="s">
        <v>17678</v>
      </c>
      <c r="L2087" s="14" t="s">
        <v>17671</v>
      </c>
      <c r="O2087" s="14" t="s">
        <v>17672</v>
      </c>
      <c r="P2087" s="14" t="s">
        <v>17673</v>
      </c>
      <c r="Q2087" s="14">
        <v>415412.84</v>
      </c>
      <c r="R2087" s="14">
        <v>6200239.4199999999</v>
      </c>
      <c r="S2087" s="14" t="s">
        <v>17674</v>
      </c>
      <c r="T2087" s="14" t="s">
        <v>17675</v>
      </c>
      <c r="U2087" s="14">
        <v>415438.05</v>
      </c>
      <c r="V2087" s="14">
        <v>6200233.8600000003</v>
      </c>
      <c r="W2087" s="14">
        <v>0.54</v>
      </c>
      <c r="X2087" s="14">
        <v>150.05000000000001</v>
      </c>
    </row>
    <row r="2088" spans="1:24" s="14" customFormat="1" x14ac:dyDescent="0.25">
      <c r="A2088" s="50">
        <v>45106</v>
      </c>
      <c r="B2088" s="57">
        <v>180</v>
      </c>
      <c r="C2088" s="36">
        <v>0.20071759259259259</v>
      </c>
      <c r="D2088" s="16" t="s">
        <v>17396</v>
      </c>
      <c r="E2088" s="52" t="s">
        <v>70</v>
      </c>
      <c r="F2088" s="16" t="s">
        <v>1098</v>
      </c>
      <c r="G2088" s="16" t="s">
        <v>1546</v>
      </c>
      <c r="H2088" s="14">
        <v>-1.7999999999999999E-2</v>
      </c>
      <c r="I2088" s="14" t="s">
        <v>17676</v>
      </c>
      <c r="J2088" s="14" t="s">
        <v>17677</v>
      </c>
      <c r="K2088" s="14" t="s">
        <v>17678</v>
      </c>
      <c r="L2088" s="14" t="s">
        <v>17683</v>
      </c>
      <c r="O2088" s="14" t="s">
        <v>17679</v>
      </c>
      <c r="P2088" s="14" t="s">
        <v>17680</v>
      </c>
      <c r="Q2088" s="14">
        <v>415413.13</v>
      </c>
      <c r="R2088" s="14">
        <v>6200414.6500000004</v>
      </c>
      <c r="S2088" s="14" t="s">
        <v>17681</v>
      </c>
      <c r="T2088" s="14" t="s">
        <v>17682</v>
      </c>
      <c r="U2088" s="14">
        <v>415438.12</v>
      </c>
      <c r="V2088" s="14">
        <v>6200410.1200000001</v>
      </c>
      <c r="W2088" s="14">
        <v>359.85</v>
      </c>
      <c r="X2088" s="14">
        <v>150.05000000000001</v>
      </c>
    </row>
    <row r="2089" spans="1:24" s="14" customFormat="1" x14ac:dyDescent="0.25">
      <c r="A2089" s="50">
        <v>45106</v>
      </c>
      <c r="B2089" s="57">
        <v>180</v>
      </c>
      <c r="C2089" s="36">
        <v>0.2038888888888889</v>
      </c>
      <c r="D2089" s="16" t="s">
        <v>17396</v>
      </c>
      <c r="E2089" s="52" t="s">
        <v>65</v>
      </c>
      <c r="F2089" s="16" t="s">
        <v>1098</v>
      </c>
      <c r="G2089" s="16" t="s">
        <v>1545</v>
      </c>
      <c r="H2089" s="14">
        <v>-2.4E-2</v>
      </c>
      <c r="I2089" s="14" t="s">
        <v>17688</v>
      </c>
      <c r="J2089" s="14" t="s">
        <v>17689</v>
      </c>
      <c r="K2089" s="14" t="s">
        <v>17690</v>
      </c>
      <c r="L2089" s="14" t="s">
        <v>17683</v>
      </c>
      <c r="O2089" s="14" t="s">
        <v>17684</v>
      </c>
      <c r="P2089" s="14" t="s">
        <v>17685</v>
      </c>
      <c r="Q2089" s="14">
        <v>415423.06</v>
      </c>
      <c r="R2089" s="14">
        <v>6200437.4900000002</v>
      </c>
      <c r="S2089" s="14" t="s">
        <v>17686</v>
      </c>
      <c r="T2089" s="14" t="s">
        <v>17687</v>
      </c>
      <c r="U2089" s="14">
        <v>415447.21</v>
      </c>
      <c r="V2089" s="14">
        <v>6200427.2400000002</v>
      </c>
      <c r="W2089" s="14">
        <v>180.7</v>
      </c>
      <c r="X2089" s="14">
        <v>150.05000000000001</v>
      </c>
    </row>
    <row r="2090" spans="1:24" s="14" customFormat="1" x14ac:dyDescent="0.25">
      <c r="A2090" s="50">
        <v>45106</v>
      </c>
      <c r="B2090" s="57">
        <v>180</v>
      </c>
      <c r="C2090" s="36">
        <v>0.20826388888888889</v>
      </c>
      <c r="D2090" s="16" t="s">
        <v>17396</v>
      </c>
      <c r="E2090" s="52" t="s">
        <v>70</v>
      </c>
      <c r="F2090" s="16" t="s">
        <v>1098</v>
      </c>
      <c r="G2090" s="16" t="s">
        <v>1545</v>
      </c>
      <c r="H2090" s="14">
        <v>0.16900000000000001</v>
      </c>
      <c r="I2090" s="14" t="s">
        <v>17688</v>
      </c>
      <c r="J2090" s="14" t="s">
        <v>17689</v>
      </c>
      <c r="K2090" s="14" t="s">
        <v>17690</v>
      </c>
      <c r="L2090" s="14" t="s">
        <v>17683</v>
      </c>
      <c r="O2090" s="14" t="s">
        <v>17691</v>
      </c>
      <c r="P2090" s="14" t="s">
        <v>17692</v>
      </c>
      <c r="Q2090" s="14">
        <v>415421.67</v>
      </c>
      <c r="R2090" s="14">
        <v>6200245.2300000004</v>
      </c>
      <c r="S2090" s="14" t="s">
        <v>17693</v>
      </c>
      <c r="T2090" s="14" t="s">
        <v>17694</v>
      </c>
      <c r="U2090" s="14">
        <v>415447.14</v>
      </c>
      <c r="V2090" s="14">
        <v>6200233.4800000004</v>
      </c>
      <c r="W2090" s="14">
        <v>179.73</v>
      </c>
      <c r="X2090" s="14">
        <v>150.05000000000001</v>
      </c>
    </row>
    <row r="2091" spans="1:24" s="14" customFormat="1" x14ac:dyDescent="0.25">
      <c r="A2091" s="50">
        <v>45106</v>
      </c>
      <c r="B2091" s="57">
        <v>180</v>
      </c>
      <c r="C2091" s="36">
        <v>0.21276620370370369</v>
      </c>
      <c r="D2091" s="16" t="s">
        <v>17396</v>
      </c>
      <c r="E2091" s="52" t="s">
        <v>65</v>
      </c>
      <c r="F2091" s="16" t="s">
        <v>1098</v>
      </c>
      <c r="G2091" s="16" t="s">
        <v>1544</v>
      </c>
      <c r="H2091" s="14">
        <v>0.158</v>
      </c>
      <c r="I2091" s="14" t="s">
        <v>17699</v>
      </c>
      <c r="J2091" s="14" t="s">
        <v>17700</v>
      </c>
      <c r="K2091" s="14" t="s">
        <v>17701</v>
      </c>
      <c r="L2091" s="14" t="s">
        <v>17702</v>
      </c>
      <c r="O2091" s="14" t="s">
        <v>17695</v>
      </c>
      <c r="P2091" s="14" t="s">
        <v>17696</v>
      </c>
      <c r="Q2091" s="14">
        <v>415431.06</v>
      </c>
      <c r="R2091" s="14">
        <v>6200237.8700000001</v>
      </c>
      <c r="S2091" s="14" t="s">
        <v>17697</v>
      </c>
      <c r="T2091" s="14" t="s">
        <v>17698</v>
      </c>
      <c r="U2091" s="14">
        <v>415456.1</v>
      </c>
      <c r="V2091" s="14">
        <v>6200234.0199999996</v>
      </c>
      <c r="W2091" s="14">
        <v>359.84</v>
      </c>
      <c r="X2091" s="14">
        <v>150.05000000000001</v>
      </c>
    </row>
    <row r="2092" spans="1:24" x14ac:dyDescent="0.25">
      <c r="A2092" s="148">
        <v>45106</v>
      </c>
      <c r="B2092" s="46">
        <v>180</v>
      </c>
      <c r="C2092" s="149">
        <v>0.21615740740740741</v>
      </c>
      <c r="D2092" s="38" t="s">
        <v>17396</v>
      </c>
      <c r="E2092" s="7" t="s">
        <v>70</v>
      </c>
      <c r="F2092" s="38" t="s">
        <v>1098</v>
      </c>
      <c r="G2092" s="38" t="s">
        <v>1544</v>
      </c>
      <c r="H2092">
        <v>-1.9E-2</v>
      </c>
      <c r="I2092" t="s">
        <v>17699</v>
      </c>
      <c r="J2092" t="s">
        <v>17700</v>
      </c>
      <c r="K2092" t="s">
        <v>17701</v>
      </c>
      <c r="L2092" t="s">
        <v>17702</v>
      </c>
      <c r="O2092" t="s">
        <v>17703</v>
      </c>
      <c r="P2092" t="s">
        <v>17704</v>
      </c>
      <c r="Q2092">
        <v>415431.24</v>
      </c>
      <c r="R2092">
        <v>6200414.6100000003</v>
      </c>
      <c r="S2092" t="s">
        <v>17705</v>
      </c>
      <c r="T2092" t="s">
        <v>17706</v>
      </c>
      <c r="U2092">
        <v>415456.16</v>
      </c>
      <c r="V2092">
        <v>6200410.7800000003</v>
      </c>
      <c r="W2092">
        <v>359.68</v>
      </c>
      <c r="X2092">
        <v>150.05000000000001</v>
      </c>
    </row>
    <row r="2093" spans="1:24" x14ac:dyDescent="0.25">
      <c r="A2093" s="148">
        <v>45106</v>
      </c>
      <c r="B2093" s="46">
        <v>180</v>
      </c>
      <c r="C2093" s="149">
        <v>0.21953703703703706</v>
      </c>
      <c r="D2093" s="38" t="s">
        <v>17396</v>
      </c>
      <c r="E2093" s="7" t="s">
        <v>65</v>
      </c>
      <c r="F2093" s="38" t="s">
        <v>1098</v>
      </c>
      <c r="G2093" s="38" t="s">
        <v>1543</v>
      </c>
      <c r="H2093">
        <v>-1.4999999999999999E-2</v>
      </c>
      <c r="I2093" t="s">
        <v>17711</v>
      </c>
      <c r="J2093" t="s">
        <v>17712</v>
      </c>
      <c r="K2093" t="s">
        <v>17713</v>
      </c>
      <c r="L2093" t="s">
        <v>17702</v>
      </c>
      <c r="O2093" t="s">
        <v>17707</v>
      </c>
      <c r="P2093" t="s">
        <v>17708</v>
      </c>
      <c r="Q2093">
        <v>415441.13</v>
      </c>
      <c r="R2093">
        <v>6200428.04</v>
      </c>
      <c r="S2093" t="s">
        <v>17709</v>
      </c>
      <c r="T2093" t="s">
        <v>17710</v>
      </c>
      <c r="U2093">
        <v>415465.07</v>
      </c>
      <c r="V2093">
        <v>6200417.3700000001</v>
      </c>
      <c r="W2093">
        <v>179.34</v>
      </c>
      <c r="X2093">
        <v>150.05000000000001</v>
      </c>
    </row>
    <row r="2094" spans="1:24" x14ac:dyDescent="0.25">
      <c r="A2094" s="148">
        <v>45106</v>
      </c>
      <c r="B2094" s="46">
        <v>180</v>
      </c>
      <c r="C2094" s="149">
        <v>0.22293981481481481</v>
      </c>
      <c r="D2094" s="38" t="s">
        <v>17396</v>
      </c>
      <c r="E2094" s="7" t="s">
        <v>70</v>
      </c>
      <c r="F2094" s="38" t="s">
        <v>1098</v>
      </c>
      <c r="G2094" s="38" t="s">
        <v>1543</v>
      </c>
      <c r="H2094">
        <v>0.16800000000000001</v>
      </c>
      <c r="I2094" t="s">
        <v>17711</v>
      </c>
      <c r="J2094" t="s">
        <v>17712</v>
      </c>
      <c r="K2094" t="s">
        <v>17713</v>
      </c>
      <c r="L2094" t="s">
        <v>17718</v>
      </c>
      <c r="O2094" t="s">
        <v>17714</v>
      </c>
      <c r="P2094" t="s">
        <v>17715</v>
      </c>
      <c r="Q2094">
        <v>415439.41</v>
      </c>
      <c r="R2094">
        <v>6200248.1900000004</v>
      </c>
      <c r="S2094" t="s">
        <v>17716</v>
      </c>
      <c r="T2094" t="s">
        <v>17717</v>
      </c>
      <c r="U2094">
        <v>415465.04</v>
      </c>
      <c r="V2094">
        <v>6200235.3399999999</v>
      </c>
      <c r="W2094">
        <v>180.3</v>
      </c>
      <c r="X2094">
        <v>150.05000000000001</v>
      </c>
    </row>
    <row r="2095" spans="1:24" x14ac:dyDescent="0.25">
      <c r="A2095" s="148">
        <v>45106</v>
      </c>
      <c r="B2095" s="46">
        <v>180</v>
      </c>
      <c r="C2095" s="149">
        <v>0.22743055555555555</v>
      </c>
      <c r="D2095" s="38" t="s">
        <v>17396</v>
      </c>
      <c r="E2095" s="7" t="s">
        <v>65</v>
      </c>
      <c r="F2095" s="38" t="s">
        <v>1098</v>
      </c>
      <c r="G2095" s="38" t="s">
        <v>1549</v>
      </c>
      <c r="H2095">
        <v>0.158</v>
      </c>
      <c r="I2095" t="s">
        <v>17723</v>
      </c>
      <c r="J2095" t="s">
        <v>17724</v>
      </c>
      <c r="K2095" t="s">
        <v>17725</v>
      </c>
      <c r="L2095" t="s">
        <v>17718</v>
      </c>
      <c r="O2095" t="s">
        <v>17719</v>
      </c>
      <c r="P2095" t="s">
        <v>17720</v>
      </c>
      <c r="Q2095">
        <v>415449.16</v>
      </c>
      <c r="R2095">
        <v>6200240.1299999999</v>
      </c>
      <c r="S2095" t="s">
        <v>17721</v>
      </c>
      <c r="T2095" t="s">
        <v>17722</v>
      </c>
      <c r="U2095">
        <v>415474.06</v>
      </c>
      <c r="V2095">
        <v>6200233.5300000003</v>
      </c>
      <c r="W2095">
        <v>359.9</v>
      </c>
      <c r="X2095">
        <v>150.05000000000001</v>
      </c>
    </row>
    <row r="2096" spans="1:24" x14ac:dyDescent="0.25">
      <c r="A2096" s="148">
        <v>45106</v>
      </c>
      <c r="B2096" s="46">
        <v>180</v>
      </c>
      <c r="C2096" s="149">
        <v>0.23076388888888888</v>
      </c>
      <c r="D2096" s="38" t="s">
        <v>17396</v>
      </c>
      <c r="E2096" s="7" t="s">
        <v>70</v>
      </c>
      <c r="F2096" s="38" t="s">
        <v>1098</v>
      </c>
      <c r="G2096" s="38" t="s">
        <v>1549</v>
      </c>
      <c r="H2096">
        <v>-0.02</v>
      </c>
      <c r="I2096" t="s">
        <v>17723</v>
      </c>
      <c r="J2096" t="s">
        <v>17724</v>
      </c>
      <c r="K2096" t="s">
        <v>17725</v>
      </c>
      <c r="L2096" t="s">
        <v>17718</v>
      </c>
      <c r="O2096" t="s">
        <v>17726</v>
      </c>
      <c r="P2096" t="s">
        <v>17727</v>
      </c>
      <c r="Q2096">
        <v>415449.39</v>
      </c>
      <c r="R2096">
        <v>6200418.6500000004</v>
      </c>
      <c r="S2096" t="s">
        <v>17728</v>
      </c>
      <c r="T2096" t="s">
        <v>17729</v>
      </c>
      <c r="U2096">
        <v>415474.01</v>
      </c>
      <c r="V2096">
        <v>6200411.7199999997</v>
      </c>
      <c r="W2096">
        <v>359.86</v>
      </c>
      <c r="X2096">
        <v>150.05000000000001</v>
      </c>
    </row>
    <row r="2097" spans="1:24" x14ac:dyDescent="0.25">
      <c r="A2097" s="148">
        <v>45106</v>
      </c>
      <c r="B2097" s="46">
        <v>180</v>
      </c>
      <c r="C2097" s="149">
        <v>0.23440972222222223</v>
      </c>
      <c r="D2097" s="38" t="s">
        <v>17396</v>
      </c>
      <c r="E2097" s="7" t="s">
        <v>65</v>
      </c>
      <c r="F2097" s="38" t="s">
        <v>1098</v>
      </c>
      <c r="G2097" s="38" t="s">
        <v>1550</v>
      </c>
      <c r="H2097">
        <v>-1.6E-2</v>
      </c>
      <c r="I2097" t="s">
        <v>17734</v>
      </c>
      <c r="J2097" t="s">
        <v>17735</v>
      </c>
      <c r="K2097" t="s">
        <v>17736</v>
      </c>
      <c r="L2097" t="s">
        <v>17737</v>
      </c>
      <c r="O2097" t="s">
        <v>17730</v>
      </c>
      <c r="P2097" t="s">
        <v>17731</v>
      </c>
      <c r="Q2097">
        <v>415459.11</v>
      </c>
      <c r="R2097">
        <v>6200437.0800000001</v>
      </c>
      <c r="S2097" t="s">
        <v>17732</v>
      </c>
      <c r="T2097" t="s">
        <v>17733</v>
      </c>
      <c r="U2097">
        <v>415483.23</v>
      </c>
      <c r="V2097">
        <v>6200419.2699999996</v>
      </c>
      <c r="W2097">
        <v>181.3</v>
      </c>
      <c r="X2097">
        <v>150.05000000000001</v>
      </c>
    </row>
    <row r="2098" spans="1:24" x14ac:dyDescent="0.25">
      <c r="A2098" s="148">
        <v>45106</v>
      </c>
      <c r="B2098" s="46">
        <v>180</v>
      </c>
      <c r="C2098" s="149">
        <v>0.23797453703703705</v>
      </c>
      <c r="D2098" s="38" t="s">
        <v>17396</v>
      </c>
      <c r="E2098" s="7" t="s">
        <v>70</v>
      </c>
      <c r="F2098" s="38" t="s">
        <v>1098</v>
      </c>
      <c r="G2098" s="38" t="s">
        <v>1550</v>
      </c>
      <c r="H2098">
        <v>0.16900000000000001</v>
      </c>
      <c r="I2098" t="s">
        <v>17734</v>
      </c>
      <c r="J2098" t="s">
        <v>17735</v>
      </c>
      <c r="K2098" t="s">
        <v>17736</v>
      </c>
      <c r="L2098" t="s">
        <v>17737</v>
      </c>
      <c r="O2098" t="s">
        <v>17738</v>
      </c>
      <c r="P2098" t="s">
        <v>17739</v>
      </c>
      <c r="Q2098">
        <v>415457.46</v>
      </c>
      <c r="R2098">
        <v>6200249.2599999998</v>
      </c>
      <c r="S2098" t="s">
        <v>17740</v>
      </c>
      <c r="T2098" t="s">
        <v>17741</v>
      </c>
      <c r="U2098">
        <v>415483.12</v>
      </c>
      <c r="V2098">
        <v>6200233.9299999997</v>
      </c>
      <c r="W2098">
        <v>180.15</v>
      </c>
      <c r="X2098">
        <v>150.05000000000001</v>
      </c>
    </row>
    <row r="2099" spans="1:24" x14ac:dyDescent="0.25">
      <c r="A2099" s="148">
        <v>45106</v>
      </c>
      <c r="B2099" s="46">
        <v>180</v>
      </c>
      <c r="C2099" s="149">
        <v>0.24149305555555556</v>
      </c>
      <c r="D2099" s="38" t="s">
        <v>17396</v>
      </c>
      <c r="E2099" s="7" t="s">
        <v>65</v>
      </c>
      <c r="F2099" s="38" t="s">
        <v>1098</v>
      </c>
      <c r="G2099" s="38" t="s">
        <v>1551</v>
      </c>
      <c r="H2099">
        <v>0.16500000000000001</v>
      </c>
      <c r="I2099" t="s">
        <v>17746</v>
      </c>
      <c r="J2099" t="s">
        <v>17747</v>
      </c>
      <c r="K2099" t="s">
        <v>17748</v>
      </c>
      <c r="L2099" t="s">
        <v>17749</v>
      </c>
      <c r="O2099" t="s">
        <v>17742</v>
      </c>
      <c r="P2099" t="s">
        <v>17743</v>
      </c>
      <c r="Q2099">
        <v>415467.15</v>
      </c>
      <c r="R2099">
        <v>6200235.25</v>
      </c>
      <c r="S2099" t="s">
        <v>17744</v>
      </c>
      <c r="T2099" t="s">
        <v>17745</v>
      </c>
      <c r="U2099">
        <v>415492.11</v>
      </c>
      <c r="V2099">
        <v>6200226.6399999997</v>
      </c>
      <c r="W2099">
        <v>359.49</v>
      </c>
      <c r="X2099">
        <v>150.05000000000001</v>
      </c>
    </row>
    <row r="2100" spans="1:24" x14ac:dyDescent="0.25">
      <c r="A2100" s="148">
        <v>45106</v>
      </c>
      <c r="B2100" s="46">
        <v>180</v>
      </c>
      <c r="C2100" s="149">
        <v>0.245</v>
      </c>
      <c r="D2100" s="38" t="s">
        <v>17396</v>
      </c>
      <c r="E2100" s="7" t="s">
        <v>70</v>
      </c>
      <c r="F2100" s="38" t="s">
        <v>1098</v>
      </c>
      <c r="G2100" s="38" t="s">
        <v>1551</v>
      </c>
      <c r="H2100">
        <v>-2.1999999999999999E-2</v>
      </c>
      <c r="I2100" t="s">
        <v>17746</v>
      </c>
      <c r="J2100" t="s">
        <v>17747</v>
      </c>
      <c r="K2100" t="s">
        <v>17748</v>
      </c>
      <c r="L2100" t="s">
        <v>17749</v>
      </c>
      <c r="O2100" t="s">
        <v>17750</v>
      </c>
      <c r="P2100" t="s">
        <v>17751</v>
      </c>
      <c r="Q2100">
        <v>415467.29</v>
      </c>
      <c r="R2100">
        <v>6200422.5599999996</v>
      </c>
      <c r="S2100" t="s">
        <v>17752</v>
      </c>
      <c r="T2100" t="s">
        <v>17753</v>
      </c>
      <c r="U2100">
        <v>415492.08</v>
      </c>
      <c r="V2100">
        <v>6200414.1200000001</v>
      </c>
      <c r="W2100">
        <v>359.95</v>
      </c>
      <c r="X2100">
        <v>150.05000000000001</v>
      </c>
    </row>
    <row r="2101" spans="1:24" x14ac:dyDescent="0.25">
      <c r="A2101" s="148">
        <v>45106</v>
      </c>
      <c r="B2101" s="46">
        <v>180</v>
      </c>
      <c r="C2101" s="149">
        <v>0.25081018518518522</v>
      </c>
      <c r="D2101" s="38" t="s">
        <v>17396</v>
      </c>
      <c r="E2101" s="7" t="s">
        <v>65</v>
      </c>
      <c r="F2101" s="38" t="s">
        <v>1098</v>
      </c>
      <c r="G2101" s="38" t="s">
        <v>1552</v>
      </c>
      <c r="H2101">
        <v>-1.6E-2</v>
      </c>
      <c r="I2101" t="s">
        <v>17758</v>
      </c>
      <c r="J2101" t="s">
        <v>17759</v>
      </c>
      <c r="K2101" t="s">
        <v>17760</v>
      </c>
      <c r="L2101" t="s">
        <v>17749</v>
      </c>
      <c r="O2101" t="s">
        <v>17754</v>
      </c>
      <c r="P2101" t="s">
        <v>17755</v>
      </c>
      <c r="Q2101">
        <v>415476.79</v>
      </c>
      <c r="R2101">
        <v>6200427.4900000002</v>
      </c>
      <c r="S2101" t="s">
        <v>17756</v>
      </c>
      <c r="T2101" t="s">
        <v>17757</v>
      </c>
      <c r="U2101">
        <v>415501.2</v>
      </c>
      <c r="V2101">
        <v>6200418.5199999996</v>
      </c>
      <c r="W2101">
        <v>179.14</v>
      </c>
      <c r="X2101">
        <v>150.05000000000001</v>
      </c>
    </row>
    <row r="2102" spans="1:24" x14ac:dyDescent="0.25">
      <c r="A2102" s="148">
        <v>45106</v>
      </c>
      <c r="B2102" s="46">
        <v>180</v>
      </c>
      <c r="C2102" s="149">
        <v>0.25435185185185188</v>
      </c>
      <c r="D2102" s="38" t="s">
        <v>17396</v>
      </c>
      <c r="E2102" s="7" t="s">
        <v>70</v>
      </c>
      <c r="F2102" s="38" t="s">
        <v>1098</v>
      </c>
      <c r="G2102" s="38" t="s">
        <v>1552</v>
      </c>
      <c r="H2102">
        <v>0.17299999999999999</v>
      </c>
      <c r="I2102" t="s">
        <v>17758</v>
      </c>
      <c r="J2102" t="s">
        <v>17759</v>
      </c>
      <c r="K2102" t="s">
        <v>17760</v>
      </c>
      <c r="L2102" t="s">
        <v>17765</v>
      </c>
      <c r="O2102" t="s">
        <v>17761</v>
      </c>
      <c r="P2102" t="s">
        <v>17762</v>
      </c>
      <c r="Q2102">
        <v>415475.72</v>
      </c>
      <c r="R2102">
        <v>6200239.6200000001</v>
      </c>
      <c r="S2102" t="s">
        <v>17763</v>
      </c>
      <c r="T2102" t="s">
        <v>17764</v>
      </c>
      <c r="U2102">
        <v>415501.17</v>
      </c>
      <c r="V2102">
        <v>6200229.5700000003</v>
      </c>
      <c r="W2102">
        <v>180.05</v>
      </c>
      <c r="X2102">
        <v>150.05000000000001</v>
      </c>
    </row>
    <row r="2103" spans="1:24" x14ac:dyDescent="0.25">
      <c r="A2103" s="148">
        <v>45106</v>
      </c>
      <c r="B2103" s="46">
        <v>180</v>
      </c>
      <c r="C2103" s="149">
        <v>0.25829861111111113</v>
      </c>
      <c r="D2103" s="38" t="s">
        <v>17396</v>
      </c>
      <c r="E2103" s="7" t="s">
        <v>65</v>
      </c>
      <c r="F2103" s="38" t="s">
        <v>1098</v>
      </c>
      <c r="G2103" s="38" t="s">
        <v>1553</v>
      </c>
      <c r="H2103">
        <v>0.16300000000000001</v>
      </c>
      <c r="I2103" t="s">
        <v>17770</v>
      </c>
      <c r="J2103" t="s">
        <v>17771</v>
      </c>
      <c r="K2103" t="s">
        <v>17772</v>
      </c>
      <c r="L2103" t="s">
        <v>17765</v>
      </c>
      <c r="O2103" t="s">
        <v>17766</v>
      </c>
      <c r="P2103" t="s">
        <v>17767</v>
      </c>
      <c r="Q2103">
        <v>415484.77</v>
      </c>
      <c r="R2103">
        <v>6200235.0599999996</v>
      </c>
      <c r="S2103" t="s">
        <v>17768</v>
      </c>
      <c r="T2103" t="s">
        <v>17769</v>
      </c>
      <c r="U2103">
        <v>415510.07</v>
      </c>
      <c r="V2103">
        <v>6200228.71</v>
      </c>
      <c r="W2103">
        <v>0.66</v>
      </c>
      <c r="X2103">
        <v>150.05000000000001</v>
      </c>
    </row>
    <row r="2104" spans="1:24" x14ac:dyDescent="0.25">
      <c r="A2104" s="148">
        <v>45106</v>
      </c>
      <c r="B2104" s="46">
        <v>180</v>
      </c>
      <c r="C2104" s="149">
        <v>0.26170138888888889</v>
      </c>
      <c r="D2104" s="38" t="s">
        <v>17396</v>
      </c>
      <c r="E2104" s="7" t="s">
        <v>70</v>
      </c>
      <c r="F2104" s="38" t="s">
        <v>1098</v>
      </c>
      <c r="G2104" s="38" t="s">
        <v>1553</v>
      </c>
      <c r="H2104">
        <v>-1.7999999999999999E-2</v>
      </c>
      <c r="I2104" t="s">
        <v>17770</v>
      </c>
      <c r="J2104" t="s">
        <v>17771</v>
      </c>
      <c r="K2104" t="s">
        <v>17772</v>
      </c>
      <c r="L2104" t="s">
        <v>17765</v>
      </c>
      <c r="O2104" t="s">
        <v>17773</v>
      </c>
      <c r="P2104" t="s">
        <v>17774</v>
      </c>
      <c r="Q2104">
        <v>415485.4</v>
      </c>
      <c r="R2104">
        <v>6200416.6299999999</v>
      </c>
      <c r="S2104" t="s">
        <v>17775</v>
      </c>
      <c r="T2104" t="s">
        <v>17776</v>
      </c>
      <c r="U2104">
        <v>415510.05</v>
      </c>
      <c r="V2104">
        <v>6200410.1100000003</v>
      </c>
      <c r="W2104">
        <v>1.08</v>
      </c>
      <c r="X2104">
        <v>150.05000000000001</v>
      </c>
    </row>
    <row r="2105" spans="1:24" x14ac:dyDescent="0.25">
      <c r="A2105" s="148">
        <v>45106</v>
      </c>
      <c r="B2105" s="46">
        <v>180</v>
      </c>
      <c r="C2105" s="149">
        <v>0.26546296296296296</v>
      </c>
      <c r="D2105" s="38" t="s">
        <v>17396</v>
      </c>
      <c r="E2105" s="7" t="s">
        <v>65</v>
      </c>
      <c r="F2105" s="38" t="s">
        <v>1098</v>
      </c>
      <c r="G2105" s="38" t="s">
        <v>1554</v>
      </c>
      <c r="H2105">
        <v>-1.0999999999999999E-2</v>
      </c>
      <c r="I2105" t="s">
        <v>17781</v>
      </c>
      <c r="J2105" t="s">
        <v>17782</v>
      </c>
      <c r="K2105" t="s">
        <v>17783</v>
      </c>
      <c r="L2105" t="s">
        <v>17784</v>
      </c>
      <c r="O2105" t="s">
        <v>17777</v>
      </c>
      <c r="P2105" t="s">
        <v>17778</v>
      </c>
      <c r="Q2105">
        <v>415494.72</v>
      </c>
      <c r="R2105">
        <v>6200419.9800000004</v>
      </c>
      <c r="S2105" t="s">
        <v>17779</v>
      </c>
      <c r="T2105" t="s">
        <v>17780</v>
      </c>
      <c r="U2105">
        <v>415519.11</v>
      </c>
      <c r="V2105">
        <v>6200413.46</v>
      </c>
      <c r="W2105">
        <v>179.27</v>
      </c>
      <c r="X2105">
        <v>150.05000000000001</v>
      </c>
    </row>
    <row r="2106" spans="1:24" x14ac:dyDescent="0.25">
      <c r="A2106" s="148">
        <v>45106</v>
      </c>
      <c r="B2106" s="46">
        <v>180</v>
      </c>
      <c r="C2106" s="149">
        <v>0.26885416666666667</v>
      </c>
      <c r="D2106" s="38" t="s">
        <v>17396</v>
      </c>
      <c r="E2106" s="7" t="s">
        <v>70</v>
      </c>
      <c r="F2106" s="38" t="s">
        <v>1098</v>
      </c>
      <c r="G2106" s="38" t="s">
        <v>1554</v>
      </c>
      <c r="H2106">
        <v>0.17100000000000001</v>
      </c>
      <c r="I2106" t="s">
        <v>17781</v>
      </c>
      <c r="J2106" t="s">
        <v>17782</v>
      </c>
      <c r="K2106" t="s">
        <v>17783</v>
      </c>
      <c r="L2106" t="s">
        <v>17784</v>
      </c>
      <c r="O2106" t="s">
        <v>17785</v>
      </c>
      <c r="P2106" t="s">
        <v>17786</v>
      </c>
      <c r="Q2106">
        <v>415492.03</v>
      </c>
      <c r="R2106">
        <v>6200239.79</v>
      </c>
      <c r="S2106" t="s">
        <v>17787</v>
      </c>
      <c r="T2106" t="s">
        <v>17788</v>
      </c>
      <c r="U2106">
        <v>415519.08</v>
      </c>
      <c r="V2106">
        <v>6200232.2000000002</v>
      </c>
      <c r="W2106">
        <v>179.81</v>
      </c>
      <c r="X2106">
        <v>150.05000000000001</v>
      </c>
    </row>
    <row r="2107" spans="1:24" x14ac:dyDescent="0.25">
      <c r="A2107" s="148">
        <v>45106</v>
      </c>
      <c r="B2107" s="46">
        <v>180</v>
      </c>
      <c r="C2107" s="149">
        <v>0.27407407407407408</v>
      </c>
      <c r="D2107" s="38" t="s">
        <v>17396</v>
      </c>
      <c r="E2107" s="7" t="s">
        <v>17793</v>
      </c>
      <c r="F2107" s="38" t="s">
        <v>1098</v>
      </c>
      <c r="H2107">
        <v>1.744</v>
      </c>
      <c r="O2107" t="s">
        <v>17789</v>
      </c>
      <c r="P2107" t="s">
        <v>17790</v>
      </c>
      <c r="Q2107">
        <v>415491.76</v>
      </c>
      <c r="R2107">
        <v>6200216.9000000004</v>
      </c>
      <c r="S2107" t="s">
        <v>17791</v>
      </c>
      <c r="T2107" t="s">
        <v>17792</v>
      </c>
      <c r="U2107">
        <v>415503.25</v>
      </c>
      <c r="V2107">
        <v>6200213.7000000002</v>
      </c>
      <c r="W2107">
        <v>91.36</v>
      </c>
      <c r="X2107">
        <v>150.05000000000001</v>
      </c>
    </row>
    <row r="2108" spans="1:24" s="122" customFormat="1" x14ac:dyDescent="0.25">
      <c r="A2108" s="65">
        <v>45106</v>
      </c>
      <c r="B2108" s="106">
        <v>180</v>
      </c>
      <c r="C2108" s="67">
        <v>0.29688657407407409</v>
      </c>
      <c r="D2108" s="66" t="s">
        <v>17396</v>
      </c>
      <c r="E2108" s="123" t="s">
        <v>17799</v>
      </c>
      <c r="F2108" s="66" t="s">
        <v>8011</v>
      </c>
      <c r="G2108" s="66" t="s">
        <v>1224</v>
      </c>
      <c r="H2108" s="122">
        <v>0.19800000000000001</v>
      </c>
      <c r="M2108" s="122" t="s">
        <v>17794</v>
      </c>
      <c r="O2108" s="122" t="s">
        <v>17795</v>
      </c>
      <c r="P2108" s="122" t="s">
        <v>17796</v>
      </c>
      <c r="Q2108" s="122">
        <v>417870.61</v>
      </c>
      <c r="R2108" s="122">
        <v>6201759.4100000001</v>
      </c>
      <c r="S2108" s="122" t="s">
        <v>17797</v>
      </c>
      <c r="T2108" s="122" t="s">
        <v>17798</v>
      </c>
      <c r="U2108" s="122">
        <v>417888.85</v>
      </c>
      <c r="V2108" s="122">
        <v>6201760.0999999996</v>
      </c>
      <c r="W2108" s="122">
        <v>102.74</v>
      </c>
      <c r="X2108" s="122">
        <v>150.05000000000001</v>
      </c>
    </row>
    <row r="2109" spans="1:24" x14ac:dyDescent="0.25">
      <c r="A2109" s="148">
        <v>45106</v>
      </c>
      <c r="B2109" s="46">
        <v>180</v>
      </c>
      <c r="C2109" s="149">
        <v>0.30266203703703703</v>
      </c>
      <c r="D2109" s="38" t="s">
        <v>17396</v>
      </c>
      <c r="E2109" s="7" t="s">
        <v>65</v>
      </c>
      <c r="F2109" s="38" t="s">
        <v>8011</v>
      </c>
      <c r="G2109" s="38" t="s">
        <v>1224</v>
      </c>
      <c r="H2109">
        <v>0.161</v>
      </c>
      <c r="I2109" t="s">
        <v>17804</v>
      </c>
      <c r="J2109" t="s">
        <v>17805</v>
      </c>
      <c r="K2109" t="s">
        <v>17806</v>
      </c>
      <c r="L2109" t="s">
        <v>17807</v>
      </c>
      <c r="O2109" t="s">
        <v>17800</v>
      </c>
      <c r="P2109" t="s">
        <v>17801</v>
      </c>
      <c r="Q2109">
        <v>417871.16</v>
      </c>
      <c r="R2109">
        <v>6201792.9900000002</v>
      </c>
      <c r="S2109" t="s">
        <v>17802</v>
      </c>
      <c r="T2109" t="s">
        <v>17803</v>
      </c>
      <c r="U2109">
        <v>417895.79</v>
      </c>
      <c r="V2109">
        <v>6201790.6900000004</v>
      </c>
      <c r="W2109">
        <v>0.92</v>
      </c>
      <c r="X2109">
        <v>150.05000000000001</v>
      </c>
    </row>
    <row r="2110" spans="1:24" x14ac:dyDescent="0.25">
      <c r="A2110" s="148">
        <v>45106</v>
      </c>
      <c r="B2110" s="46">
        <v>180</v>
      </c>
      <c r="C2110" s="149">
        <v>0.30603009259259256</v>
      </c>
      <c r="D2110" s="38" t="s">
        <v>17396</v>
      </c>
      <c r="E2110" s="7" t="s">
        <v>70</v>
      </c>
      <c r="F2110" s="38" t="s">
        <v>8011</v>
      </c>
      <c r="G2110" s="38" t="s">
        <v>1224</v>
      </c>
      <c r="H2110">
        <v>-1.9E-2</v>
      </c>
      <c r="I2110" t="s">
        <v>17804</v>
      </c>
      <c r="J2110" t="s">
        <v>17805</v>
      </c>
      <c r="K2110" t="s">
        <v>17806</v>
      </c>
      <c r="L2110" t="s">
        <v>17812</v>
      </c>
      <c r="O2110" t="s">
        <v>17808</v>
      </c>
      <c r="P2110" t="s">
        <v>17809</v>
      </c>
      <c r="Q2110">
        <v>417870.88</v>
      </c>
      <c r="R2110">
        <v>6201971.7699999996</v>
      </c>
      <c r="S2110" t="s">
        <v>17810</v>
      </c>
      <c r="T2110" t="s">
        <v>17811</v>
      </c>
      <c r="U2110">
        <v>417895.89</v>
      </c>
      <c r="V2110">
        <v>6201970.6799999997</v>
      </c>
      <c r="W2110">
        <v>359.17</v>
      </c>
      <c r="X2110">
        <v>150.05000000000001</v>
      </c>
    </row>
    <row r="2111" spans="1:24" x14ac:dyDescent="0.25">
      <c r="A2111" s="148">
        <v>45106</v>
      </c>
      <c r="B2111" s="46">
        <v>180</v>
      </c>
      <c r="C2111" s="149">
        <v>0.30927083333333333</v>
      </c>
      <c r="D2111" s="38" t="s">
        <v>17396</v>
      </c>
      <c r="E2111" s="7" t="s">
        <v>65</v>
      </c>
      <c r="F2111" s="38" t="s">
        <v>8011</v>
      </c>
      <c r="G2111" s="38" t="s">
        <v>1223</v>
      </c>
      <c r="H2111">
        <v>-1.4E-2</v>
      </c>
      <c r="I2111" t="s">
        <v>17817</v>
      </c>
      <c r="J2111" t="s">
        <v>17818</v>
      </c>
      <c r="K2111" t="s">
        <v>17819</v>
      </c>
      <c r="L2111" t="s">
        <v>17812</v>
      </c>
      <c r="O2111" t="s">
        <v>17813</v>
      </c>
      <c r="P2111" t="s">
        <v>17814</v>
      </c>
      <c r="Q2111">
        <v>417880.49</v>
      </c>
      <c r="R2111">
        <v>6201980.8099999996</v>
      </c>
      <c r="S2111" t="s">
        <v>17815</v>
      </c>
      <c r="T2111" t="s">
        <v>17816</v>
      </c>
      <c r="U2111">
        <v>417904.8</v>
      </c>
      <c r="V2111">
        <v>6201976.6500000004</v>
      </c>
      <c r="W2111">
        <v>178.46</v>
      </c>
      <c r="X2111">
        <v>150.05000000000001</v>
      </c>
    </row>
    <row r="2112" spans="1:24" x14ac:dyDescent="0.25">
      <c r="A2112" s="148">
        <v>45106</v>
      </c>
      <c r="B2112" s="46">
        <v>180</v>
      </c>
      <c r="C2112" s="149">
        <v>0.31267361111111108</v>
      </c>
      <c r="D2112" s="38" t="s">
        <v>17396</v>
      </c>
      <c r="E2112" s="7" t="s">
        <v>70</v>
      </c>
      <c r="F2112" s="38" t="s">
        <v>8011</v>
      </c>
      <c r="G2112" s="38" t="s">
        <v>1223</v>
      </c>
      <c r="H2112">
        <v>0.16600000000000001</v>
      </c>
      <c r="I2112" t="s">
        <v>17817</v>
      </c>
      <c r="J2112" t="s">
        <v>17818</v>
      </c>
      <c r="K2112" t="s">
        <v>17819</v>
      </c>
      <c r="L2112" t="s">
        <v>17812</v>
      </c>
      <c r="O2112" t="s">
        <v>17820</v>
      </c>
      <c r="P2112" t="s">
        <v>17821</v>
      </c>
      <c r="Q2112">
        <v>417879.77</v>
      </c>
      <c r="R2112">
        <v>6201801.1100000003</v>
      </c>
      <c r="S2112" t="s">
        <v>17822</v>
      </c>
      <c r="T2112" t="s">
        <v>17823</v>
      </c>
      <c r="U2112">
        <v>417904.88</v>
      </c>
      <c r="V2112">
        <v>6201796.3899999997</v>
      </c>
      <c r="W2112">
        <v>180.1</v>
      </c>
      <c r="X2112">
        <v>150.05000000000001</v>
      </c>
    </row>
    <row r="2113" spans="1:24" x14ac:dyDescent="0.25">
      <c r="A2113" s="148">
        <v>45106</v>
      </c>
      <c r="B2113" s="46">
        <v>180</v>
      </c>
      <c r="C2113" s="149">
        <v>0.3162962962962963</v>
      </c>
      <c r="D2113" s="38" t="s">
        <v>17396</v>
      </c>
      <c r="E2113" s="7" t="s">
        <v>65</v>
      </c>
      <c r="F2113" s="38" t="s">
        <v>8011</v>
      </c>
      <c r="G2113" s="38" t="s">
        <v>1222</v>
      </c>
      <c r="H2113">
        <v>0.161</v>
      </c>
      <c r="I2113" t="s">
        <v>17828</v>
      </c>
      <c r="J2113" t="s">
        <v>17829</v>
      </c>
      <c r="K2113" t="s">
        <v>17830</v>
      </c>
      <c r="L2113" t="s">
        <v>17831</v>
      </c>
      <c r="O2113" t="s">
        <v>17824</v>
      </c>
      <c r="P2113" t="s">
        <v>17825</v>
      </c>
      <c r="Q2113">
        <v>417888.79</v>
      </c>
      <c r="R2113">
        <v>6201793.29</v>
      </c>
      <c r="S2113" t="s">
        <v>17826</v>
      </c>
      <c r="T2113" t="s">
        <v>17827</v>
      </c>
      <c r="U2113">
        <v>417913.81</v>
      </c>
      <c r="V2113">
        <v>6201790.3799999999</v>
      </c>
      <c r="W2113">
        <v>0.99</v>
      </c>
      <c r="X2113">
        <v>150.05000000000001</v>
      </c>
    </row>
    <row r="2114" spans="1:24" x14ac:dyDescent="0.25">
      <c r="A2114" s="148">
        <v>45106</v>
      </c>
      <c r="B2114" s="46">
        <v>180</v>
      </c>
      <c r="C2114" s="149">
        <v>0.31968750000000001</v>
      </c>
      <c r="D2114" s="38" t="s">
        <v>17396</v>
      </c>
      <c r="E2114" s="7" t="s">
        <v>70</v>
      </c>
      <c r="F2114" s="38" t="s">
        <v>8011</v>
      </c>
      <c r="G2114" s="38" t="s">
        <v>1222</v>
      </c>
      <c r="H2114">
        <v>-1.9E-2</v>
      </c>
      <c r="I2114" t="s">
        <v>17828</v>
      </c>
      <c r="J2114" t="s">
        <v>17829</v>
      </c>
      <c r="K2114" t="s">
        <v>17830</v>
      </c>
      <c r="L2114" t="s">
        <v>17831</v>
      </c>
      <c r="O2114" t="s">
        <v>17832</v>
      </c>
      <c r="P2114" t="s">
        <v>17833</v>
      </c>
      <c r="Q2114">
        <v>417888.96</v>
      </c>
      <c r="R2114">
        <v>6201974.2300000004</v>
      </c>
      <c r="S2114" t="s">
        <v>17834</v>
      </c>
      <c r="T2114" t="s">
        <v>17835</v>
      </c>
      <c r="U2114">
        <v>417913.85</v>
      </c>
      <c r="V2114">
        <v>6201970.2599999998</v>
      </c>
      <c r="W2114">
        <v>359.82</v>
      </c>
      <c r="X2114">
        <v>150.05000000000001</v>
      </c>
    </row>
    <row r="2115" spans="1:24" x14ac:dyDescent="0.25">
      <c r="A2115" s="148">
        <v>45106</v>
      </c>
      <c r="B2115" s="46">
        <v>180</v>
      </c>
      <c r="C2115" s="149">
        <v>0.32393518518518521</v>
      </c>
      <c r="D2115" s="38" t="s">
        <v>17396</v>
      </c>
      <c r="E2115" s="7" t="s">
        <v>65</v>
      </c>
      <c r="F2115" s="38" t="s">
        <v>8011</v>
      </c>
      <c r="G2115" s="38" t="s">
        <v>1221</v>
      </c>
      <c r="H2115">
        <v>-1.2999999999999999E-2</v>
      </c>
      <c r="I2115" t="s">
        <v>17840</v>
      </c>
      <c r="J2115" t="s">
        <v>17841</v>
      </c>
      <c r="K2115" t="s">
        <v>17842</v>
      </c>
      <c r="L2115" t="s">
        <v>17831</v>
      </c>
      <c r="O2115" t="s">
        <v>17836</v>
      </c>
      <c r="P2115" t="s">
        <v>17837</v>
      </c>
      <c r="Q2115">
        <v>417898.65</v>
      </c>
      <c r="R2115">
        <v>6201979.8399999999</v>
      </c>
      <c r="S2115" t="s">
        <v>17838</v>
      </c>
      <c r="T2115" t="s">
        <v>17839</v>
      </c>
      <c r="U2115">
        <v>417922.92</v>
      </c>
      <c r="V2115">
        <v>6201975.9900000002</v>
      </c>
      <c r="W2115">
        <v>179.9</v>
      </c>
      <c r="X2115">
        <v>150.05000000000001</v>
      </c>
    </row>
    <row r="2116" spans="1:24" x14ac:dyDescent="0.25">
      <c r="A2116" s="148">
        <v>45106</v>
      </c>
      <c r="B2116" s="46">
        <v>180</v>
      </c>
      <c r="C2116" s="149">
        <v>0.32734953703703701</v>
      </c>
      <c r="D2116" s="38" t="s">
        <v>17396</v>
      </c>
      <c r="E2116" s="7" t="s">
        <v>70</v>
      </c>
      <c r="F2116" s="38" t="s">
        <v>8011</v>
      </c>
      <c r="G2116" s="38" t="s">
        <v>1221</v>
      </c>
      <c r="H2116">
        <v>0.16900000000000001</v>
      </c>
      <c r="I2116" t="s">
        <v>17840</v>
      </c>
      <c r="J2116" t="s">
        <v>17841</v>
      </c>
      <c r="K2116" t="s">
        <v>17842</v>
      </c>
      <c r="L2116" t="s">
        <v>17847</v>
      </c>
      <c r="O2116" t="s">
        <v>17843</v>
      </c>
      <c r="P2116" t="s">
        <v>17844</v>
      </c>
      <c r="Q2116">
        <v>417897.71</v>
      </c>
      <c r="R2116">
        <v>6201797.5099999998</v>
      </c>
      <c r="S2116" t="s">
        <v>17845</v>
      </c>
      <c r="T2116" t="s">
        <v>17846</v>
      </c>
      <c r="U2116">
        <v>417922.8</v>
      </c>
      <c r="V2116">
        <v>6201793.5700000003</v>
      </c>
      <c r="W2116">
        <v>179.99</v>
      </c>
      <c r="X2116">
        <v>150.05000000000001</v>
      </c>
    </row>
    <row r="2117" spans="1:24" x14ac:dyDescent="0.25">
      <c r="A2117" s="148">
        <v>45106</v>
      </c>
      <c r="B2117" s="46">
        <v>180</v>
      </c>
      <c r="C2117" s="149">
        <v>0.33081018518518518</v>
      </c>
      <c r="D2117" s="38" t="s">
        <v>17396</v>
      </c>
      <c r="E2117" s="7" t="s">
        <v>65</v>
      </c>
      <c r="F2117" s="38" t="s">
        <v>8011</v>
      </c>
      <c r="G2117" s="38" t="s">
        <v>1220</v>
      </c>
      <c r="H2117">
        <v>0.16200000000000001</v>
      </c>
      <c r="I2117" t="s">
        <v>17852</v>
      </c>
      <c r="J2117" t="s">
        <v>17853</v>
      </c>
      <c r="K2117" t="s">
        <v>17854</v>
      </c>
      <c r="L2117" t="s">
        <v>17847</v>
      </c>
      <c r="O2117" t="s">
        <v>17848</v>
      </c>
      <c r="P2117" t="s">
        <v>17849</v>
      </c>
      <c r="Q2117">
        <v>417906.81</v>
      </c>
      <c r="R2117">
        <v>6201792.5599999996</v>
      </c>
      <c r="S2117" t="s">
        <v>17850</v>
      </c>
      <c r="T2117" t="s">
        <v>17851</v>
      </c>
      <c r="U2117">
        <v>417931.67</v>
      </c>
      <c r="V2117">
        <v>6201789.2800000003</v>
      </c>
      <c r="W2117">
        <v>0.73</v>
      </c>
      <c r="X2117">
        <v>150.05000000000001</v>
      </c>
    </row>
    <row r="2118" spans="1:24" x14ac:dyDescent="0.25">
      <c r="A2118" s="148">
        <v>45106</v>
      </c>
      <c r="B2118" s="46">
        <v>180</v>
      </c>
      <c r="C2118" s="149">
        <v>0.33430555555555558</v>
      </c>
      <c r="D2118" s="38" t="s">
        <v>17396</v>
      </c>
      <c r="E2118" s="7" t="s">
        <v>70</v>
      </c>
      <c r="F2118" s="38" t="s">
        <v>8011</v>
      </c>
      <c r="G2118" s="38" t="s">
        <v>1220</v>
      </c>
      <c r="H2118">
        <v>-2.4E-2</v>
      </c>
      <c r="I2118" t="s">
        <v>17852</v>
      </c>
      <c r="J2118" t="s">
        <v>17853</v>
      </c>
      <c r="K2118" t="s">
        <v>17854</v>
      </c>
      <c r="L2118" t="s">
        <v>17847</v>
      </c>
      <c r="O2118" t="s">
        <v>17855</v>
      </c>
      <c r="P2118" t="s">
        <v>17856</v>
      </c>
      <c r="Q2118">
        <v>417907.08</v>
      </c>
      <c r="R2118">
        <v>6201978.8799999999</v>
      </c>
      <c r="S2118" t="s">
        <v>17857</v>
      </c>
      <c r="T2118" t="s">
        <v>17858</v>
      </c>
      <c r="U2118">
        <v>417931.77</v>
      </c>
      <c r="V2118">
        <v>6201975.8200000003</v>
      </c>
      <c r="W2118">
        <v>359.49</v>
      </c>
      <c r="X2118">
        <v>150.05000000000001</v>
      </c>
    </row>
    <row r="2119" spans="1:24" x14ac:dyDescent="0.25">
      <c r="A2119" s="148">
        <v>45106</v>
      </c>
      <c r="B2119" s="46">
        <v>180</v>
      </c>
      <c r="C2119" s="149">
        <v>0.33778935185185183</v>
      </c>
      <c r="D2119" s="38" t="s">
        <v>17396</v>
      </c>
      <c r="E2119" s="7" t="s">
        <v>65</v>
      </c>
      <c r="F2119" s="38" t="s">
        <v>8011</v>
      </c>
      <c r="G2119" s="38" t="s">
        <v>1219</v>
      </c>
      <c r="H2119">
        <v>-1.7000000000000001E-2</v>
      </c>
      <c r="I2119" t="s">
        <v>17863</v>
      </c>
      <c r="J2119" t="s">
        <v>17864</v>
      </c>
      <c r="K2119" t="s">
        <v>17865</v>
      </c>
      <c r="L2119" t="s">
        <v>17866</v>
      </c>
      <c r="O2119" t="s">
        <v>17859</v>
      </c>
      <c r="P2119" t="s">
        <v>17860</v>
      </c>
      <c r="Q2119">
        <v>417914.64</v>
      </c>
      <c r="R2119">
        <v>6201982.3700000001</v>
      </c>
      <c r="S2119" t="s">
        <v>17861</v>
      </c>
      <c r="T2119" t="s">
        <v>17862</v>
      </c>
      <c r="U2119">
        <v>417940.94</v>
      </c>
      <c r="V2119">
        <v>6201979.8200000003</v>
      </c>
      <c r="W2119">
        <v>179.33</v>
      </c>
      <c r="X2119">
        <v>150.05000000000001</v>
      </c>
    </row>
    <row r="2120" spans="1:24" x14ac:dyDescent="0.25">
      <c r="A2120" s="148">
        <v>45106</v>
      </c>
      <c r="B2120" s="46">
        <v>180</v>
      </c>
      <c r="C2120" s="149">
        <v>0.34127314814814813</v>
      </c>
      <c r="D2120" s="38" t="s">
        <v>17396</v>
      </c>
      <c r="E2120" s="7" t="s">
        <v>70</v>
      </c>
      <c r="F2120" s="38" t="s">
        <v>8011</v>
      </c>
      <c r="G2120" s="38" t="s">
        <v>1219</v>
      </c>
      <c r="H2120">
        <v>0.16900000000000001</v>
      </c>
      <c r="I2120" t="s">
        <v>17863</v>
      </c>
      <c r="J2120" t="s">
        <v>17864</v>
      </c>
      <c r="K2120" t="s">
        <v>17865</v>
      </c>
      <c r="L2120" t="s">
        <v>17866</v>
      </c>
      <c r="O2120" t="s">
        <v>17867</v>
      </c>
      <c r="P2120" t="s">
        <v>17868</v>
      </c>
      <c r="Q2120">
        <v>417913.91</v>
      </c>
      <c r="R2120">
        <v>6201797.2999999998</v>
      </c>
      <c r="S2120" t="s">
        <v>17869</v>
      </c>
      <c r="T2120" t="s">
        <v>17870</v>
      </c>
      <c r="U2120">
        <v>417940.96</v>
      </c>
      <c r="V2120">
        <v>6201793.8700000001</v>
      </c>
      <c r="W2120">
        <v>180.47</v>
      </c>
      <c r="X2120">
        <v>150.05000000000001</v>
      </c>
    </row>
    <row r="2121" spans="1:24" x14ac:dyDescent="0.25">
      <c r="A2121" s="148">
        <v>45106</v>
      </c>
      <c r="B2121" s="46">
        <v>180</v>
      </c>
      <c r="C2121" s="149">
        <v>0.34457175925925926</v>
      </c>
      <c r="D2121" s="38" t="s">
        <v>17396</v>
      </c>
      <c r="E2121" s="7" t="s">
        <v>65</v>
      </c>
      <c r="F2121" s="38" t="s">
        <v>8011</v>
      </c>
      <c r="G2121" s="38" t="s">
        <v>1225</v>
      </c>
      <c r="H2121">
        <v>0.16400000000000001</v>
      </c>
      <c r="I2121" t="s">
        <v>17875</v>
      </c>
      <c r="J2121" t="s">
        <v>17876</v>
      </c>
      <c r="K2121" t="s">
        <v>17877</v>
      </c>
      <c r="L2121" t="s">
        <v>17866</v>
      </c>
      <c r="O2121" t="s">
        <v>17871</v>
      </c>
      <c r="P2121" t="s">
        <v>17872</v>
      </c>
      <c r="Q2121">
        <v>417924.14</v>
      </c>
      <c r="R2121">
        <v>6201792.4000000004</v>
      </c>
      <c r="S2121" t="s">
        <v>17873</v>
      </c>
      <c r="T2121" t="s">
        <v>17874</v>
      </c>
      <c r="U2121">
        <v>417949.75</v>
      </c>
      <c r="V2121">
        <v>6201787.4299999997</v>
      </c>
      <c r="W2121">
        <v>0.6</v>
      </c>
      <c r="X2121">
        <v>150.05000000000001</v>
      </c>
    </row>
    <row r="2122" spans="1:24" x14ac:dyDescent="0.25">
      <c r="A2122" s="148">
        <v>45106</v>
      </c>
      <c r="B2122" s="46">
        <v>180</v>
      </c>
      <c r="C2122" s="149">
        <v>0.34831018518518514</v>
      </c>
      <c r="D2122" s="38" t="s">
        <v>17396</v>
      </c>
      <c r="E2122" s="7" t="s">
        <v>70</v>
      </c>
      <c r="F2122" s="38" t="s">
        <v>8011</v>
      </c>
      <c r="G2122" s="38" t="s">
        <v>1225</v>
      </c>
      <c r="H2122">
        <v>-3.5999999999999997E-2</v>
      </c>
      <c r="I2122" t="s">
        <v>17875</v>
      </c>
      <c r="J2122" t="s">
        <v>17876</v>
      </c>
      <c r="K2122" t="s">
        <v>17877</v>
      </c>
      <c r="L2122" t="s">
        <v>17882</v>
      </c>
      <c r="O2122" t="s">
        <v>17878</v>
      </c>
      <c r="P2122" t="s">
        <v>17879</v>
      </c>
      <c r="Q2122">
        <v>417923.94</v>
      </c>
      <c r="R2122">
        <v>6201991.0999999996</v>
      </c>
      <c r="S2122" t="s">
        <v>17880</v>
      </c>
      <c r="T2122" t="s">
        <v>17881</v>
      </c>
      <c r="U2122">
        <v>417949.63</v>
      </c>
      <c r="V2122">
        <v>6201987.1600000001</v>
      </c>
      <c r="W2122">
        <v>1</v>
      </c>
      <c r="X2122">
        <v>150.05000000000001</v>
      </c>
    </row>
    <row r="2123" spans="1:24" x14ac:dyDescent="0.25">
      <c r="A2123" s="148">
        <v>45106</v>
      </c>
      <c r="B2123" s="46">
        <v>180</v>
      </c>
      <c r="C2123" s="149">
        <v>0.35148148148148151</v>
      </c>
      <c r="D2123" s="38" t="s">
        <v>17396</v>
      </c>
      <c r="E2123" s="7" t="s">
        <v>65</v>
      </c>
      <c r="F2123" s="38" t="s">
        <v>8011</v>
      </c>
      <c r="G2123" s="38" t="s">
        <v>1226</v>
      </c>
      <c r="H2123">
        <v>-1.2E-2</v>
      </c>
      <c r="I2123" t="s">
        <v>17887</v>
      </c>
      <c r="J2123" t="s">
        <v>17888</v>
      </c>
      <c r="K2123" t="s">
        <v>17889</v>
      </c>
      <c r="L2123" t="s">
        <v>17882</v>
      </c>
      <c r="O2123" t="s">
        <v>17883</v>
      </c>
      <c r="P2123" t="s">
        <v>17884</v>
      </c>
      <c r="Q2123">
        <v>417933.51</v>
      </c>
      <c r="R2123">
        <v>6201976.2599999998</v>
      </c>
      <c r="S2123" t="s">
        <v>17885</v>
      </c>
      <c r="T2123" t="s">
        <v>17886</v>
      </c>
      <c r="U2123">
        <v>417958.66</v>
      </c>
      <c r="V2123">
        <v>6201975.21</v>
      </c>
      <c r="W2123">
        <v>179.93</v>
      </c>
      <c r="X2123">
        <v>150.05000000000001</v>
      </c>
    </row>
    <row r="2124" spans="1:24" x14ac:dyDescent="0.25">
      <c r="A2124" s="148">
        <v>45106</v>
      </c>
      <c r="B2124" s="46">
        <v>180</v>
      </c>
      <c r="C2124" s="149">
        <v>0.35488425925925932</v>
      </c>
      <c r="D2124" s="38" t="s">
        <v>17396</v>
      </c>
      <c r="E2124" s="7" t="s">
        <v>70</v>
      </c>
      <c r="F2124" s="38" t="s">
        <v>8011</v>
      </c>
      <c r="G2124" s="38" t="s">
        <v>1226</v>
      </c>
      <c r="H2124">
        <v>0.17</v>
      </c>
      <c r="I2124" t="s">
        <v>17887</v>
      </c>
      <c r="J2124" t="s">
        <v>17888</v>
      </c>
      <c r="K2124" t="s">
        <v>17889</v>
      </c>
      <c r="L2124" t="s">
        <v>17882</v>
      </c>
      <c r="O2124" t="s">
        <v>17890</v>
      </c>
      <c r="P2124" t="s">
        <v>17891</v>
      </c>
      <c r="Q2124">
        <v>417933.03</v>
      </c>
      <c r="R2124">
        <v>6201793.7599999998</v>
      </c>
      <c r="S2124" t="s">
        <v>17892</v>
      </c>
      <c r="T2124" t="s">
        <v>17893</v>
      </c>
      <c r="U2124">
        <v>417958.71</v>
      </c>
      <c r="V2124">
        <v>6201793.2599999998</v>
      </c>
      <c r="W2124">
        <v>179.97</v>
      </c>
      <c r="X2124">
        <v>150.05000000000001</v>
      </c>
    </row>
    <row r="2125" spans="1:24" x14ac:dyDescent="0.25">
      <c r="A2125" s="148">
        <v>45106</v>
      </c>
      <c r="B2125" s="46">
        <v>180</v>
      </c>
      <c r="C2125" s="149">
        <v>0.35995370370370372</v>
      </c>
      <c r="D2125" s="38" t="s">
        <v>17396</v>
      </c>
      <c r="E2125" s="7" t="s">
        <v>65</v>
      </c>
      <c r="F2125" s="38" t="s">
        <v>8011</v>
      </c>
      <c r="G2125" s="38" t="s">
        <v>1227</v>
      </c>
      <c r="H2125">
        <v>0.16500000000000001</v>
      </c>
      <c r="I2125" t="s">
        <v>17898</v>
      </c>
      <c r="J2125" t="s">
        <v>17899</v>
      </c>
      <c r="K2125" t="s">
        <v>17900</v>
      </c>
      <c r="L2125" t="s">
        <v>17901</v>
      </c>
      <c r="O2125" t="s">
        <v>17894</v>
      </c>
      <c r="P2125" t="s">
        <v>17895</v>
      </c>
      <c r="Q2125">
        <v>417941.54</v>
      </c>
      <c r="R2125">
        <v>6201793.04</v>
      </c>
      <c r="S2125" t="s">
        <v>17896</v>
      </c>
      <c r="T2125" t="s">
        <v>17897</v>
      </c>
      <c r="U2125">
        <v>417967.92</v>
      </c>
      <c r="V2125">
        <v>6201787</v>
      </c>
      <c r="W2125">
        <v>359.78</v>
      </c>
      <c r="X2125">
        <v>150.05000000000001</v>
      </c>
    </row>
    <row r="2126" spans="1:24" x14ac:dyDescent="0.25">
      <c r="A2126" s="148">
        <v>45106</v>
      </c>
      <c r="B2126" s="46">
        <v>180</v>
      </c>
      <c r="C2126" s="149">
        <v>0.36341435185185184</v>
      </c>
      <c r="D2126" s="38" t="s">
        <v>17396</v>
      </c>
      <c r="E2126" s="7" t="s">
        <v>70</v>
      </c>
      <c r="F2126" s="38" t="s">
        <v>8011</v>
      </c>
      <c r="G2126" s="38" t="s">
        <v>1227</v>
      </c>
      <c r="H2126">
        <v>-1.9E-2</v>
      </c>
      <c r="I2126" t="s">
        <v>17898</v>
      </c>
      <c r="J2126" t="s">
        <v>17899</v>
      </c>
      <c r="K2126" t="s">
        <v>17900</v>
      </c>
      <c r="L2126" t="s">
        <v>17901</v>
      </c>
      <c r="O2126" t="s">
        <v>17902</v>
      </c>
      <c r="P2126" t="s">
        <v>17903</v>
      </c>
      <c r="Q2126">
        <v>417942.11</v>
      </c>
      <c r="R2126">
        <v>6201975.5700000003</v>
      </c>
      <c r="S2126" t="s">
        <v>17904</v>
      </c>
      <c r="T2126" t="s">
        <v>17905</v>
      </c>
      <c r="U2126">
        <v>417967.75</v>
      </c>
      <c r="V2126">
        <v>6201970.3200000003</v>
      </c>
      <c r="W2126">
        <v>0.56999999999999995</v>
      </c>
      <c r="X2126">
        <v>150.05000000000001</v>
      </c>
    </row>
    <row r="2127" spans="1:24" x14ac:dyDescent="0.25">
      <c r="A2127" s="148">
        <v>45106</v>
      </c>
      <c r="B2127" s="46">
        <v>180</v>
      </c>
      <c r="C2127" s="149">
        <v>0.36835648148148148</v>
      </c>
      <c r="D2127" s="38" t="s">
        <v>17396</v>
      </c>
      <c r="E2127" s="7" t="s">
        <v>65</v>
      </c>
      <c r="F2127" s="38" t="s">
        <v>8011</v>
      </c>
      <c r="G2127" s="38" t="s">
        <v>1228</v>
      </c>
      <c r="H2127">
        <v>-8.9999999999999993E-3</v>
      </c>
      <c r="I2127" t="s">
        <v>17910</v>
      </c>
      <c r="J2127" t="s">
        <v>17911</v>
      </c>
      <c r="K2127" t="s">
        <v>17912</v>
      </c>
      <c r="L2127" t="s">
        <v>17913</v>
      </c>
      <c r="O2127" t="s">
        <v>17906</v>
      </c>
      <c r="P2127" t="s">
        <v>17907</v>
      </c>
      <c r="Q2127">
        <v>417952.53</v>
      </c>
      <c r="R2127">
        <v>6201971.1299999999</v>
      </c>
      <c r="S2127" t="s">
        <v>17908</v>
      </c>
      <c r="T2127" t="s">
        <v>17909</v>
      </c>
      <c r="U2127">
        <v>417976.85</v>
      </c>
      <c r="V2127">
        <v>6201971.2400000002</v>
      </c>
      <c r="W2127">
        <v>181.06</v>
      </c>
      <c r="X2127">
        <v>150.05000000000001</v>
      </c>
    </row>
    <row r="2128" spans="1:24" x14ac:dyDescent="0.25">
      <c r="A2128" s="148">
        <v>45106</v>
      </c>
      <c r="B2128" s="46">
        <v>180</v>
      </c>
      <c r="C2128" s="149">
        <v>0.37164351851851851</v>
      </c>
      <c r="D2128" s="38" t="s">
        <v>17396</v>
      </c>
      <c r="E2128" s="7" t="s">
        <v>70</v>
      </c>
      <c r="F2128" s="38" t="s">
        <v>8011</v>
      </c>
      <c r="G2128" s="38" t="s">
        <v>1228</v>
      </c>
      <c r="H2128">
        <v>0.17100000000000001</v>
      </c>
      <c r="I2128" t="s">
        <v>17910</v>
      </c>
      <c r="J2128" t="s">
        <v>17911</v>
      </c>
      <c r="K2128" t="s">
        <v>17912</v>
      </c>
      <c r="L2128" t="s">
        <v>17913</v>
      </c>
      <c r="O2128" t="s">
        <v>17914</v>
      </c>
      <c r="P2128" t="s">
        <v>17915</v>
      </c>
      <c r="Q2128">
        <v>417951.63</v>
      </c>
      <c r="R2128">
        <v>6201791.3700000001</v>
      </c>
      <c r="S2128" t="s">
        <v>17916</v>
      </c>
      <c r="T2128" t="s">
        <v>17917</v>
      </c>
      <c r="U2128">
        <v>417976.8</v>
      </c>
      <c r="V2128">
        <v>6201792.0199999996</v>
      </c>
      <c r="W2128">
        <v>181.18</v>
      </c>
      <c r="X2128">
        <v>150.05000000000001</v>
      </c>
    </row>
    <row r="2129" spans="1:24" x14ac:dyDescent="0.25">
      <c r="A2129" s="148">
        <v>45106</v>
      </c>
      <c r="B2129" s="46">
        <v>180</v>
      </c>
      <c r="C2129" s="149">
        <v>0.37587962962962962</v>
      </c>
      <c r="D2129" s="38" t="s">
        <v>17396</v>
      </c>
      <c r="E2129" s="7" t="s">
        <v>65</v>
      </c>
      <c r="F2129" s="38" t="s">
        <v>8011</v>
      </c>
      <c r="G2129" s="38" t="s">
        <v>1229</v>
      </c>
      <c r="H2129">
        <v>0.16400000000000001</v>
      </c>
      <c r="I2129" t="s">
        <v>17922</v>
      </c>
      <c r="J2129" t="s">
        <v>17923</v>
      </c>
      <c r="K2129" t="s">
        <v>17924</v>
      </c>
      <c r="L2129" t="s">
        <v>17913</v>
      </c>
      <c r="O2129" t="s">
        <v>17918</v>
      </c>
      <c r="P2129" t="s">
        <v>17919</v>
      </c>
      <c r="Q2129">
        <v>417960.42</v>
      </c>
      <c r="R2129">
        <v>6201792.6600000001</v>
      </c>
      <c r="S2129" t="s">
        <v>17920</v>
      </c>
      <c r="T2129" t="s">
        <v>17921</v>
      </c>
      <c r="U2129">
        <v>417985.81</v>
      </c>
      <c r="V2129">
        <v>6201787.2300000004</v>
      </c>
      <c r="W2129">
        <v>359.6</v>
      </c>
      <c r="X2129">
        <v>150.05000000000001</v>
      </c>
    </row>
    <row r="2130" spans="1:24" x14ac:dyDescent="0.25">
      <c r="A2130" s="148">
        <v>45106</v>
      </c>
      <c r="B2130" s="46">
        <v>180</v>
      </c>
      <c r="C2130" s="149">
        <v>0.37929398148148147</v>
      </c>
      <c r="D2130" s="38" t="s">
        <v>17396</v>
      </c>
      <c r="E2130" s="7" t="s">
        <v>70</v>
      </c>
      <c r="F2130" s="38" t="s">
        <v>8011</v>
      </c>
      <c r="G2130" s="38" t="s">
        <v>1229</v>
      </c>
      <c r="H2130">
        <v>-1.7999999999999999E-2</v>
      </c>
      <c r="I2130" t="s">
        <v>17922</v>
      </c>
      <c r="J2130" t="s">
        <v>17923</v>
      </c>
      <c r="K2130" t="s">
        <v>17924</v>
      </c>
      <c r="L2130" t="s">
        <v>17929</v>
      </c>
      <c r="O2130" t="s">
        <v>17925</v>
      </c>
      <c r="P2130" t="s">
        <v>17926</v>
      </c>
      <c r="Q2130">
        <v>417960.91</v>
      </c>
      <c r="R2130">
        <v>6201973.9699999997</v>
      </c>
      <c r="S2130" t="s">
        <v>17927</v>
      </c>
      <c r="T2130" t="s">
        <v>17928</v>
      </c>
      <c r="U2130">
        <v>417985.8</v>
      </c>
      <c r="V2130">
        <v>6201969.8700000001</v>
      </c>
      <c r="W2130">
        <v>359.52</v>
      </c>
      <c r="X2130">
        <v>150.05000000000001</v>
      </c>
    </row>
    <row r="2131" spans="1:24" x14ac:dyDescent="0.25">
      <c r="A2131" s="148">
        <v>45106</v>
      </c>
      <c r="B2131" s="46">
        <v>180</v>
      </c>
      <c r="C2131" s="149">
        <v>0.38393518518518516</v>
      </c>
      <c r="D2131" s="38" t="s">
        <v>17396</v>
      </c>
      <c r="E2131" s="7" t="s">
        <v>65</v>
      </c>
      <c r="F2131" s="38" t="s">
        <v>8011</v>
      </c>
      <c r="G2131" s="38" t="s">
        <v>1230</v>
      </c>
      <c r="H2131">
        <v>-1.0999999999999999E-2</v>
      </c>
      <c r="I2131" t="s">
        <v>17934</v>
      </c>
      <c r="J2131" t="s">
        <v>17935</v>
      </c>
      <c r="K2131" t="s">
        <v>17936</v>
      </c>
      <c r="L2131" t="s">
        <v>17929</v>
      </c>
      <c r="O2131" t="s">
        <v>17930</v>
      </c>
      <c r="P2131" t="s">
        <v>17931</v>
      </c>
      <c r="Q2131">
        <v>417970.85</v>
      </c>
      <c r="R2131">
        <v>6201978.2599999998</v>
      </c>
      <c r="S2131" t="s">
        <v>17932</v>
      </c>
      <c r="T2131" t="s">
        <v>17933</v>
      </c>
      <c r="U2131">
        <v>417994.82</v>
      </c>
      <c r="V2131">
        <v>6201973.5700000003</v>
      </c>
      <c r="W2131">
        <v>180.19</v>
      </c>
      <c r="X2131">
        <v>150.05000000000001</v>
      </c>
    </row>
    <row r="2132" spans="1:24" x14ac:dyDescent="0.25">
      <c r="A2132" s="148">
        <v>45106</v>
      </c>
      <c r="B2132" s="46">
        <v>180</v>
      </c>
      <c r="C2132" s="149">
        <v>0.38732638888888887</v>
      </c>
      <c r="D2132" s="38" t="s">
        <v>17396</v>
      </c>
      <c r="E2132" s="7" t="s">
        <v>70</v>
      </c>
      <c r="F2132" s="38" t="s">
        <v>8011</v>
      </c>
      <c r="G2132" s="38" t="s">
        <v>1230</v>
      </c>
      <c r="H2132">
        <v>0.17100000000000001</v>
      </c>
      <c r="I2132" t="s">
        <v>17934</v>
      </c>
      <c r="J2132" t="s">
        <v>17935</v>
      </c>
      <c r="K2132" t="s">
        <v>17936</v>
      </c>
      <c r="L2132" t="s">
        <v>17941</v>
      </c>
      <c r="O2132" t="s">
        <v>17937</v>
      </c>
      <c r="P2132" t="s">
        <v>17938</v>
      </c>
      <c r="Q2132">
        <v>417969.89</v>
      </c>
      <c r="R2132">
        <v>6201797.0700000003</v>
      </c>
      <c r="S2132" t="s">
        <v>17939</v>
      </c>
      <c r="T2132" t="s">
        <v>17940</v>
      </c>
      <c r="U2132">
        <v>417994.87</v>
      </c>
      <c r="V2132">
        <v>6201792.21</v>
      </c>
      <c r="W2132">
        <v>180.95</v>
      </c>
      <c r="X2132">
        <v>150.05000000000001</v>
      </c>
    </row>
    <row r="2133" spans="1:24" x14ac:dyDescent="0.25">
      <c r="A2133" s="148">
        <v>45106</v>
      </c>
      <c r="B2133" s="46">
        <v>180</v>
      </c>
      <c r="C2133" s="149">
        <v>0.39387731481481486</v>
      </c>
      <c r="D2133" s="38" t="s">
        <v>17396</v>
      </c>
      <c r="E2133" s="7" t="s">
        <v>17946</v>
      </c>
      <c r="H2133">
        <v>-0.37</v>
      </c>
      <c r="O2133" t="s">
        <v>17942</v>
      </c>
      <c r="P2133" t="s">
        <v>17943</v>
      </c>
      <c r="Q2133">
        <v>417969.58</v>
      </c>
      <c r="R2133">
        <v>6201776.4500000002</v>
      </c>
      <c r="S2133" t="s">
        <v>17944</v>
      </c>
      <c r="T2133" t="s">
        <v>17945</v>
      </c>
      <c r="U2133">
        <v>417981.32</v>
      </c>
      <c r="V2133">
        <v>6201773.4299999997</v>
      </c>
      <c r="W2133">
        <v>86.99</v>
      </c>
      <c r="X2133">
        <v>150.05000000000001</v>
      </c>
    </row>
    <row r="2134" spans="1:24" s="122" customFormat="1" x14ac:dyDescent="0.25">
      <c r="A2134" s="65">
        <v>45106</v>
      </c>
      <c r="B2134" s="106">
        <v>180</v>
      </c>
      <c r="C2134" s="67">
        <v>0.41137731481481482</v>
      </c>
      <c r="D2134" s="66" t="s">
        <v>17961</v>
      </c>
      <c r="E2134" s="123" t="s">
        <v>17952</v>
      </c>
      <c r="F2134" s="66" t="s">
        <v>8011</v>
      </c>
      <c r="G2134" s="66" t="s">
        <v>1042</v>
      </c>
      <c r="H2134" s="122">
        <v>-5.5E-2</v>
      </c>
      <c r="M2134" s="122" t="s">
        <v>17947</v>
      </c>
      <c r="O2134" s="122" t="s">
        <v>17948</v>
      </c>
      <c r="P2134" s="122" t="s">
        <v>17949</v>
      </c>
      <c r="Q2134" s="122">
        <v>420042.82</v>
      </c>
      <c r="R2134" s="122">
        <v>6201450.5499999998</v>
      </c>
      <c r="S2134" s="122" t="s">
        <v>17950</v>
      </c>
      <c r="T2134" s="122" t="s">
        <v>17951</v>
      </c>
      <c r="U2134" s="122">
        <v>420062.13</v>
      </c>
      <c r="V2134" s="122">
        <v>6201453.1699999999</v>
      </c>
      <c r="W2134" s="122">
        <v>3.22</v>
      </c>
      <c r="X2134" s="122">
        <v>150.05000000000001</v>
      </c>
    </row>
    <row r="2135" spans="1:24" x14ac:dyDescent="0.25">
      <c r="A2135" s="148">
        <v>45106</v>
      </c>
      <c r="B2135" s="46">
        <v>180</v>
      </c>
      <c r="C2135" s="149">
        <v>0.41708333333333331</v>
      </c>
      <c r="D2135" s="38" t="s">
        <v>17961</v>
      </c>
      <c r="E2135" s="7" t="s">
        <v>65</v>
      </c>
      <c r="F2135" s="38" t="s">
        <v>8011</v>
      </c>
      <c r="G2135" s="38" t="s">
        <v>1042</v>
      </c>
      <c r="H2135">
        <v>-1.0999999999999999E-2</v>
      </c>
      <c r="I2135" t="s">
        <v>17957</v>
      </c>
      <c r="J2135" t="s">
        <v>17958</v>
      </c>
      <c r="K2135" t="s">
        <v>17959</v>
      </c>
      <c r="L2135" t="s">
        <v>17960</v>
      </c>
      <c r="O2135" t="s">
        <v>17953</v>
      </c>
      <c r="P2135" t="s">
        <v>17954</v>
      </c>
      <c r="Q2135">
        <v>420036.37</v>
      </c>
      <c r="R2135">
        <v>6201418.2599999998</v>
      </c>
      <c r="S2135" t="s">
        <v>17955</v>
      </c>
      <c r="T2135" t="s">
        <v>17956</v>
      </c>
      <c r="U2135">
        <v>420062.28</v>
      </c>
      <c r="V2135">
        <v>6201419.7599999998</v>
      </c>
      <c r="W2135">
        <v>179.84</v>
      </c>
      <c r="X2135">
        <v>150.05000000000001</v>
      </c>
    </row>
    <row r="2136" spans="1:24" x14ac:dyDescent="0.25">
      <c r="A2136" s="148">
        <v>45106</v>
      </c>
      <c r="B2136" s="46">
        <v>180</v>
      </c>
      <c r="C2136" s="149">
        <v>0.42069444444444443</v>
      </c>
      <c r="D2136" s="114" t="s">
        <v>17961</v>
      </c>
      <c r="E2136" s="7" t="s">
        <v>70</v>
      </c>
      <c r="F2136" s="38" t="s">
        <v>8011</v>
      </c>
      <c r="G2136" s="38" t="s">
        <v>1042</v>
      </c>
      <c r="H2136">
        <v>0.183</v>
      </c>
      <c r="I2136" t="s">
        <v>17957</v>
      </c>
      <c r="J2136" t="s">
        <v>17958</v>
      </c>
      <c r="K2136" t="s">
        <v>17959</v>
      </c>
      <c r="L2136" t="s">
        <v>17966</v>
      </c>
      <c r="O2136" t="s">
        <v>17962</v>
      </c>
      <c r="P2136" t="s">
        <v>17963</v>
      </c>
      <c r="Q2136">
        <v>420036.84</v>
      </c>
      <c r="R2136">
        <v>6201226.2699999996</v>
      </c>
      <c r="S2136" t="s">
        <v>17964</v>
      </c>
      <c r="T2136" t="s">
        <v>17965</v>
      </c>
      <c r="U2136">
        <v>420062.26</v>
      </c>
      <c r="V2136">
        <v>6201226.6399999997</v>
      </c>
      <c r="W2136">
        <v>178.68</v>
      </c>
      <c r="X2136">
        <v>150.05000000000001</v>
      </c>
    </row>
    <row r="2137" spans="1:24" x14ac:dyDescent="0.25">
      <c r="A2137" s="148">
        <v>45106</v>
      </c>
      <c r="B2137" s="46">
        <v>180</v>
      </c>
      <c r="C2137" s="149">
        <v>0.4241550925925926</v>
      </c>
      <c r="D2137" s="114" t="s">
        <v>17961</v>
      </c>
      <c r="E2137" s="7" t="s">
        <v>65</v>
      </c>
      <c r="F2137" s="38" t="s">
        <v>8011</v>
      </c>
      <c r="G2137" s="38" t="s">
        <v>1041</v>
      </c>
      <c r="H2137">
        <v>0.16600000000000001</v>
      </c>
      <c r="I2137" t="s">
        <v>17971</v>
      </c>
      <c r="J2137" t="s">
        <v>17972</v>
      </c>
      <c r="K2137" t="s">
        <v>17973</v>
      </c>
      <c r="L2137" t="s">
        <v>17966</v>
      </c>
      <c r="O2137" t="s">
        <v>17967</v>
      </c>
      <c r="P2137" t="s">
        <v>17968</v>
      </c>
      <c r="Q2137">
        <v>420045.43</v>
      </c>
      <c r="R2137">
        <v>6201238.9800000004</v>
      </c>
      <c r="S2137" t="s">
        <v>17969</v>
      </c>
      <c r="T2137" t="s">
        <v>17970</v>
      </c>
      <c r="U2137">
        <v>420071.15</v>
      </c>
      <c r="V2137">
        <v>6201232.5199999996</v>
      </c>
      <c r="W2137">
        <v>0.02</v>
      </c>
      <c r="X2137">
        <v>150.05000000000001</v>
      </c>
    </row>
    <row r="2138" spans="1:24" x14ac:dyDescent="0.25">
      <c r="A2138" s="148">
        <v>45106</v>
      </c>
      <c r="B2138" s="46">
        <v>180</v>
      </c>
      <c r="C2138" s="149">
        <v>0.42755787037037035</v>
      </c>
      <c r="D2138" s="114" t="s">
        <v>17961</v>
      </c>
      <c r="E2138" s="7" t="s">
        <v>70</v>
      </c>
      <c r="F2138" s="38" t="s">
        <v>8011</v>
      </c>
      <c r="G2138" s="38" t="s">
        <v>1041</v>
      </c>
      <c r="H2138">
        <v>-1.6E-2</v>
      </c>
      <c r="I2138" t="s">
        <v>17971</v>
      </c>
      <c r="J2138" t="s">
        <v>17972</v>
      </c>
      <c r="K2138" t="s">
        <v>17973</v>
      </c>
      <c r="L2138" t="s">
        <v>17966</v>
      </c>
      <c r="O2138" t="s">
        <v>17974</v>
      </c>
      <c r="P2138" t="s">
        <v>17975</v>
      </c>
      <c r="Q2138">
        <v>420044.79999999999</v>
      </c>
      <c r="R2138">
        <v>6201419.1799999997</v>
      </c>
      <c r="S2138" t="s">
        <v>17976</v>
      </c>
      <c r="T2138" t="s">
        <v>17977</v>
      </c>
      <c r="U2138">
        <v>420071.19</v>
      </c>
      <c r="V2138">
        <v>6201414.4299999997</v>
      </c>
      <c r="W2138">
        <v>0.14000000000000001</v>
      </c>
      <c r="X2138">
        <v>150.05000000000001</v>
      </c>
    </row>
    <row r="2139" spans="1:24" x14ac:dyDescent="0.25">
      <c r="A2139" s="148">
        <v>45106</v>
      </c>
      <c r="B2139" s="46">
        <v>180</v>
      </c>
      <c r="C2139" s="149">
        <v>0.43089120370370365</v>
      </c>
      <c r="D2139" s="114" t="s">
        <v>17961</v>
      </c>
      <c r="E2139" s="7" t="s">
        <v>65</v>
      </c>
      <c r="F2139" s="38" t="s">
        <v>8011</v>
      </c>
      <c r="G2139" s="38" t="s">
        <v>1040</v>
      </c>
      <c r="H2139">
        <v>-1.0999999999999999E-2</v>
      </c>
      <c r="I2139" t="s">
        <v>17982</v>
      </c>
      <c r="J2139" t="s">
        <v>17983</v>
      </c>
      <c r="K2139" t="s">
        <v>17984</v>
      </c>
      <c r="L2139" t="s">
        <v>17985</v>
      </c>
      <c r="O2139" t="s">
        <v>17978</v>
      </c>
      <c r="P2139" t="s">
        <v>17979</v>
      </c>
      <c r="Q2139">
        <v>420055.03999999998</v>
      </c>
      <c r="R2139">
        <v>6201420.6600000001</v>
      </c>
      <c r="S2139" t="s">
        <v>17980</v>
      </c>
      <c r="T2139" t="s">
        <v>17981</v>
      </c>
      <c r="U2139">
        <v>420080.25</v>
      </c>
      <c r="V2139">
        <v>6201420.2999999998</v>
      </c>
      <c r="W2139">
        <v>180.59</v>
      </c>
      <c r="X2139">
        <v>150.05000000000001</v>
      </c>
    </row>
    <row r="2140" spans="1:24" x14ac:dyDescent="0.25">
      <c r="A2140" s="148">
        <v>45106</v>
      </c>
      <c r="B2140" s="46">
        <v>180</v>
      </c>
      <c r="C2140" s="149">
        <v>0.43430555555555556</v>
      </c>
      <c r="D2140" s="114" t="s">
        <v>17961</v>
      </c>
      <c r="E2140" s="7" t="s">
        <v>70</v>
      </c>
      <c r="F2140" s="38" t="s">
        <v>8011</v>
      </c>
      <c r="G2140" s="38" t="s">
        <v>1040</v>
      </c>
      <c r="H2140">
        <v>0.17</v>
      </c>
      <c r="I2140" t="s">
        <v>17982</v>
      </c>
      <c r="J2140" t="s">
        <v>17983</v>
      </c>
      <c r="K2140" t="s">
        <v>17984</v>
      </c>
      <c r="L2140" t="s">
        <v>17985</v>
      </c>
      <c r="O2140" t="s">
        <v>17986</v>
      </c>
      <c r="P2140" t="s">
        <v>17987</v>
      </c>
      <c r="Q2140">
        <v>420054.9</v>
      </c>
      <c r="R2140">
        <v>6201238.3700000001</v>
      </c>
      <c r="S2140" t="s">
        <v>17988</v>
      </c>
      <c r="T2140" t="s">
        <v>17989</v>
      </c>
      <c r="U2140">
        <v>420080.16</v>
      </c>
      <c r="V2140">
        <v>6201238.7199999997</v>
      </c>
      <c r="W2140">
        <v>179.65</v>
      </c>
      <c r="X2140">
        <v>150.05000000000001</v>
      </c>
    </row>
    <row r="2141" spans="1:24" x14ac:dyDescent="0.25">
      <c r="A2141" s="148">
        <v>45106</v>
      </c>
      <c r="B2141" s="46">
        <v>180</v>
      </c>
      <c r="C2141" s="149">
        <v>0.43776620370370373</v>
      </c>
      <c r="D2141" s="38" t="s">
        <v>17961</v>
      </c>
      <c r="E2141" s="7" t="s">
        <v>65</v>
      </c>
      <c r="F2141" s="38" t="s">
        <v>8011</v>
      </c>
      <c r="G2141" s="38" t="s">
        <v>1039</v>
      </c>
      <c r="H2141">
        <v>0.16500000000000001</v>
      </c>
      <c r="I2141" t="s">
        <v>17994</v>
      </c>
      <c r="J2141" t="s">
        <v>17995</v>
      </c>
      <c r="K2141" t="s">
        <v>17996</v>
      </c>
      <c r="L2141" t="s">
        <v>17985</v>
      </c>
      <c r="O2141" t="s">
        <v>17990</v>
      </c>
      <c r="P2141" t="s">
        <v>17991</v>
      </c>
      <c r="Q2141">
        <v>420064.01</v>
      </c>
      <c r="R2141">
        <v>6201235.5899999999</v>
      </c>
      <c r="S2141" t="s">
        <v>17992</v>
      </c>
      <c r="T2141" t="s">
        <v>17993</v>
      </c>
      <c r="U2141">
        <v>420089.44</v>
      </c>
      <c r="V2141">
        <v>6201232.9800000004</v>
      </c>
      <c r="W2141">
        <v>359.46</v>
      </c>
      <c r="X2141">
        <v>150.05000000000001</v>
      </c>
    </row>
    <row r="2142" spans="1:24" x14ac:dyDescent="0.25">
      <c r="A2142" s="148">
        <v>45106</v>
      </c>
      <c r="B2142" s="46">
        <v>180</v>
      </c>
      <c r="C2142" s="149">
        <v>0.44114583333333335</v>
      </c>
      <c r="D2142" s="38" t="s">
        <v>17961</v>
      </c>
      <c r="E2142" s="7" t="s">
        <v>70</v>
      </c>
      <c r="F2142" s="38" t="s">
        <v>8011</v>
      </c>
      <c r="G2142" s="38" t="s">
        <v>1039</v>
      </c>
      <c r="H2142">
        <v>-1.6E-2</v>
      </c>
      <c r="I2142" t="s">
        <v>17994</v>
      </c>
      <c r="J2142" t="s">
        <v>17995</v>
      </c>
      <c r="K2142" t="s">
        <v>17996</v>
      </c>
      <c r="L2142" t="s">
        <v>18001</v>
      </c>
      <c r="O2142" t="s">
        <v>17997</v>
      </c>
      <c r="P2142" t="s">
        <v>17998</v>
      </c>
      <c r="Q2142">
        <v>420063.31</v>
      </c>
      <c r="R2142">
        <v>6201414.0999999996</v>
      </c>
      <c r="S2142" t="s">
        <v>17999</v>
      </c>
      <c r="T2142" t="s">
        <v>18000</v>
      </c>
      <c r="U2142">
        <v>420089.39</v>
      </c>
      <c r="V2142">
        <v>6201413.5</v>
      </c>
      <c r="W2142">
        <v>359.32</v>
      </c>
      <c r="X2142">
        <v>150.05000000000001</v>
      </c>
    </row>
    <row r="2143" spans="1:24" x14ac:dyDescent="0.25">
      <c r="A2143" s="148">
        <v>45106</v>
      </c>
      <c r="B2143" s="46">
        <v>180</v>
      </c>
      <c r="C2143" s="149">
        <v>0.44464120370370369</v>
      </c>
      <c r="D2143" s="38" t="s">
        <v>17961</v>
      </c>
      <c r="E2143" s="7" t="s">
        <v>65</v>
      </c>
      <c r="F2143" s="38" t="s">
        <v>8011</v>
      </c>
      <c r="G2143" s="38" t="s">
        <v>1038</v>
      </c>
      <c r="H2143">
        <v>-0.01</v>
      </c>
      <c r="I2143" t="s">
        <v>18006</v>
      </c>
      <c r="J2143" t="s">
        <v>18007</v>
      </c>
      <c r="K2143" t="s">
        <v>18008</v>
      </c>
      <c r="L2143" t="s">
        <v>18001</v>
      </c>
      <c r="O2143" t="s">
        <v>18002</v>
      </c>
      <c r="P2143" t="s">
        <v>18003</v>
      </c>
      <c r="Q2143">
        <v>420074.22</v>
      </c>
      <c r="R2143">
        <v>6201418.9299999997</v>
      </c>
      <c r="S2143" t="s">
        <v>18004</v>
      </c>
      <c r="T2143" t="s">
        <v>18005</v>
      </c>
      <c r="U2143">
        <v>420098.34</v>
      </c>
      <c r="V2143">
        <v>6201419.3300000001</v>
      </c>
      <c r="W2143">
        <v>179.29</v>
      </c>
      <c r="X2143">
        <v>150.05000000000001</v>
      </c>
    </row>
    <row r="2144" spans="1:24" x14ac:dyDescent="0.25">
      <c r="A2144" s="148">
        <v>45106</v>
      </c>
      <c r="B2144" s="46">
        <v>180</v>
      </c>
      <c r="C2144" s="149">
        <v>0.44803240740740741</v>
      </c>
      <c r="D2144" s="38" t="s">
        <v>17961</v>
      </c>
      <c r="E2144" s="7" t="s">
        <v>70</v>
      </c>
      <c r="F2144" s="38" t="s">
        <v>8011</v>
      </c>
      <c r="G2144" s="38" t="s">
        <v>1038</v>
      </c>
      <c r="H2144">
        <v>0.17</v>
      </c>
      <c r="I2144" t="s">
        <v>18006</v>
      </c>
      <c r="J2144" t="s">
        <v>18007</v>
      </c>
      <c r="K2144" t="s">
        <v>18008</v>
      </c>
      <c r="L2144" t="s">
        <v>18001</v>
      </c>
      <c r="O2144" t="s">
        <v>18009</v>
      </c>
      <c r="P2144" t="s">
        <v>18010</v>
      </c>
      <c r="Q2144">
        <v>420074.06</v>
      </c>
      <c r="R2144">
        <v>6201238.5800000001</v>
      </c>
      <c r="S2144" t="s">
        <v>18011</v>
      </c>
      <c r="T2144" t="s">
        <v>18012</v>
      </c>
      <c r="U2144">
        <v>420098.29</v>
      </c>
      <c r="V2144">
        <v>6201239.3300000001</v>
      </c>
      <c r="W2144">
        <v>180.43</v>
      </c>
      <c r="X2144">
        <v>150.05000000000001</v>
      </c>
    </row>
    <row r="2145" spans="1:24" x14ac:dyDescent="0.25">
      <c r="A2145" s="148">
        <v>45106</v>
      </c>
      <c r="B2145" s="46">
        <v>180</v>
      </c>
      <c r="C2145" s="149">
        <v>0.45224537037037038</v>
      </c>
      <c r="D2145" s="38" t="s">
        <v>17961</v>
      </c>
      <c r="E2145" s="7" t="s">
        <v>65</v>
      </c>
      <c r="F2145" s="38" t="s">
        <v>8011</v>
      </c>
      <c r="G2145" s="38" t="s">
        <v>1037</v>
      </c>
      <c r="H2145">
        <v>0.16500000000000001</v>
      </c>
      <c r="I2145" t="s">
        <v>18017</v>
      </c>
      <c r="J2145" t="s">
        <v>18018</v>
      </c>
      <c r="K2145" t="s">
        <v>18019</v>
      </c>
      <c r="L2145" t="s">
        <v>18020</v>
      </c>
      <c r="O2145" t="s">
        <v>18013</v>
      </c>
      <c r="P2145" t="s">
        <v>18014</v>
      </c>
      <c r="Q2145">
        <v>420081.99</v>
      </c>
      <c r="R2145">
        <v>6201238.5199999996</v>
      </c>
      <c r="S2145" t="s">
        <v>18015</v>
      </c>
      <c r="T2145" t="s">
        <v>18016</v>
      </c>
      <c r="U2145">
        <v>420107.44</v>
      </c>
      <c r="V2145">
        <v>6201232.9000000004</v>
      </c>
      <c r="W2145">
        <v>358.71</v>
      </c>
      <c r="X2145">
        <v>150.05000000000001</v>
      </c>
    </row>
    <row r="2146" spans="1:24" x14ac:dyDescent="0.25">
      <c r="A2146" s="148">
        <v>45106</v>
      </c>
      <c r="B2146" s="46">
        <v>180</v>
      </c>
      <c r="C2146" s="149">
        <v>0.45560185185185187</v>
      </c>
      <c r="D2146" s="38" t="s">
        <v>17961</v>
      </c>
      <c r="E2146" s="7" t="s">
        <v>70</v>
      </c>
      <c r="F2146" s="38" t="s">
        <v>8011</v>
      </c>
      <c r="G2146" s="38" t="s">
        <v>1037</v>
      </c>
      <c r="H2146">
        <v>-1.4E-2</v>
      </c>
      <c r="I2146" t="s">
        <v>18017</v>
      </c>
      <c r="J2146" t="s">
        <v>18018</v>
      </c>
      <c r="K2146" t="s">
        <v>18019</v>
      </c>
      <c r="L2146" t="s">
        <v>18020</v>
      </c>
      <c r="O2146" t="s">
        <v>18021</v>
      </c>
      <c r="P2146" t="s">
        <v>18022</v>
      </c>
      <c r="Q2146">
        <v>420081.39</v>
      </c>
      <c r="R2146">
        <v>6201416.9400000004</v>
      </c>
      <c r="S2146" t="s">
        <v>18023</v>
      </c>
      <c r="T2146" t="s">
        <v>18024</v>
      </c>
      <c r="U2146">
        <v>420107.32</v>
      </c>
      <c r="V2146">
        <v>6201412.2699999996</v>
      </c>
      <c r="W2146">
        <v>0.53</v>
      </c>
      <c r="X2146">
        <v>150.05000000000001</v>
      </c>
    </row>
    <row r="2147" spans="1:24" x14ac:dyDescent="0.25">
      <c r="A2147" s="148">
        <v>45106</v>
      </c>
      <c r="B2147" s="46">
        <v>180</v>
      </c>
      <c r="C2147" s="149">
        <v>0.45915509259259263</v>
      </c>
      <c r="D2147" s="38" t="s">
        <v>17961</v>
      </c>
      <c r="E2147" s="7" t="s">
        <v>65</v>
      </c>
      <c r="F2147" s="38" t="s">
        <v>8011</v>
      </c>
      <c r="G2147" s="38" t="s">
        <v>1043</v>
      </c>
      <c r="H2147">
        <v>-0.01</v>
      </c>
      <c r="I2147" t="s">
        <v>18029</v>
      </c>
      <c r="J2147" t="s">
        <v>18030</v>
      </c>
      <c r="K2147" t="s">
        <v>18031</v>
      </c>
      <c r="L2147" t="s">
        <v>18020</v>
      </c>
      <c r="O2147" t="s">
        <v>18025</v>
      </c>
      <c r="P2147" t="s">
        <v>18026</v>
      </c>
      <c r="Q2147">
        <v>420090.79</v>
      </c>
      <c r="R2147">
        <v>6201426.9400000004</v>
      </c>
      <c r="S2147" t="s">
        <v>18027</v>
      </c>
      <c r="T2147" t="s">
        <v>18028</v>
      </c>
      <c r="U2147">
        <v>420116.21</v>
      </c>
      <c r="V2147">
        <v>6201418.9900000002</v>
      </c>
      <c r="W2147">
        <v>180.09</v>
      </c>
      <c r="X2147">
        <v>150.05000000000001</v>
      </c>
    </row>
    <row r="2148" spans="1:24" x14ac:dyDescent="0.25">
      <c r="A2148" s="148">
        <v>45106</v>
      </c>
      <c r="B2148" s="46">
        <v>180</v>
      </c>
      <c r="C2148" s="149">
        <v>0.46255787037037038</v>
      </c>
      <c r="D2148" s="38" t="s">
        <v>17961</v>
      </c>
      <c r="E2148" s="7" t="s">
        <v>70</v>
      </c>
      <c r="F2148" s="38" t="s">
        <v>8011</v>
      </c>
      <c r="G2148" s="38" t="s">
        <v>1043</v>
      </c>
      <c r="H2148">
        <v>0.17</v>
      </c>
      <c r="I2148" t="s">
        <v>18029</v>
      </c>
      <c r="J2148" t="s">
        <v>18030</v>
      </c>
      <c r="K2148" t="s">
        <v>18031</v>
      </c>
      <c r="L2148" t="s">
        <v>18036</v>
      </c>
      <c r="O2148" t="s">
        <v>18032</v>
      </c>
      <c r="P2148" t="s">
        <v>18033</v>
      </c>
      <c r="Q2148">
        <v>420090.94</v>
      </c>
      <c r="R2148">
        <v>6201245.5999999996</v>
      </c>
      <c r="S2148" t="s">
        <v>18034</v>
      </c>
      <c r="T2148" t="s">
        <v>18035</v>
      </c>
      <c r="U2148">
        <v>420116.12</v>
      </c>
      <c r="V2148">
        <v>6201238.75</v>
      </c>
      <c r="W2148">
        <v>179.08</v>
      </c>
      <c r="X2148">
        <v>150.05000000000001</v>
      </c>
    </row>
    <row r="2149" spans="1:24" x14ac:dyDescent="0.25">
      <c r="A2149" s="148">
        <v>45106</v>
      </c>
      <c r="B2149" s="46">
        <v>180</v>
      </c>
      <c r="C2149" s="149">
        <v>0.46686342592592589</v>
      </c>
      <c r="D2149" s="38" t="s">
        <v>17961</v>
      </c>
      <c r="E2149" s="7" t="s">
        <v>65</v>
      </c>
      <c r="F2149" s="38" t="s">
        <v>8011</v>
      </c>
      <c r="G2149" s="38" t="s">
        <v>1044</v>
      </c>
      <c r="H2149">
        <v>0.16400000000000001</v>
      </c>
      <c r="I2149" t="s">
        <v>18041</v>
      </c>
      <c r="J2149" t="s">
        <v>18042</v>
      </c>
      <c r="K2149" t="s">
        <v>18043</v>
      </c>
      <c r="L2149" t="s">
        <v>18036</v>
      </c>
      <c r="O2149" t="s">
        <v>18037</v>
      </c>
      <c r="P2149" t="s">
        <v>18038</v>
      </c>
      <c r="Q2149">
        <v>420099.47</v>
      </c>
      <c r="R2149">
        <v>6201236.4699999997</v>
      </c>
      <c r="S2149" t="s">
        <v>18039</v>
      </c>
      <c r="T2149" t="s">
        <v>18040</v>
      </c>
      <c r="U2149">
        <v>420125.36</v>
      </c>
      <c r="V2149">
        <v>6201233.6699999999</v>
      </c>
      <c r="W2149">
        <v>359.51</v>
      </c>
      <c r="X2149">
        <v>150.05000000000001</v>
      </c>
    </row>
    <row r="2150" spans="1:24" x14ac:dyDescent="0.25">
      <c r="A2150" s="148">
        <v>45106</v>
      </c>
      <c r="B2150" s="46">
        <v>180</v>
      </c>
      <c r="C2150" s="149">
        <v>0.47020833333333334</v>
      </c>
      <c r="D2150" s="38" t="s">
        <v>17961</v>
      </c>
      <c r="E2150" s="7" t="s">
        <v>70</v>
      </c>
      <c r="F2150" s="38" t="s">
        <v>8011</v>
      </c>
      <c r="G2150" s="38" t="s">
        <v>1044</v>
      </c>
      <c r="H2150">
        <v>-1.4E-2</v>
      </c>
      <c r="I2150" t="s">
        <v>18041</v>
      </c>
      <c r="J2150" t="s">
        <v>18042</v>
      </c>
      <c r="K2150" t="s">
        <v>18043</v>
      </c>
      <c r="L2150" t="s">
        <v>18036</v>
      </c>
      <c r="O2150" t="s">
        <v>18044</v>
      </c>
      <c r="P2150" t="s">
        <v>18045</v>
      </c>
      <c r="Q2150">
        <v>420099.5</v>
      </c>
      <c r="R2150">
        <v>6201412.5099999998</v>
      </c>
      <c r="S2150" t="s">
        <v>18046</v>
      </c>
      <c r="T2150" t="s">
        <v>18047</v>
      </c>
      <c r="U2150">
        <v>420125.4</v>
      </c>
      <c r="V2150">
        <v>6201412.4199999999</v>
      </c>
      <c r="W2150">
        <v>358.99</v>
      </c>
      <c r="X2150">
        <v>150.05000000000001</v>
      </c>
    </row>
    <row r="2151" spans="1:24" x14ac:dyDescent="0.25">
      <c r="A2151" s="148">
        <v>45106</v>
      </c>
      <c r="B2151" s="46">
        <v>180</v>
      </c>
      <c r="C2151" s="149">
        <v>0.47386574074074073</v>
      </c>
      <c r="D2151" s="38" t="s">
        <v>17961</v>
      </c>
      <c r="E2151" s="7" t="s">
        <v>65</v>
      </c>
      <c r="F2151" s="38" t="s">
        <v>8011</v>
      </c>
      <c r="G2151" s="38" t="s">
        <v>1045</v>
      </c>
      <c r="H2151">
        <v>-8.9999999999999993E-3</v>
      </c>
      <c r="I2151" t="s">
        <v>18052</v>
      </c>
      <c r="J2151" t="s">
        <v>18053</v>
      </c>
      <c r="K2151" t="s">
        <v>18054</v>
      </c>
      <c r="L2151" t="s">
        <v>18055</v>
      </c>
      <c r="O2151" t="s">
        <v>18048</v>
      </c>
      <c r="P2151" t="s">
        <v>18049</v>
      </c>
      <c r="Q2151">
        <v>420110.11</v>
      </c>
      <c r="R2151">
        <v>6201418.9400000004</v>
      </c>
      <c r="S2151" t="s">
        <v>18050</v>
      </c>
      <c r="T2151" t="s">
        <v>18051</v>
      </c>
      <c r="U2151">
        <v>420134.36</v>
      </c>
      <c r="V2151">
        <v>6201418.3600000003</v>
      </c>
      <c r="W2151">
        <v>179.74</v>
      </c>
      <c r="X2151">
        <v>150.05000000000001</v>
      </c>
    </row>
    <row r="2152" spans="1:24" x14ac:dyDescent="0.25">
      <c r="A2152" s="148">
        <v>45106</v>
      </c>
      <c r="B2152" s="46">
        <v>180</v>
      </c>
      <c r="C2152" s="149">
        <v>0.47721064814814818</v>
      </c>
      <c r="D2152" s="38" t="s">
        <v>17961</v>
      </c>
      <c r="E2152" s="7" t="s">
        <v>70</v>
      </c>
      <c r="F2152" s="38" t="s">
        <v>8011</v>
      </c>
      <c r="G2152" s="38" t="s">
        <v>1045</v>
      </c>
      <c r="H2152">
        <v>0.16900000000000001</v>
      </c>
      <c r="I2152" t="s">
        <v>18052</v>
      </c>
      <c r="J2152" t="s">
        <v>18053</v>
      </c>
      <c r="K2152" t="s">
        <v>18054</v>
      </c>
      <c r="L2152" t="s">
        <v>18055</v>
      </c>
      <c r="O2152" t="s">
        <v>18056</v>
      </c>
      <c r="P2152" t="s">
        <v>18057</v>
      </c>
      <c r="Q2152">
        <v>420109.99</v>
      </c>
      <c r="R2152">
        <v>6201240.5300000003</v>
      </c>
      <c r="S2152" t="s">
        <v>18058</v>
      </c>
      <c r="T2152" t="s">
        <v>18059</v>
      </c>
      <c r="U2152">
        <v>420134.38</v>
      </c>
      <c r="V2152">
        <v>6201239.7400000002</v>
      </c>
      <c r="W2152">
        <v>179.71</v>
      </c>
      <c r="X2152">
        <v>150.05000000000001</v>
      </c>
    </row>
    <row r="2153" spans="1:24" x14ac:dyDescent="0.25">
      <c r="A2153" s="148">
        <v>45106</v>
      </c>
      <c r="B2153" s="46">
        <v>180</v>
      </c>
      <c r="C2153" s="149">
        <v>0.48113425925925929</v>
      </c>
      <c r="D2153" s="38" t="s">
        <v>17961</v>
      </c>
      <c r="E2153" s="7" t="s">
        <v>65</v>
      </c>
      <c r="F2153" s="38" t="s">
        <v>8011</v>
      </c>
      <c r="G2153" s="38" t="s">
        <v>1046</v>
      </c>
      <c r="H2153">
        <v>0.16400000000000001</v>
      </c>
      <c r="I2153" t="s">
        <v>18064</v>
      </c>
      <c r="J2153" t="s">
        <v>18065</v>
      </c>
      <c r="K2153" t="s">
        <v>18066</v>
      </c>
      <c r="L2153" t="s">
        <v>18067</v>
      </c>
      <c r="O2153" t="s">
        <v>18060</v>
      </c>
      <c r="P2153" t="s">
        <v>18061</v>
      </c>
      <c r="Q2153">
        <v>420118.7</v>
      </c>
      <c r="R2153">
        <v>6201236.4000000004</v>
      </c>
      <c r="S2153" t="s">
        <v>18062</v>
      </c>
      <c r="T2153" t="s">
        <v>18063</v>
      </c>
      <c r="U2153">
        <v>420143.33</v>
      </c>
      <c r="V2153">
        <v>6201233.6200000001</v>
      </c>
      <c r="W2153">
        <v>0.48</v>
      </c>
      <c r="X2153">
        <v>150.05000000000001</v>
      </c>
    </row>
    <row r="2154" spans="1:24" x14ac:dyDescent="0.25">
      <c r="A2154" s="148">
        <v>45106</v>
      </c>
      <c r="B2154" s="46">
        <v>180</v>
      </c>
      <c r="C2154" s="149">
        <v>0.48446759259259259</v>
      </c>
      <c r="D2154" s="38" t="s">
        <v>17961</v>
      </c>
      <c r="E2154" s="7" t="s">
        <v>70</v>
      </c>
      <c r="F2154" s="38" t="s">
        <v>8011</v>
      </c>
      <c r="G2154" s="38" t="s">
        <v>1046</v>
      </c>
      <c r="H2154">
        <v>-1.4E-2</v>
      </c>
      <c r="I2154" t="s">
        <v>18064</v>
      </c>
      <c r="J2154" t="s">
        <v>18065</v>
      </c>
      <c r="K2154" t="s">
        <v>18066</v>
      </c>
      <c r="L2154" t="s">
        <v>18067</v>
      </c>
      <c r="O2154" t="s">
        <v>18068</v>
      </c>
      <c r="P2154" t="s">
        <v>18069</v>
      </c>
      <c r="Q2154">
        <v>420118.5</v>
      </c>
      <c r="R2154">
        <v>6201413.3499999996</v>
      </c>
      <c r="S2154" t="s">
        <v>18070</v>
      </c>
      <c r="T2154" t="s">
        <v>18071</v>
      </c>
      <c r="U2154">
        <v>420143.43</v>
      </c>
      <c r="V2154">
        <v>6201411.5599999996</v>
      </c>
      <c r="W2154">
        <v>359.57</v>
      </c>
      <c r="X2154">
        <v>150.05000000000001</v>
      </c>
    </row>
    <row r="2155" spans="1:24" x14ac:dyDescent="0.25">
      <c r="A2155" s="148">
        <v>45106</v>
      </c>
      <c r="B2155" s="46">
        <v>180</v>
      </c>
      <c r="C2155" s="149">
        <v>0.48807870370370371</v>
      </c>
      <c r="D2155" s="38" t="s">
        <v>17961</v>
      </c>
      <c r="E2155" s="7" t="s">
        <v>65</v>
      </c>
      <c r="F2155" s="38" t="s">
        <v>8011</v>
      </c>
      <c r="G2155" s="38" t="s">
        <v>1047</v>
      </c>
      <c r="H2155">
        <v>-8.9999999999999993E-3</v>
      </c>
      <c r="I2155" t="s">
        <v>18076</v>
      </c>
      <c r="J2155" t="s">
        <v>18077</v>
      </c>
      <c r="K2155" t="s">
        <v>18078</v>
      </c>
      <c r="L2155" t="s">
        <v>18067</v>
      </c>
      <c r="O2155" t="s">
        <v>18072</v>
      </c>
      <c r="P2155" t="s">
        <v>18073</v>
      </c>
      <c r="Q2155">
        <v>420128.26</v>
      </c>
      <c r="R2155">
        <v>6201412.7999999998</v>
      </c>
      <c r="S2155" t="s">
        <v>18074</v>
      </c>
      <c r="T2155" t="s">
        <v>18075</v>
      </c>
      <c r="U2155">
        <v>420152.19</v>
      </c>
      <c r="V2155">
        <v>6201417.9000000004</v>
      </c>
      <c r="W2155">
        <v>179.64</v>
      </c>
      <c r="X2155">
        <v>150.05000000000001</v>
      </c>
    </row>
    <row r="2156" spans="1:24" x14ac:dyDescent="0.25">
      <c r="A2156" s="148">
        <v>45106</v>
      </c>
      <c r="B2156" s="46">
        <v>180</v>
      </c>
      <c r="C2156" s="149">
        <v>0.49141203703703701</v>
      </c>
      <c r="D2156" s="38" t="s">
        <v>17961</v>
      </c>
      <c r="E2156" s="7" t="s">
        <v>70</v>
      </c>
      <c r="F2156" s="38" t="s">
        <v>8011</v>
      </c>
      <c r="G2156" s="38" t="s">
        <v>1047</v>
      </c>
      <c r="H2156">
        <v>0.17</v>
      </c>
      <c r="I2156" t="s">
        <v>18076</v>
      </c>
      <c r="J2156" t="s">
        <v>18077</v>
      </c>
      <c r="K2156" t="s">
        <v>18078</v>
      </c>
      <c r="L2156" t="s">
        <v>18067</v>
      </c>
      <c r="O2156" t="s">
        <v>18079</v>
      </c>
      <c r="P2156" t="s">
        <v>18080</v>
      </c>
      <c r="Q2156">
        <v>420128.26</v>
      </c>
      <c r="R2156">
        <v>6201234.0599999996</v>
      </c>
      <c r="S2156" t="s">
        <v>18081</v>
      </c>
      <c r="T2156" t="s">
        <v>18082</v>
      </c>
      <c r="U2156">
        <v>420152.23</v>
      </c>
      <c r="V2156">
        <v>6201239.5800000001</v>
      </c>
      <c r="W2156">
        <v>179.28</v>
      </c>
      <c r="X2156">
        <v>150.05000000000001</v>
      </c>
    </row>
    <row r="2157" spans="1:24" x14ac:dyDescent="0.25">
      <c r="A2157" s="148">
        <v>45106</v>
      </c>
      <c r="B2157" s="46">
        <v>180</v>
      </c>
      <c r="C2157" s="149">
        <v>0.49447916666666664</v>
      </c>
      <c r="D2157" s="38" t="s">
        <v>17961</v>
      </c>
      <c r="E2157" s="7" t="s">
        <v>65</v>
      </c>
      <c r="F2157" s="38" t="s">
        <v>8011</v>
      </c>
      <c r="G2157" s="38" t="s">
        <v>1048</v>
      </c>
      <c r="H2157">
        <v>0.16400000000000001</v>
      </c>
      <c r="I2157" t="s">
        <v>18087</v>
      </c>
      <c r="J2157" t="s">
        <v>18088</v>
      </c>
      <c r="K2157" t="s">
        <v>18089</v>
      </c>
      <c r="L2157" t="s">
        <v>18090</v>
      </c>
      <c r="O2157" t="s">
        <v>18083</v>
      </c>
      <c r="P2157" t="s">
        <v>18084</v>
      </c>
      <c r="Q2157">
        <v>420136.7</v>
      </c>
      <c r="R2157">
        <v>6201233.3700000001</v>
      </c>
      <c r="S2157" t="s">
        <v>18085</v>
      </c>
      <c r="T2157" t="s">
        <v>18086</v>
      </c>
      <c r="U2157">
        <v>420161.35</v>
      </c>
      <c r="V2157">
        <v>6201234.4400000004</v>
      </c>
      <c r="W2157">
        <v>0.92</v>
      </c>
      <c r="X2157">
        <v>150.05000000000001</v>
      </c>
    </row>
    <row r="2158" spans="1:24" x14ac:dyDescent="0.25">
      <c r="A2158" s="148">
        <v>45106</v>
      </c>
      <c r="B2158" s="46">
        <v>180</v>
      </c>
      <c r="C2158" s="149">
        <v>0.49793981481481481</v>
      </c>
      <c r="D2158" s="38" t="s">
        <v>17961</v>
      </c>
      <c r="E2158" s="7" t="s">
        <v>70</v>
      </c>
      <c r="F2158" s="38" t="s">
        <v>8011</v>
      </c>
      <c r="G2158" s="38" t="s">
        <v>1048</v>
      </c>
      <c r="H2158">
        <v>-1.2999999999999999E-2</v>
      </c>
      <c r="I2158" t="s">
        <v>18087</v>
      </c>
      <c r="J2158" t="s">
        <v>18088</v>
      </c>
      <c r="K2158" t="s">
        <v>18089</v>
      </c>
      <c r="L2158" t="s">
        <v>18090</v>
      </c>
      <c r="O2158" t="s">
        <v>18091</v>
      </c>
      <c r="P2158" t="s">
        <v>18092</v>
      </c>
      <c r="Q2158">
        <v>420136.47</v>
      </c>
      <c r="R2158">
        <v>6201416.6799999997</v>
      </c>
      <c r="S2158" t="s">
        <v>18093</v>
      </c>
      <c r="T2158" t="s">
        <v>18094</v>
      </c>
      <c r="U2158">
        <v>420161.38</v>
      </c>
      <c r="V2158">
        <v>6201410.6799999997</v>
      </c>
      <c r="W2158">
        <v>0.37</v>
      </c>
      <c r="X2158">
        <v>150.05000000000001</v>
      </c>
    </row>
    <row r="2159" spans="1:24" x14ac:dyDescent="0.25">
      <c r="A2159" s="148">
        <v>45106</v>
      </c>
      <c r="B2159" s="46">
        <v>180</v>
      </c>
      <c r="C2159" s="149">
        <v>0.50689814814814815</v>
      </c>
      <c r="D2159" s="38" t="s">
        <v>17961</v>
      </c>
      <c r="E2159" s="7" t="s">
        <v>65</v>
      </c>
      <c r="F2159" s="38" t="s">
        <v>8011</v>
      </c>
      <c r="G2159" s="38" t="s">
        <v>1039</v>
      </c>
      <c r="H2159">
        <v>-1.2999999999999999E-2</v>
      </c>
      <c r="I2159" t="s">
        <v>18099</v>
      </c>
      <c r="J2159" t="s">
        <v>18100</v>
      </c>
      <c r="K2159" t="s">
        <v>18101</v>
      </c>
      <c r="L2159" t="s">
        <v>18102</v>
      </c>
      <c r="O2159" t="s">
        <v>18095</v>
      </c>
      <c r="P2159" t="s">
        <v>18096</v>
      </c>
      <c r="Q2159">
        <v>420064.95</v>
      </c>
      <c r="R2159">
        <v>6201430.8399999999</v>
      </c>
      <c r="S2159" t="s">
        <v>18097</v>
      </c>
      <c r="T2159" t="s">
        <v>18098</v>
      </c>
      <c r="U2159">
        <v>420089.35</v>
      </c>
      <c r="V2159">
        <v>6201422.1299999999</v>
      </c>
      <c r="W2159">
        <v>179.42</v>
      </c>
      <c r="X2159">
        <v>150.05000000000001</v>
      </c>
    </row>
    <row r="2160" spans="1:24" x14ac:dyDescent="0.25">
      <c r="A2160" s="148">
        <v>45106</v>
      </c>
      <c r="B2160" s="46">
        <v>180</v>
      </c>
      <c r="C2160" s="149">
        <v>0.51061342592592596</v>
      </c>
      <c r="D2160" s="38" t="s">
        <v>17961</v>
      </c>
      <c r="E2160" s="7" t="s">
        <v>70</v>
      </c>
      <c r="F2160" s="38" t="s">
        <v>8011</v>
      </c>
      <c r="G2160" s="38" t="s">
        <v>1039</v>
      </c>
      <c r="H2160">
        <v>0.17399999999999999</v>
      </c>
      <c r="I2160" t="s">
        <v>18099</v>
      </c>
      <c r="J2160" t="s">
        <v>18100</v>
      </c>
      <c r="K2160" t="s">
        <v>18101</v>
      </c>
      <c r="L2160" t="s">
        <v>18102</v>
      </c>
      <c r="O2160" t="s">
        <v>18103</v>
      </c>
      <c r="P2160" t="s">
        <v>18104</v>
      </c>
      <c r="Q2160">
        <v>420065.11</v>
      </c>
      <c r="R2160">
        <v>6201232.9500000002</v>
      </c>
      <c r="S2160" t="s">
        <v>18105</v>
      </c>
      <c r="T2160" t="s">
        <v>18106</v>
      </c>
      <c r="U2160">
        <v>420089.39</v>
      </c>
      <c r="V2160">
        <v>6201235.5199999996</v>
      </c>
      <c r="W2160">
        <v>180.18</v>
      </c>
      <c r="X2160">
        <v>150.05000000000001</v>
      </c>
    </row>
    <row r="2161" spans="1:24" x14ac:dyDescent="0.25">
      <c r="A2161" s="148">
        <v>45106</v>
      </c>
      <c r="B2161" s="46">
        <v>180</v>
      </c>
      <c r="C2161" s="149">
        <v>0.51869212962962963</v>
      </c>
      <c r="D2161" s="38" t="s">
        <v>17961</v>
      </c>
      <c r="E2161" s="7" t="s">
        <v>18111</v>
      </c>
      <c r="F2161" s="38" t="s">
        <v>8011</v>
      </c>
      <c r="G2161" s="38" t="s">
        <v>676</v>
      </c>
      <c r="H2161">
        <v>1.359</v>
      </c>
      <c r="O2161" t="s">
        <v>18107</v>
      </c>
      <c r="P2161" t="s">
        <v>18108</v>
      </c>
      <c r="Q2161">
        <v>420126.89</v>
      </c>
      <c r="R2161">
        <v>6201299.4699999997</v>
      </c>
      <c r="S2161" t="s">
        <v>18109</v>
      </c>
      <c r="T2161" t="s">
        <v>18110</v>
      </c>
      <c r="U2161">
        <v>420133.65</v>
      </c>
      <c r="V2161">
        <v>6201290.5800000001</v>
      </c>
      <c r="W2161">
        <v>124.97</v>
      </c>
      <c r="X2161">
        <v>150.05000000000001</v>
      </c>
    </row>
    <row r="2162" spans="1:24" s="122" customFormat="1" x14ac:dyDescent="0.25">
      <c r="A2162" s="65">
        <v>45106</v>
      </c>
      <c r="B2162" s="106">
        <v>180</v>
      </c>
      <c r="C2162" s="67">
        <v>0.5314699074074074</v>
      </c>
      <c r="D2162" s="66" t="s">
        <v>17961</v>
      </c>
      <c r="E2162" s="123" t="s">
        <v>18117</v>
      </c>
      <c r="F2162" s="66" t="s">
        <v>8011</v>
      </c>
      <c r="G2162" s="66" t="s">
        <v>676</v>
      </c>
      <c r="H2162" s="122">
        <v>0.18</v>
      </c>
      <c r="M2162" s="122" t="s">
        <v>18112</v>
      </c>
      <c r="O2162" s="122" t="s">
        <v>18113</v>
      </c>
      <c r="P2162" s="122" t="s">
        <v>18114</v>
      </c>
      <c r="Q2162" s="122">
        <v>421042.07</v>
      </c>
      <c r="R2162" s="122">
        <v>6202466.6100000003</v>
      </c>
      <c r="S2162" s="122" t="s">
        <v>18115</v>
      </c>
      <c r="T2162" s="122" t="s">
        <v>18116</v>
      </c>
      <c r="U2162" s="122">
        <v>421052.59</v>
      </c>
      <c r="V2162" s="122">
        <v>6202465.0099999998</v>
      </c>
      <c r="W2162" s="122">
        <v>76.81</v>
      </c>
      <c r="X2162" s="122">
        <v>150.05000000000001</v>
      </c>
    </row>
    <row r="2163" spans="1:24" x14ac:dyDescent="0.25">
      <c r="A2163" s="148">
        <v>45106</v>
      </c>
      <c r="B2163" s="46">
        <v>180</v>
      </c>
      <c r="C2163" s="149">
        <v>0.53673611111111108</v>
      </c>
      <c r="D2163" s="38" t="s">
        <v>17961</v>
      </c>
      <c r="E2163" s="7" t="s">
        <v>65</v>
      </c>
      <c r="F2163" s="38" t="s">
        <v>460</v>
      </c>
      <c r="G2163" s="38" t="s">
        <v>676</v>
      </c>
      <c r="H2163">
        <v>0.16500000000000001</v>
      </c>
      <c r="I2163" t="s">
        <v>18122</v>
      </c>
      <c r="J2163" t="s">
        <v>18123</v>
      </c>
      <c r="K2163" t="s">
        <v>18124</v>
      </c>
      <c r="L2163" t="s">
        <v>18125</v>
      </c>
      <c r="O2163" t="s">
        <v>18118</v>
      </c>
      <c r="P2163" t="s">
        <v>18119</v>
      </c>
      <c r="Q2163">
        <v>421045.26</v>
      </c>
      <c r="R2163">
        <v>6202488.2199999997</v>
      </c>
      <c r="S2163" t="s">
        <v>18120</v>
      </c>
      <c r="T2163" t="s">
        <v>18121</v>
      </c>
      <c r="U2163">
        <v>421072.24</v>
      </c>
      <c r="V2163">
        <v>6202474.9000000004</v>
      </c>
      <c r="W2163">
        <v>357.98</v>
      </c>
      <c r="X2163">
        <v>150.05000000000001</v>
      </c>
    </row>
    <row r="2164" spans="1:24" x14ac:dyDescent="0.25">
      <c r="A2164" s="148">
        <v>45106</v>
      </c>
      <c r="B2164" s="46">
        <v>180</v>
      </c>
      <c r="C2164" s="149">
        <v>0.54033564814814816</v>
      </c>
      <c r="D2164" s="38" t="s">
        <v>17961</v>
      </c>
      <c r="E2164" s="7" t="s">
        <v>70</v>
      </c>
      <c r="F2164" s="38" t="s">
        <v>460</v>
      </c>
      <c r="G2164" s="38" t="s">
        <v>676</v>
      </c>
      <c r="H2164">
        <v>-2.5999999999999999E-2</v>
      </c>
      <c r="I2164" t="s">
        <v>18122</v>
      </c>
      <c r="J2164" t="s">
        <v>18123</v>
      </c>
      <c r="K2164" t="s">
        <v>18124</v>
      </c>
      <c r="L2164" t="s">
        <v>18125</v>
      </c>
      <c r="O2164" t="s">
        <v>18126</v>
      </c>
      <c r="P2164" t="s">
        <v>18127</v>
      </c>
      <c r="Q2164">
        <v>421046.19</v>
      </c>
      <c r="R2164">
        <v>6202677.0999999996</v>
      </c>
      <c r="S2164" t="s">
        <v>18128</v>
      </c>
      <c r="T2164" t="s">
        <v>18129</v>
      </c>
      <c r="U2164">
        <v>421072.12</v>
      </c>
      <c r="V2164">
        <v>6202666.3099999996</v>
      </c>
      <c r="W2164">
        <v>359.8</v>
      </c>
      <c r="X2164">
        <v>150.05000000000001</v>
      </c>
    </row>
    <row r="2165" spans="1:24" x14ac:dyDescent="0.25">
      <c r="A2165" s="148">
        <v>45106</v>
      </c>
      <c r="B2165" s="46">
        <v>180</v>
      </c>
      <c r="C2165" s="149">
        <v>0.54358796296296297</v>
      </c>
      <c r="D2165" s="38" t="s">
        <v>17961</v>
      </c>
      <c r="E2165" s="7" t="s">
        <v>65</v>
      </c>
      <c r="F2165" s="38" t="s">
        <v>460</v>
      </c>
      <c r="G2165" s="38" t="s">
        <v>677</v>
      </c>
      <c r="H2165">
        <v>-0.02</v>
      </c>
      <c r="I2165" t="s">
        <v>18134</v>
      </c>
      <c r="J2165" t="s">
        <v>18135</v>
      </c>
      <c r="K2165" t="s">
        <v>18136</v>
      </c>
      <c r="L2165" t="s">
        <v>18137</v>
      </c>
      <c r="O2165" t="s">
        <v>18130</v>
      </c>
      <c r="P2165" t="s">
        <v>18131</v>
      </c>
      <c r="Q2165">
        <v>421055.66</v>
      </c>
      <c r="R2165">
        <v>6202676.7699999996</v>
      </c>
      <c r="S2165" t="s">
        <v>18132</v>
      </c>
      <c r="T2165" t="s">
        <v>18133</v>
      </c>
      <c r="U2165">
        <v>421080.96</v>
      </c>
      <c r="V2165">
        <v>6202671.4800000004</v>
      </c>
      <c r="W2165">
        <v>178.97</v>
      </c>
      <c r="X2165">
        <v>150.05000000000001</v>
      </c>
    </row>
    <row r="2166" spans="1:24" x14ac:dyDescent="0.25">
      <c r="A2166" s="148">
        <v>45106</v>
      </c>
      <c r="B2166" s="46">
        <v>180</v>
      </c>
      <c r="C2166" s="149">
        <v>0.54719907407407409</v>
      </c>
      <c r="D2166" s="38" t="s">
        <v>17961</v>
      </c>
      <c r="E2166" s="7" t="s">
        <v>70</v>
      </c>
      <c r="F2166" s="38" t="s">
        <v>460</v>
      </c>
      <c r="G2166" s="38" t="s">
        <v>677</v>
      </c>
      <c r="H2166">
        <v>0.17</v>
      </c>
      <c r="I2166" t="s">
        <v>18134</v>
      </c>
      <c r="J2166" t="s">
        <v>18135</v>
      </c>
      <c r="K2166" t="s">
        <v>18136</v>
      </c>
      <c r="L2166" t="s">
        <v>18137</v>
      </c>
      <c r="O2166" t="s">
        <v>18138</v>
      </c>
      <c r="P2166" t="s">
        <v>18139</v>
      </c>
      <c r="Q2166">
        <v>421054.06</v>
      </c>
      <c r="R2166">
        <v>6202482.96</v>
      </c>
      <c r="S2166" t="s">
        <v>18140</v>
      </c>
      <c r="T2166" t="s">
        <v>18141</v>
      </c>
      <c r="U2166">
        <v>421081.01</v>
      </c>
      <c r="V2166">
        <v>6202481.5499999998</v>
      </c>
      <c r="W2166">
        <v>179.46</v>
      </c>
      <c r="X2166">
        <v>150.05000000000001</v>
      </c>
    </row>
    <row r="2167" spans="1:24" x14ac:dyDescent="0.25">
      <c r="A2167" s="148">
        <v>45106</v>
      </c>
      <c r="B2167" s="46">
        <v>180</v>
      </c>
      <c r="C2167" s="149">
        <v>0.55084490740740744</v>
      </c>
      <c r="D2167" s="38" t="s">
        <v>17961</v>
      </c>
      <c r="E2167" s="7" t="s">
        <v>65</v>
      </c>
      <c r="F2167" s="38" t="s">
        <v>460</v>
      </c>
      <c r="G2167" s="38" t="s">
        <v>678</v>
      </c>
      <c r="H2167">
        <v>0.16700000000000001</v>
      </c>
      <c r="I2167" t="s">
        <v>18146</v>
      </c>
      <c r="J2167" t="s">
        <v>18147</v>
      </c>
      <c r="K2167" t="s">
        <v>18148</v>
      </c>
      <c r="L2167" t="s">
        <v>18137</v>
      </c>
      <c r="O2167" t="s">
        <v>18142</v>
      </c>
      <c r="P2167" t="s">
        <v>18143</v>
      </c>
      <c r="Q2167">
        <v>421063.71</v>
      </c>
      <c r="R2167">
        <v>6202472.5700000003</v>
      </c>
      <c r="S2167" t="s">
        <v>18144</v>
      </c>
      <c r="T2167" t="s">
        <v>18145</v>
      </c>
      <c r="U2167">
        <v>421090.03</v>
      </c>
      <c r="V2167">
        <v>6202473.6299999999</v>
      </c>
      <c r="W2167">
        <v>359.7</v>
      </c>
      <c r="X2167">
        <v>150.05000000000001</v>
      </c>
    </row>
    <row r="2168" spans="1:24" x14ac:dyDescent="0.25">
      <c r="A2168" s="148">
        <v>45106</v>
      </c>
      <c r="B2168" s="46">
        <v>180</v>
      </c>
      <c r="C2168" s="149">
        <v>0.55445601851851845</v>
      </c>
      <c r="D2168" s="38" t="s">
        <v>17961</v>
      </c>
      <c r="E2168" s="7" t="s">
        <v>70</v>
      </c>
      <c r="F2168" s="38" t="s">
        <v>460</v>
      </c>
      <c r="G2168" s="38" t="s">
        <v>678</v>
      </c>
      <c r="H2168">
        <v>-2.5000000000000001E-2</v>
      </c>
      <c r="I2168" t="s">
        <v>18146</v>
      </c>
      <c r="J2168" t="s">
        <v>18147</v>
      </c>
      <c r="K2168" t="s">
        <v>18148</v>
      </c>
      <c r="L2168" t="s">
        <v>18153</v>
      </c>
      <c r="O2168" t="s">
        <v>18149</v>
      </c>
      <c r="P2168" t="s">
        <v>18150</v>
      </c>
      <c r="Q2168">
        <v>421064.32</v>
      </c>
      <c r="R2168">
        <v>6202662.0099999998</v>
      </c>
      <c r="S2168" t="s">
        <v>18151</v>
      </c>
      <c r="T2168" t="s">
        <v>18152</v>
      </c>
      <c r="U2168">
        <v>421089.94</v>
      </c>
      <c r="V2168">
        <v>6202665.1299999999</v>
      </c>
      <c r="W2168">
        <v>0.42</v>
      </c>
      <c r="X2168">
        <v>150.05000000000001</v>
      </c>
    </row>
    <row r="2169" spans="1:24" x14ac:dyDescent="0.25">
      <c r="A2169" s="148">
        <v>45106</v>
      </c>
      <c r="B2169" s="46">
        <v>180</v>
      </c>
      <c r="C2169" s="149">
        <v>0.55734953703703705</v>
      </c>
      <c r="D2169" s="38" t="s">
        <v>17961</v>
      </c>
      <c r="E2169" s="7" t="s">
        <v>65</v>
      </c>
      <c r="F2169" s="38" t="s">
        <v>460</v>
      </c>
      <c r="G2169" s="38" t="s">
        <v>679</v>
      </c>
      <c r="H2169">
        <v>-1.9E-2</v>
      </c>
      <c r="I2169" t="s">
        <v>18158</v>
      </c>
      <c r="J2169" t="s">
        <v>18159</v>
      </c>
      <c r="K2169" t="s">
        <v>18160</v>
      </c>
      <c r="L2169" t="s">
        <v>18153</v>
      </c>
      <c r="O2169" t="s">
        <v>18154</v>
      </c>
      <c r="P2169" t="s">
        <v>18155</v>
      </c>
      <c r="Q2169">
        <v>421074.71</v>
      </c>
      <c r="R2169">
        <v>6202674.8300000001</v>
      </c>
      <c r="S2169" t="s">
        <v>18156</v>
      </c>
      <c r="T2169" t="s">
        <v>18157</v>
      </c>
      <c r="U2169">
        <v>421099.08</v>
      </c>
      <c r="V2169">
        <v>6202670.4800000004</v>
      </c>
      <c r="W2169">
        <v>180.83</v>
      </c>
      <c r="X2169">
        <v>150.05000000000001</v>
      </c>
    </row>
    <row r="2170" spans="1:24" x14ac:dyDescent="0.25">
      <c r="A2170" s="148">
        <v>45106</v>
      </c>
      <c r="B2170" s="46">
        <v>180</v>
      </c>
      <c r="C2170" s="149">
        <v>0.56106481481481485</v>
      </c>
      <c r="D2170" s="38" t="s">
        <v>17961</v>
      </c>
      <c r="E2170" s="7" t="s">
        <v>70</v>
      </c>
      <c r="F2170" s="38" t="s">
        <v>460</v>
      </c>
      <c r="G2170" s="38" t="s">
        <v>679</v>
      </c>
      <c r="H2170">
        <v>0.17199999999999999</v>
      </c>
      <c r="I2170" t="s">
        <v>18158</v>
      </c>
      <c r="J2170" t="s">
        <v>18159</v>
      </c>
      <c r="K2170" t="s">
        <v>18160</v>
      </c>
      <c r="L2170" t="s">
        <v>18153</v>
      </c>
      <c r="O2170" t="s">
        <v>18161</v>
      </c>
      <c r="P2170" t="s">
        <v>18162</v>
      </c>
      <c r="Q2170">
        <v>421073.2</v>
      </c>
      <c r="R2170">
        <v>6202478.0099999998</v>
      </c>
      <c r="S2170" t="s">
        <v>18163</v>
      </c>
      <c r="T2170" t="s">
        <v>18164</v>
      </c>
      <c r="U2170">
        <v>421098.97</v>
      </c>
      <c r="V2170">
        <v>6202479.5199999996</v>
      </c>
      <c r="W2170">
        <v>179.39</v>
      </c>
      <c r="X2170">
        <v>150.05000000000001</v>
      </c>
    </row>
    <row r="2171" spans="1:24" x14ac:dyDescent="0.25">
      <c r="A2171" s="148">
        <v>45106</v>
      </c>
      <c r="B2171" s="46">
        <v>180</v>
      </c>
      <c r="C2171" s="149">
        <v>0.56565972222222227</v>
      </c>
      <c r="D2171" s="38" t="s">
        <v>17961</v>
      </c>
      <c r="E2171" s="7" t="s">
        <v>65</v>
      </c>
      <c r="F2171" s="38" t="s">
        <v>460</v>
      </c>
      <c r="G2171" s="38" t="s">
        <v>680</v>
      </c>
      <c r="H2171">
        <v>0.16700000000000001</v>
      </c>
      <c r="I2171" t="s">
        <v>18169</v>
      </c>
      <c r="J2171" t="s">
        <v>18170</v>
      </c>
      <c r="K2171" t="s">
        <v>18171</v>
      </c>
      <c r="L2171" t="s">
        <v>18172</v>
      </c>
      <c r="O2171" t="s">
        <v>18165</v>
      </c>
      <c r="P2171" t="s">
        <v>18166</v>
      </c>
      <c r="Q2171">
        <v>421081.34</v>
      </c>
      <c r="R2171">
        <v>6202486.79</v>
      </c>
      <c r="S2171" t="s">
        <v>18167</v>
      </c>
      <c r="T2171" t="s">
        <v>18168</v>
      </c>
      <c r="U2171">
        <v>421108.21</v>
      </c>
      <c r="V2171">
        <v>6202473.2000000002</v>
      </c>
      <c r="W2171">
        <v>1.26</v>
      </c>
      <c r="X2171">
        <v>150.05000000000001</v>
      </c>
    </row>
    <row r="2172" spans="1:24" x14ac:dyDescent="0.25">
      <c r="A2172" s="148">
        <v>45106</v>
      </c>
      <c r="B2172" s="46">
        <v>180</v>
      </c>
      <c r="C2172" s="149">
        <v>0.56922453703703701</v>
      </c>
      <c r="D2172" s="38" t="s">
        <v>17961</v>
      </c>
      <c r="E2172" s="7" t="s">
        <v>70</v>
      </c>
      <c r="F2172" s="38" t="s">
        <v>460</v>
      </c>
      <c r="G2172" s="38" t="s">
        <v>680</v>
      </c>
      <c r="H2172">
        <v>-2.1999999999999999E-2</v>
      </c>
      <c r="I2172" t="s">
        <v>18169</v>
      </c>
      <c r="J2172" t="s">
        <v>18170</v>
      </c>
      <c r="K2172" t="s">
        <v>18171</v>
      </c>
      <c r="L2172" t="s">
        <v>18172</v>
      </c>
      <c r="O2172" t="s">
        <v>18173</v>
      </c>
      <c r="P2172" t="s">
        <v>18174</v>
      </c>
      <c r="Q2172">
        <v>421082.41</v>
      </c>
      <c r="R2172">
        <v>6202676.0199999996</v>
      </c>
      <c r="S2172" t="s">
        <v>18175</v>
      </c>
      <c r="T2172" t="s">
        <v>18176</v>
      </c>
      <c r="U2172">
        <v>421108.46</v>
      </c>
      <c r="V2172">
        <v>6202662.2800000003</v>
      </c>
      <c r="W2172">
        <v>0.1</v>
      </c>
      <c r="X2172">
        <v>150.05000000000001</v>
      </c>
    </row>
    <row r="2173" spans="1:24" x14ac:dyDescent="0.25">
      <c r="A2173" s="148">
        <v>45106</v>
      </c>
      <c r="B2173" s="46">
        <v>180</v>
      </c>
      <c r="C2173" s="149">
        <v>0.5744907407407408</v>
      </c>
      <c r="D2173" s="38" t="s">
        <v>17961</v>
      </c>
      <c r="E2173" s="7" t="s">
        <v>65</v>
      </c>
      <c r="F2173" s="38" t="s">
        <v>460</v>
      </c>
      <c r="G2173" s="38" t="s">
        <v>681</v>
      </c>
      <c r="H2173">
        <v>-1.6E-2</v>
      </c>
      <c r="I2173" t="s">
        <v>18181</v>
      </c>
      <c r="J2173" t="s">
        <v>18182</v>
      </c>
      <c r="K2173" t="s">
        <v>18183</v>
      </c>
      <c r="L2173" t="s">
        <v>18172</v>
      </c>
      <c r="O2173" t="s">
        <v>18177</v>
      </c>
      <c r="P2173" t="s">
        <v>18178</v>
      </c>
      <c r="Q2173">
        <v>421091.46</v>
      </c>
      <c r="R2173">
        <v>6202670.0899999999</v>
      </c>
      <c r="S2173" t="s">
        <v>18179</v>
      </c>
      <c r="T2173" t="s">
        <v>18180</v>
      </c>
      <c r="U2173">
        <v>421117.13</v>
      </c>
      <c r="V2173">
        <v>6202667</v>
      </c>
      <c r="W2173">
        <v>180.18</v>
      </c>
      <c r="X2173">
        <v>150.05000000000001</v>
      </c>
    </row>
    <row r="2174" spans="1:24" x14ac:dyDescent="0.25">
      <c r="A2174" s="148">
        <v>45106</v>
      </c>
      <c r="B2174" s="46">
        <v>180</v>
      </c>
      <c r="C2174" s="149">
        <v>0.57799768518518524</v>
      </c>
      <c r="D2174" s="38" t="s">
        <v>17961</v>
      </c>
      <c r="E2174" s="7" t="s">
        <v>70</v>
      </c>
      <c r="F2174" s="38" t="s">
        <v>460</v>
      </c>
      <c r="G2174" s="38" t="s">
        <v>681</v>
      </c>
      <c r="H2174">
        <v>0.17100000000000001</v>
      </c>
      <c r="I2174" t="s">
        <v>18181</v>
      </c>
      <c r="J2174" t="s">
        <v>18182</v>
      </c>
      <c r="K2174" t="s">
        <v>18183</v>
      </c>
      <c r="L2174" t="s">
        <v>18188</v>
      </c>
      <c r="O2174" t="s">
        <v>18184</v>
      </c>
      <c r="P2174" t="s">
        <v>18185</v>
      </c>
      <c r="Q2174">
        <v>421090.72</v>
      </c>
      <c r="R2174">
        <v>6202482.5599999996</v>
      </c>
      <c r="S2174" t="s">
        <v>18186</v>
      </c>
      <c r="T2174" t="s">
        <v>18187</v>
      </c>
      <c r="U2174">
        <v>421117.04</v>
      </c>
      <c r="V2174">
        <v>6202479.8300000001</v>
      </c>
      <c r="W2174">
        <v>180.35</v>
      </c>
      <c r="X2174">
        <v>150.05000000000001</v>
      </c>
    </row>
    <row r="2175" spans="1:24" x14ac:dyDescent="0.25">
      <c r="A2175" s="148">
        <v>45106</v>
      </c>
      <c r="B2175" s="46">
        <v>180</v>
      </c>
      <c r="C2175" s="149">
        <v>0.58226851851851846</v>
      </c>
      <c r="D2175" s="38" t="s">
        <v>17961</v>
      </c>
      <c r="E2175" s="7" t="s">
        <v>65</v>
      </c>
      <c r="F2175" s="38" t="s">
        <v>460</v>
      </c>
      <c r="G2175" s="38" t="s">
        <v>675</v>
      </c>
      <c r="H2175">
        <v>0.16600000000000001</v>
      </c>
      <c r="I2175" t="s">
        <v>18193</v>
      </c>
      <c r="J2175" t="s">
        <v>18194</v>
      </c>
      <c r="K2175" t="s">
        <v>18195</v>
      </c>
      <c r="L2175" t="s">
        <v>18188</v>
      </c>
      <c r="O2175" t="s">
        <v>18189</v>
      </c>
      <c r="P2175" t="s">
        <v>18190</v>
      </c>
      <c r="Q2175">
        <v>421101.25</v>
      </c>
      <c r="R2175">
        <v>6202485.3200000003</v>
      </c>
      <c r="S2175" t="s">
        <v>18191</v>
      </c>
      <c r="T2175" t="s">
        <v>18192</v>
      </c>
      <c r="U2175">
        <v>421125.87</v>
      </c>
      <c r="V2175">
        <v>6202474.4400000004</v>
      </c>
      <c r="W2175">
        <v>0.52</v>
      </c>
      <c r="X2175">
        <v>150.05000000000001</v>
      </c>
    </row>
    <row r="2176" spans="1:24" x14ac:dyDescent="0.25">
      <c r="A2176" s="148">
        <v>45106</v>
      </c>
      <c r="B2176" s="46">
        <v>180</v>
      </c>
      <c r="C2176" s="149">
        <v>0.58578703703703705</v>
      </c>
      <c r="D2176" s="38" t="s">
        <v>17961</v>
      </c>
      <c r="E2176" s="7" t="s">
        <v>70</v>
      </c>
      <c r="F2176" s="38" t="s">
        <v>460</v>
      </c>
      <c r="G2176" s="38" t="s">
        <v>675</v>
      </c>
      <c r="H2176">
        <v>-2.1999999999999999E-2</v>
      </c>
      <c r="I2176" t="s">
        <v>18193</v>
      </c>
      <c r="J2176" t="s">
        <v>18194</v>
      </c>
      <c r="K2176" t="s">
        <v>18195</v>
      </c>
      <c r="L2176" t="s">
        <v>18200</v>
      </c>
      <c r="O2176" t="s">
        <v>18196</v>
      </c>
      <c r="P2176" t="s">
        <v>18197</v>
      </c>
      <c r="Q2176">
        <v>421100.02</v>
      </c>
      <c r="R2176">
        <v>6202672.5</v>
      </c>
      <c r="S2176" t="s">
        <v>18198</v>
      </c>
      <c r="T2176" t="s">
        <v>18199</v>
      </c>
      <c r="U2176">
        <v>421126.03</v>
      </c>
      <c r="V2176">
        <v>6202662.3899999997</v>
      </c>
      <c r="W2176">
        <v>0.78</v>
      </c>
      <c r="X2176">
        <v>150.05000000000001</v>
      </c>
    </row>
    <row r="2177" spans="1:24" x14ac:dyDescent="0.25">
      <c r="A2177" s="148">
        <v>45106</v>
      </c>
      <c r="B2177" s="46">
        <v>180</v>
      </c>
      <c r="C2177" s="149">
        <v>0.58908564814814812</v>
      </c>
      <c r="D2177" s="38" t="s">
        <v>17961</v>
      </c>
      <c r="E2177" s="7" t="s">
        <v>65</v>
      </c>
      <c r="F2177" s="38" t="s">
        <v>460</v>
      </c>
      <c r="G2177" s="38" t="s">
        <v>674</v>
      </c>
      <c r="H2177">
        <v>-1.7000000000000001E-2</v>
      </c>
      <c r="I2177" t="s">
        <v>18205</v>
      </c>
      <c r="J2177" t="s">
        <v>18206</v>
      </c>
      <c r="K2177" t="s">
        <v>18207</v>
      </c>
      <c r="L2177" t="s">
        <v>18200</v>
      </c>
      <c r="O2177" t="s">
        <v>18201</v>
      </c>
      <c r="P2177" t="s">
        <v>18202</v>
      </c>
      <c r="Q2177">
        <v>421110.93</v>
      </c>
      <c r="R2177">
        <v>6202679.3099999996</v>
      </c>
      <c r="S2177" t="s">
        <v>18203</v>
      </c>
      <c r="T2177" t="s">
        <v>18204</v>
      </c>
      <c r="U2177">
        <v>421135.14</v>
      </c>
      <c r="V2177">
        <v>6202668.5800000001</v>
      </c>
      <c r="W2177">
        <v>180.42</v>
      </c>
      <c r="X2177">
        <v>150.05000000000001</v>
      </c>
    </row>
    <row r="2178" spans="1:24" x14ac:dyDescent="0.25">
      <c r="A2178" s="148">
        <v>45106</v>
      </c>
      <c r="B2178" s="46">
        <v>180</v>
      </c>
      <c r="C2178" s="149">
        <v>0.59259259259259256</v>
      </c>
      <c r="D2178" s="38" t="s">
        <v>17961</v>
      </c>
      <c r="E2178" s="7" t="s">
        <v>70</v>
      </c>
      <c r="F2178" s="38" t="s">
        <v>460</v>
      </c>
      <c r="G2178" s="38" t="s">
        <v>674</v>
      </c>
      <c r="H2178">
        <v>0.17</v>
      </c>
      <c r="I2178" t="s">
        <v>18205</v>
      </c>
      <c r="J2178" t="s">
        <v>18206</v>
      </c>
      <c r="K2178" t="s">
        <v>18207</v>
      </c>
      <c r="L2178" t="s">
        <v>18200</v>
      </c>
      <c r="O2178" t="s">
        <v>18208</v>
      </c>
      <c r="P2178" t="s">
        <v>18209</v>
      </c>
      <c r="Q2178">
        <v>421110.08</v>
      </c>
      <c r="R2178">
        <v>6202492.9000000004</v>
      </c>
      <c r="S2178" t="s">
        <v>18210</v>
      </c>
      <c r="T2178" t="s">
        <v>18211</v>
      </c>
      <c r="U2178">
        <v>421135.06</v>
      </c>
      <c r="V2178">
        <v>6202481.0300000003</v>
      </c>
      <c r="W2178">
        <v>179.35</v>
      </c>
      <c r="X2178">
        <v>150.05000000000001</v>
      </c>
    </row>
    <row r="2179" spans="1:24" x14ac:dyDescent="0.25">
      <c r="A2179" s="148">
        <v>45106</v>
      </c>
      <c r="B2179" s="46">
        <v>180</v>
      </c>
      <c r="C2179" s="149">
        <v>0.59634259259259259</v>
      </c>
      <c r="D2179" s="38" t="s">
        <v>17961</v>
      </c>
      <c r="E2179" s="7" t="s">
        <v>65</v>
      </c>
      <c r="F2179" s="38" t="s">
        <v>460</v>
      </c>
      <c r="G2179" s="38" t="s">
        <v>673</v>
      </c>
      <c r="H2179">
        <v>0.16500000000000001</v>
      </c>
      <c r="I2179" t="s">
        <v>18216</v>
      </c>
      <c r="J2179" t="s">
        <v>18217</v>
      </c>
      <c r="K2179" t="s">
        <v>18218</v>
      </c>
      <c r="L2179" t="s">
        <v>18219</v>
      </c>
      <c r="O2179" t="s">
        <v>18212</v>
      </c>
      <c r="P2179" t="s">
        <v>18213</v>
      </c>
      <c r="Q2179">
        <v>421119.04</v>
      </c>
      <c r="R2179">
        <v>6202483.9199999999</v>
      </c>
      <c r="S2179" t="s">
        <v>18214</v>
      </c>
      <c r="T2179" t="s">
        <v>18215</v>
      </c>
      <c r="U2179">
        <v>421144.16</v>
      </c>
      <c r="V2179">
        <v>6202475.2599999998</v>
      </c>
      <c r="W2179">
        <v>358.4</v>
      </c>
      <c r="X2179">
        <v>150.05000000000001</v>
      </c>
    </row>
    <row r="2180" spans="1:24" x14ac:dyDescent="0.25">
      <c r="A2180" s="148">
        <v>45106</v>
      </c>
      <c r="B2180" s="46">
        <v>180</v>
      </c>
      <c r="C2180" s="149">
        <v>0.59980324074074076</v>
      </c>
      <c r="D2180" s="38" t="s">
        <v>17961</v>
      </c>
      <c r="E2180" s="7" t="s">
        <v>70</v>
      </c>
      <c r="F2180" s="38" t="s">
        <v>460</v>
      </c>
      <c r="G2180" s="38" t="s">
        <v>673</v>
      </c>
      <c r="H2180">
        <v>-0.02</v>
      </c>
      <c r="I2180" t="s">
        <v>18216</v>
      </c>
      <c r="J2180" t="s">
        <v>18217</v>
      </c>
      <c r="K2180" t="s">
        <v>18218</v>
      </c>
      <c r="L2180" t="s">
        <v>18219</v>
      </c>
      <c r="O2180" t="s">
        <v>18220</v>
      </c>
      <c r="P2180" t="s">
        <v>18221</v>
      </c>
      <c r="Q2180">
        <v>421119.2</v>
      </c>
      <c r="R2180">
        <v>6202665.54</v>
      </c>
      <c r="S2180" t="s">
        <v>18222</v>
      </c>
      <c r="T2180" t="s">
        <v>18223</v>
      </c>
      <c r="U2180">
        <v>421144.08</v>
      </c>
      <c r="V2180">
        <v>6202660.04</v>
      </c>
      <c r="W2180">
        <v>359.9</v>
      </c>
      <c r="X2180">
        <v>150.05000000000001</v>
      </c>
    </row>
    <row r="2181" spans="1:24" x14ac:dyDescent="0.25">
      <c r="A2181" s="148">
        <v>45106</v>
      </c>
      <c r="B2181" s="46">
        <v>180</v>
      </c>
      <c r="C2181" s="149">
        <v>0.60355324074074079</v>
      </c>
      <c r="D2181" s="38" t="s">
        <v>17961</v>
      </c>
      <c r="E2181" s="7" t="s">
        <v>65</v>
      </c>
      <c r="F2181" s="38" t="s">
        <v>460</v>
      </c>
      <c r="G2181" s="38" t="s">
        <v>672</v>
      </c>
      <c r="H2181">
        <v>-1.6E-2</v>
      </c>
      <c r="I2181" t="s">
        <v>18228</v>
      </c>
      <c r="J2181" t="s">
        <v>18229</v>
      </c>
      <c r="K2181" t="s">
        <v>18230</v>
      </c>
      <c r="L2181" t="s">
        <v>18219</v>
      </c>
      <c r="O2181" t="s">
        <v>18224</v>
      </c>
      <c r="P2181" t="s">
        <v>18225</v>
      </c>
      <c r="Q2181">
        <v>421129.19</v>
      </c>
      <c r="R2181">
        <v>6202674.7800000003</v>
      </c>
      <c r="S2181" t="s">
        <v>18226</v>
      </c>
      <c r="T2181" t="s">
        <v>18227</v>
      </c>
      <c r="U2181">
        <v>421153.11</v>
      </c>
      <c r="V2181">
        <v>6202667.4000000004</v>
      </c>
      <c r="W2181">
        <v>181.41</v>
      </c>
      <c r="X2181">
        <v>150.05000000000001</v>
      </c>
    </row>
    <row r="2182" spans="1:24" x14ac:dyDescent="0.25">
      <c r="A2182" s="148">
        <v>45106</v>
      </c>
      <c r="B2182" s="46">
        <v>180</v>
      </c>
      <c r="C2182" s="149">
        <v>0.60703703703703704</v>
      </c>
      <c r="D2182" s="38" t="s">
        <v>17961</v>
      </c>
      <c r="E2182" s="7" t="s">
        <v>70</v>
      </c>
      <c r="F2182" s="38" t="s">
        <v>460</v>
      </c>
      <c r="G2182" s="38" t="s">
        <v>672</v>
      </c>
      <c r="H2182">
        <v>0.17</v>
      </c>
      <c r="I2182" t="s">
        <v>18228</v>
      </c>
      <c r="J2182" t="s">
        <v>18229</v>
      </c>
      <c r="K2182" t="s">
        <v>18230</v>
      </c>
      <c r="L2182" t="s">
        <v>18235</v>
      </c>
      <c r="O2182" t="s">
        <v>18231</v>
      </c>
      <c r="P2182" t="s">
        <v>18232</v>
      </c>
      <c r="Q2182">
        <v>421127.96</v>
      </c>
      <c r="R2182">
        <v>6202490.4800000004</v>
      </c>
      <c r="S2182" t="s">
        <v>18233</v>
      </c>
      <c r="T2182" t="s">
        <v>18234</v>
      </c>
      <c r="U2182">
        <v>421153</v>
      </c>
      <c r="V2182">
        <v>6202481.3499999996</v>
      </c>
      <c r="W2182">
        <v>180.57</v>
      </c>
      <c r="X2182">
        <v>150.05000000000001</v>
      </c>
    </row>
    <row r="2183" spans="1:24" x14ac:dyDescent="0.25">
      <c r="A2183" s="148">
        <v>45106</v>
      </c>
      <c r="B2183" s="46">
        <v>180</v>
      </c>
      <c r="C2183" s="149">
        <v>0.61116898148148147</v>
      </c>
      <c r="D2183" s="38" t="s">
        <v>17961</v>
      </c>
      <c r="E2183" s="7" t="s">
        <v>65</v>
      </c>
      <c r="F2183" s="38" t="s">
        <v>460</v>
      </c>
      <c r="G2183" s="38" t="s">
        <v>671</v>
      </c>
      <c r="H2183">
        <v>0.16500000000000001</v>
      </c>
      <c r="I2183" t="s">
        <v>18240</v>
      </c>
      <c r="J2183" t="s">
        <v>18241</v>
      </c>
      <c r="K2183" t="s">
        <v>18242</v>
      </c>
      <c r="L2183" t="s">
        <v>18235</v>
      </c>
      <c r="O2183" t="s">
        <v>18236</v>
      </c>
      <c r="P2183" t="s">
        <v>18237</v>
      </c>
      <c r="Q2183">
        <v>421136.85</v>
      </c>
      <c r="R2183">
        <v>6202485.3700000001</v>
      </c>
      <c r="S2183" t="s">
        <v>18238</v>
      </c>
      <c r="T2183" t="s">
        <v>18239</v>
      </c>
      <c r="U2183">
        <v>421161.96</v>
      </c>
      <c r="V2183">
        <v>6202475.1799999997</v>
      </c>
      <c r="W2183">
        <v>358.71</v>
      </c>
      <c r="X2183">
        <v>150.05000000000001</v>
      </c>
    </row>
    <row r="2184" spans="1:24" x14ac:dyDescent="0.25">
      <c r="A2184" s="148">
        <v>45106</v>
      </c>
      <c r="B2184" s="46">
        <v>180</v>
      </c>
      <c r="C2184" s="149">
        <v>0.61462962962962964</v>
      </c>
      <c r="D2184" s="38" t="s">
        <v>17961</v>
      </c>
      <c r="E2184" s="7" t="s">
        <v>70</v>
      </c>
      <c r="F2184" s="38" t="s">
        <v>460</v>
      </c>
      <c r="G2184" s="38" t="s">
        <v>671</v>
      </c>
      <c r="H2184">
        <v>-0.02</v>
      </c>
      <c r="I2184" t="s">
        <v>18240</v>
      </c>
      <c r="J2184" t="s">
        <v>18241</v>
      </c>
      <c r="K2184" t="s">
        <v>18242</v>
      </c>
      <c r="L2184" t="s">
        <v>18235</v>
      </c>
      <c r="O2184" t="s">
        <v>18243</v>
      </c>
      <c r="P2184" t="s">
        <v>18244</v>
      </c>
      <c r="Q2184">
        <v>421137.29</v>
      </c>
      <c r="R2184">
        <v>6202667.3300000001</v>
      </c>
      <c r="S2184" t="s">
        <v>18245</v>
      </c>
      <c r="T2184" t="s">
        <v>18246</v>
      </c>
      <c r="U2184">
        <v>421161.97</v>
      </c>
      <c r="V2184">
        <v>6202660.1100000003</v>
      </c>
      <c r="W2184">
        <v>359.75</v>
      </c>
      <c r="X2184">
        <v>150.05000000000001</v>
      </c>
    </row>
    <row r="2185" spans="1:24" x14ac:dyDescent="0.25">
      <c r="A2185" s="148">
        <v>45106</v>
      </c>
      <c r="B2185" s="46">
        <v>180</v>
      </c>
      <c r="C2185" s="149">
        <v>0.61872685185185183</v>
      </c>
      <c r="D2185" s="38" t="s">
        <v>17961</v>
      </c>
      <c r="E2185" s="7" t="s">
        <v>65</v>
      </c>
      <c r="F2185" s="38" t="s">
        <v>460</v>
      </c>
      <c r="G2185" s="38" t="s">
        <v>670</v>
      </c>
      <c r="H2185">
        <v>-1.6E-2</v>
      </c>
      <c r="I2185" t="s">
        <v>18251</v>
      </c>
      <c r="J2185" t="s">
        <v>18252</v>
      </c>
      <c r="K2185" t="s">
        <v>18253</v>
      </c>
      <c r="L2185" t="s">
        <v>18254</v>
      </c>
      <c r="O2185" t="s">
        <v>18247</v>
      </c>
      <c r="P2185" t="s">
        <v>18248</v>
      </c>
      <c r="Q2185">
        <v>421147.35</v>
      </c>
      <c r="R2185">
        <v>6202668.8399999999</v>
      </c>
      <c r="S2185" t="s">
        <v>18249</v>
      </c>
      <c r="T2185" t="s">
        <v>18250</v>
      </c>
      <c r="U2185">
        <v>421171.03</v>
      </c>
      <c r="V2185">
        <v>6202666.79</v>
      </c>
      <c r="W2185">
        <v>180.04</v>
      </c>
      <c r="X2185">
        <v>150.05000000000001</v>
      </c>
    </row>
    <row r="2186" spans="1:24" x14ac:dyDescent="0.25">
      <c r="A2186" s="148">
        <v>45106</v>
      </c>
      <c r="B2186" s="46">
        <v>180</v>
      </c>
      <c r="C2186" s="149">
        <v>0.62225694444444446</v>
      </c>
      <c r="D2186" s="38" t="s">
        <v>17961</v>
      </c>
      <c r="E2186" s="7" t="s">
        <v>70</v>
      </c>
      <c r="F2186" s="38" t="s">
        <v>460</v>
      </c>
      <c r="G2186" s="38" t="s">
        <v>670</v>
      </c>
      <c r="H2186">
        <v>0.17100000000000001</v>
      </c>
      <c r="I2186" t="s">
        <v>18251</v>
      </c>
      <c r="J2186" t="s">
        <v>18252</v>
      </c>
      <c r="K2186" t="s">
        <v>18253</v>
      </c>
      <c r="L2186" t="s">
        <v>18254</v>
      </c>
      <c r="O2186" t="s">
        <v>18255</v>
      </c>
      <c r="P2186" t="s">
        <v>18256</v>
      </c>
      <c r="Q2186">
        <v>421146.29</v>
      </c>
      <c r="R2186">
        <v>6202481.1900000004</v>
      </c>
      <c r="S2186" t="s">
        <v>18257</v>
      </c>
      <c r="T2186" t="s">
        <v>18258</v>
      </c>
      <c r="U2186">
        <v>421171.03</v>
      </c>
      <c r="V2186">
        <v>6202480.2000000002</v>
      </c>
      <c r="W2186">
        <v>179.69</v>
      </c>
      <c r="X2186">
        <v>150.05000000000001</v>
      </c>
    </row>
    <row r="2187" spans="1:24" x14ac:dyDescent="0.25">
      <c r="A2187" s="148">
        <v>45106</v>
      </c>
      <c r="B2187" s="46">
        <v>180</v>
      </c>
      <c r="C2187" s="149">
        <v>0.62946759259259266</v>
      </c>
      <c r="D2187" s="38" t="s">
        <v>17961</v>
      </c>
      <c r="E2187" s="7" t="s">
        <v>18263</v>
      </c>
      <c r="F2187" s="38" t="s">
        <v>460</v>
      </c>
      <c r="G2187" s="38" t="s">
        <v>635</v>
      </c>
      <c r="H2187">
        <v>1.669</v>
      </c>
      <c r="O2187" t="s">
        <v>18259</v>
      </c>
      <c r="P2187" t="s">
        <v>18260</v>
      </c>
      <c r="Q2187">
        <v>421146.08</v>
      </c>
      <c r="R2187">
        <v>6202437.71</v>
      </c>
      <c r="S2187" t="s">
        <v>18261</v>
      </c>
      <c r="T2187" t="s">
        <v>18262</v>
      </c>
      <c r="U2187">
        <v>421156.84</v>
      </c>
      <c r="V2187">
        <v>6202431.9699999997</v>
      </c>
      <c r="W2187">
        <v>99.8</v>
      </c>
      <c r="X2187">
        <v>150.05000000000001</v>
      </c>
    </row>
    <row r="2188" spans="1:24" s="169" customFormat="1" x14ac:dyDescent="0.25">
      <c r="A2188" s="65">
        <v>45106</v>
      </c>
      <c r="B2188" s="106">
        <v>180</v>
      </c>
      <c r="C2188" s="67">
        <v>0.65060185185185182</v>
      </c>
      <c r="D2188" s="66" t="s">
        <v>17961</v>
      </c>
      <c r="E2188" s="170" t="s">
        <v>18269</v>
      </c>
      <c r="F2188" s="66" t="s">
        <v>182</v>
      </c>
      <c r="G2188" s="66" t="s">
        <v>635</v>
      </c>
      <c r="H2188" s="169">
        <v>0.17899999999999999</v>
      </c>
      <c r="M2188" s="169" t="s">
        <v>18264</v>
      </c>
      <c r="O2188" s="169" t="s">
        <v>18265</v>
      </c>
      <c r="P2188" s="169" t="s">
        <v>18266</v>
      </c>
      <c r="Q2188" s="169">
        <v>423033.87</v>
      </c>
      <c r="R2188" s="169">
        <v>6203922.21</v>
      </c>
      <c r="S2188" s="169" t="s">
        <v>18267</v>
      </c>
      <c r="T2188" s="169" t="s">
        <v>18268</v>
      </c>
      <c r="U2188" s="169">
        <v>423057.89</v>
      </c>
      <c r="V2188" s="169">
        <v>6203914.7000000002</v>
      </c>
      <c r="W2188" s="169">
        <v>3.9</v>
      </c>
      <c r="X2188" s="169">
        <v>150.05000000000001</v>
      </c>
    </row>
    <row r="2189" spans="1:24" x14ac:dyDescent="0.25">
      <c r="A2189" s="148">
        <v>45106</v>
      </c>
      <c r="B2189" s="46">
        <v>180</v>
      </c>
      <c r="C2189" s="149">
        <v>0.65564814814814809</v>
      </c>
      <c r="D2189" s="38" t="s">
        <v>17961</v>
      </c>
      <c r="E2189" s="7" t="s">
        <v>65</v>
      </c>
      <c r="F2189" s="38" t="s">
        <v>182</v>
      </c>
      <c r="G2189" s="38" t="s">
        <v>635</v>
      </c>
      <c r="H2189">
        <v>0.16500000000000001</v>
      </c>
      <c r="I2189" t="s">
        <v>18274</v>
      </c>
      <c r="J2189" t="s">
        <v>18275</v>
      </c>
      <c r="K2189" t="s">
        <v>18276</v>
      </c>
      <c r="L2189" t="s">
        <v>18277</v>
      </c>
      <c r="O2189" t="s">
        <v>18270</v>
      </c>
      <c r="P2189" t="s">
        <v>18271</v>
      </c>
      <c r="Q2189">
        <v>423034.64</v>
      </c>
      <c r="R2189">
        <v>6203943.2999999998</v>
      </c>
      <c r="S2189" t="s">
        <v>18272</v>
      </c>
      <c r="T2189" t="s">
        <v>18273</v>
      </c>
      <c r="U2189">
        <v>423059.04</v>
      </c>
      <c r="V2189">
        <v>6203929.4699999997</v>
      </c>
      <c r="W2189">
        <v>359.23</v>
      </c>
      <c r="X2189">
        <v>150.05000000000001</v>
      </c>
    </row>
    <row r="2190" spans="1:24" x14ac:dyDescent="0.25">
      <c r="A2190" s="148">
        <v>45106</v>
      </c>
      <c r="B2190" s="46">
        <v>180</v>
      </c>
      <c r="C2190" s="149">
        <v>0.65931712962962963</v>
      </c>
      <c r="D2190" s="38" t="s">
        <v>17961</v>
      </c>
      <c r="E2190" s="7" t="s">
        <v>70</v>
      </c>
      <c r="F2190" s="38" t="s">
        <v>182</v>
      </c>
      <c r="G2190" s="38" t="s">
        <v>635</v>
      </c>
      <c r="H2190">
        <v>-2.7E-2</v>
      </c>
      <c r="I2190" t="s">
        <v>18274</v>
      </c>
      <c r="J2190" t="s">
        <v>18275</v>
      </c>
      <c r="K2190" t="s">
        <v>18276</v>
      </c>
      <c r="L2190" t="s">
        <v>18282</v>
      </c>
      <c r="O2190" t="s">
        <v>18278</v>
      </c>
      <c r="P2190" t="s">
        <v>18279</v>
      </c>
      <c r="Q2190">
        <v>423034.63</v>
      </c>
      <c r="R2190">
        <v>6204135.0199999996</v>
      </c>
      <c r="S2190" t="s">
        <v>18280</v>
      </c>
      <c r="T2190" t="s">
        <v>18281</v>
      </c>
      <c r="U2190">
        <v>423059.1</v>
      </c>
      <c r="V2190">
        <v>6204120.9000000004</v>
      </c>
      <c r="W2190">
        <v>359.64</v>
      </c>
      <c r="X2190">
        <v>150.05000000000001</v>
      </c>
    </row>
    <row r="2191" spans="1:24" x14ac:dyDescent="0.25">
      <c r="A2191" s="148">
        <v>45106</v>
      </c>
      <c r="B2191" s="46">
        <v>180</v>
      </c>
      <c r="C2191" s="149">
        <v>0.6639004629629629</v>
      </c>
      <c r="D2191" s="38" t="s">
        <v>17961</v>
      </c>
      <c r="E2191" s="7" t="s">
        <v>65</v>
      </c>
      <c r="F2191" s="38" t="s">
        <v>182</v>
      </c>
      <c r="G2191" s="38" t="s">
        <v>636</v>
      </c>
      <c r="H2191">
        <v>-1.2999999999999999E-2</v>
      </c>
      <c r="I2191" t="s">
        <v>18287</v>
      </c>
      <c r="J2191" t="s">
        <v>18288</v>
      </c>
      <c r="K2191" t="s">
        <v>18289</v>
      </c>
      <c r="L2191" t="s">
        <v>18282</v>
      </c>
      <c r="O2191" t="s">
        <v>18283</v>
      </c>
      <c r="P2191" t="s">
        <v>18284</v>
      </c>
      <c r="Q2191">
        <v>423046.01</v>
      </c>
      <c r="R2191">
        <v>6204140.4199999999</v>
      </c>
      <c r="S2191" t="s">
        <v>18285</v>
      </c>
      <c r="T2191" t="s">
        <v>18286</v>
      </c>
      <c r="U2191">
        <v>423068.09</v>
      </c>
      <c r="V2191">
        <v>6204118.6299999999</v>
      </c>
      <c r="W2191">
        <v>179.29</v>
      </c>
      <c r="X2191">
        <v>150.05000000000001</v>
      </c>
    </row>
    <row r="2192" spans="1:24" x14ac:dyDescent="0.25">
      <c r="A2192" s="148">
        <v>45106</v>
      </c>
      <c r="B2192" s="46">
        <v>180</v>
      </c>
      <c r="C2192" s="149">
        <v>0.66793981481481479</v>
      </c>
      <c r="D2192" s="38" t="s">
        <v>6737</v>
      </c>
      <c r="E2192" s="7" t="s">
        <v>70</v>
      </c>
      <c r="F2192" s="38" t="s">
        <v>182</v>
      </c>
      <c r="G2192" s="38" t="s">
        <v>636</v>
      </c>
      <c r="H2192">
        <v>0.18</v>
      </c>
      <c r="I2192" t="s">
        <v>18287</v>
      </c>
      <c r="J2192" t="s">
        <v>18288</v>
      </c>
      <c r="K2192" t="s">
        <v>18289</v>
      </c>
      <c r="L2192" t="s">
        <v>18282</v>
      </c>
      <c r="O2192" t="s">
        <v>18290</v>
      </c>
      <c r="P2192" t="s">
        <v>18291</v>
      </c>
      <c r="Q2192">
        <v>423045.25</v>
      </c>
      <c r="R2192">
        <v>6203941.8399999999</v>
      </c>
      <c r="S2192" t="s">
        <v>18292</v>
      </c>
      <c r="T2192" t="s">
        <v>18293</v>
      </c>
      <c r="U2192">
        <v>423068.15999999997</v>
      </c>
      <c r="V2192">
        <v>6203925.5199999996</v>
      </c>
      <c r="W2192">
        <v>180.28</v>
      </c>
      <c r="X2192">
        <v>150.05000000000001</v>
      </c>
    </row>
    <row r="2193" spans="1:24" s="178" customFormat="1" x14ac:dyDescent="0.25">
      <c r="A2193" s="155">
        <v>45106</v>
      </c>
      <c r="B2193" s="151">
        <v>180</v>
      </c>
      <c r="C2193" s="156">
        <v>0.67144675925925934</v>
      </c>
      <c r="D2193" s="150" t="s">
        <v>6737</v>
      </c>
      <c r="E2193" s="179" t="s">
        <v>7456</v>
      </c>
      <c r="F2193" s="150" t="s">
        <v>182</v>
      </c>
      <c r="G2193" s="150" t="s">
        <v>637</v>
      </c>
      <c r="H2193" s="178">
        <v>0.16800000000000001</v>
      </c>
      <c r="I2193" s="178" t="s">
        <v>18298</v>
      </c>
      <c r="J2193" s="178" t="s">
        <v>18299</v>
      </c>
      <c r="K2193" s="178" t="s">
        <v>18300</v>
      </c>
      <c r="L2193" s="178" t="s">
        <v>18301</v>
      </c>
      <c r="O2193" s="178" t="s">
        <v>18294</v>
      </c>
      <c r="P2193" s="178" t="s">
        <v>18295</v>
      </c>
      <c r="Q2193" s="178">
        <v>423053.44</v>
      </c>
      <c r="R2193" s="178">
        <v>6203930.5599999996</v>
      </c>
      <c r="S2193" s="178" t="s">
        <v>18296</v>
      </c>
      <c r="T2193" s="178" t="s">
        <v>18297</v>
      </c>
      <c r="U2193" s="178">
        <v>423076.02</v>
      </c>
      <c r="V2193" s="178">
        <v>6203926.3300000001</v>
      </c>
      <c r="W2193" s="178">
        <v>354.44</v>
      </c>
      <c r="X2193" s="178">
        <v>150.05000000000001</v>
      </c>
    </row>
    <row r="2194" spans="1:24" s="178" customFormat="1" x14ac:dyDescent="0.25">
      <c r="A2194" s="155">
        <v>45106</v>
      </c>
      <c r="B2194" s="151">
        <v>180</v>
      </c>
      <c r="C2194" s="156">
        <v>0.67245370370370372</v>
      </c>
      <c r="D2194" s="150" t="s">
        <v>6737</v>
      </c>
      <c r="E2194" s="179" t="s">
        <v>7457</v>
      </c>
      <c r="F2194" s="150" t="s">
        <v>182</v>
      </c>
      <c r="G2194" s="150" t="s">
        <v>637</v>
      </c>
      <c r="H2194" s="178">
        <v>0.115</v>
      </c>
      <c r="I2194" s="178" t="s">
        <v>18298</v>
      </c>
      <c r="J2194" s="178" t="s">
        <v>18299</v>
      </c>
      <c r="K2194" s="178" t="s">
        <v>18300</v>
      </c>
      <c r="L2194" s="178" t="s">
        <v>18301</v>
      </c>
      <c r="O2194" s="178" t="s">
        <v>18302</v>
      </c>
      <c r="P2194" s="178" t="s">
        <v>18303</v>
      </c>
      <c r="Q2194" s="178">
        <v>423053.24</v>
      </c>
      <c r="R2194" s="178">
        <v>6203982.6299999999</v>
      </c>
      <c r="S2194" s="178" t="s">
        <v>18304</v>
      </c>
      <c r="T2194" s="178" t="s">
        <v>18305</v>
      </c>
      <c r="U2194" s="178">
        <v>423075.53</v>
      </c>
      <c r="V2194" s="178">
        <v>6203978.6900000004</v>
      </c>
      <c r="W2194" s="178">
        <v>354.45</v>
      </c>
      <c r="X2194" s="178">
        <v>150.05000000000001</v>
      </c>
    </row>
    <row r="2195" spans="1:24" x14ac:dyDescent="0.25">
      <c r="A2195" s="148">
        <v>45106</v>
      </c>
      <c r="B2195" s="46">
        <v>180</v>
      </c>
      <c r="C2195" s="149">
        <v>0.6726388888888889</v>
      </c>
      <c r="D2195" s="38" t="s">
        <v>6737</v>
      </c>
      <c r="E2195" s="7" t="s">
        <v>10172</v>
      </c>
      <c r="F2195" s="38" t="s">
        <v>182</v>
      </c>
      <c r="G2195" s="38" t="s">
        <v>637</v>
      </c>
      <c r="H2195">
        <v>0.111</v>
      </c>
      <c r="O2195" t="s">
        <v>18306</v>
      </c>
      <c r="P2195" t="s">
        <v>18307</v>
      </c>
      <c r="Q2195">
        <v>423053.32</v>
      </c>
      <c r="R2195">
        <v>6203988.9199999999</v>
      </c>
      <c r="S2195" t="s">
        <v>18308</v>
      </c>
      <c r="T2195" t="s">
        <v>18309</v>
      </c>
      <c r="U2195">
        <v>423075.23</v>
      </c>
      <c r="V2195">
        <v>6203982.7199999997</v>
      </c>
      <c r="W2195">
        <v>354.77</v>
      </c>
      <c r="X2195">
        <v>150.05000000000001</v>
      </c>
    </row>
    <row r="2196" spans="1:24" s="157" customFormat="1" x14ac:dyDescent="0.25">
      <c r="A2196" s="148"/>
      <c r="B2196" s="46"/>
      <c r="C2196" s="149">
        <v>0.68263888888888891</v>
      </c>
      <c r="D2196" s="162" t="s">
        <v>6737</v>
      </c>
      <c r="E2196" s="160" t="s">
        <v>18323</v>
      </c>
      <c r="F2196" s="162" t="s">
        <v>182</v>
      </c>
      <c r="G2196" s="162" t="s">
        <v>637</v>
      </c>
    </row>
    <row r="2197" spans="1:24" x14ac:dyDescent="0.25">
      <c r="A2197" s="148">
        <v>45106</v>
      </c>
      <c r="B2197" s="46">
        <v>180</v>
      </c>
      <c r="C2197" s="149">
        <v>0.68521990740740746</v>
      </c>
      <c r="D2197" s="38" t="s">
        <v>6737</v>
      </c>
      <c r="E2197" s="7" t="s">
        <v>65</v>
      </c>
      <c r="F2197" s="38" t="s">
        <v>182</v>
      </c>
      <c r="G2197" s="38" t="s">
        <v>637</v>
      </c>
      <c r="H2197">
        <v>0.16800000000000001</v>
      </c>
      <c r="I2197" t="s">
        <v>18314</v>
      </c>
      <c r="J2197" t="s">
        <v>18315</v>
      </c>
      <c r="K2197" t="s">
        <v>18316</v>
      </c>
      <c r="L2197" t="s">
        <v>18317</v>
      </c>
      <c r="O2197" t="s">
        <v>18310</v>
      </c>
      <c r="P2197" t="s">
        <v>18311</v>
      </c>
      <c r="Q2197">
        <v>423052.93</v>
      </c>
      <c r="R2197">
        <v>6203922.6799999997</v>
      </c>
      <c r="S2197" t="s">
        <v>18312</v>
      </c>
      <c r="T2197" t="s">
        <v>18313</v>
      </c>
      <c r="U2197">
        <v>423077.14</v>
      </c>
      <c r="V2197">
        <v>6203926.21</v>
      </c>
      <c r="W2197">
        <v>0.13</v>
      </c>
      <c r="X2197">
        <v>150.05000000000001</v>
      </c>
    </row>
    <row r="2198" spans="1:24" x14ac:dyDescent="0.25">
      <c r="A2198" s="148">
        <v>45106</v>
      </c>
      <c r="B2198" s="46">
        <v>180</v>
      </c>
      <c r="C2198" s="149">
        <v>0.68944444444444442</v>
      </c>
      <c r="D2198" s="38" t="s">
        <v>6737</v>
      </c>
      <c r="E2198" s="7" t="s">
        <v>70</v>
      </c>
      <c r="F2198" s="38" t="s">
        <v>182</v>
      </c>
      <c r="G2198" s="38" t="s">
        <v>637</v>
      </c>
      <c r="H2198">
        <v>-1.7999999999999999E-2</v>
      </c>
      <c r="I2198" t="s">
        <v>18314</v>
      </c>
      <c r="J2198" t="s">
        <v>18315</v>
      </c>
      <c r="K2198" t="s">
        <v>18316</v>
      </c>
      <c r="L2198" t="s">
        <v>18322</v>
      </c>
      <c r="O2198" t="s">
        <v>18318</v>
      </c>
      <c r="P2198" t="s">
        <v>18319</v>
      </c>
      <c r="Q2198">
        <v>423053.7</v>
      </c>
      <c r="R2198">
        <v>6204111.5199999996</v>
      </c>
      <c r="S2198" t="s">
        <v>18320</v>
      </c>
      <c r="T2198" t="s">
        <v>18321</v>
      </c>
      <c r="U2198">
        <v>423077.18</v>
      </c>
      <c r="V2198">
        <v>6204112.4199999999</v>
      </c>
      <c r="W2198">
        <v>0.02</v>
      </c>
      <c r="X2198">
        <v>150.05000000000001</v>
      </c>
    </row>
    <row r="2199" spans="1:24" x14ac:dyDescent="0.25">
      <c r="A2199" s="148">
        <v>45106</v>
      </c>
      <c r="B2199" s="46">
        <v>180</v>
      </c>
      <c r="C2199" s="149">
        <v>0.69785879629629621</v>
      </c>
      <c r="D2199" s="38" t="s">
        <v>6737</v>
      </c>
      <c r="E2199" s="7" t="s">
        <v>65</v>
      </c>
      <c r="F2199" s="38" t="s">
        <v>182</v>
      </c>
      <c r="G2199" s="38" t="s">
        <v>638</v>
      </c>
      <c r="H2199">
        <v>-1.4999999999999999E-2</v>
      </c>
      <c r="I2199" t="s">
        <v>18328</v>
      </c>
      <c r="J2199" t="s">
        <v>18329</v>
      </c>
      <c r="K2199" t="s">
        <v>18330</v>
      </c>
      <c r="L2199" t="s">
        <v>18322</v>
      </c>
      <c r="O2199" t="s">
        <v>18324</v>
      </c>
      <c r="P2199" t="s">
        <v>18325</v>
      </c>
      <c r="Q2199">
        <v>423062.7</v>
      </c>
      <c r="R2199">
        <v>6204134.46</v>
      </c>
      <c r="S2199" t="s">
        <v>18326</v>
      </c>
      <c r="T2199" t="s">
        <v>18327</v>
      </c>
      <c r="U2199">
        <v>423086.07</v>
      </c>
      <c r="V2199">
        <v>6204119.9299999997</v>
      </c>
      <c r="W2199">
        <v>181.09</v>
      </c>
      <c r="X2199">
        <v>150.05000000000001</v>
      </c>
    </row>
    <row r="2200" spans="1:24" x14ac:dyDescent="0.25">
      <c r="A2200" s="148">
        <v>45106</v>
      </c>
      <c r="B2200" s="46">
        <v>180</v>
      </c>
      <c r="C2200" s="149">
        <v>0.69927083333333329</v>
      </c>
      <c r="D2200" s="38" t="s">
        <v>6737</v>
      </c>
      <c r="E2200" s="160" t="s">
        <v>18323</v>
      </c>
      <c r="F2200" s="38" t="s">
        <v>182</v>
      </c>
      <c r="G2200" s="38" t="s">
        <v>638</v>
      </c>
      <c r="H2200">
        <v>5.6000000000000001E-2</v>
      </c>
      <c r="O2200" t="s">
        <v>18331</v>
      </c>
      <c r="P2200" t="s">
        <v>18332</v>
      </c>
      <c r="Q2200">
        <v>423062.99</v>
      </c>
      <c r="R2200">
        <v>6204067.9199999999</v>
      </c>
      <c r="S2200" t="s">
        <v>18333</v>
      </c>
      <c r="T2200" t="s">
        <v>18334</v>
      </c>
      <c r="U2200">
        <v>423086.23</v>
      </c>
      <c r="V2200">
        <v>6204049.46</v>
      </c>
      <c r="W2200">
        <v>180.73</v>
      </c>
      <c r="X2200">
        <v>150.05000000000001</v>
      </c>
    </row>
    <row r="2201" spans="1:24" x14ac:dyDescent="0.25">
      <c r="A2201" s="148">
        <v>45106</v>
      </c>
      <c r="B2201" s="46">
        <v>180</v>
      </c>
      <c r="C2201" s="149">
        <v>0.70078703703703704</v>
      </c>
      <c r="D2201" s="38" t="s">
        <v>6737</v>
      </c>
      <c r="E2201" s="160" t="s">
        <v>18323</v>
      </c>
      <c r="F2201" s="38" t="s">
        <v>182</v>
      </c>
      <c r="G2201" s="38" t="s">
        <v>638</v>
      </c>
      <c r="H2201">
        <v>0.13500000000000001</v>
      </c>
      <c r="O2201" t="s">
        <v>18335</v>
      </c>
      <c r="P2201" t="s">
        <v>18336</v>
      </c>
      <c r="Q2201">
        <v>423062.5</v>
      </c>
      <c r="R2201">
        <v>6203987.9500000002</v>
      </c>
      <c r="S2201" t="s">
        <v>18337</v>
      </c>
      <c r="T2201" t="s">
        <v>18338</v>
      </c>
      <c r="U2201">
        <v>423086.21</v>
      </c>
      <c r="V2201">
        <v>6203970.3600000003</v>
      </c>
      <c r="W2201">
        <v>180.52</v>
      </c>
      <c r="X2201">
        <v>150.05000000000001</v>
      </c>
    </row>
    <row r="2202" spans="1:24" x14ac:dyDescent="0.25">
      <c r="A2202" s="148">
        <v>45106</v>
      </c>
      <c r="B2202" s="46">
        <v>180</v>
      </c>
      <c r="C2202" s="149">
        <v>0.7015393518518519</v>
      </c>
      <c r="D2202" s="38" t="s">
        <v>6737</v>
      </c>
      <c r="E2202" s="7" t="s">
        <v>70</v>
      </c>
      <c r="F2202" s="38" t="s">
        <v>182</v>
      </c>
      <c r="G2202" s="38" t="s">
        <v>638</v>
      </c>
      <c r="H2202">
        <v>0.17299999999999999</v>
      </c>
      <c r="I2202" t="s">
        <v>18328</v>
      </c>
      <c r="J2202" t="s">
        <v>18329</v>
      </c>
      <c r="K2202" t="s">
        <v>18330</v>
      </c>
      <c r="L2202" t="s">
        <v>18343</v>
      </c>
      <c r="O2202" t="s">
        <v>18339</v>
      </c>
      <c r="P2202" t="s">
        <v>18340</v>
      </c>
      <c r="Q2202">
        <v>423062.77</v>
      </c>
      <c r="R2202">
        <v>6203948.3399999999</v>
      </c>
      <c r="S2202" t="s">
        <v>18341</v>
      </c>
      <c r="T2202" t="s">
        <v>18342</v>
      </c>
      <c r="U2202">
        <v>423086.18</v>
      </c>
      <c r="V2202">
        <v>6203931.9800000004</v>
      </c>
      <c r="W2202">
        <v>180.09</v>
      </c>
      <c r="X2202">
        <v>150.05000000000001</v>
      </c>
    </row>
    <row r="2203" spans="1:24" x14ac:dyDescent="0.25">
      <c r="A2203" s="148">
        <v>45106</v>
      </c>
      <c r="B2203" s="46">
        <v>180</v>
      </c>
      <c r="C2203" s="149">
        <v>0.70568287037037036</v>
      </c>
      <c r="D2203" s="38" t="s">
        <v>6737</v>
      </c>
      <c r="E2203" s="7" t="s">
        <v>65</v>
      </c>
      <c r="F2203" s="38" t="s">
        <v>182</v>
      </c>
      <c r="G2203" s="38" t="s">
        <v>639</v>
      </c>
      <c r="H2203">
        <v>0.16800000000000001</v>
      </c>
      <c r="I2203" t="s">
        <v>18348</v>
      </c>
      <c r="J2203" t="s">
        <v>18349</v>
      </c>
      <c r="K2203" t="s">
        <v>18350</v>
      </c>
      <c r="L2203" t="s">
        <v>18343</v>
      </c>
      <c r="O2203" t="s">
        <v>18344</v>
      </c>
      <c r="P2203" t="s">
        <v>18345</v>
      </c>
      <c r="Q2203">
        <v>423070.95</v>
      </c>
      <c r="R2203">
        <v>6203918.5999999996</v>
      </c>
      <c r="S2203" t="s">
        <v>18346</v>
      </c>
      <c r="T2203" t="s">
        <v>18347</v>
      </c>
      <c r="U2203">
        <v>423095.07</v>
      </c>
      <c r="V2203">
        <v>6203925.5999999996</v>
      </c>
      <c r="W2203">
        <v>3.41</v>
      </c>
      <c r="X2203">
        <v>150.05000000000001</v>
      </c>
    </row>
    <row r="2204" spans="1:24" x14ac:dyDescent="0.25">
      <c r="A2204" s="148">
        <v>45106</v>
      </c>
      <c r="B2204" s="46">
        <v>180</v>
      </c>
      <c r="C2204" s="149">
        <v>0.70954861111111101</v>
      </c>
      <c r="D2204" s="38" t="s">
        <v>6737</v>
      </c>
      <c r="E2204" s="7" t="s">
        <v>70</v>
      </c>
      <c r="F2204" s="38" t="s">
        <v>182</v>
      </c>
      <c r="G2204" s="38" t="s">
        <v>639</v>
      </c>
      <c r="H2204">
        <v>-1.7000000000000001E-2</v>
      </c>
      <c r="I2204" t="s">
        <v>18348</v>
      </c>
      <c r="J2204" t="s">
        <v>18349</v>
      </c>
      <c r="K2204" t="s">
        <v>18350</v>
      </c>
      <c r="L2204" t="s">
        <v>18343</v>
      </c>
      <c r="O2204" t="s">
        <v>18351</v>
      </c>
      <c r="P2204" t="s">
        <v>18352</v>
      </c>
      <c r="Q2204">
        <v>423070.98</v>
      </c>
      <c r="R2204">
        <v>6204119.1799999997</v>
      </c>
      <c r="S2204" t="s">
        <v>18353</v>
      </c>
      <c r="T2204" t="s">
        <v>18354</v>
      </c>
      <c r="U2204">
        <v>423095.07</v>
      </c>
      <c r="V2204">
        <v>6204111.4100000001</v>
      </c>
      <c r="W2204">
        <v>0.61</v>
      </c>
      <c r="X2204">
        <v>150.05000000000001</v>
      </c>
    </row>
    <row r="2205" spans="1:24" x14ac:dyDescent="0.25">
      <c r="A2205" s="148">
        <v>45106</v>
      </c>
      <c r="B2205" s="46">
        <v>180</v>
      </c>
      <c r="C2205" s="149">
        <v>0.71076388888888886</v>
      </c>
      <c r="D2205" s="38" t="s">
        <v>6737</v>
      </c>
      <c r="E2205" s="7" t="s">
        <v>18359</v>
      </c>
      <c r="F2205" s="38" t="s">
        <v>182</v>
      </c>
      <c r="G2205" s="38" t="s">
        <v>639</v>
      </c>
      <c r="H2205">
        <v>-3.2000000000000001E-2</v>
      </c>
      <c r="O2205" t="s">
        <v>18355</v>
      </c>
      <c r="P2205" t="s">
        <v>18356</v>
      </c>
      <c r="Q2205">
        <v>423071.62</v>
      </c>
      <c r="R2205">
        <v>6204157.4100000001</v>
      </c>
      <c r="S2205" t="s">
        <v>18357</v>
      </c>
      <c r="T2205" t="s">
        <v>18358</v>
      </c>
      <c r="U2205">
        <v>423090.37</v>
      </c>
      <c r="V2205">
        <v>6204137.3799999999</v>
      </c>
      <c r="W2205">
        <v>166.79</v>
      </c>
      <c r="X2205">
        <v>150.05000000000001</v>
      </c>
    </row>
    <row r="2206" spans="1:24" x14ac:dyDescent="0.25">
      <c r="A2206" s="148">
        <v>45106</v>
      </c>
      <c r="B2206" s="46">
        <v>180</v>
      </c>
      <c r="C2206" s="149">
        <v>0.71423611111111107</v>
      </c>
      <c r="D2206" s="38" t="s">
        <v>6737</v>
      </c>
      <c r="E2206" s="7" t="s">
        <v>18364</v>
      </c>
      <c r="F2206" s="38" t="s">
        <v>182</v>
      </c>
      <c r="G2206" s="38" t="s">
        <v>640</v>
      </c>
      <c r="H2206">
        <v>-4.7E-2</v>
      </c>
      <c r="O2206" t="s">
        <v>18360</v>
      </c>
      <c r="P2206" t="s">
        <v>18361</v>
      </c>
      <c r="Q2206">
        <v>423071.58</v>
      </c>
      <c r="R2206">
        <v>6204157.8099999996</v>
      </c>
      <c r="S2206" t="s">
        <v>18362</v>
      </c>
      <c r="T2206" t="s">
        <v>18363</v>
      </c>
      <c r="U2206">
        <v>423081.26</v>
      </c>
      <c r="V2206">
        <v>6204150.3899999997</v>
      </c>
      <c r="W2206">
        <v>128.74</v>
      </c>
      <c r="X2206">
        <v>150.05000000000001</v>
      </c>
    </row>
    <row r="2207" spans="1:24" x14ac:dyDescent="0.25">
      <c r="A2207" s="148">
        <v>45106</v>
      </c>
      <c r="B2207" s="46">
        <v>180</v>
      </c>
      <c r="C2207" s="149">
        <v>0.72268518518518521</v>
      </c>
      <c r="D2207" s="38" t="s">
        <v>6737</v>
      </c>
      <c r="E2207" s="7" t="s">
        <v>18369</v>
      </c>
      <c r="F2207" s="38" t="s">
        <v>182</v>
      </c>
      <c r="G2207" s="38" t="s">
        <v>637</v>
      </c>
      <c r="H2207">
        <v>-4.7E-2</v>
      </c>
      <c r="O2207" t="s">
        <v>18365</v>
      </c>
      <c r="P2207" t="s">
        <v>18366</v>
      </c>
      <c r="Q2207">
        <v>423069.83</v>
      </c>
      <c r="R2207">
        <v>6204157.7699999996</v>
      </c>
      <c r="S2207" t="s">
        <v>18367</v>
      </c>
      <c r="T2207" t="s">
        <v>18368</v>
      </c>
      <c r="U2207">
        <v>423079.58</v>
      </c>
      <c r="V2207">
        <v>6204150.25</v>
      </c>
      <c r="W2207">
        <v>126.21</v>
      </c>
      <c r="X2207">
        <v>150.05000000000001</v>
      </c>
    </row>
    <row r="2208" spans="1:24" x14ac:dyDescent="0.25">
      <c r="A2208" s="148">
        <v>45106</v>
      </c>
      <c r="B2208" s="46">
        <v>180</v>
      </c>
      <c r="C2208" s="149">
        <v>0.72936342592592596</v>
      </c>
      <c r="D2208" s="38" t="s">
        <v>6737</v>
      </c>
      <c r="E2208" s="7" t="s">
        <v>65</v>
      </c>
      <c r="F2208" s="38" t="s">
        <v>182</v>
      </c>
      <c r="G2208" s="38" t="s">
        <v>18370</v>
      </c>
      <c r="H2208">
        <v>-1.7000000000000001E-2</v>
      </c>
      <c r="I2208" t="s">
        <v>18375</v>
      </c>
      <c r="J2208" t="s">
        <v>18376</v>
      </c>
      <c r="K2208" t="s">
        <v>18377</v>
      </c>
      <c r="L2208" t="s">
        <v>18378</v>
      </c>
      <c r="O2208" t="s">
        <v>18371</v>
      </c>
      <c r="P2208" t="s">
        <v>18372</v>
      </c>
      <c r="Q2208">
        <v>423053.71</v>
      </c>
      <c r="R2208">
        <v>6204146.1299999999</v>
      </c>
      <c r="S2208" t="s">
        <v>18373</v>
      </c>
      <c r="T2208" t="s">
        <v>18374</v>
      </c>
      <c r="U2208">
        <v>423076.88</v>
      </c>
      <c r="V2208">
        <v>6204121.9000000004</v>
      </c>
      <c r="W2208">
        <v>178.98</v>
      </c>
      <c r="X2208">
        <v>150.05000000000001</v>
      </c>
    </row>
    <row r="2209" spans="1:24" x14ac:dyDescent="0.25">
      <c r="A2209" s="148">
        <v>45106</v>
      </c>
      <c r="B2209" s="46">
        <v>180</v>
      </c>
      <c r="C2209" s="149">
        <v>0.7333101851851852</v>
      </c>
      <c r="D2209" s="38" t="s">
        <v>6737</v>
      </c>
      <c r="E2209" s="7" t="s">
        <v>70</v>
      </c>
      <c r="F2209" s="38" t="s">
        <v>182</v>
      </c>
      <c r="G2209" s="38" t="s">
        <v>18370</v>
      </c>
      <c r="H2209">
        <v>0.17399999999999999</v>
      </c>
      <c r="I2209" t="s">
        <v>18375</v>
      </c>
      <c r="J2209" t="s">
        <v>18376</v>
      </c>
      <c r="K2209" t="s">
        <v>18377</v>
      </c>
      <c r="L2209" t="s">
        <v>18383</v>
      </c>
      <c r="O2209" t="s">
        <v>18379</v>
      </c>
      <c r="P2209" t="s">
        <v>18380</v>
      </c>
      <c r="Q2209">
        <v>423053.99</v>
      </c>
      <c r="R2209">
        <v>6203947.3799999999</v>
      </c>
      <c r="S2209" t="s">
        <v>18381</v>
      </c>
      <c r="T2209" t="s">
        <v>18382</v>
      </c>
      <c r="U2209">
        <v>423077.18</v>
      </c>
      <c r="V2209">
        <v>6203931.21</v>
      </c>
      <c r="W2209">
        <v>180.49</v>
      </c>
      <c r="X2209">
        <v>150.05000000000001</v>
      </c>
    </row>
    <row r="2210" spans="1:24" x14ac:dyDescent="0.25">
      <c r="A2210" s="148">
        <v>45106</v>
      </c>
      <c r="B2210" s="46">
        <v>180</v>
      </c>
      <c r="C2210" s="149">
        <v>0.73590277777777768</v>
      </c>
      <c r="D2210" s="38" t="s">
        <v>6737</v>
      </c>
      <c r="E2210" s="7" t="s">
        <v>65</v>
      </c>
      <c r="F2210" s="38" t="s">
        <v>182</v>
      </c>
      <c r="G2210" s="38" t="s">
        <v>18384</v>
      </c>
      <c r="H2210">
        <v>0.16900000000000001</v>
      </c>
      <c r="I2210" t="s">
        <v>18388</v>
      </c>
      <c r="J2210" t="s">
        <v>18389</v>
      </c>
      <c r="K2210" t="s">
        <v>18390</v>
      </c>
      <c r="L2210" t="s">
        <v>18383</v>
      </c>
      <c r="O2210" t="s">
        <v>18385</v>
      </c>
      <c r="P2210" t="s">
        <v>18386</v>
      </c>
      <c r="Q2210">
        <v>423061.31</v>
      </c>
      <c r="R2210">
        <v>6203924.2300000004</v>
      </c>
      <c r="S2210" t="s">
        <v>18387</v>
      </c>
      <c r="T2210" t="s">
        <v>8123</v>
      </c>
      <c r="U2210">
        <v>423086.01</v>
      </c>
      <c r="V2210">
        <v>6203925.4699999997</v>
      </c>
      <c r="W2210">
        <v>1.17</v>
      </c>
      <c r="X2210">
        <v>150.05000000000001</v>
      </c>
    </row>
    <row r="2211" spans="1:24" x14ac:dyDescent="0.25">
      <c r="A2211" s="148">
        <v>45106</v>
      </c>
      <c r="B2211" s="46">
        <v>180</v>
      </c>
      <c r="C2211" s="149">
        <v>0.73951388888888892</v>
      </c>
      <c r="D2211" s="38" t="s">
        <v>6737</v>
      </c>
      <c r="E2211" s="7" t="s">
        <v>70</v>
      </c>
      <c r="F2211" s="38" t="s">
        <v>182</v>
      </c>
      <c r="G2211" s="38" t="s">
        <v>18384</v>
      </c>
      <c r="H2211">
        <v>-1.9E-2</v>
      </c>
      <c r="I2211" t="s">
        <v>18388</v>
      </c>
      <c r="J2211" t="s">
        <v>18389</v>
      </c>
      <c r="K2211" t="s">
        <v>18390</v>
      </c>
      <c r="L2211" t="s">
        <v>18383</v>
      </c>
      <c r="O2211" t="s">
        <v>18391</v>
      </c>
      <c r="P2211" t="s">
        <v>18392</v>
      </c>
      <c r="Q2211">
        <v>423062.14</v>
      </c>
      <c r="R2211">
        <v>6204112.6500000004</v>
      </c>
      <c r="S2211" t="s">
        <v>18393</v>
      </c>
      <c r="T2211" t="s">
        <v>18394</v>
      </c>
      <c r="U2211">
        <v>423086.02</v>
      </c>
      <c r="V2211">
        <v>6204113</v>
      </c>
      <c r="W2211">
        <v>0.74</v>
      </c>
      <c r="X2211">
        <v>150.05000000000001</v>
      </c>
    </row>
    <row r="2212" spans="1:24" x14ac:dyDescent="0.25">
      <c r="A2212" s="148">
        <v>45106</v>
      </c>
      <c r="B2212" s="46">
        <v>180</v>
      </c>
      <c r="C2212" s="149">
        <v>0.74246527777777782</v>
      </c>
      <c r="D2212" s="38" t="s">
        <v>6737</v>
      </c>
      <c r="E2212" s="7" t="s">
        <v>65</v>
      </c>
      <c r="F2212" s="38" t="s">
        <v>182</v>
      </c>
      <c r="G2212" s="38" t="s">
        <v>18395</v>
      </c>
      <c r="H2212">
        <v>-1.4E-2</v>
      </c>
      <c r="I2212" t="s">
        <v>18400</v>
      </c>
      <c r="J2212" t="s">
        <v>18401</v>
      </c>
      <c r="K2212" t="s">
        <v>18402</v>
      </c>
      <c r="L2212" t="s">
        <v>18403</v>
      </c>
      <c r="O2212" t="s">
        <v>18396</v>
      </c>
      <c r="P2212" t="s">
        <v>18397</v>
      </c>
      <c r="Q2212">
        <v>423072.11</v>
      </c>
      <c r="R2212">
        <v>6204134.0099999998</v>
      </c>
      <c r="S2212" t="s">
        <v>18398</v>
      </c>
      <c r="T2212" t="s">
        <v>18399</v>
      </c>
      <c r="U2212">
        <v>423095.2</v>
      </c>
      <c r="V2212">
        <v>6204119.1500000004</v>
      </c>
      <c r="W2212">
        <v>181.27</v>
      </c>
      <c r="X2212">
        <v>150.05000000000001</v>
      </c>
    </row>
    <row r="2213" spans="1:24" x14ac:dyDescent="0.25">
      <c r="A2213" s="148">
        <v>45106</v>
      </c>
      <c r="B2213" s="46">
        <v>180</v>
      </c>
      <c r="C2213" s="149">
        <v>0.74600694444444438</v>
      </c>
      <c r="D2213" s="38" t="s">
        <v>6737</v>
      </c>
      <c r="E2213" s="7" t="s">
        <v>70</v>
      </c>
      <c r="F2213" s="38" t="s">
        <v>182</v>
      </c>
      <c r="G2213" s="38" t="s">
        <v>18395</v>
      </c>
      <c r="H2213">
        <v>0.17299999999999999</v>
      </c>
      <c r="I2213" t="s">
        <v>18400</v>
      </c>
      <c r="J2213" t="s">
        <v>18401</v>
      </c>
      <c r="K2213" t="s">
        <v>18402</v>
      </c>
      <c r="L2213" t="s">
        <v>18403</v>
      </c>
      <c r="O2213" t="s">
        <v>18404</v>
      </c>
      <c r="P2213" t="s">
        <v>18405</v>
      </c>
      <c r="Q2213">
        <v>423071.79</v>
      </c>
      <c r="R2213">
        <v>6203952.4100000001</v>
      </c>
      <c r="S2213" t="s">
        <v>18406</v>
      </c>
      <c r="T2213" t="s">
        <v>18407</v>
      </c>
      <c r="U2213">
        <v>423094.92</v>
      </c>
      <c r="V2213">
        <v>6203932.4400000004</v>
      </c>
      <c r="W2213">
        <v>178.97</v>
      </c>
      <c r="X2213">
        <v>150.05000000000001</v>
      </c>
    </row>
    <row r="2214" spans="1:24" x14ac:dyDescent="0.25">
      <c r="A2214" s="148">
        <v>45106</v>
      </c>
      <c r="B2214" s="46">
        <v>180</v>
      </c>
      <c r="C2214" s="149">
        <v>0.74868055555555557</v>
      </c>
      <c r="D2214" s="38" t="s">
        <v>6737</v>
      </c>
      <c r="E2214" s="7" t="s">
        <v>65</v>
      </c>
      <c r="F2214" s="38" t="s">
        <v>182</v>
      </c>
      <c r="G2214" s="38" t="s">
        <v>640</v>
      </c>
      <c r="H2214">
        <v>0.16900000000000001</v>
      </c>
      <c r="I2214" t="s">
        <v>18412</v>
      </c>
      <c r="J2214" t="s">
        <v>18413</v>
      </c>
      <c r="K2214" t="s">
        <v>18414</v>
      </c>
      <c r="L2214" t="s">
        <v>18403</v>
      </c>
      <c r="O2214" t="s">
        <v>18408</v>
      </c>
      <c r="P2214" t="s">
        <v>18409</v>
      </c>
      <c r="Q2214">
        <v>423079.1</v>
      </c>
      <c r="R2214">
        <v>6203919.5599999996</v>
      </c>
      <c r="S2214" t="s">
        <v>18410</v>
      </c>
      <c r="T2214" t="s">
        <v>18411</v>
      </c>
      <c r="U2214">
        <v>423104.01</v>
      </c>
      <c r="V2214">
        <v>6203924.79</v>
      </c>
      <c r="W2214">
        <v>1.38</v>
      </c>
      <c r="X2214">
        <v>150.05000000000001</v>
      </c>
    </row>
    <row r="2215" spans="1:24" x14ac:dyDescent="0.25">
      <c r="A2215" s="148">
        <v>45106</v>
      </c>
      <c r="B2215" s="46">
        <v>180</v>
      </c>
      <c r="C2215" s="149">
        <v>0.75253472222222229</v>
      </c>
      <c r="D2215" s="38" t="s">
        <v>6737</v>
      </c>
      <c r="E2215" s="7" t="s">
        <v>70</v>
      </c>
      <c r="F2215" s="38" t="s">
        <v>182</v>
      </c>
      <c r="G2215" s="38" t="s">
        <v>640</v>
      </c>
      <c r="H2215">
        <v>-1.9E-2</v>
      </c>
      <c r="I2215" t="s">
        <v>18412</v>
      </c>
      <c r="J2215" t="s">
        <v>18413</v>
      </c>
      <c r="K2215" t="s">
        <v>18414</v>
      </c>
      <c r="L2215" t="s">
        <v>18419</v>
      </c>
      <c r="O2215" t="s">
        <v>18415</v>
      </c>
      <c r="P2215" t="s">
        <v>18416</v>
      </c>
      <c r="Q2215">
        <v>423078.84</v>
      </c>
      <c r="R2215">
        <v>6204113.8099999996</v>
      </c>
      <c r="S2215" t="s">
        <v>18417</v>
      </c>
      <c r="T2215" t="s">
        <v>18418</v>
      </c>
      <c r="U2215">
        <v>423104.28</v>
      </c>
      <c r="V2215">
        <v>6204113.0499999998</v>
      </c>
      <c r="W2215">
        <v>358.94</v>
      </c>
      <c r="X2215">
        <v>150.05000000000001</v>
      </c>
    </row>
    <row r="2216" spans="1:24" x14ac:dyDescent="0.25">
      <c r="A2216" s="148">
        <v>45106</v>
      </c>
      <c r="B2216" s="46">
        <v>180</v>
      </c>
      <c r="C2216" s="149">
        <v>0.75557870370370372</v>
      </c>
      <c r="D2216" s="38" t="s">
        <v>6737</v>
      </c>
      <c r="E2216" s="7" t="s">
        <v>65</v>
      </c>
      <c r="F2216" s="38" t="s">
        <v>182</v>
      </c>
      <c r="G2216" s="38" t="s">
        <v>634</v>
      </c>
      <c r="H2216">
        <v>-1.4999999999999999E-2</v>
      </c>
      <c r="I2216" t="s">
        <v>18424</v>
      </c>
      <c r="J2216" t="s">
        <v>18425</v>
      </c>
      <c r="K2216" t="s">
        <v>18426</v>
      </c>
      <c r="L2216" t="s">
        <v>18419</v>
      </c>
      <c r="O2216" t="s">
        <v>18420</v>
      </c>
      <c r="P2216" t="s">
        <v>18421</v>
      </c>
      <c r="Q2216">
        <v>423089.56</v>
      </c>
      <c r="R2216">
        <v>6204129.9400000004</v>
      </c>
      <c r="S2216" t="s">
        <v>18422</v>
      </c>
      <c r="T2216" t="s">
        <v>18423</v>
      </c>
      <c r="U2216">
        <v>423113.08</v>
      </c>
      <c r="V2216">
        <v>6204119.8600000003</v>
      </c>
      <c r="W2216">
        <v>180.49</v>
      </c>
      <c r="X2216">
        <v>150.05000000000001</v>
      </c>
    </row>
    <row r="2217" spans="1:24" x14ac:dyDescent="0.25">
      <c r="A2217" s="148">
        <v>45106</v>
      </c>
      <c r="B2217" s="46">
        <v>180</v>
      </c>
      <c r="C2217" s="149">
        <v>0.75921296296296292</v>
      </c>
      <c r="D2217" s="38" t="s">
        <v>6737</v>
      </c>
      <c r="E2217" s="7" t="s">
        <v>70</v>
      </c>
      <c r="F2217" s="38" t="s">
        <v>182</v>
      </c>
      <c r="G2217" s="38" t="s">
        <v>634</v>
      </c>
      <c r="H2217">
        <v>0.17399999999999999</v>
      </c>
      <c r="I2217" t="s">
        <v>18424</v>
      </c>
      <c r="J2217" t="s">
        <v>18425</v>
      </c>
      <c r="K2217" t="s">
        <v>18426</v>
      </c>
      <c r="L2217" t="s">
        <v>18419</v>
      </c>
      <c r="O2217" t="s">
        <v>18427</v>
      </c>
      <c r="P2217" t="s">
        <v>18428</v>
      </c>
      <c r="Q2217">
        <v>423089.62</v>
      </c>
      <c r="R2217">
        <v>6203941.1399999997</v>
      </c>
      <c r="S2217" t="s">
        <v>18429</v>
      </c>
      <c r="T2217" t="s">
        <v>18430</v>
      </c>
      <c r="U2217">
        <v>423113.11</v>
      </c>
      <c r="V2217">
        <v>6203930.9699999997</v>
      </c>
      <c r="W2217">
        <v>179.8</v>
      </c>
      <c r="X2217">
        <v>150.05000000000001</v>
      </c>
    </row>
    <row r="2218" spans="1:24" x14ac:dyDescent="0.25">
      <c r="A2218" s="148">
        <v>45106</v>
      </c>
      <c r="B2218" s="46">
        <v>180</v>
      </c>
      <c r="C2218" s="149">
        <v>0.76267361111111109</v>
      </c>
      <c r="D2218" s="38" t="s">
        <v>6737</v>
      </c>
      <c r="E2218" s="7" t="s">
        <v>65</v>
      </c>
      <c r="F2218" s="38" t="s">
        <v>182</v>
      </c>
      <c r="G2218" s="38" t="s">
        <v>633</v>
      </c>
      <c r="H2218">
        <v>0.17100000000000001</v>
      </c>
      <c r="I2218" t="s">
        <v>18435</v>
      </c>
      <c r="J2218" t="s">
        <v>18436</v>
      </c>
      <c r="K2218" t="s">
        <v>18437</v>
      </c>
      <c r="L2218" t="s">
        <v>18438</v>
      </c>
      <c r="O2218" t="s">
        <v>18431</v>
      </c>
      <c r="P2218" t="s">
        <v>18432</v>
      </c>
      <c r="Q2218">
        <v>423096.62</v>
      </c>
      <c r="R2218">
        <v>6203925.96</v>
      </c>
      <c r="S2218" t="s">
        <v>18433</v>
      </c>
      <c r="T2218" t="s">
        <v>18434</v>
      </c>
      <c r="U2218">
        <v>423121.9</v>
      </c>
      <c r="V2218">
        <v>6203923.3300000001</v>
      </c>
      <c r="W2218">
        <v>1.05</v>
      </c>
      <c r="X2218">
        <v>150.05000000000001</v>
      </c>
    </row>
    <row r="2219" spans="1:24" x14ac:dyDescent="0.25">
      <c r="A2219" s="148">
        <v>45106</v>
      </c>
      <c r="B2219" s="46">
        <v>180</v>
      </c>
      <c r="C2219" s="149">
        <v>0.7663888888888889</v>
      </c>
      <c r="D2219" s="38" t="s">
        <v>6737</v>
      </c>
      <c r="E2219" s="7" t="s">
        <v>70</v>
      </c>
      <c r="F2219" s="38" t="s">
        <v>182</v>
      </c>
      <c r="G2219" s="38" t="s">
        <v>633</v>
      </c>
      <c r="H2219">
        <v>-0.02</v>
      </c>
      <c r="I2219" t="s">
        <v>18435</v>
      </c>
      <c r="J2219" t="s">
        <v>18436</v>
      </c>
      <c r="K2219" t="s">
        <v>18437</v>
      </c>
      <c r="L2219" t="s">
        <v>18438</v>
      </c>
      <c r="O2219" t="s">
        <v>18439</v>
      </c>
      <c r="P2219" t="s">
        <v>18440</v>
      </c>
      <c r="Q2219">
        <v>423097.02</v>
      </c>
      <c r="R2219">
        <v>6204122.2400000002</v>
      </c>
      <c r="S2219" t="s">
        <v>18441</v>
      </c>
      <c r="T2219" t="s">
        <v>18442</v>
      </c>
      <c r="U2219">
        <v>423122.06</v>
      </c>
      <c r="V2219">
        <v>6204114.5700000003</v>
      </c>
      <c r="W2219">
        <v>0.08</v>
      </c>
      <c r="X2219">
        <v>150.05000000000001</v>
      </c>
    </row>
    <row r="2220" spans="1:24" x14ac:dyDescent="0.25">
      <c r="A2220" s="148">
        <v>45106</v>
      </c>
      <c r="B2220" s="46">
        <v>180</v>
      </c>
      <c r="C2220" s="149">
        <v>0.76983796296296303</v>
      </c>
      <c r="D2220" s="38" t="s">
        <v>6737</v>
      </c>
      <c r="E2220" s="7" t="s">
        <v>65</v>
      </c>
      <c r="F2220" s="38" t="s">
        <v>182</v>
      </c>
      <c r="G2220" s="38" t="s">
        <v>632</v>
      </c>
      <c r="H2220">
        <v>-1.4999999999999999E-2</v>
      </c>
      <c r="I2220" t="s">
        <v>18447</v>
      </c>
      <c r="J2220" t="s">
        <v>18448</v>
      </c>
      <c r="K2220" t="s">
        <v>18449</v>
      </c>
      <c r="L2220" t="s">
        <v>18438</v>
      </c>
      <c r="O2220" t="s">
        <v>18443</v>
      </c>
      <c r="P2220" t="s">
        <v>18444</v>
      </c>
      <c r="Q2220">
        <v>423107.07</v>
      </c>
      <c r="R2220">
        <v>6204126.7300000004</v>
      </c>
      <c r="S2220" t="s">
        <v>18445</v>
      </c>
      <c r="T2220" t="s">
        <v>18446</v>
      </c>
      <c r="U2220">
        <v>423131.13</v>
      </c>
      <c r="V2220">
        <v>6204120.2400000002</v>
      </c>
      <c r="W2220">
        <v>179.23</v>
      </c>
      <c r="X2220">
        <v>150.05000000000001</v>
      </c>
    </row>
    <row r="2221" spans="1:24" x14ac:dyDescent="0.25">
      <c r="A2221" s="148">
        <v>45106</v>
      </c>
      <c r="B2221" s="46">
        <v>180</v>
      </c>
      <c r="C2221" s="149">
        <v>0.77344907407407415</v>
      </c>
      <c r="D2221" s="38" t="s">
        <v>6737</v>
      </c>
      <c r="E2221" s="7" t="s">
        <v>70</v>
      </c>
      <c r="F2221" s="38" t="s">
        <v>182</v>
      </c>
      <c r="G2221" s="38" t="s">
        <v>632</v>
      </c>
      <c r="H2221">
        <v>0.17299999999999999</v>
      </c>
      <c r="I2221" t="s">
        <v>18447</v>
      </c>
      <c r="J2221" t="s">
        <v>18448</v>
      </c>
      <c r="K2221" t="s">
        <v>18449</v>
      </c>
      <c r="L2221" t="s">
        <v>18454</v>
      </c>
      <c r="O2221" t="s">
        <v>18450</v>
      </c>
      <c r="P2221" t="s">
        <v>18451</v>
      </c>
      <c r="Q2221">
        <v>423107.26</v>
      </c>
      <c r="R2221">
        <v>6203937.3600000003</v>
      </c>
      <c r="S2221" t="s">
        <v>18452</v>
      </c>
      <c r="T2221" t="s">
        <v>18453</v>
      </c>
      <c r="U2221">
        <v>423131.16</v>
      </c>
      <c r="V2221">
        <v>6203932.4699999997</v>
      </c>
      <c r="W2221">
        <v>180.12</v>
      </c>
      <c r="X2221">
        <v>150.05000000000001</v>
      </c>
    </row>
    <row r="2222" spans="1:24" x14ac:dyDescent="0.25">
      <c r="A2222" s="148">
        <v>45106</v>
      </c>
      <c r="B2222" s="46">
        <v>180</v>
      </c>
      <c r="C2222" s="149">
        <v>0.77674768518518522</v>
      </c>
      <c r="D2222" s="38" t="s">
        <v>6737</v>
      </c>
      <c r="E2222" s="7" t="s">
        <v>65</v>
      </c>
      <c r="F2222" s="38" t="s">
        <v>182</v>
      </c>
      <c r="G2222" s="38" t="s">
        <v>631</v>
      </c>
      <c r="H2222">
        <v>0.16900000000000001</v>
      </c>
      <c r="I2222" t="s">
        <v>18459</v>
      </c>
      <c r="J2222" t="s">
        <v>18460</v>
      </c>
      <c r="K2222" t="s">
        <v>18461</v>
      </c>
      <c r="L2222" t="s">
        <v>18454</v>
      </c>
      <c r="O2222" t="s">
        <v>18455</v>
      </c>
      <c r="P2222" t="s">
        <v>18456</v>
      </c>
      <c r="Q2222">
        <v>423115.74</v>
      </c>
      <c r="R2222">
        <v>6203932.2800000003</v>
      </c>
      <c r="S2222" t="s">
        <v>18457</v>
      </c>
      <c r="T2222" t="s">
        <v>18458</v>
      </c>
      <c r="U2222">
        <v>423140.13</v>
      </c>
      <c r="V2222">
        <v>6203925.2800000003</v>
      </c>
      <c r="W2222">
        <v>0.15</v>
      </c>
      <c r="X2222">
        <v>150.05000000000001</v>
      </c>
    </row>
    <row r="2223" spans="1:24" x14ac:dyDescent="0.25">
      <c r="A2223" s="148">
        <v>45106</v>
      </c>
      <c r="B2223" s="46">
        <v>180</v>
      </c>
      <c r="C2223" s="149">
        <v>0.78038194444444453</v>
      </c>
      <c r="D2223" s="38" t="s">
        <v>6737</v>
      </c>
      <c r="E2223" s="7" t="s">
        <v>70</v>
      </c>
      <c r="F2223" s="38" t="s">
        <v>182</v>
      </c>
      <c r="G2223" s="38" t="s">
        <v>631</v>
      </c>
      <c r="H2223">
        <v>-2.3E-2</v>
      </c>
      <c r="I2223" t="s">
        <v>18459</v>
      </c>
      <c r="J2223" t="s">
        <v>18460</v>
      </c>
      <c r="K2223" t="s">
        <v>18461</v>
      </c>
      <c r="L2223" t="s">
        <v>18454</v>
      </c>
      <c r="O2223" t="s">
        <v>18462</v>
      </c>
      <c r="P2223" t="s">
        <v>18463</v>
      </c>
      <c r="Q2223">
        <v>423114.96</v>
      </c>
      <c r="R2223">
        <v>6204124.3799999999</v>
      </c>
      <c r="S2223" t="s">
        <v>18464</v>
      </c>
      <c r="T2223" t="s">
        <v>18465</v>
      </c>
      <c r="U2223">
        <v>423140.26</v>
      </c>
      <c r="V2223">
        <v>6204116.8300000001</v>
      </c>
      <c r="W2223">
        <v>359.29</v>
      </c>
      <c r="X2223">
        <v>150.05000000000001</v>
      </c>
    </row>
    <row r="2224" spans="1:24" x14ac:dyDescent="0.25">
      <c r="A2224" s="148">
        <v>45106</v>
      </c>
      <c r="B2224" s="46">
        <v>180</v>
      </c>
      <c r="C2224" s="149">
        <v>0.78383101851851855</v>
      </c>
      <c r="D2224" s="38" t="s">
        <v>6737</v>
      </c>
      <c r="E2224" s="7" t="s">
        <v>65</v>
      </c>
      <c r="F2224" s="38" t="s">
        <v>182</v>
      </c>
      <c r="G2224" s="38" t="s">
        <v>630</v>
      </c>
      <c r="H2224">
        <v>-1.7000000000000001E-2</v>
      </c>
      <c r="I2224" t="s">
        <v>18470</v>
      </c>
      <c r="J2224" t="s">
        <v>18471</v>
      </c>
      <c r="K2224" t="s">
        <v>18472</v>
      </c>
      <c r="L2224" t="s">
        <v>18473</v>
      </c>
      <c r="O2224" t="s">
        <v>18466</v>
      </c>
      <c r="P2224" t="s">
        <v>18467</v>
      </c>
      <c r="Q2224">
        <v>423125.01</v>
      </c>
      <c r="R2224">
        <v>6204126.3200000003</v>
      </c>
      <c r="S2224" t="s">
        <v>18468</v>
      </c>
      <c r="T2224" t="s">
        <v>18469</v>
      </c>
      <c r="U2224">
        <v>423149.37</v>
      </c>
      <c r="V2224">
        <v>6204121.7699999996</v>
      </c>
      <c r="W2224">
        <v>181.48</v>
      </c>
      <c r="X2224">
        <v>150.05000000000001</v>
      </c>
    </row>
    <row r="2225" spans="1:24" x14ac:dyDescent="0.25">
      <c r="A2225" s="148">
        <v>45106</v>
      </c>
      <c r="B2225" s="46">
        <v>180</v>
      </c>
      <c r="C2225" s="149">
        <v>0.78741898148148148</v>
      </c>
      <c r="D2225" s="38" t="s">
        <v>6737</v>
      </c>
      <c r="E2225" s="7" t="s">
        <v>70</v>
      </c>
      <c r="F2225" s="38" t="s">
        <v>182</v>
      </c>
      <c r="G2225" s="38" t="s">
        <v>630</v>
      </c>
      <c r="H2225">
        <v>0.17299999999999999</v>
      </c>
      <c r="I2225" t="s">
        <v>18470</v>
      </c>
      <c r="J2225" t="s">
        <v>18471</v>
      </c>
      <c r="K2225" t="s">
        <v>18472</v>
      </c>
      <c r="L2225" t="s">
        <v>18473</v>
      </c>
      <c r="O2225" t="s">
        <v>18474</v>
      </c>
      <c r="P2225" t="s">
        <v>18475</v>
      </c>
      <c r="Q2225">
        <v>423124.99</v>
      </c>
      <c r="R2225">
        <v>6203937.1900000004</v>
      </c>
      <c r="S2225" t="s">
        <v>18476</v>
      </c>
      <c r="T2225" t="s">
        <v>18477</v>
      </c>
      <c r="U2225">
        <v>423149.18</v>
      </c>
      <c r="V2225">
        <v>6203932.1600000001</v>
      </c>
      <c r="W2225">
        <v>179</v>
      </c>
      <c r="X2225">
        <v>150.05000000000001</v>
      </c>
    </row>
    <row r="2226" spans="1:24" x14ac:dyDescent="0.25">
      <c r="A2226" s="148">
        <v>45106</v>
      </c>
      <c r="B2226" s="46">
        <v>180</v>
      </c>
      <c r="C2226" s="149">
        <v>0.79087962962962965</v>
      </c>
      <c r="D2226" s="38" t="s">
        <v>6737</v>
      </c>
      <c r="E2226" s="7" t="s">
        <v>65</v>
      </c>
      <c r="F2226" s="38" t="s">
        <v>182</v>
      </c>
      <c r="G2226" s="38" t="s">
        <v>629</v>
      </c>
      <c r="H2226">
        <v>0.16900000000000001</v>
      </c>
      <c r="I2226" t="s">
        <v>18482</v>
      </c>
      <c r="J2226" t="s">
        <v>18483</v>
      </c>
      <c r="K2226" t="s">
        <v>18484</v>
      </c>
      <c r="L2226" t="s">
        <v>18473</v>
      </c>
      <c r="O2226" t="s">
        <v>18478</v>
      </c>
      <c r="P2226" t="s">
        <v>18479</v>
      </c>
      <c r="Q2226">
        <v>423133.43</v>
      </c>
      <c r="R2226">
        <v>6203937.4199999999</v>
      </c>
      <c r="S2226" t="s">
        <v>18480</v>
      </c>
      <c r="T2226" t="s">
        <v>18481</v>
      </c>
      <c r="U2226">
        <v>423158.29</v>
      </c>
      <c r="V2226">
        <v>6203925.25</v>
      </c>
      <c r="W2226">
        <v>1.31</v>
      </c>
      <c r="X2226">
        <v>150.05000000000001</v>
      </c>
    </row>
    <row r="2227" spans="1:24" x14ac:dyDescent="0.25">
      <c r="A2227" s="148">
        <v>45106</v>
      </c>
      <c r="B2227" s="46">
        <v>180</v>
      </c>
      <c r="C2227" s="149">
        <v>0.79443287037037036</v>
      </c>
      <c r="D2227" s="38" t="s">
        <v>6737</v>
      </c>
      <c r="E2227" s="7" t="s">
        <v>70</v>
      </c>
      <c r="F2227" s="38" t="s">
        <v>182</v>
      </c>
      <c r="G2227" s="38" t="s">
        <v>629</v>
      </c>
      <c r="H2227">
        <v>-0.02</v>
      </c>
      <c r="I2227" t="s">
        <v>18482</v>
      </c>
      <c r="J2227" t="s">
        <v>18483</v>
      </c>
      <c r="K2227" t="s">
        <v>18484</v>
      </c>
      <c r="L2227" t="s">
        <v>18489</v>
      </c>
      <c r="O2227" t="s">
        <v>18485</v>
      </c>
      <c r="P2227" t="s">
        <v>18486</v>
      </c>
      <c r="Q2227">
        <v>423131.87</v>
      </c>
      <c r="R2227">
        <v>6204125.2599999998</v>
      </c>
      <c r="S2227" t="s">
        <v>18487</v>
      </c>
      <c r="T2227" t="s">
        <v>18488</v>
      </c>
      <c r="U2227">
        <v>423158.39</v>
      </c>
      <c r="V2227">
        <v>6204114.54</v>
      </c>
      <c r="W2227">
        <v>0.14000000000000001</v>
      </c>
      <c r="X2227">
        <v>150.05000000000001</v>
      </c>
    </row>
    <row r="2228" spans="1:24" x14ac:dyDescent="0.25">
      <c r="A2228" s="148">
        <v>45106</v>
      </c>
      <c r="B2228" s="46">
        <v>180</v>
      </c>
      <c r="C2228" s="149">
        <v>0.80101851851851846</v>
      </c>
      <c r="D2228" s="38" t="s">
        <v>6737</v>
      </c>
      <c r="E2228" s="7" t="s">
        <v>18494</v>
      </c>
      <c r="F2228" s="38" t="s">
        <v>182</v>
      </c>
      <c r="G2228" s="38" t="s">
        <v>234</v>
      </c>
      <c r="H2228">
        <v>0.73299999999999998</v>
      </c>
      <c r="O2228" t="s">
        <v>18490</v>
      </c>
      <c r="P2228" t="s">
        <v>18491</v>
      </c>
      <c r="Q2228">
        <v>423125.09</v>
      </c>
      <c r="R2228">
        <v>6204375.4800000004</v>
      </c>
      <c r="S2228" t="s">
        <v>18492</v>
      </c>
      <c r="T2228" t="s">
        <v>18493</v>
      </c>
      <c r="U2228">
        <v>423114.62</v>
      </c>
      <c r="V2228">
        <v>6204371.6399999997</v>
      </c>
      <c r="W2228">
        <v>237.41</v>
      </c>
      <c r="X2228">
        <v>200.07</v>
      </c>
    </row>
    <row r="2229" spans="1:24" s="169" customFormat="1" x14ac:dyDescent="0.25">
      <c r="A2229" s="65">
        <v>45106</v>
      </c>
      <c r="B2229" s="106">
        <v>180</v>
      </c>
      <c r="C2229" s="67">
        <v>0.81615740740740739</v>
      </c>
      <c r="D2229" s="66" t="s">
        <v>6737</v>
      </c>
      <c r="E2229" s="170" t="s">
        <v>18500</v>
      </c>
      <c r="F2229" s="66" t="s">
        <v>182</v>
      </c>
      <c r="G2229" s="66" t="s">
        <v>234</v>
      </c>
      <c r="H2229" s="169">
        <v>0.3</v>
      </c>
      <c r="M2229" s="169" t="s">
        <v>18495</v>
      </c>
      <c r="O2229" s="169" t="s">
        <v>18496</v>
      </c>
      <c r="P2229" s="169" t="s">
        <v>18497</v>
      </c>
      <c r="Q2229" s="169">
        <v>422992.3</v>
      </c>
      <c r="R2229" s="169">
        <v>6204797.5199999996</v>
      </c>
      <c r="S2229" s="169" t="s">
        <v>18498</v>
      </c>
      <c r="T2229" s="169" t="s">
        <v>18499</v>
      </c>
      <c r="U2229" s="169">
        <v>422967.92</v>
      </c>
      <c r="V2229" s="169">
        <v>6204797.0899999999</v>
      </c>
      <c r="W2229" s="169">
        <v>341</v>
      </c>
      <c r="X2229" s="169">
        <v>200.07</v>
      </c>
    </row>
    <row r="2230" spans="1:24" x14ac:dyDescent="0.25">
      <c r="A2230" s="148">
        <v>45106</v>
      </c>
      <c r="B2230" s="46">
        <v>180</v>
      </c>
      <c r="C2230" s="149">
        <v>0.82070601851851854</v>
      </c>
      <c r="D2230" s="38" t="s">
        <v>6737</v>
      </c>
      <c r="E2230" s="7" t="s">
        <v>65</v>
      </c>
      <c r="F2230" s="38" t="s">
        <v>182</v>
      </c>
      <c r="G2230" s="38" t="s">
        <v>234</v>
      </c>
      <c r="H2230">
        <v>0.216</v>
      </c>
      <c r="I2230" t="s">
        <v>18505</v>
      </c>
      <c r="J2230" t="s">
        <v>18506</v>
      </c>
      <c r="K2230" t="s">
        <v>18507</v>
      </c>
      <c r="L2230" t="s">
        <v>18508</v>
      </c>
      <c r="O2230" t="s">
        <v>18501</v>
      </c>
      <c r="P2230" t="s">
        <v>18502</v>
      </c>
      <c r="Q2230">
        <v>422991.85</v>
      </c>
      <c r="R2230">
        <v>6204878.4800000004</v>
      </c>
      <c r="S2230" t="s">
        <v>18503</v>
      </c>
      <c r="T2230" t="s">
        <v>18504</v>
      </c>
      <c r="U2230">
        <v>422968.81</v>
      </c>
      <c r="V2230">
        <v>6204880.8200000003</v>
      </c>
      <c r="W2230">
        <v>359.73</v>
      </c>
      <c r="X2230">
        <v>200.07</v>
      </c>
    </row>
    <row r="2231" spans="1:24" x14ac:dyDescent="0.25">
      <c r="A2231" s="148">
        <v>45106</v>
      </c>
      <c r="B2231" s="46">
        <v>180</v>
      </c>
      <c r="C2231" s="149">
        <v>0.82512731481481483</v>
      </c>
      <c r="D2231" s="38" t="s">
        <v>6737</v>
      </c>
      <c r="E2231" s="7" t="s">
        <v>70</v>
      </c>
      <c r="F2231" s="38" t="s">
        <v>182</v>
      </c>
      <c r="G2231" s="38" t="s">
        <v>234</v>
      </c>
      <c r="H2231">
        <v>-0.02</v>
      </c>
      <c r="I2231" t="s">
        <v>18505</v>
      </c>
      <c r="J2231" t="s">
        <v>18506</v>
      </c>
      <c r="K2231" t="s">
        <v>18507</v>
      </c>
      <c r="L2231" t="s">
        <v>18513</v>
      </c>
      <c r="O2231" t="s">
        <v>18509</v>
      </c>
      <c r="P2231" t="s">
        <v>18510</v>
      </c>
      <c r="Q2231">
        <v>422993.47</v>
      </c>
      <c r="R2231">
        <v>6205114.0099999998</v>
      </c>
      <c r="S2231" t="s">
        <v>18511</v>
      </c>
      <c r="T2231" t="s">
        <v>18512</v>
      </c>
      <c r="U2231">
        <v>422968.7</v>
      </c>
      <c r="V2231">
        <v>6205116.5</v>
      </c>
      <c r="W2231">
        <v>1.07</v>
      </c>
      <c r="X2231">
        <v>200.07</v>
      </c>
    </row>
    <row r="2232" spans="1:24" x14ac:dyDescent="0.25">
      <c r="A2232" s="148">
        <v>45106</v>
      </c>
      <c r="B2232" s="46">
        <v>180</v>
      </c>
      <c r="C2232" s="149">
        <v>0.82840277777777782</v>
      </c>
      <c r="D2232" s="38" t="s">
        <v>6737</v>
      </c>
      <c r="E2232" s="7" t="s">
        <v>65</v>
      </c>
      <c r="F2232" s="38" t="s">
        <v>182</v>
      </c>
      <c r="G2232" s="38" t="s">
        <v>233</v>
      </c>
      <c r="H2232">
        <v>-1.9E-2</v>
      </c>
      <c r="I2232" t="s">
        <v>18518</v>
      </c>
      <c r="J2232" t="s">
        <v>18519</v>
      </c>
      <c r="K2232" t="s">
        <v>18520</v>
      </c>
      <c r="L2232" t="s">
        <v>18513</v>
      </c>
      <c r="O2232" t="s">
        <v>18514</v>
      </c>
      <c r="P2232" t="s">
        <v>18515</v>
      </c>
      <c r="Q2232">
        <v>422984.92</v>
      </c>
      <c r="R2232">
        <v>6205135.2999999998</v>
      </c>
      <c r="S2232" t="s">
        <v>18516</v>
      </c>
      <c r="T2232" t="s">
        <v>18517</v>
      </c>
      <c r="U2232">
        <v>422959.76</v>
      </c>
      <c r="V2232">
        <v>6205126.8600000003</v>
      </c>
      <c r="W2232">
        <v>179.71</v>
      </c>
      <c r="X2232">
        <v>200.07</v>
      </c>
    </row>
    <row r="2233" spans="1:24" x14ac:dyDescent="0.25">
      <c r="A2233" s="148">
        <v>45106</v>
      </c>
      <c r="B2233" s="46">
        <v>180</v>
      </c>
      <c r="C2233" s="149">
        <v>0.83392361111111113</v>
      </c>
      <c r="D2233" s="38" t="s">
        <v>6737</v>
      </c>
      <c r="E2233" s="7" t="s">
        <v>70</v>
      </c>
      <c r="F2233" s="38" t="s">
        <v>182</v>
      </c>
      <c r="G2233" s="38" t="s">
        <v>233</v>
      </c>
      <c r="H2233">
        <v>0.22</v>
      </c>
      <c r="I2233" t="s">
        <v>18518</v>
      </c>
      <c r="J2233" t="s">
        <v>18519</v>
      </c>
      <c r="K2233" t="s">
        <v>18520</v>
      </c>
      <c r="L2233" t="s">
        <v>18513</v>
      </c>
      <c r="O2233" t="s">
        <v>18521</v>
      </c>
      <c r="P2233" t="s">
        <v>18522</v>
      </c>
      <c r="Q2233">
        <v>422983.32</v>
      </c>
      <c r="R2233">
        <v>6204893.5499999998</v>
      </c>
      <c r="S2233" t="s">
        <v>18523</v>
      </c>
      <c r="T2233" t="s">
        <v>18524</v>
      </c>
      <c r="U2233">
        <v>422959.71</v>
      </c>
      <c r="V2233">
        <v>6204887.6900000004</v>
      </c>
      <c r="W2233">
        <v>178.4</v>
      </c>
      <c r="X2233">
        <v>200.07</v>
      </c>
    </row>
    <row r="2234" spans="1:24" x14ac:dyDescent="0.25">
      <c r="A2234" s="148">
        <v>45106</v>
      </c>
      <c r="B2234" s="46">
        <v>180</v>
      </c>
      <c r="C2234" s="149">
        <v>0.83688657407407396</v>
      </c>
      <c r="D2234" s="38" t="s">
        <v>6737</v>
      </c>
      <c r="E2234" s="7" t="s">
        <v>65</v>
      </c>
      <c r="F2234" s="38" t="s">
        <v>182</v>
      </c>
      <c r="G2234" s="38" t="s">
        <v>232</v>
      </c>
      <c r="H2234">
        <v>0.214</v>
      </c>
      <c r="I2234" t="s">
        <v>18529</v>
      </c>
      <c r="J2234" t="s">
        <v>18530</v>
      </c>
      <c r="K2234" t="s">
        <v>18531</v>
      </c>
      <c r="L2234" t="s">
        <v>18532</v>
      </c>
      <c r="O2234" t="s">
        <v>18525</v>
      </c>
      <c r="P2234" t="s">
        <v>18526</v>
      </c>
      <c r="Q2234">
        <v>422975.79</v>
      </c>
      <c r="R2234">
        <v>6204876.8600000003</v>
      </c>
      <c r="S2234" t="s">
        <v>18527</v>
      </c>
      <c r="T2234" t="s">
        <v>18528</v>
      </c>
      <c r="U2234">
        <v>422950.77</v>
      </c>
      <c r="V2234">
        <v>6204882.46</v>
      </c>
      <c r="W2234">
        <v>0.92</v>
      </c>
      <c r="X2234">
        <v>200.07</v>
      </c>
    </row>
    <row r="2235" spans="1:24" x14ac:dyDescent="0.25">
      <c r="A2235" s="148">
        <v>45106</v>
      </c>
      <c r="B2235" s="46">
        <v>180</v>
      </c>
      <c r="C2235" s="149">
        <v>0.84137731481481481</v>
      </c>
      <c r="D2235" s="38" t="s">
        <v>6737</v>
      </c>
      <c r="E2235" s="7" t="s">
        <v>70</v>
      </c>
      <c r="F2235" s="38" t="s">
        <v>182</v>
      </c>
      <c r="G2235" s="38" t="s">
        <v>232</v>
      </c>
      <c r="H2235">
        <v>-2.1000000000000001E-2</v>
      </c>
      <c r="I2235" t="s">
        <v>18529</v>
      </c>
      <c r="J2235" t="s">
        <v>18530</v>
      </c>
      <c r="K2235" t="s">
        <v>18531</v>
      </c>
      <c r="L2235" t="s">
        <v>18532</v>
      </c>
      <c r="O2235" t="s">
        <v>18533</v>
      </c>
      <c r="P2235" t="s">
        <v>18534</v>
      </c>
      <c r="Q2235">
        <v>422975.27</v>
      </c>
      <c r="R2235">
        <v>6205110.3099999996</v>
      </c>
      <c r="S2235" t="s">
        <v>18535</v>
      </c>
      <c r="T2235" t="s">
        <v>18536</v>
      </c>
      <c r="U2235">
        <v>422950.81</v>
      </c>
      <c r="V2235">
        <v>6205117.0300000003</v>
      </c>
      <c r="W2235">
        <v>359.07</v>
      </c>
      <c r="X2235">
        <v>200.07</v>
      </c>
    </row>
    <row r="2236" spans="1:24" x14ac:dyDescent="0.25">
      <c r="A2236" s="148">
        <v>45106</v>
      </c>
      <c r="B2236" s="46">
        <v>180</v>
      </c>
      <c r="C2236" s="149">
        <v>0.84422453703703704</v>
      </c>
      <c r="D2236" s="38" t="s">
        <v>6737</v>
      </c>
      <c r="E2236" s="7" t="s">
        <v>65</v>
      </c>
      <c r="F2236" s="38" t="s">
        <v>182</v>
      </c>
      <c r="G2236" s="38" t="s">
        <v>231</v>
      </c>
      <c r="H2236">
        <v>-1.7000000000000001E-2</v>
      </c>
      <c r="I2236" t="s">
        <v>18541</v>
      </c>
      <c r="J2236" t="s">
        <v>18542</v>
      </c>
      <c r="K2236" t="s">
        <v>18543</v>
      </c>
      <c r="L2236" t="s">
        <v>18532</v>
      </c>
      <c r="O2236" t="s">
        <v>18537</v>
      </c>
      <c r="P2236" t="s">
        <v>18538</v>
      </c>
      <c r="Q2236">
        <v>422966.79</v>
      </c>
      <c r="R2236">
        <v>6205130.5499999998</v>
      </c>
      <c r="S2236" t="s">
        <v>18539</v>
      </c>
      <c r="T2236" t="s">
        <v>18540</v>
      </c>
      <c r="U2236">
        <v>422941.95</v>
      </c>
      <c r="V2236">
        <v>6205124.7999999998</v>
      </c>
      <c r="W2236">
        <v>180.55</v>
      </c>
      <c r="X2236">
        <v>200.07</v>
      </c>
    </row>
    <row r="2237" spans="1:24" x14ac:dyDescent="0.25">
      <c r="A2237" s="148">
        <v>45106</v>
      </c>
      <c r="B2237" s="46">
        <v>180</v>
      </c>
      <c r="C2237" s="149">
        <v>0.84960648148148143</v>
      </c>
      <c r="D2237" s="38" t="s">
        <v>6737</v>
      </c>
      <c r="E2237" s="7" t="s">
        <v>70</v>
      </c>
      <c r="F2237" s="38" t="s">
        <v>182</v>
      </c>
      <c r="G2237" s="38" t="s">
        <v>231</v>
      </c>
      <c r="H2237">
        <v>0.22</v>
      </c>
      <c r="I2237" t="s">
        <v>18541</v>
      </c>
      <c r="J2237" t="s">
        <v>18542</v>
      </c>
      <c r="K2237" t="s">
        <v>18543</v>
      </c>
      <c r="L2237" t="s">
        <v>18548</v>
      </c>
      <c r="O2237" t="s">
        <v>18544</v>
      </c>
      <c r="P2237" t="s">
        <v>18545</v>
      </c>
      <c r="Q2237">
        <v>422964.81</v>
      </c>
      <c r="R2237">
        <v>6204893.6699999999</v>
      </c>
      <c r="S2237" t="s">
        <v>18546</v>
      </c>
      <c r="T2237" t="s">
        <v>18547</v>
      </c>
      <c r="U2237">
        <v>422941.85</v>
      </c>
      <c r="V2237">
        <v>6204887.79</v>
      </c>
      <c r="W2237">
        <v>179.69</v>
      </c>
      <c r="X2237">
        <v>200.07</v>
      </c>
    </row>
    <row r="2238" spans="1:24" x14ac:dyDescent="0.25">
      <c r="A2238" s="148">
        <v>45106</v>
      </c>
      <c r="B2238" s="46">
        <v>180</v>
      </c>
      <c r="C2238" s="149">
        <v>0.85541666666666671</v>
      </c>
      <c r="D2238" s="38" t="s">
        <v>6737</v>
      </c>
      <c r="E2238" s="7" t="s">
        <v>65</v>
      </c>
      <c r="F2238" s="38" t="s">
        <v>182</v>
      </c>
      <c r="G2238" s="38" t="s">
        <v>230</v>
      </c>
      <c r="H2238">
        <v>0.216</v>
      </c>
      <c r="I2238" t="s">
        <v>18553</v>
      </c>
      <c r="J2238" t="s">
        <v>18554</v>
      </c>
      <c r="K2238" t="s">
        <v>18555</v>
      </c>
      <c r="L2238" t="s">
        <v>18548</v>
      </c>
      <c r="O2238" t="s">
        <v>18549</v>
      </c>
      <c r="P2238" t="s">
        <v>18550</v>
      </c>
      <c r="Q2238">
        <v>422958.83</v>
      </c>
      <c r="R2238">
        <v>6204875.2199999997</v>
      </c>
      <c r="S2238" t="s">
        <v>18551</v>
      </c>
      <c r="T2238" t="s">
        <v>18552</v>
      </c>
      <c r="U2238">
        <v>422932.53</v>
      </c>
      <c r="V2238">
        <v>6204880.6399999997</v>
      </c>
      <c r="W2238">
        <v>1.54</v>
      </c>
      <c r="X2238">
        <v>200.07</v>
      </c>
    </row>
    <row r="2239" spans="1:24" x14ac:dyDescent="0.25">
      <c r="A2239" s="148">
        <v>45106</v>
      </c>
      <c r="B2239" s="46">
        <v>180</v>
      </c>
      <c r="C2239" s="149">
        <v>0.86087962962962961</v>
      </c>
      <c r="D2239" s="38" t="s">
        <v>6737</v>
      </c>
      <c r="E2239" s="7" t="s">
        <v>70</v>
      </c>
      <c r="F2239" s="38" t="s">
        <v>182</v>
      </c>
      <c r="G2239" s="38" t="s">
        <v>230</v>
      </c>
      <c r="H2239">
        <v>-2.1999999999999999E-2</v>
      </c>
      <c r="I2239" t="s">
        <v>18553</v>
      </c>
      <c r="J2239" t="s">
        <v>18554</v>
      </c>
      <c r="K2239" t="s">
        <v>18555</v>
      </c>
      <c r="L2239" t="s">
        <v>18560</v>
      </c>
      <c r="O2239" t="s">
        <v>18556</v>
      </c>
      <c r="P2239" t="s">
        <v>18557</v>
      </c>
      <c r="Q2239">
        <v>422959.83</v>
      </c>
      <c r="R2239">
        <v>6205115.9299999997</v>
      </c>
      <c r="S2239" t="s">
        <v>18558</v>
      </c>
      <c r="T2239" t="s">
        <v>18559</v>
      </c>
      <c r="U2239">
        <v>422932.59</v>
      </c>
      <c r="V2239">
        <v>6205118.54</v>
      </c>
      <c r="W2239">
        <v>0.46</v>
      </c>
      <c r="X2239">
        <v>200.07</v>
      </c>
    </row>
    <row r="2240" spans="1:24" x14ac:dyDescent="0.25">
      <c r="A2240" s="148">
        <v>45106</v>
      </c>
      <c r="B2240" s="46">
        <v>180</v>
      </c>
      <c r="C2240" s="149">
        <v>0.86454861111111114</v>
      </c>
      <c r="D2240" s="38" t="s">
        <v>6737</v>
      </c>
      <c r="E2240" s="7" t="s">
        <v>65</v>
      </c>
      <c r="F2240" s="38" t="s">
        <v>182</v>
      </c>
      <c r="G2240" s="38" t="s">
        <v>229</v>
      </c>
      <c r="H2240">
        <v>-1.7999999999999999E-2</v>
      </c>
      <c r="I2240" t="s">
        <v>18565</v>
      </c>
      <c r="J2240" t="s">
        <v>18566</v>
      </c>
      <c r="K2240" t="s">
        <v>18567</v>
      </c>
      <c r="L2240" t="s">
        <v>18560</v>
      </c>
      <c r="O2240" t="s">
        <v>18561</v>
      </c>
      <c r="P2240" t="s">
        <v>18562</v>
      </c>
      <c r="Q2240">
        <v>422948.42</v>
      </c>
      <c r="R2240">
        <v>6205135.8799999999</v>
      </c>
      <c r="S2240" t="s">
        <v>18563</v>
      </c>
      <c r="T2240" t="s">
        <v>18564</v>
      </c>
      <c r="U2240">
        <v>422923.8</v>
      </c>
      <c r="V2240">
        <v>6205125.3799999999</v>
      </c>
      <c r="W2240">
        <v>179.62</v>
      </c>
      <c r="X2240">
        <v>200.07</v>
      </c>
    </row>
    <row r="2241" spans="1:24" x14ac:dyDescent="0.25">
      <c r="A2241" s="148">
        <v>45106</v>
      </c>
      <c r="B2241" s="46">
        <v>180</v>
      </c>
      <c r="C2241" s="149">
        <v>0.87023148148148144</v>
      </c>
      <c r="D2241" s="38" t="s">
        <v>6737</v>
      </c>
      <c r="E2241" s="7" t="s">
        <v>70</v>
      </c>
      <c r="F2241" s="38" t="s">
        <v>182</v>
      </c>
      <c r="G2241" s="38" t="s">
        <v>229</v>
      </c>
      <c r="H2241">
        <v>0.22</v>
      </c>
      <c r="I2241" t="s">
        <v>18565</v>
      </c>
      <c r="J2241" t="s">
        <v>18566</v>
      </c>
      <c r="K2241" t="s">
        <v>18567</v>
      </c>
      <c r="L2241" t="s">
        <v>18572</v>
      </c>
      <c r="O2241" t="s">
        <v>18568</v>
      </c>
      <c r="P2241" t="s">
        <v>18569</v>
      </c>
      <c r="Q2241">
        <v>422948.34</v>
      </c>
      <c r="R2241">
        <v>6204887.29</v>
      </c>
      <c r="S2241" t="s">
        <v>18570</v>
      </c>
      <c r="T2241" t="s">
        <v>18571</v>
      </c>
      <c r="U2241">
        <v>422923.96</v>
      </c>
      <c r="V2241">
        <v>6204887.5899999999</v>
      </c>
      <c r="W2241">
        <v>181</v>
      </c>
      <c r="X2241">
        <v>200.07</v>
      </c>
    </row>
    <row r="2242" spans="1:24" x14ac:dyDescent="0.25">
      <c r="A2242" s="148">
        <v>45106</v>
      </c>
      <c r="B2242" s="46">
        <v>180</v>
      </c>
      <c r="C2242" s="149">
        <v>0.87322916666666661</v>
      </c>
      <c r="D2242" s="38" t="s">
        <v>6737</v>
      </c>
      <c r="E2242" s="7" t="s">
        <v>65</v>
      </c>
      <c r="F2242" s="38" t="s">
        <v>182</v>
      </c>
      <c r="G2242" s="38" t="s">
        <v>228</v>
      </c>
      <c r="H2242">
        <v>0.214</v>
      </c>
      <c r="I2242" t="s">
        <v>18577</v>
      </c>
      <c r="J2242" t="s">
        <v>18578</v>
      </c>
      <c r="K2242" t="s">
        <v>18579</v>
      </c>
      <c r="L2242" t="s">
        <v>18572</v>
      </c>
      <c r="O2242" t="s">
        <v>18573</v>
      </c>
      <c r="P2242" t="s">
        <v>18574</v>
      </c>
      <c r="Q2242">
        <v>422942.65</v>
      </c>
      <c r="R2242">
        <v>6204874.8700000001</v>
      </c>
      <c r="S2242" t="s">
        <v>18575</v>
      </c>
      <c r="T2242" t="s">
        <v>18576</v>
      </c>
      <c r="U2242">
        <v>422914.67</v>
      </c>
      <c r="V2242">
        <v>6204882.0899999999</v>
      </c>
      <c r="W2242">
        <v>0.86</v>
      </c>
      <c r="X2242">
        <v>200.07</v>
      </c>
    </row>
    <row r="2243" spans="1:24" x14ac:dyDescent="0.25">
      <c r="A2243" s="148">
        <v>45106</v>
      </c>
      <c r="B2243" s="46">
        <v>180</v>
      </c>
      <c r="C2243" s="149">
        <v>0.87858796296296304</v>
      </c>
      <c r="D2243" s="38" t="s">
        <v>6737</v>
      </c>
      <c r="E2243" s="7" t="s">
        <v>70</v>
      </c>
      <c r="F2243" s="38" t="s">
        <v>182</v>
      </c>
      <c r="G2243" s="38" t="s">
        <v>228</v>
      </c>
      <c r="H2243">
        <v>-2.1999999999999999E-2</v>
      </c>
      <c r="I2243" t="s">
        <v>18577</v>
      </c>
      <c r="J2243" t="s">
        <v>18578</v>
      </c>
      <c r="K2243" t="s">
        <v>18579</v>
      </c>
      <c r="L2243" t="s">
        <v>18584</v>
      </c>
      <c r="O2243" t="s">
        <v>18580</v>
      </c>
      <c r="P2243" t="s">
        <v>18581</v>
      </c>
      <c r="Q2243">
        <v>422942.68</v>
      </c>
      <c r="R2243">
        <v>6205111.2199999997</v>
      </c>
      <c r="S2243" t="s">
        <v>18582</v>
      </c>
      <c r="T2243" t="s">
        <v>18583</v>
      </c>
      <c r="U2243">
        <v>422914.66</v>
      </c>
      <c r="V2243">
        <v>6205118.5800000001</v>
      </c>
      <c r="W2243">
        <v>359.6</v>
      </c>
      <c r="X2243">
        <v>200.07</v>
      </c>
    </row>
    <row r="2244" spans="1:24" x14ac:dyDescent="0.25">
      <c r="A2244" s="148">
        <v>45106</v>
      </c>
      <c r="B2244" s="46">
        <v>180</v>
      </c>
      <c r="C2244" s="149">
        <v>0.88237268518518519</v>
      </c>
      <c r="D2244" s="38" t="s">
        <v>6737</v>
      </c>
      <c r="E2244" s="7" t="s">
        <v>65</v>
      </c>
      <c r="F2244" s="38" t="s">
        <v>182</v>
      </c>
      <c r="G2244" s="38" t="s">
        <v>227</v>
      </c>
      <c r="H2244">
        <v>-2.1999999999999999E-2</v>
      </c>
      <c r="I2244" t="s">
        <v>18589</v>
      </c>
      <c r="J2244" t="s">
        <v>18590</v>
      </c>
      <c r="K2244" t="s">
        <v>18591</v>
      </c>
      <c r="L2244" t="s">
        <v>18584</v>
      </c>
      <c r="O2244" t="s">
        <v>18585</v>
      </c>
      <c r="P2244" t="s">
        <v>18586</v>
      </c>
      <c r="Q2244">
        <v>422931.78</v>
      </c>
      <c r="R2244">
        <v>6205131.1600000001</v>
      </c>
      <c r="S2244" t="s">
        <v>18587</v>
      </c>
      <c r="T2244" t="s">
        <v>18588</v>
      </c>
      <c r="U2244">
        <v>422905.88</v>
      </c>
      <c r="V2244">
        <v>6205129.5899999999</v>
      </c>
      <c r="W2244">
        <v>179.15</v>
      </c>
      <c r="X2244">
        <v>200.07</v>
      </c>
    </row>
    <row r="2245" spans="1:24" x14ac:dyDescent="0.25">
      <c r="A2245" s="148">
        <v>45106</v>
      </c>
      <c r="B2245" s="46">
        <v>180</v>
      </c>
      <c r="C2245" s="149">
        <v>0.88787037037037031</v>
      </c>
      <c r="D2245" s="38" t="s">
        <v>6737</v>
      </c>
      <c r="E2245" s="7" t="s">
        <v>70</v>
      </c>
      <c r="F2245" s="38" t="s">
        <v>182</v>
      </c>
      <c r="G2245" s="38" t="s">
        <v>227</v>
      </c>
      <c r="H2245">
        <v>0.219</v>
      </c>
      <c r="I2245" t="s">
        <v>18589</v>
      </c>
      <c r="J2245" t="s">
        <v>18590</v>
      </c>
      <c r="K2245" t="s">
        <v>18591</v>
      </c>
      <c r="L2245" t="s">
        <v>18596</v>
      </c>
      <c r="O2245" t="s">
        <v>18592</v>
      </c>
      <c r="P2245" t="s">
        <v>18593</v>
      </c>
      <c r="Q2245">
        <v>422929.1</v>
      </c>
      <c r="R2245">
        <v>6204890.9800000004</v>
      </c>
      <c r="S2245" t="s">
        <v>18594</v>
      </c>
      <c r="T2245" t="s">
        <v>18595</v>
      </c>
      <c r="U2245">
        <v>422905.76</v>
      </c>
      <c r="V2245">
        <v>6204888.3499999996</v>
      </c>
      <c r="W2245">
        <v>179.21</v>
      </c>
      <c r="X2245">
        <v>200.07</v>
      </c>
    </row>
    <row r="2246" spans="1:24" x14ac:dyDescent="0.25">
      <c r="A2246" s="148">
        <v>45106</v>
      </c>
      <c r="B2246" s="46">
        <v>180</v>
      </c>
      <c r="C2246" s="149">
        <v>0.89182870370370371</v>
      </c>
      <c r="D2246" s="38" t="s">
        <v>6737</v>
      </c>
      <c r="E2246" s="7" t="s">
        <v>65</v>
      </c>
      <c r="F2246" s="38" t="s">
        <v>182</v>
      </c>
      <c r="G2246" s="38" t="s">
        <v>218</v>
      </c>
      <c r="H2246">
        <v>0.214</v>
      </c>
      <c r="I2246" t="s">
        <v>18601</v>
      </c>
      <c r="J2246" t="s">
        <v>18602</v>
      </c>
      <c r="K2246" t="s">
        <v>18603</v>
      </c>
      <c r="L2246" t="s">
        <v>18596</v>
      </c>
      <c r="O2246" t="s">
        <v>18597</v>
      </c>
      <c r="P2246" t="s">
        <v>18598</v>
      </c>
      <c r="Q2246">
        <v>422924.05</v>
      </c>
      <c r="R2246">
        <v>6204887.6399999997</v>
      </c>
      <c r="S2246" t="s">
        <v>18599</v>
      </c>
      <c r="T2246" t="s">
        <v>18600</v>
      </c>
      <c r="U2246">
        <v>422896.77</v>
      </c>
      <c r="V2246">
        <v>6204882.3200000003</v>
      </c>
      <c r="W2246">
        <v>1.92</v>
      </c>
      <c r="X2246">
        <v>200.07</v>
      </c>
    </row>
    <row r="2247" spans="1:24" x14ac:dyDescent="0.25">
      <c r="A2247" s="148">
        <v>45106</v>
      </c>
      <c r="B2247" s="46">
        <v>180</v>
      </c>
      <c r="C2247" s="149">
        <v>0.89721064814814822</v>
      </c>
      <c r="D2247" s="38" t="s">
        <v>6737</v>
      </c>
      <c r="E2247" s="7" t="s">
        <v>70</v>
      </c>
      <c r="F2247" s="38" t="s">
        <v>182</v>
      </c>
      <c r="G2247" s="38" t="s">
        <v>218</v>
      </c>
      <c r="H2247">
        <v>-2.4E-2</v>
      </c>
      <c r="I2247" t="s">
        <v>18601</v>
      </c>
      <c r="J2247" t="s">
        <v>18602</v>
      </c>
      <c r="K2247" t="s">
        <v>18603</v>
      </c>
      <c r="L2247" t="s">
        <v>18596</v>
      </c>
      <c r="O2247" t="s">
        <v>18604</v>
      </c>
      <c r="P2247" t="s">
        <v>18605</v>
      </c>
      <c r="Q2247">
        <v>422924.55</v>
      </c>
      <c r="R2247">
        <v>6205125.5899999999</v>
      </c>
      <c r="S2247" t="s">
        <v>18606</v>
      </c>
      <c r="T2247" t="s">
        <v>18607</v>
      </c>
      <c r="U2247">
        <v>422897.03</v>
      </c>
      <c r="V2247">
        <v>6205119.96</v>
      </c>
      <c r="W2247">
        <v>358.78</v>
      </c>
      <c r="X2247">
        <v>200.07</v>
      </c>
    </row>
    <row r="2248" spans="1:24" x14ac:dyDescent="0.25">
      <c r="A2248" s="148">
        <v>45106</v>
      </c>
      <c r="B2248" s="46">
        <v>180</v>
      </c>
      <c r="C2248" s="149">
        <v>0.90141203703703709</v>
      </c>
      <c r="D2248" s="38" t="s">
        <v>6737</v>
      </c>
      <c r="E2248" s="7" t="s">
        <v>65</v>
      </c>
      <c r="F2248" s="38" t="s">
        <v>182</v>
      </c>
      <c r="G2248" s="38" t="s">
        <v>219</v>
      </c>
      <c r="H2248">
        <v>-0.02</v>
      </c>
      <c r="I2248" t="s">
        <v>18612</v>
      </c>
      <c r="J2248" t="s">
        <v>18613</v>
      </c>
      <c r="K2248" t="s">
        <v>18614</v>
      </c>
      <c r="L2248" t="s">
        <v>18615</v>
      </c>
      <c r="O2248" t="s">
        <v>18608</v>
      </c>
      <c r="P2248" t="s">
        <v>18609</v>
      </c>
      <c r="Q2248">
        <v>422915.85</v>
      </c>
      <c r="R2248">
        <v>6205131.9900000002</v>
      </c>
      <c r="S2248" t="s">
        <v>18610</v>
      </c>
      <c r="T2248" t="s">
        <v>18611</v>
      </c>
      <c r="U2248">
        <v>422887.79</v>
      </c>
      <c r="V2248">
        <v>6205127.21</v>
      </c>
      <c r="W2248">
        <v>180.13</v>
      </c>
      <c r="X2248">
        <v>200.07</v>
      </c>
    </row>
    <row r="2249" spans="1:24" x14ac:dyDescent="0.25">
      <c r="A2249" s="148">
        <v>45106</v>
      </c>
      <c r="B2249" s="46">
        <v>180</v>
      </c>
      <c r="C2249" s="149">
        <v>0.90680555555555553</v>
      </c>
      <c r="D2249" s="38" t="s">
        <v>6737</v>
      </c>
      <c r="E2249" s="7" t="s">
        <v>70</v>
      </c>
      <c r="F2249" s="38" t="s">
        <v>182</v>
      </c>
      <c r="G2249" s="38" t="s">
        <v>219</v>
      </c>
      <c r="H2249">
        <v>0.218</v>
      </c>
      <c r="I2249" t="s">
        <v>18612</v>
      </c>
      <c r="J2249" t="s">
        <v>18613</v>
      </c>
      <c r="K2249" t="s">
        <v>18614</v>
      </c>
      <c r="L2249" t="s">
        <v>18615</v>
      </c>
      <c r="O2249" t="s">
        <v>18616</v>
      </c>
      <c r="P2249" t="s">
        <v>18617</v>
      </c>
      <c r="Q2249">
        <v>422913.55</v>
      </c>
      <c r="R2249">
        <v>6204894.0099999998</v>
      </c>
      <c r="S2249" t="s">
        <v>18618</v>
      </c>
      <c r="T2249" t="s">
        <v>18619</v>
      </c>
      <c r="U2249">
        <v>422887.82</v>
      </c>
      <c r="V2249">
        <v>6204889.0999999996</v>
      </c>
      <c r="W2249">
        <v>179.78</v>
      </c>
      <c r="X2249">
        <v>200.07</v>
      </c>
    </row>
    <row r="2250" spans="1:24" x14ac:dyDescent="0.25">
      <c r="A2250" s="148">
        <v>45106</v>
      </c>
      <c r="B2250" s="46">
        <v>180</v>
      </c>
      <c r="C2250" s="149">
        <v>0.91019675925925936</v>
      </c>
      <c r="D2250" s="38" t="s">
        <v>6737</v>
      </c>
      <c r="E2250" s="7" t="s">
        <v>65</v>
      </c>
      <c r="F2250" s="38" t="s">
        <v>182</v>
      </c>
      <c r="G2250" s="38" t="s">
        <v>220</v>
      </c>
      <c r="H2250">
        <v>0.215</v>
      </c>
      <c r="I2250" t="s">
        <v>18624</v>
      </c>
      <c r="J2250" t="s">
        <v>18625</v>
      </c>
      <c r="K2250" t="s">
        <v>18626</v>
      </c>
      <c r="L2250" t="s">
        <v>18627</v>
      </c>
      <c r="O2250" t="s">
        <v>18620</v>
      </c>
      <c r="P2250" t="s">
        <v>18621</v>
      </c>
      <c r="Q2250">
        <v>422904.56</v>
      </c>
      <c r="R2250">
        <v>6204882.9000000004</v>
      </c>
      <c r="S2250" t="s">
        <v>18622</v>
      </c>
      <c r="T2250" t="s">
        <v>18623</v>
      </c>
      <c r="U2250">
        <v>422878.77</v>
      </c>
      <c r="V2250">
        <v>6204881.6299999999</v>
      </c>
      <c r="W2250">
        <v>0.56000000000000005</v>
      </c>
      <c r="X2250">
        <v>200.07</v>
      </c>
    </row>
    <row r="2251" spans="1:24" x14ac:dyDescent="0.25">
      <c r="A2251" s="148">
        <v>45106</v>
      </c>
      <c r="B2251" s="46">
        <v>180</v>
      </c>
      <c r="C2251" s="149">
        <v>0.91552083333333334</v>
      </c>
      <c r="D2251" s="38" t="s">
        <v>6737</v>
      </c>
      <c r="E2251" s="7" t="s">
        <v>70</v>
      </c>
      <c r="F2251" s="38" t="s">
        <v>182</v>
      </c>
      <c r="G2251" s="38" t="s">
        <v>220</v>
      </c>
      <c r="H2251">
        <v>-2.1999999999999999E-2</v>
      </c>
      <c r="I2251" t="s">
        <v>18624</v>
      </c>
      <c r="J2251" t="s">
        <v>18625</v>
      </c>
      <c r="K2251" t="s">
        <v>18626</v>
      </c>
      <c r="L2251" t="s">
        <v>18627</v>
      </c>
      <c r="O2251" t="s">
        <v>18628</v>
      </c>
      <c r="P2251" t="s">
        <v>18629</v>
      </c>
      <c r="Q2251">
        <v>422905.23</v>
      </c>
      <c r="R2251">
        <v>6205117.6200000001</v>
      </c>
      <c r="S2251" t="s">
        <v>18630</v>
      </c>
      <c r="T2251" t="s">
        <v>18631</v>
      </c>
      <c r="U2251">
        <v>422878.69</v>
      </c>
      <c r="V2251">
        <v>6205118.3700000001</v>
      </c>
      <c r="W2251">
        <v>0.46</v>
      </c>
      <c r="X2251">
        <v>200.07</v>
      </c>
    </row>
    <row r="2252" spans="1:24" x14ac:dyDescent="0.25">
      <c r="A2252" s="148">
        <v>45106</v>
      </c>
      <c r="B2252" s="46">
        <v>180</v>
      </c>
      <c r="C2252" s="149">
        <v>0.91866898148148157</v>
      </c>
      <c r="D2252" s="38" t="s">
        <v>61</v>
      </c>
      <c r="E2252" s="7" t="s">
        <v>65</v>
      </c>
      <c r="F2252" s="38" t="s">
        <v>182</v>
      </c>
      <c r="G2252" s="38" t="s">
        <v>221</v>
      </c>
      <c r="H2252">
        <v>-1.7999999999999999E-2</v>
      </c>
      <c r="I2252" t="s">
        <v>18636</v>
      </c>
      <c r="J2252" t="s">
        <v>18637</v>
      </c>
      <c r="K2252" t="s">
        <v>18638</v>
      </c>
      <c r="L2252" t="s">
        <v>18639</v>
      </c>
      <c r="O2252" t="s">
        <v>18632</v>
      </c>
      <c r="P2252" t="s">
        <v>18633</v>
      </c>
      <c r="Q2252">
        <v>422896.14</v>
      </c>
      <c r="R2252">
        <v>6205132.1500000004</v>
      </c>
      <c r="S2252" t="s">
        <v>18634</v>
      </c>
      <c r="T2252" t="s">
        <v>18635</v>
      </c>
      <c r="U2252">
        <v>422869.78</v>
      </c>
      <c r="V2252">
        <v>6205125.1799999997</v>
      </c>
      <c r="W2252">
        <v>180.76</v>
      </c>
      <c r="X2252">
        <v>200.07</v>
      </c>
    </row>
    <row r="2253" spans="1:24" x14ac:dyDescent="0.25">
      <c r="A2253" s="148">
        <v>45106</v>
      </c>
      <c r="B2253" s="46">
        <v>180</v>
      </c>
      <c r="C2253" s="149">
        <v>0.9240856481481482</v>
      </c>
      <c r="D2253" s="38" t="s">
        <v>61</v>
      </c>
      <c r="E2253" s="7" t="s">
        <v>70</v>
      </c>
      <c r="F2253" s="38" t="s">
        <v>182</v>
      </c>
      <c r="G2253" s="38" t="s">
        <v>221</v>
      </c>
      <c r="H2253">
        <v>0.219</v>
      </c>
      <c r="I2253" t="s">
        <v>18636</v>
      </c>
      <c r="J2253" t="s">
        <v>18637</v>
      </c>
      <c r="K2253" t="s">
        <v>18638</v>
      </c>
      <c r="L2253" t="s">
        <v>18639</v>
      </c>
      <c r="O2253" t="s">
        <v>18640</v>
      </c>
      <c r="P2253" t="s">
        <v>18641</v>
      </c>
      <c r="Q2253">
        <v>422895.3</v>
      </c>
      <c r="R2253">
        <v>6204895.6399999997</v>
      </c>
      <c r="S2253" t="s">
        <v>18642</v>
      </c>
      <c r="T2253" t="s">
        <v>18643</v>
      </c>
      <c r="U2253">
        <v>422869.72</v>
      </c>
      <c r="V2253">
        <v>6204888.0999999996</v>
      </c>
      <c r="W2253">
        <v>180.71</v>
      </c>
      <c r="X2253">
        <v>200.07</v>
      </c>
    </row>
    <row r="2254" spans="1:24" x14ac:dyDescent="0.25">
      <c r="A2254" s="148">
        <v>45106</v>
      </c>
      <c r="B2254" s="46">
        <v>180</v>
      </c>
      <c r="C2254" s="149">
        <v>0.92826388888888889</v>
      </c>
      <c r="D2254" s="38" t="s">
        <v>61</v>
      </c>
      <c r="E2254" s="7" t="s">
        <v>65</v>
      </c>
      <c r="F2254" s="38" t="s">
        <v>182</v>
      </c>
      <c r="G2254" s="38" t="s">
        <v>222</v>
      </c>
      <c r="H2254">
        <v>0.21299999999999999</v>
      </c>
      <c r="I2254" t="s">
        <v>18648</v>
      </c>
      <c r="J2254" t="s">
        <v>18649</v>
      </c>
      <c r="K2254" t="s">
        <v>18650</v>
      </c>
      <c r="L2254" t="s">
        <v>18639</v>
      </c>
      <c r="O2254" t="s">
        <v>18644</v>
      </c>
      <c r="P2254" t="s">
        <v>18645</v>
      </c>
      <c r="Q2254">
        <v>422889.3</v>
      </c>
      <c r="R2254">
        <v>6204882.7300000004</v>
      </c>
      <c r="S2254" t="s">
        <v>18646</v>
      </c>
      <c r="T2254" t="s">
        <v>18647</v>
      </c>
      <c r="U2254">
        <v>422860.68</v>
      </c>
      <c r="V2254">
        <v>6204883.5</v>
      </c>
      <c r="W2254">
        <v>0.18</v>
      </c>
      <c r="X2254">
        <v>200.07</v>
      </c>
    </row>
    <row r="2255" spans="1:24" x14ac:dyDescent="0.25">
      <c r="A2255" s="148">
        <v>45106</v>
      </c>
      <c r="B2255" s="46">
        <v>180</v>
      </c>
      <c r="C2255" s="149">
        <v>0.93351851851851853</v>
      </c>
      <c r="D2255" s="38" t="s">
        <v>61</v>
      </c>
      <c r="E2255" s="7" t="s">
        <v>70</v>
      </c>
      <c r="F2255" s="38" t="s">
        <v>182</v>
      </c>
      <c r="G2255" s="38" t="s">
        <v>222</v>
      </c>
      <c r="H2255">
        <v>-2.1000000000000001E-2</v>
      </c>
      <c r="I2255" t="s">
        <v>18648</v>
      </c>
      <c r="J2255" t="s">
        <v>18649</v>
      </c>
      <c r="K2255" t="s">
        <v>18650</v>
      </c>
      <c r="L2255" t="s">
        <v>18655</v>
      </c>
      <c r="O2255" t="s">
        <v>18651</v>
      </c>
      <c r="P2255" t="s">
        <v>18652</v>
      </c>
      <c r="Q2255">
        <v>422889.07</v>
      </c>
      <c r="R2255">
        <v>6205114.79</v>
      </c>
      <c r="S2255" t="s">
        <v>18653</v>
      </c>
      <c r="T2255" t="s">
        <v>18654</v>
      </c>
      <c r="U2255">
        <v>422860.48</v>
      </c>
      <c r="V2255">
        <v>6205117.5800000001</v>
      </c>
      <c r="W2255">
        <v>1.28</v>
      </c>
      <c r="X2255">
        <v>200.07</v>
      </c>
    </row>
    <row r="2256" spans="1:24" x14ac:dyDescent="0.25">
      <c r="A2256" s="148">
        <v>45106</v>
      </c>
      <c r="B2256" s="46">
        <v>180</v>
      </c>
      <c r="C2256" s="149">
        <v>0.93688657407407405</v>
      </c>
      <c r="D2256" s="38" t="s">
        <v>61</v>
      </c>
      <c r="E2256" s="7" t="s">
        <v>65</v>
      </c>
      <c r="F2256" s="38" t="s">
        <v>182</v>
      </c>
      <c r="G2256" s="38" t="s">
        <v>223</v>
      </c>
      <c r="H2256">
        <v>-1.6E-2</v>
      </c>
      <c r="I2256" t="s">
        <v>18660</v>
      </c>
      <c r="J2256" t="s">
        <v>18661</v>
      </c>
      <c r="K2256" t="s">
        <v>18662</v>
      </c>
      <c r="L2256" t="s">
        <v>18655</v>
      </c>
      <c r="O2256" t="s">
        <v>18656</v>
      </c>
      <c r="P2256" t="s">
        <v>18657</v>
      </c>
      <c r="Q2256">
        <v>422880.32</v>
      </c>
      <c r="R2256">
        <v>6205126.0700000003</v>
      </c>
      <c r="S2256" t="s">
        <v>18658</v>
      </c>
      <c r="T2256" t="s">
        <v>18659</v>
      </c>
      <c r="U2256">
        <v>422851.64</v>
      </c>
      <c r="V2256">
        <v>6205123.9699999997</v>
      </c>
      <c r="W2256">
        <v>179.69</v>
      </c>
      <c r="X2256">
        <v>200.07</v>
      </c>
    </row>
    <row r="2257" spans="1:24" x14ac:dyDescent="0.25">
      <c r="A2257" s="148">
        <v>45106</v>
      </c>
      <c r="B2257" s="46">
        <v>180</v>
      </c>
      <c r="C2257" s="149">
        <v>0.94212962962962965</v>
      </c>
      <c r="D2257" s="38" t="s">
        <v>61</v>
      </c>
      <c r="E2257" s="7" t="s">
        <v>70</v>
      </c>
      <c r="F2257" s="38" t="s">
        <v>182</v>
      </c>
      <c r="G2257" s="38" t="s">
        <v>223</v>
      </c>
      <c r="H2257">
        <v>0.22</v>
      </c>
      <c r="I2257" t="s">
        <v>18660</v>
      </c>
      <c r="J2257" t="s">
        <v>18661</v>
      </c>
      <c r="K2257" t="s">
        <v>18662</v>
      </c>
      <c r="L2257" t="s">
        <v>18667</v>
      </c>
      <c r="O2257" t="s">
        <v>18663</v>
      </c>
      <c r="P2257" t="s">
        <v>18664</v>
      </c>
      <c r="Q2257">
        <v>422876.25</v>
      </c>
      <c r="R2257">
        <v>6204894.5199999996</v>
      </c>
      <c r="S2257" t="s">
        <v>18665</v>
      </c>
      <c r="T2257" t="s">
        <v>18666</v>
      </c>
      <c r="U2257">
        <v>422851.82</v>
      </c>
      <c r="V2257">
        <v>6204887.9299999997</v>
      </c>
      <c r="W2257">
        <v>180.98</v>
      </c>
      <c r="X2257">
        <v>200.07</v>
      </c>
    </row>
    <row r="2258" spans="1:24" x14ac:dyDescent="0.25">
      <c r="A2258" s="148">
        <v>45106</v>
      </c>
      <c r="B2258" s="46">
        <v>180</v>
      </c>
      <c r="C2258" s="149">
        <v>0.94554398148148155</v>
      </c>
      <c r="D2258" s="38" t="s">
        <v>61</v>
      </c>
      <c r="E2258" s="7" t="s">
        <v>65</v>
      </c>
      <c r="F2258" s="38" t="s">
        <v>182</v>
      </c>
      <c r="G2258" s="38" t="s">
        <v>224</v>
      </c>
      <c r="H2258">
        <v>0.214</v>
      </c>
      <c r="I2258" t="s">
        <v>18672</v>
      </c>
      <c r="J2258" t="s">
        <v>18673</v>
      </c>
      <c r="K2258" t="s">
        <v>18674</v>
      </c>
      <c r="L2258" t="s">
        <v>18667</v>
      </c>
      <c r="O2258" t="s">
        <v>18668</v>
      </c>
      <c r="P2258" t="s">
        <v>18669</v>
      </c>
      <c r="Q2258">
        <v>422871.4</v>
      </c>
      <c r="R2258">
        <v>6204880.9699999997</v>
      </c>
      <c r="S2258" t="s">
        <v>18670</v>
      </c>
      <c r="T2258" t="s">
        <v>18671</v>
      </c>
      <c r="U2258">
        <v>422842.77</v>
      </c>
      <c r="V2258">
        <v>6204882.0700000003</v>
      </c>
      <c r="W2258">
        <v>358.96</v>
      </c>
      <c r="X2258">
        <v>200.07</v>
      </c>
    </row>
    <row r="2259" spans="1:24" x14ac:dyDescent="0.25">
      <c r="A2259" s="148">
        <v>45106</v>
      </c>
      <c r="B2259" s="46">
        <v>180</v>
      </c>
      <c r="C2259" s="149">
        <v>0.94998842592592592</v>
      </c>
      <c r="D2259" s="38" t="s">
        <v>61</v>
      </c>
      <c r="E2259" s="7" t="s">
        <v>70</v>
      </c>
      <c r="F2259" s="38" t="s">
        <v>182</v>
      </c>
      <c r="G2259" s="38" t="s">
        <v>224</v>
      </c>
      <c r="H2259">
        <v>-2.1999999999999999E-2</v>
      </c>
      <c r="I2259" t="s">
        <v>18672</v>
      </c>
      <c r="J2259" t="s">
        <v>18673</v>
      </c>
      <c r="K2259" t="s">
        <v>18674</v>
      </c>
      <c r="L2259" t="s">
        <v>18679</v>
      </c>
      <c r="O2259" t="s">
        <v>18675</v>
      </c>
      <c r="P2259" t="s">
        <v>18676</v>
      </c>
      <c r="Q2259">
        <v>422872.3</v>
      </c>
      <c r="R2259">
        <v>6205114.3799999999</v>
      </c>
      <c r="S2259" t="s">
        <v>18677</v>
      </c>
      <c r="T2259" t="s">
        <v>18678</v>
      </c>
      <c r="U2259">
        <v>422842.7</v>
      </c>
      <c r="V2259">
        <v>6205118.4800000004</v>
      </c>
      <c r="W2259">
        <v>359.96</v>
      </c>
      <c r="X2259">
        <v>200.07</v>
      </c>
    </row>
    <row r="2260" spans="1:24" x14ac:dyDescent="0.25">
      <c r="A2260" s="148">
        <v>45106</v>
      </c>
      <c r="B2260" s="46">
        <v>180</v>
      </c>
      <c r="C2260" s="149">
        <v>0.95357638888888896</v>
      </c>
      <c r="D2260" s="38" t="s">
        <v>61</v>
      </c>
      <c r="E2260" s="7" t="s">
        <v>65</v>
      </c>
      <c r="F2260" s="38" t="s">
        <v>182</v>
      </c>
      <c r="G2260" s="38" t="s">
        <v>225</v>
      </c>
      <c r="H2260">
        <v>-1.7000000000000001E-2</v>
      </c>
      <c r="I2260" t="s">
        <v>18684</v>
      </c>
      <c r="J2260" t="s">
        <v>18685</v>
      </c>
      <c r="K2260" t="s">
        <v>18686</v>
      </c>
      <c r="L2260" t="s">
        <v>18679</v>
      </c>
      <c r="O2260" t="s">
        <v>18680</v>
      </c>
      <c r="P2260" t="s">
        <v>18681</v>
      </c>
      <c r="Q2260">
        <v>422861.74</v>
      </c>
      <c r="R2260">
        <v>6205134.2000000002</v>
      </c>
      <c r="S2260" t="s">
        <v>18682</v>
      </c>
      <c r="T2260" t="s">
        <v>18683</v>
      </c>
      <c r="U2260">
        <v>422833.62</v>
      </c>
      <c r="V2260">
        <v>6205124.6699999999</v>
      </c>
      <c r="W2260">
        <v>179.34</v>
      </c>
      <c r="X2260">
        <v>200.07</v>
      </c>
    </row>
    <row r="2261" spans="1:24" x14ac:dyDescent="0.25">
      <c r="A2261" s="148">
        <v>45106</v>
      </c>
      <c r="B2261" s="46">
        <v>180</v>
      </c>
      <c r="C2261" s="149">
        <v>0.95894675925925921</v>
      </c>
      <c r="D2261" s="38" t="s">
        <v>61</v>
      </c>
      <c r="E2261" s="7" t="s">
        <v>70</v>
      </c>
      <c r="F2261" s="38" t="s">
        <v>182</v>
      </c>
      <c r="G2261" s="38" t="s">
        <v>225</v>
      </c>
      <c r="H2261">
        <v>0.22</v>
      </c>
      <c r="I2261" t="s">
        <v>18684</v>
      </c>
      <c r="J2261" t="s">
        <v>18685</v>
      </c>
      <c r="K2261" t="s">
        <v>18686</v>
      </c>
      <c r="L2261" t="s">
        <v>18679</v>
      </c>
      <c r="O2261" t="s">
        <v>18687</v>
      </c>
      <c r="P2261" t="s">
        <v>18688</v>
      </c>
      <c r="Q2261">
        <v>422858.9</v>
      </c>
      <c r="R2261">
        <v>6204896.71</v>
      </c>
      <c r="S2261" t="s">
        <v>18689</v>
      </c>
      <c r="T2261" t="s">
        <v>18690</v>
      </c>
      <c r="U2261">
        <v>422833.87</v>
      </c>
      <c r="V2261">
        <v>6204887.46</v>
      </c>
      <c r="W2261">
        <v>180.93</v>
      </c>
      <c r="X2261">
        <v>200.07</v>
      </c>
    </row>
    <row r="2262" spans="1:24" x14ac:dyDescent="0.25">
      <c r="A2262" s="148">
        <v>45106</v>
      </c>
      <c r="B2262" s="46">
        <v>180</v>
      </c>
      <c r="C2262" s="149">
        <v>0.96259259259259267</v>
      </c>
      <c r="D2262" s="38" t="s">
        <v>61</v>
      </c>
      <c r="E2262" s="7" t="s">
        <v>65</v>
      </c>
      <c r="F2262" s="38" t="s">
        <v>182</v>
      </c>
      <c r="G2262" s="38" t="s">
        <v>226</v>
      </c>
      <c r="H2262">
        <v>0.21</v>
      </c>
      <c r="I2262" t="s">
        <v>18695</v>
      </c>
      <c r="J2262" t="s">
        <v>18696</v>
      </c>
      <c r="K2262" t="s">
        <v>18697</v>
      </c>
      <c r="L2262" t="s">
        <v>18698</v>
      </c>
      <c r="O2262" t="s">
        <v>18691</v>
      </c>
      <c r="P2262" t="s">
        <v>18692</v>
      </c>
      <c r="Q2262">
        <v>422851.46</v>
      </c>
      <c r="R2262">
        <v>6204883.2999999998</v>
      </c>
      <c r="S2262" t="s">
        <v>18693</v>
      </c>
      <c r="T2262" t="s">
        <v>18694</v>
      </c>
      <c r="U2262">
        <v>422824.64</v>
      </c>
      <c r="V2262">
        <v>6204886.75</v>
      </c>
      <c r="W2262">
        <v>359.79</v>
      </c>
      <c r="X2262">
        <v>200.07</v>
      </c>
    </row>
    <row r="2263" spans="1:24" x14ac:dyDescent="0.25">
      <c r="A2263" s="148">
        <v>45106</v>
      </c>
      <c r="B2263" s="46">
        <v>180</v>
      </c>
      <c r="C2263" s="149">
        <v>0.96719907407407402</v>
      </c>
      <c r="D2263" s="38" t="s">
        <v>61</v>
      </c>
      <c r="E2263" s="7" t="s">
        <v>70</v>
      </c>
      <c r="F2263" s="38" t="s">
        <v>182</v>
      </c>
      <c r="G2263" s="38" t="s">
        <v>226</v>
      </c>
      <c r="H2263">
        <v>-0.02</v>
      </c>
      <c r="I2263" t="s">
        <v>18695</v>
      </c>
      <c r="J2263" t="s">
        <v>18696</v>
      </c>
      <c r="K2263" t="s">
        <v>18697</v>
      </c>
      <c r="L2263" t="s">
        <v>18698</v>
      </c>
      <c r="O2263" t="s">
        <v>18699</v>
      </c>
      <c r="P2263" t="s">
        <v>18700</v>
      </c>
      <c r="Q2263">
        <v>422852.56</v>
      </c>
      <c r="R2263">
        <v>6205126.3499999996</v>
      </c>
      <c r="S2263" t="s">
        <v>18701</v>
      </c>
      <c r="T2263" t="s">
        <v>18702</v>
      </c>
      <c r="U2263">
        <v>422824.6</v>
      </c>
      <c r="V2263">
        <v>6205116.79</v>
      </c>
      <c r="W2263">
        <v>0.16</v>
      </c>
      <c r="X2263">
        <v>200.07</v>
      </c>
    </row>
    <row r="2264" spans="1:24" s="175" customFormat="1" x14ac:dyDescent="0.25">
      <c r="A2264" s="102">
        <v>45106</v>
      </c>
      <c r="B2264" s="100">
        <v>180</v>
      </c>
      <c r="C2264" s="104">
        <v>0.96880787037037042</v>
      </c>
      <c r="D2264" s="96" t="s">
        <v>61</v>
      </c>
      <c r="E2264" s="176" t="s">
        <v>18707</v>
      </c>
      <c r="F2264" s="96" t="s">
        <v>182</v>
      </c>
      <c r="G2264" s="96" t="s">
        <v>226</v>
      </c>
      <c r="H2264" s="175">
        <v>-4.1000000000000002E-2</v>
      </c>
      <c r="O2264" s="175" t="s">
        <v>18703</v>
      </c>
      <c r="P2264" s="175" t="s">
        <v>18704</v>
      </c>
      <c r="Q2264" s="175">
        <v>422852.84</v>
      </c>
      <c r="R2264" s="175">
        <v>6205157.5199999996</v>
      </c>
      <c r="S2264" s="175" t="s">
        <v>18705</v>
      </c>
      <c r="T2264" s="175" t="s">
        <v>18706</v>
      </c>
      <c r="U2264" s="175">
        <v>422827.16</v>
      </c>
      <c r="V2264" s="175">
        <v>6205146.8600000003</v>
      </c>
      <c r="W2264" s="175">
        <v>230.03</v>
      </c>
      <c r="X2264" s="175">
        <v>200.07</v>
      </c>
    </row>
    <row r="2265" spans="1:24" x14ac:dyDescent="0.25">
      <c r="A2265" s="148">
        <v>45106</v>
      </c>
      <c r="B2265" s="46">
        <v>180</v>
      </c>
      <c r="C2265" s="149">
        <v>0.97196759259259258</v>
      </c>
      <c r="D2265" s="38" t="s">
        <v>69</v>
      </c>
      <c r="E2265" s="7" t="s">
        <v>18712</v>
      </c>
      <c r="F2265" s="38" t="s">
        <v>182</v>
      </c>
      <c r="G2265" s="38" t="s">
        <v>226</v>
      </c>
      <c r="H2265">
        <v>-4.8000000000000001E-2</v>
      </c>
      <c r="O2265" t="s">
        <v>18708</v>
      </c>
      <c r="P2265" t="s">
        <v>18709</v>
      </c>
      <c r="Q2265">
        <v>422855.05</v>
      </c>
      <c r="R2265">
        <v>6205157.9699999997</v>
      </c>
      <c r="S2265" t="s">
        <v>18710</v>
      </c>
      <c r="T2265" t="s">
        <v>18711</v>
      </c>
      <c r="U2265">
        <v>422834.16</v>
      </c>
      <c r="V2265">
        <v>6205152.96</v>
      </c>
      <c r="W2265">
        <v>230</v>
      </c>
      <c r="X2265">
        <v>200.07</v>
      </c>
    </row>
    <row r="2266" spans="1:24" s="173" customFormat="1" x14ac:dyDescent="0.25">
      <c r="A2266" s="78">
        <v>45106</v>
      </c>
      <c r="B2266" s="108">
        <v>180</v>
      </c>
      <c r="C2266" s="80">
        <v>0.97982638888888884</v>
      </c>
      <c r="D2266" s="79" t="s">
        <v>69</v>
      </c>
      <c r="E2266" s="174" t="s">
        <v>18722</v>
      </c>
      <c r="F2266" s="79" t="s">
        <v>182</v>
      </c>
      <c r="G2266" s="79" t="s">
        <v>226</v>
      </c>
      <c r="H2266" s="173">
        <v>-4.9000000000000002E-2</v>
      </c>
      <c r="O2266" s="173" t="s">
        <v>18713</v>
      </c>
      <c r="P2266" s="173" t="s">
        <v>18714</v>
      </c>
      <c r="Q2266" s="173">
        <v>422852.56</v>
      </c>
      <c r="R2266" s="173">
        <v>6205157.9199999999</v>
      </c>
      <c r="S2266" s="173" t="s">
        <v>18715</v>
      </c>
      <c r="T2266" s="173" t="s">
        <v>18716</v>
      </c>
      <c r="U2266" s="173">
        <v>422842.34</v>
      </c>
      <c r="V2266" s="173">
        <v>6205153.9100000001</v>
      </c>
      <c r="W2266" s="173">
        <v>236.5</v>
      </c>
      <c r="X2266" s="173">
        <v>200.07</v>
      </c>
    </row>
    <row r="2267" spans="1:24" x14ac:dyDescent="0.25">
      <c r="A2267" s="148">
        <v>45106</v>
      </c>
      <c r="B2267" s="46">
        <v>180</v>
      </c>
      <c r="C2267" s="149">
        <v>0.98103009259259266</v>
      </c>
      <c r="D2267" s="38" t="s">
        <v>69</v>
      </c>
      <c r="E2267" s="7" t="s">
        <v>18721</v>
      </c>
      <c r="F2267" s="38" t="s">
        <v>182</v>
      </c>
      <c r="G2267" s="38" t="s">
        <v>226</v>
      </c>
      <c r="H2267">
        <v>-0.85899999999999999</v>
      </c>
      <c r="O2267" t="s">
        <v>18717</v>
      </c>
      <c r="P2267" t="s">
        <v>18718</v>
      </c>
      <c r="Q2267">
        <v>422826.47</v>
      </c>
      <c r="R2267">
        <v>6205962.3399999999</v>
      </c>
      <c r="S2267" t="s">
        <v>18719</v>
      </c>
      <c r="T2267" t="s">
        <v>18720</v>
      </c>
      <c r="U2267">
        <v>422815.31</v>
      </c>
      <c r="V2267">
        <v>6205962.2400000002</v>
      </c>
      <c r="W2267">
        <v>255.77</v>
      </c>
      <c r="X2267">
        <v>200.07</v>
      </c>
    </row>
    <row r="2268" spans="1:24" s="158" customFormat="1" x14ac:dyDescent="0.25">
      <c r="A2268" s="69">
        <v>45107</v>
      </c>
      <c r="B2268" s="103">
        <v>181</v>
      </c>
      <c r="C2268" s="71">
        <v>0</v>
      </c>
      <c r="D2268" s="70" t="s">
        <v>69</v>
      </c>
      <c r="E2268" s="159" t="s">
        <v>77</v>
      </c>
      <c r="F2268" s="70" t="s">
        <v>182</v>
      </c>
      <c r="G2268" s="70" t="s">
        <v>611</v>
      </c>
      <c r="H2268" s="158">
        <v>0.22800000000000001</v>
      </c>
      <c r="O2268" s="158" t="s">
        <v>18723</v>
      </c>
      <c r="P2268" s="158" t="s">
        <v>18724</v>
      </c>
      <c r="Q2268" s="158">
        <v>423058.12</v>
      </c>
      <c r="R2268" s="158">
        <v>6206934.3300000001</v>
      </c>
      <c r="S2268" s="158" t="s">
        <v>18725</v>
      </c>
      <c r="T2268" s="158" t="s">
        <v>18726</v>
      </c>
      <c r="U2268" s="158">
        <v>423047.43</v>
      </c>
      <c r="V2268" s="158">
        <v>6206930.1100000003</v>
      </c>
      <c r="W2268" s="158">
        <v>234.33</v>
      </c>
      <c r="X2268" s="158">
        <v>150.05000000000001</v>
      </c>
    </row>
    <row r="2269" spans="1:24" s="171" customFormat="1" x14ac:dyDescent="0.25">
      <c r="A2269" s="74">
        <v>45107</v>
      </c>
      <c r="B2269" s="105">
        <v>181</v>
      </c>
      <c r="C2269" s="76">
        <v>3.9814814814814817E-3</v>
      </c>
      <c r="D2269" s="75" t="s">
        <v>69</v>
      </c>
      <c r="E2269" s="172" t="s">
        <v>18731</v>
      </c>
      <c r="F2269" s="75" t="s">
        <v>182</v>
      </c>
      <c r="G2269" s="75" t="s">
        <v>611</v>
      </c>
      <c r="H2269" s="171">
        <v>0.23100000000000001</v>
      </c>
      <c r="O2269" s="171" t="s">
        <v>18727</v>
      </c>
      <c r="P2269" s="171" t="s">
        <v>18728</v>
      </c>
      <c r="Q2269" s="171">
        <v>423056.26</v>
      </c>
      <c r="R2269" s="171">
        <v>6206935.3499999996</v>
      </c>
      <c r="S2269" s="171" t="s">
        <v>18729</v>
      </c>
      <c r="T2269" s="171" t="s">
        <v>18730</v>
      </c>
      <c r="U2269" s="171">
        <v>423047.09</v>
      </c>
      <c r="V2269" s="171">
        <v>6206928.2800000003</v>
      </c>
      <c r="W2269" s="171">
        <v>217.1</v>
      </c>
      <c r="X2269" s="171">
        <v>150.05000000000001</v>
      </c>
    </row>
    <row r="2270" spans="1:24" s="169" customFormat="1" x14ac:dyDescent="0.25">
      <c r="A2270" s="65">
        <v>45107</v>
      </c>
      <c r="B2270" s="106">
        <v>181</v>
      </c>
      <c r="C2270" s="67">
        <v>1.0185185185185184E-2</v>
      </c>
      <c r="D2270" s="66" t="s">
        <v>69</v>
      </c>
      <c r="E2270" s="170" t="s">
        <v>18737</v>
      </c>
      <c r="F2270" s="66" t="s">
        <v>182</v>
      </c>
      <c r="G2270" s="66" t="s">
        <v>611</v>
      </c>
      <c r="H2270" s="169">
        <v>0.23100000000000001</v>
      </c>
      <c r="M2270" s="169" t="s">
        <v>18732</v>
      </c>
      <c r="O2270" s="169" t="s">
        <v>18733</v>
      </c>
      <c r="P2270" s="169" t="s">
        <v>18734</v>
      </c>
      <c r="Q2270" s="169">
        <v>423056.79</v>
      </c>
      <c r="R2270" s="169">
        <v>6206936.1699999999</v>
      </c>
      <c r="S2270" s="169" t="s">
        <v>18735</v>
      </c>
      <c r="T2270" s="169" t="s">
        <v>18736</v>
      </c>
      <c r="U2270" s="169">
        <v>423044.51</v>
      </c>
      <c r="V2270" s="169">
        <v>6206928.1900000004</v>
      </c>
      <c r="W2270" s="169">
        <v>193</v>
      </c>
      <c r="X2270" s="169">
        <v>150.05000000000001</v>
      </c>
    </row>
    <row r="2271" spans="1:24" s="157" customFormat="1" x14ac:dyDescent="0.25">
      <c r="A2271" s="148">
        <v>45107</v>
      </c>
      <c r="B2271" s="46">
        <v>181</v>
      </c>
      <c r="C2271" s="149">
        <v>1.5960648148148151E-2</v>
      </c>
      <c r="D2271" s="162" t="s">
        <v>69</v>
      </c>
      <c r="E2271" s="153" t="s">
        <v>19238</v>
      </c>
      <c r="F2271" s="162" t="s">
        <v>182</v>
      </c>
      <c r="G2271" s="162" t="s">
        <v>611</v>
      </c>
      <c r="H2271" s="157">
        <v>0.16600000000000001</v>
      </c>
      <c r="O2271" s="157" t="s">
        <v>18738</v>
      </c>
      <c r="P2271" s="157" t="s">
        <v>18739</v>
      </c>
      <c r="Q2271" s="157">
        <v>423017.39</v>
      </c>
      <c r="R2271" s="157">
        <v>6206975.3700000001</v>
      </c>
      <c r="S2271" s="157" t="s">
        <v>18740</v>
      </c>
      <c r="T2271" s="157" t="s">
        <v>18741</v>
      </c>
      <c r="U2271" s="157">
        <v>422995.68</v>
      </c>
      <c r="V2271" s="157">
        <v>6206959.6500000004</v>
      </c>
      <c r="W2271" s="157">
        <v>313.67</v>
      </c>
      <c r="X2271" s="157">
        <v>150.05000000000001</v>
      </c>
    </row>
    <row r="2272" spans="1:24" x14ac:dyDescent="0.25">
      <c r="A2272" s="148">
        <v>45107</v>
      </c>
      <c r="B2272" s="46">
        <v>181</v>
      </c>
      <c r="C2272" s="149">
        <v>1.5960648148148151E-2</v>
      </c>
      <c r="D2272" s="38" t="s">
        <v>69</v>
      </c>
      <c r="E2272" s="7" t="s">
        <v>65</v>
      </c>
      <c r="F2272" s="38" t="s">
        <v>182</v>
      </c>
      <c r="G2272" s="38" t="s">
        <v>611</v>
      </c>
      <c r="H2272">
        <v>0.16600000000000001</v>
      </c>
      <c r="I2272" t="s">
        <v>18742</v>
      </c>
      <c r="J2272" t="s">
        <v>18743</v>
      </c>
      <c r="K2272" t="s">
        <v>18744</v>
      </c>
      <c r="L2272" t="s">
        <v>18745</v>
      </c>
      <c r="O2272" t="s">
        <v>18738</v>
      </c>
      <c r="P2272" t="s">
        <v>18739</v>
      </c>
      <c r="Q2272">
        <v>423017.39</v>
      </c>
      <c r="R2272">
        <v>6206975.3700000001</v>
      </c>
      <c r="S2272" t="s">
        <v>18740</v>
      </c>
      <c r="T2272" t="s">
        <v>18741</v>
      </c>
      <c r="U2272">
        <v>422995.68</v>
      </c>
      <c r="V2272">
        <v>6206959.6500000004</v>
      </c>
      <c r="W2272">
        <v>313.67</v>
      </c>
      <c r="X2272">
        <v>150.05000000000001</v>
      </c>
    </row>
    <row r="2273" spans="1:24" x14ac:dyDescent="0.25">
      <c r="A2273" s="148">
        <v>45107</v>
      </c>
      <c r="B2273" s="46">
        <v>181</v>
      </c>
      <c r="C2273" s="149">
        <v>2.011574074074074E-2</v>
      </c>
      <c r="D2273" s="38" t="s">
        <v>69</v>
      </c>
      <c r="E2273" s="7" t="s">
        <v>70</v>
      </c>
      <c r="F2273" s="38" t="s">
        <v>182</v>
      </c>
      <c r="G2273" s="38" t="s">
        <v>611</v>
      </c>
      <c r="H2273">
        <v>-2.1000000000000001E-2</v>
      </c>
      <c r="I2273" t="s">
        <v>18742</v>
      </c>
      <c r="J2273" t="s">
        <v>18743</v>
      </c>
      <c r="K2273" t="s">
        <v>18744</v>
      </c>
      <c r="L2273" t="s">
        <v>18745</v>
      </c>
      <c r="O2273" t="s">
        <v>18746</v>
      </c>
      <c r="P2273" t="s">
        <v>18747</v>
      </c>
      <c r="Q2273">
        <v>422885.35</v>
      </c>
      <c r="R2273">
        <v>6207108.04</v>
      </c>
      <c r="S2273" t="s">
        <v>18748</v>
      </c>
      <c r="T2273" t="s">
        <v>18749</v>
      </c>
      <c r="U2273">
        <v>422863.58</v>
      </c>
      <c r="V2273">
        <v>6207091.7699999996</v>
      </c>
      <c r="W2273">
        <v>313.58999999999997</v>
      </c>
      <c r="X2273">
        <v>150.05000000000001</v>
      </c>
    </row>
    <row r="2274" spans="1:24" x14ac:dyDescent="0.25">
      <c r="A2274" s="148">
        <v>45107</v>
      </c>
      <c r="B2274" s="46">
        <v>181</v>
      </c>
      <c r="C2274" s="149">
        <v>2.3229166666666665E-2</v>
      </c>
      <c r="D2274" s="38" t="s">
        <v>69</v>
      </c>
      <c r="E2274" s="7" t="s">
        <v>65</v>
      </c>
      <c r="F2274" s="38" t="s">
        <v>182</v>
      </c>
      <c r="G2274" s="38" t="s">
        <v>612</v>
      </c>
      <c r="H2274">
        <v>-2.4E-2</v>
      </c>
      <c r="I2274" t="s">
        <v>18754</v>
      </c>
      <c r="J2274" t="s">
        <v>18755</v>
      </c>
      <c r="K2274" t="s">
        <v>18756</v>
      </c>
      <c r="L2274" t="s">
        <v>18757</v>
      </c>
      <c r="O2274" t="s">
        <v>18750</v>
      </c>
      <c r="P2274" t="s">
        <v>18751</v>
      </c>
      <c r="Q2274">
        <v>422882.93</v>
      </c>
      <c r="R2274">
        <v>6207119.8499999996</v>
      </c>
      <c r="S2274" t="s">
        <v>18752</v>
      </c>
      <c r="T2274" t="s">
        <v>18753</v>
      </c>
      <c r="U2274">
        <v>422859.64</v>
      </c>
      <c r="V2274">
        <v>6207108.5999999996</v>
      </c>
      <c r="W2274">
        <v>136.88</v>
      </c>
      <c r="X2274">
        <v>150.05000000000001</v>
      </c>
    </row>
    <row r="2275" spans="1:24" x14ac:dyDescent="0.25">
      <c r="A2275" s="148">
        <v>45107</v>
      </c>
      <c r="B2275" s="46">
        <v>181</v>
      </c>
      <c r="C2275" s="149">
        <v>2.7673611111111111E-2</v>
      </c>
      <c r="D2275" s="38" t="s">
        <v>69</v>
      </c>
      <c r="E2275" s="7" t="s">
        <v>70</v>
      </c>
      <c r="F2275" s="38" t="s">
        <v>182</v>
      </c>
      <c r="G2275" s="38" t="s">
        <v>612</v>
      </c>
      <c r="H2275">
        <v>0.17199999999999999</v>
      </c>
      <c r="I2275" t="s">
        <v>18754</v>
      </c>
      <c r="J2275" t="s">
        <v>18755</v>
      </c>
      <c r="K2275" t="s">
        <v>18756</v>
      </c>
      <c r="L2275" t="s">
        <v>18757</v>
      </c>
      <c r="O2275" t="s">
        <v>18758</v>
      </c>
      <c r="P2275" t="s">
        <v>18759</v>
      </c>
      <c r="Q2275">
        <v>423022.23</v>
      </c>
      <c r="R2275">
        <v>6206981.9699999997</v>
      </c>
      <c r="S2275" t="s">
        <v>18760</v>
      </c>
      <c r="T2275" t="s">
        <v>18761</v>
      </c>
      <c r="U2275">
        <v>422998.41</v>
      </c>
      <c r="V2275">
        <v>6206969.6100000003</v>
      </c>
      <c r="W2275">
        <v>134.27000000000001</v>
      </c>
      <c r="X2275">
        <v>150.05000000000001</v>
      </c>
    </row>
    <row r="2276" spans="1:24" x14ac:dyDescent="0.25">
      <c r="A2276" s="148">
        <v>45107</v>
      </c>
      <c r="B2276" s="46">
        <v>181</v>
      </c>
      <c r="C2276" s="149">
        <v>3.2094907407407412E-2</v>
      </c>
      <c r="D2276" s="38" t="s">
        <v>69</v>
      </c>
      <c r="E2276" s="7" t="s">
        <v>65</v>
      </c>
      <c r="F2276" s="38" t="s">
        <v>182</v>
      </c>
      <c r="G2276" s="38" t="s">
        <v>613</v>
      </c>
      <c r="H2276">
        <v>0.16200000000000001</v>
      </c>
      <c r="I2276" t="s">
        <v>18766</v>
      </c>
      <c r="J2276" t="s">
        <v>18767</v>
      </c>
      <c r="K2276" t="s">
        <v>18768</v>
      </c>
      <c r="L2276" t="s">
        <v>18757</v>
      </c>
      <c r="O2276" t="s">
        <v>18762</v>
      </c>
      <c r="P2276" t="s">
        <v>18763</v>
      </c>
      <c r="Q2276">
        <v>423029.41</v>
      </c>
      <c r="R2276">
        <v>6206986.5099999998</v>
      </c>
      <c r="S2276" t="s">
        <v>18764</v>
      </c>
      <c r="T2276" t="s">
        <v>18765</v>
      </c>
      <c r="U2276">
        <v>423005.5</v>
      </c>
      <c r="V2276">
        <v>6206975.3700000001</v>
      </c>
      <c r="W2276">
        <v>314.52</v>
      </c>
      <c r="X2276">
        <v>150.05000000000001</v>
      </c>
    </row>
    <row r="2277" spans="1:24" x14ac:dyDescent="0.25">
      <c r="A2277" s="148">
        <v>45107</v>
      </c>
      <c r="B2277" s="46">
        <v>181</v>
      </c>
      <c r="C2277" s="149">
        <v>3.6203703703703703E-2</v>
      </c>
      <c r="D2277" s="38" t="s">
        <v>69</v>
      </c>
      <c r="E2277" s="7" t="s">
        <v>70</v>
      </c>
      <c r="F2277" s="38" t="s">
        <v>182</v>
      </c>
      <c r="G2277" s="38" t="s">
        <v>613</v>
      </c>
      <c r="H2277">
        <v>-1.9E-2</v>
      </c>
      <c r="I2277" t="s">
        <v>18766</v>
      </c>
      <c r="J2277" t="s">
        <v>18767</v>
      </c>
      <c r="K2277" t="s">
        <v>18768</v>
      </c>
      <c r="L2277" t="s">
        <v>18773</v>
      </c>
      <c r="O2277" t="s">
        <v>18769</v>
      </c>
      <c r="P2277" t="s">
        <v>18770</v>
      </c>
      <c r="Q2277">
        <v>422899.62</v>
      </c>
      <c r="R2277">
        <v>6207116.7800000003</v>
      </c>
      <c r="S2277" t="s">
        <v>18771</v>
      </c>
      <c r="T2277" t="s">
        <v>18772</v>
      </c>
      <c r="U2277">
        <v>422877.48</v>
      </c>
      <c r="V2277">
        <v>6207103.5199999996</v>
      </c>
      <c r="W2277">
        <v>314.26</v>
      </c>
      <c r="X2277">
        <v>150.05000000000001</v>
      </c>
    </row>
    <row r="2278" spans="1:24" x14ac:dyDescent="0.25">
      <c r="A2278" s="148">
        <v>45107</v>
      </c>
      <c r="B2278" s="46">
        <v>181</v>
      </c>
      <c r="C2278" s="149">
        <v>4.0462962962962964E-2</v>
      </c>
      <c r="D2278" s="38" t="s">
        <v>69</v>
      </c>
      <c r="E2278" s="7" t="s">
        <v>65</v>
      </c>
      <c r="F2278" s="38" t="s">
        <v>182</v>
      </c>
      <c r="G2278" s="38" t="s">
        <v>614</v>
      </c>
      <c r="H2278">
        <v>-1.2999999999999999E-2</v>
      </c>
      <c r="I2278" t="s">
        <v>18778</v>
      </c>
      <c r="J2278" t="s">
        <v>18779</v>
      </c>
      <c r="K2278" t="s">
        <v>18780</v>
      </c>
      <c r="L2278" t="s">
        <v>18773</v>
      </c>
      <c r="O2278" t="s">
        <v>18774</v>
      </c>
      <c r="P2278" t="s">
        <v>18775</v>
      </c>
      <c r="Q2278">
        <v>422900.52</v>
      </c>
      <c r="R2278">
        <v>6207126.1299999999</v>
      </c>
      <c r="S2278" t="s">
        <v>18776</v>
      </c>
      <c r="T2278" t="s">
        <v>18777</v>
      </c>
      <c r="U2278">
        <v>422880.43</v>
      </c>
      <c r="V2278">
        <v>6207113.5599999996</v>
      </c>
      <c r="W2278">
        <v>136.22</v>
      </c>
      <c r="X2278">
        <v>150.05000000000001</v>
      </c>
    </row>
    <row r="2279" spans="1:24" x14ac:dyDescent="0.25">
      <c r="A2279" s="148">
        <v>45107</v>
      </c>
      <c r="B2279" s="46">
        <v>181</v>
      </c>
      <c r="C2279" s="149">
        <v>4.4618055555555557E-2</v>
      </c>
      <c r="D2279" s="38" t="s">
        <v>69</v>
      </c>
      <c r="E2279" s="7" t="s">
        <v>70</v>
      </c>
      <c r="F2279" s="38" t="s">
        <v>182</v>
      </c>
      <c r="G2279" s="38" t="s">
        <v>614</v>
      </c>
      <c r="H2279">
        <v>0.17</v>
      </c>
      <c r="I2279" t="s">
        <v>18778</v>
      </c>
      <c r="J2279" t="s">
        <v>18779</v>
      </c>
      <c r="K2279" t="s">
        <v>18780</v>
      </c>
      <c r="L2279" t="s">
        <v>18785</v>
      </c>
      <c r="O2279" t="s">
        <v>18781</v>
      </c>
      <c r="P2279" t="s">
        <v>18782</v>
      </c>
      <c r="Q2279">
        <v>423029.51</v>
      </c>
      <c r="R2279">
        <v>6206996.4299999997</v>
      </c>
      <c r="S2279" t="s">
        <v>18783</v>
      </c>
      <c r="T2279" t="s">
        <v>18784</v>
      </c>
      <c r="U2279">
        <v>423010.02</v>
      </c>
      <c r="V2279">
        <v>6206983.7800000003</v>
      </c>
      <c r="W2279">
        <v>135.99</v>
      </c>
      <c r="X2279">
        <v>150.05000000000001</v>
      </c>
    </row>
    <row r="2280" spans="1:24" x14ac:dyDescent="0.25">
      <c r="A2280" s="148">
        <v>45107</v>
      </c>
      <c r="B2280" s="46">
        <v>181</v>
      </c>
      <c r="C2280" s="149">
        <v>4.7592592592592596E-2</v>
      </c>
      <c r="D2280" s="38" t="s">
        <v>69</v>
      </c>
      <c r="E2280" s="7" t="s">
        <v>65</v>
      </c>
      <c r="F2280" s="38" t="s">
        <v>182</v>
      </c>
      <c r="G2280" s="38" t="s">
        <v>615</v>
      </c>
      <c r="H2280">
        <v>0.16300000000000001</v>
      </c>
      <c r="I2280" t="s">
        <v>18790</v>
      </c>
      <c r="J2280" t="s">
        <v>18791</v>
      </c>
      <c r="K2280" t="s">
        <v>18792</v>
      </c>
      <c r="L2280" t="s">
        <v>18785</v>
      </c>
      <c r="O2280" t="s">
        <v>18786</v>
      </c>
      <c r="P2280" t="s">
        <v>18787</v>
      </c>
      <c r="Q2280">
        <v>423044.86</v>
      </c>
      <c r="R2280">
        <v>6206998.9000000004</v>
      </c>
      <c r="S2280" t="s">
        <v>18788</v>
      </c>
      <c r="T2280" t="s">
        <v>18789</v>
      </c>
      <c r="U2280">
        <v>423018.73</v>
      </c>
      <c r="V2280">
        <v>6206987.3099999996</v>
      </c>
      <c r="W2280">
        <v>315.12</v>
      </c>
      <c r="X2280">
        <v>150.05000000000001</v>
      </c>
    </row>
    <row r="2281" spans="1:24" x14ac:dyDescent="0.25">
      <c r="A2281" s="148">
        <v>45107</v>
      </c>
      <c r="B2281" s="46">
        <v>181</v>
      </c>
      <c r="C2281" s="149">
        <v>5.1782407407407409E-2</v>
      </c>
      <c r="D2281" s="38" t="s">
        <v>69</v>
      </c>
      <c r="E2281" s="7" t="s">
        <v>70</v>
      </c>
      <c r="F2281" s="38" t="s">
        <v>182</v>
      </c>
      <c r="G2281" s="38" t="s">
        <v>615</v>
      </c>
      <c r="H2281">
        <v>-2.4E-2</v>
      </c>
      <c r="I2281" t="s">
        <v>18790</v>
      </c>
      <c r="J2281" t="s">
        <v>18791</v>
      </c>
      <c r="K2281" t="s">
        <v>18792</v>
      </c>
      <c r="L2281" t="s">
        <v>18785</v>
      </c>
      <c r="O2281" t="s">
        <v>18793</v>
      </c>
      <c r="P2281" t="s">
        <v>18794</v>
      </c>
      <c r="Q2281">
        <v>422914.55</v>
      </c>
      <c r="R2281">
        <v>6207130.0099999998</v>
      </c>
      <c r="S2281" t="s">
        <v>18795</v>
      </c>
      <c r="T2281" t="s">
        <v>18796</v>
      </c>
      <c r="U2281">
        <v>422886.6</v>
      </c>
      <c r="V2281">
        <v>6207119.5099999998</v>
      </c>
      <c r="W2281">
        <v>313.8</v>
      </c>
      <c r="X2281">
        <v>150.05000000000001</v>
      </c>
    </row>
    <row r="2282" spans="1:24" x14ac:dyDescent="0.25">
      <c r="A2282" s="148">
        <v>45107</v>
      </c>
      <c r="B2282" s="46">
        <v>181</v>
      </c>
      <c r="C2282" s="149">
        <v>5.5625000000000001E-2</v>
      </c>
      <c r="D2282" s="38" t="s">
        <v>69</v>
      </c>
      <c r="E2282" s="7" t="s">
        <v>65</v>
      </c>
      <c r="F2282" s="38" t="s">
        <v>182</v>
      </c>
      <c r="G2282" s="38" t="s">
        <v>616</v>
      </c>
      <c r="H2282">
        <v>-1.7000000000000001E-2</v>
      </c>
      <c r="I2282" t="s">
        <v>18801</v>
      </c>
      <c r="J2282" t="s">
        <v>18802</v>
      </c>
      <c r="K2282" t="s">
        <v>18803</v>
      </c>
      <c r="L2282" t="s">
        <v>18804</v>
      </c>
      <c r="O2282" t="s">
        <v>18797</v>
      </c>
      <c r="P2282" t="s">
        <v>18798</v>
      </c>
      <c r="Q2282">
        <v>422915.06</v>
      </c>
      <c r="R2282">
        <v>6207143.0999999996</v>
      </c>
      <c r="S2282" t="s">
        <v>18799</v>
      </c>
      <c r="T2282" t="s">
        <v>18800</v>
      </c>
      <c r="U2282">
        <v>422890.39</v>
      </c>
      <c r="V2282">
        <v>6207128.8399999999</v>
      </c>
      <c r="W2282">
        <v>136.58000000000001</v>
      </c>
      <c r="X2282">
        <v>150.05000000000001</v>
      </c>
    </row>
    <row r="2283" spans="1:24" x14ac:dyDescent="0.25">
      <c r="A2283" s="148">
        <v>45107</v>
      </c>
      <c r="B2283" s="46">
        <v>181</v>
      </c>
      <c r="C2283" s="149">
        <v>5.9722222222222225E-2</v>
      </c>
      <c r="D2283" s="38" t="s">
        <v>69</v>
      </c>
      <c r="E2283" s="7" t="s">
        <v>70</v>
      </c>
      <c r="F2283" s="38" t="s">
        <v>182</v>
      </c>
      <c r="G2283" s="38" t="s">
        <v>616</v>
      </c>
      <c r="H2283">
        <v>0.17</v>
      </c>
      <c r="I2283" t="s">
        <v>18801</v>
      </c>
      <c r="J2283" t="s">
        <v>18802</v>
      </c>
      <c r="K2283" t="s">
        <v>18803</v>
      </c>
      <c r="L2283" t="s">
        <v>18804</v>
      </c>
      <c r="O2283" t="s">
        <v>18805</v>
      </c>
      <c r="P2283" t="s">
        <v>18806</v>
      </c>
      <c r="Q2283">
        <v>423041.29</v>
      </c>
      <c r="R2283">
        <v>6207014.3399999999</v>
      </c>
      <c r="S2283" t="s">
        <v>18807</v>
      </c>
      <c r="T2283" t="s">
        <v>18808</v>
      </c>
      <c r="U2283">
        <v>423022.45</v>
      </c>
      <c r="V2283">
        <v>6206996.7199999997</v>
      </c>
      <c r="W2283">
        <v>136.12</v>
      </c>
      <c r="X2283">
        <v>150.05000000000001</v>
      </c>
    </row>
    <row r="2284" spans="1:24" x14ac:dyDescent="0.25">
      <c r="A2284" s="148">
        <v>45107</v>
      </c>
      <c r="B2284" s="46">
        <v>181</v>
      </c>
      <c r="C2284" s="149">
        <v>6.340277777777778E-2</v>
      </c>
      <c r="D2284" s="38" t="s">
        <v>69</v>
      </c>
      <c r="E2284" s="7" t="s">
        <v>65</v>
      </c>
      <c r="F2284" s="38" t="s">
        <v>182</v>
      </c>
      <c r="G2284" s="38" t="s">
        <v>610</v>
      </c>
      <c r="H2284">
        <v>0.16600000000000001</v>
      </c>
      <c r="I2284" t="s">
        <v>18813</v>
      </c>
      <c r="J2284" t="s">
        <v>18814</v>
      </c>
      <c r="K2284" t="s">
        <v>18815</v>
      </c>
      <c r="L2284" t="s">
        <v>18804</v>
      </c>
      <c r="O2284" t="s">
        <v>18809</v>
      </c>
      <c r="P2284" t="s">
        <v>18810</v>
      </c>
      <c r="Q2284">
        <v>423061.93</v>
      </c>
      <c r="R2284">
        <v>6207007.9000000004</v>
      </c>
      <c r="S2284" t="s">
        <v>18811</v>
      </c>
      <c r="T2284" t="s">
        <v>18812</v>
      </c>
      <c r="U2284">
        <v>423033.24</v>
      </c>
      <c r="V2284">
        <v>6206997.9000000004</v>
      </c>
      <c r="W2284">
        <v>318.83999999999997</v>
      </c>
      <c r="X2284">
        <v>150.05000000000001</v>
      </c>
    </row>
    <row r="2285" spans="1:24" x14ac:dyDescent="0.25">
      <c r="A2285" s="148">
        <v>45107</v>
      </c>
      <c r="B2285" s="46">
        <v>181</v>
      </c>
      <c r="C2285" s="149">
        <v>6.6967592592592592E-2</v>
      </c>
      <c r="D2285" s="38" t="s">
        <v>69</v>
      </c>
      <c r="E2285" s="7" t="s">
        <v>70</v>
      </c>
      <c r="F2285" s="38" t="s">
        <v>182</v>
      </c>
      <c r="G2285" s="38" t="s">
        <v>610</v>
      </c>
      <c r="H2285">
        <v>-2.5000000000000001E-2</v>
      </c>
      <c r="I2285" t="s">
        <v>18813</v>
      </c>
      <c r="J2285" t="s">
        <v>18814</v>
      </c>
      <c r="K2285" t="s">
        <v>18815</v>
      </c>
      <c r="L2285" t="s">
        <v>18820</v>
      </c>
      <c r="O2285" t="s">
        <v>18816</v>
      </c>
      <c r="P2285" t="s">
        <v>18817</v>
      </c>
      <c r="Q2285">
        <v>422930.49</v>
      </c>
      <c r="R2285">
        <v>6207138.7300000004</v>
      </c>
      <c r="S2285" t="s">
        <v>18818</v>
      </c>
      <c r="T2285" t="s">
        <v>18819</v>
      </c>
      <c r="U2285">
        <v>422898.57</v>
      </c>
      <c r="V2285">
        <v>6207133</v>
      </c>
      <c r="W2285">
        <v>315.25</v>
      </c>
      <c r="X2285">
        <v>150.05000000000001</v>
      </c>
    </row>
    <row r="2286" spans="1:24" x14ac:dyDescent="0.25">
      <c r="A2286" s="148">
        <v>45107</v>
      </c>
      <c r="B2286" s="46">
        <v>181</v>
      </c>
      <c r="C2286" s="149">
        <v>7.1365740740740743E-2</v>
      </c>
      <c r="D2286" s="38" t="s">
        <v>69</v>
      </c>
      <c r="E2286" s="7" t="s">
        <v>65</v>
      </c>
      <c r="F2286" s="38" t="s">
        <v>182</v>
      </c>
      <c r="G2286" s="38" t="s">
        <v>609</v>
      </c>
      <c r="H2286">
        <v>-8.9999999999999993E-3</v>
      </c>
      <c r="I2286" t="s">
        <v>18825</v>
      </c>
      <c r="J2286" t="s">
        <v>18826</v>
      </c>
      <c r="K2286" t="s">
        <v>18827</v>
      </c>
      <c r="L2286" t="s">
        <v>18820</v>
      </c>
      <c r="O2286" t="s">
        <v>18821</v>
      </c>
      <c r="P2286" t="s">
        <v>18822</v>
      </c>
      <c r="Q2286">
        <v>422931.91</v>
      </c>
      <c r="R2286">
        <v>6207148.4699999997</v>
      </c>
      <c r="S2286" t="s">
        <v>18823</v>
      </c>
      <c r="T2286" t="s">
        <v>18824</v>
      </c>
      <c r="U2286">
        <v>422908.47</v>
      </c>
      <c r="V2286">
        <v>6207135.9100000001</v>
      </c>
      <c r="W2286">
        <v>135.13</v>
      </c>
      <c r="X2286">
        <v>150.05000000000001</v>
      </c>
    </row>
    <row r="2287" spans="1:24" x14ac:dyDescent="0.25">
      <c r="A2287" s="148">
        <v>45107</v>
      </c>
      <c r="B2287" s="46">
        <v>181</v>
      </c>
      <c r="C2287" s="149">
        <v>7.481481481481482E-2</v>
      </c>
      <c r="D2287" s="38" t="s">
        <v>69</v>
      </c>
      <c r="E2287" s="7" t="s">
        <v>70</v>
      </c>
      <c r="F2287" s="38" t="s">
        <v>182</v>
      </c>
      <c r="G2287" s="38" t="s">
        <v>609</v>
      </c>
      <c r="H2287">
        <v>0.17799999999999999</v>
      </c>
      <c r="I2287" t="s">
        <v>18825</v>
      </c>
      <c r="J2287" t="s">
        <v>18826</v>
      </c>
      <c r="K2287" t="s">
        <v>18827</v>
      </c>
      <c r="L2287" t="s">
        <v>18832</v>
      </c>
      <c r="O2287" t="s">
        <v>18828</v>
      </c>
      <c r="P2287" t="s">
        <v>18829</v>
      </c>
      <c r="Q2287">
        <v>423060.67</v>
      </c>
      <c r="R2287">
        <v>6207018.54</v>
      </c>
      <c r="S2287" t="s">
        <v>18830</v>
      </c>
      <c r="T2287" t="s">
        <v>18831</v>
      </c>
      <c r="U2287">
        <v>423040.86</v>
      </c>
      <c r="V2287">
        <v>6207003.5199999996</v>
      </c>
      <c r="W2287">
        <v>135.69</v>
      </c>
      <c r="X2287">
        <v>150.05000000000001</v>
      </c>
    </row>
    <row r="2288" spans="1:24" x14ac:dyDescent="0.25">
      <c r="A2288" s="148">
        <v>45107</v>
      </c>
      <c r="B2288" s="46">
        <v>181</v>
      </c>
      <c r="C2288" s="149">
        <v>7.8101851851851853E-2</v>
      </c>
      <c r="D2288" s="38" t="s">
        <v>69</v>
      </c>
      <c r="E2288" s="7" t="s">
        <v>65</v>
      </c>
      <c r="F2288" s="38" t="s">
        <v>182</v>
      </c>
      <c r="G2288" s="38" t="s">
        <v>608</v>
      </c>
      <c r="H2288">
        <v>0.161</v>
      </c>
      <c r="I2288" t="s">
        <v>18837</v>
      </c>
      <c r="J2288" t="s">
        <v>18838</v>
      </c>
      <c r="K2288" t="s">
        <v>18839</v>
      </c>
      <c r="L2288" t="s">
        <v>18832</v>
      </c>
      <c r="O2288" t="s">
        <v>18833</v>
      </c>
      <c r="P2288" t="s">
        <v>18834</v>
      </c>
      <c r="Q2288">
        <v>423068.83</v>
      </c>
      <c r="R2288">
        <v>6207026.6100000003</v>
      </c>
      <c r="S2288" t="s">
        <v>18835</v>
      </c>
      <c r="T2288" t="s">
        <v>18836</v>
      </c>
      <c r="U2288">
        <v>423042.59</v>
      </c>
      <c r="V2288">
        <v>6207014.3300000001</v>
      </c>
      <c r="W2288">
        <v>314.64</v>
      </c>
      <c r="X2288">
        <v>150.05000000000001</v>
      </c>
    </row>
    <row r="2289" spans="1:24" x14ac:dyDescent="0.25">
      <c r="A2289" s="148">
        <v>45107</v>
      </c>
      <c r="B2289" s="46">
        <v>181</v>
      </c>
      <c r="C2289" s="149">
        <v>8.1469907407407408E-2</v>
      </c>
      <c r="D2289" s="38" t="s">
        <v>69</v>
      </c>
      <c r="E2289" s="7" t="s">
        <v>70</v>
      </c>
      <c r="F2289" s="38" t="s">
        <v>182</v>
      </c>
      <c r="G2289" s="38" t="s">
        <v>608</v>
      </c>
      <c r="H2289">
        <v>-1.9E-2</v>
      </c>
      <c r="I2289" t="s">
        <v>18837</v>
      </c>
      <c r="J2289" t="s">
        <v>18838</v>
      </c>
      <c r="K2289" t="s">
        <v>18839</v>
      </c>
      <c r="L2289" t="s">
        <v>18832</v>
      </c>
      <c r="O2289" t="s">
        <v>18840</v>
      </c>
      <c r="P2289" t="s">
        <v>18841</v>
      </c>
      <c r="Q2289">
        <v>422942.3</v>
      </c>
      <c r="R2289">
        <v>6207153.2599999998</v>
      </c>
      <c r="S2289" t="s">
        <v>18842</v>
      </c>
      <c r="T2289" t="s">
        <v>18843</v>
      </c>
      <c r="U2289">
        <v>422915.48</v>
      </c>
      <c r="V2289">
        <v>6207141.4000000004</v>
      </c>
      <c r="W2289">
        <v>316.24</v>
      </c>
      <c r="X2289">
        <v>150.05000000000001</v>
      </c>
    </row>
    <row r="2290" spans="1:24" x14ac:dyDescent="0.25">
      <c r="A2290" s="148">
        <v>45107</v>
      </c>
      <c r="B2290" s="46">
        <v>181</v>
      </c>
      <c r="C2290" s="149">
        <v>8.4479166666666661E-2</v>
      </c>
      <c r="D2290" s="38" t="s">
        <v>69</v>
      </c>
      <c r="E2290" s="7" t="s">
        <v>65</v>
      </c>
      <c r="F2290" s="38" t="s">
        <v>182</v>
      </c>
      <c r="G2290" s="38" t="s">
        <v>607</v>
      </c>
      <c r="H2290">
        <v>-1.0999999999999999E-2</v>
      </c>
      <c r="I2290" t="s">
        <v>18848</v>
      </c>
      <c r="J2290" t="s">
        <v>18849</v>
      </c>
      <c r="K2290" t="s">
        <v>18850</v>
      </c>
      <c r="L2290" t="s">
        <v>18832</v>
      </c>
      <c r="O2290" t="s">
        <v>18844</v>
      </c>
      <c r="P2290" t="s">
        <v>18845</v>
      </c>
      <c r="Q2290">
        <v>422938.38</v>
      </c>
      <c r="R2290">
        <v>6207167.5599999996</v>
      </c>
      <c r="S2290" t="s">
        <v>18846</v>
      </c>
      <c r="T2290" t="s">
        <v>18847</v>
      </c>
      <c r="U2290">
        <v>422919.89</v>
      </c>
      <c r="V2290">
        <v>6207149.8600000003</v>
      </c>
      <c r="W2290">
        <v>136.41</v>
      </c>
      <c r="X2290">
        <v>150.05000000000001</v>
      </c>
    </row>
    <row r="2291" spans="1:24" x14ac:dyDescent="0.25">
      <c r="A2291" s="148">
        <v>45107</v>
      </c>
      <c r="B2291" s="46">
        <v>181</v>
      </c>
      <c r="C2291" s="149">
        <v>8.8217592592592597E-2</v>
      </c>
      <c r="D2291" s="38" t="s">
        <v>69</v>
      </c>
      <c r="E2291" s="7" t="s">
        <v>70</v>
      </c>
      <c r="F2291" s="38" t="s">
        <v>182</v>
      </c>
      <c r="G2291" s="38" t="s">
        <v>607</v>
      </c>
      <c r="H2291">
        <v>0.17499999999999999</v>
      </c>
      <c r="I2291" t="s">
        <v>18848</v>
      </c>
      <c r="J2291" t="s">
        <v>18849</v>
      </c>
      <c r="K2291" t="s">
        <v>18850</v>
      </c>
      <c r="L2291" t="s">
        <v>18855</v>
      </c>
      <c r="O2291" t="s">
        <v>18851</v>
      </c>
      <c r="P2291" t="s">
        <v>18852</v>
      </c>
      <c r="Q2291">
        <v>423077.5</v>
      </c>
      <c r="R2291">
        <v>6207026.4699999997</v>
      </c>
      <c r="S2291" t="s">
        <v>18853</v>
      </c>
      <c r="T2291" t="s">
        <v>18854</v>
      </c>
      <c r="U2291">
        <v>423051.21</v>
      </c>
      <c r="V2291">
        <v>6207018.4100000001</v>
      </c>
      <c r="W2291">
        <v>134.44999999999999</v>
      </c>
      <c r="X2291">
        <v>150.05000000000001</v>
      </c>
    </row>
    <row r="2292" spans="1:24" x14ac:dyDescent="0.25">
      <c r="A2292" s="148">
        <v>45107</v>
      </c>
      <c r="B2292" s="46">
        <v>181</v>
      </c>
      <c r="C2292" s="149">
        <v>9.1724537037037035E-2</v>
      </c>
      <c r="D2292" s="38" t="s">
        <v>69</v>
      </c>
      <c r="E2292" s="7" t="s">
        <v>65</v>
      </c>
      <c r="F2292" s="38" t="s">
        <v>182</v>
      </c>
      <c r="G2292" s="38" t="s">
        <v>606</v>
      </c>
      <c r="H2292">
        <v>0.16</v>
      </c>
      <c r="I2292" t="s">
        <v>18860</v>
      </c>
      <c r="J2292" t="s">
        <v>18861</v>
      </c>
      <c r="K2292" t="s">
        <v>18862</v>
      </c>
      <c r="L2292" t="s">
        <v>18855</v>
      </c>
      <c r="O2292" t="s">
        <v>18856</v>
      </c>
      <c r="P2292" t="s">
        <v>18857</v>
      </c>
      <c r="Q2292">
        <v>423080.81</v>
      </c>
      <c r="R2292">
        <v>6207036.1100000003</v>
      </c>
      <c r="S2292" t="s">
        <v>18858</v>
      </c>
      <c r="T2292" t="s">
        <v>18859</v>
      </c>
      <c r="U2292">
        <v>423054.78</v>
      </c>
      <c r="V2292">
        <v>6207027.7000000002</v>
      </c>
      <c r="W2292">
        <v>316.44</v>
      </c>
      <c r="X2292">
        <v>150.05000000000001</v>
      </c>
    </row>
    <row r="2293" spans="1:24" x14ac:dyDescent="0.25">
      <c r="A2293" s="148">
        <v>45107</v>
      </c>
      <c r="B2293" s="46">
        <v>181</v>
      </c>
      <c r="C2293" s="149">
        <v>9.5069444444444443E-2</v>
      </c>
      <c r="D2293" s="38" t="s">
        <v>69</v>
      </c>
      <c r="E2293" s="7" t="s">
        <v>70</v>
      </c>
      <c r="F2293" s="38" t="s">
        <v>182</v>
      </c>
      <c r="G2293" s="38" t="s">
        <v>606</v>
      </c>
      <c r="H2293">
        <v>-0.02</v>
      </c>
      <c r="I2293" t="s">
        <v>18860</v>
      </c>
      <c r="J2293" t="s">
        <v>18861</v>
      </c>
      <c r="K2293" t="s">
        <v>18862</v>
      </c>
      <c r="L2293" t="s">
        <v>18855</v>
      </c>
      <c r="O2293" t="s">
        <v>18863</v>
      </c>
      <c r="P2293" t="s">
        <v>18864</v>
      </c>
      <c r="Q2293">
        <v>422954.76</v>
      </c>
      <c r="R2293">
        <v>6207162.2199999997</v>
      </c>
      <c r="S2293" t="s">
        <v>18865</v>
      </c>
      <c r="T2293" t="s">
        <v>18866</v>
      </c>
      <c r="U2293">
        <v>422928.01</v>
      </c>
      <c r="V2293">
        <v>6207154.6299999999</v>
      </c>
      <c r="W2293">
        <v>316.47000000000003</v>
      </c>
      <c r="X2293">
        <v>150.05000000000001</v>
      </c>
    </row>
    <row r="2294" spans="1:24" x14ac:dyDescent="0.25">
      <c r="A2294" s="148">
        <v>45107</v>
      </c>
      <c r="B2294" s="46">
        <v>181</v>
      </c>
      <c r="C2294" s="149">
        <v>9.8159722222222232E-2</v>
      </c>
      <c r="D2294" s="38" t="s">
        <v>69</v>
      </c>
      <c r="E2294" s="7" t="s">
        <v>65</v>
      </c>
      <c r="F2294" s="38" t="s">
        <v>182</v>
      </c>
      <c r="G2294" s="38" t="s">
        <v>605</v>
      </c>
      <c r="H2294">
        <v>-1.0999999999999999E-2</v>
      </c>
      <c r="I2294" t="s">
        <v>18871</v>
      </c>
      <c r="J2294" t="s">
        <v>18872</v>
      </c>
      <c r="K2294" t="s">
        <v>18873</v>
      </c>
      <c r="L2294" t="s">
        <v>18874</v>
      </c>
      <c r="O2294" t="s">
        <v>18867</v>
      </c>
      <c r="P2294" t="s">
        <v>18868</v>
      </c>
      <c r="Q2294">
        <v>422950.15</v>
      </c>
      <c r="R2294">
        <v>6207179.5099999998</v>
      </c>
      <c r="S2294" t="s">
        <v>18869</v>
      </c>
      <c r="T2294" t="s">
        <v>18870</v>
      </c>
      <c r="U2294">
        <v>422932.97</v>
      </c>
      <c r="V2294">
        <v>6207162.5300000003</v>
      </c>
      <c r="W2294">
        <v>137.43</v>
      </c>
      <c r="X2294">
        <v>150.05000000000001</v>
      </c>
    </row>
    <row r="2295" spans="1:24" x14ac:dyDescent="0.25">
      <c r="A2295" s="148">
        <v>45107</v>
      </c>
      <c r="B2295" s="46">
        <v>181</v>
      </c>
      <c r="C2295" s="149">
        <v>0.10144675925925926</v>
      </c>
      <c r="D2295" s="38" t="s">
        <v>69</v>
      </c>
      <c r="E2295" s="7" t="s">
        <v>70</v>
      </c>
      <c r="F2295" s="38" t="s">
        <v>182</v>
      </c>
      <c r="G2295" s="38" t="s">
        <v>605</v>
      </c>
      <c r="H2295">
        <v>0.16600000000000001</v>
      </c>
      <c r="I2295" t="s">
        <v>18871</v>
      </c>
      <c r="J2295" t="s">
        <v>18872</v>
      </c>
      <c r="K2295" t="s">
        <v>18873</v>
      </c>
      <c r="L2295" t="s">
        <v>18874</v>
      </c>
      <c r="O2295" t="s">
        <v>18875</v>
      </c>
      <c r="P2295" t="s">
        <v>18876</v>
      </c>
      <c r="Q2295">
        <v>423071.65</v>
      </c>
      <c r="R2295">
        <v>6207055.7599999998</v>
      </c>
      <c r="S2295" t="s">
        <v>18877</v>
      </c>
      <c r="T2295" t="s">
        <v>18878</v>
      </c>
      <c r="U2295">
        <v>423057.61</v>
      </c>
      <c r="V2295">
        <v>6207037.7800000003</v>
      </c>
      <c r="W2295">
        <v>134.57</v>
      </c>
      <c r="X2295">
        <v>150.05000000000001</v>
      </c>
    </row>
    <row r="2296" spans="1:24" s="173" customFormat="1" x14ac:dyDescent="0.25">
      <c r="A2296" s="78">
        <v>45107</v>
      </c>
      <c r="B2296" s="108">
        <v>181</v>
      </c>
      <c r="C2296" s="80">
        <v>0.1221412037037037</v>
      </c>
      <c r="D2296" s="79" t="s">
        <v>69</v>
      </c>
      <c r="E2296" s="174" t="s">
        <v>18883</v>
      </c>
      <c r="F2296" s="79" t="s">
        <v>182</v>
      </c>
      <c r="G2296" s="79" t="s">
        <v>575</v>
      </c>
      <c r="H2296" s="173">
        <v>3.4039999999999999</v>
      </c>
      <c r="O2296" s="173" t="s">
        <v>18879</v>
      </c>
      <c r="P2296" s="173" t="s">
        <v>18880</v>
      </c>
      <c r="Q2296" s="173">
        <v>423085.4</v>
      </c>
      <c r="R2296" s="173">
        <v>6207042.3200000003</v>
      </c>
      <c r="S2296" s="173" t="s">
        <v>18881</v>
      </c>
      <c r="T2296" s="173" t="s">
        <v>18882</v>
      </c>
      <c r="U2296" s="173">
        <v>423076.1</v>
      </c>
      <c r="V2296" s="173">
        <v>6207035.6399999997</v>
      </c>
      <c r="W2296" s="173">
        <v>223.95</v>
      </c>
      <c r="X2296" s="173">
        <v>150.05000000000001</v>
      </c>
    </row>
    <row r="2297" spans="1:24" x14ac:dyDescent="0.25">
      <c r="A2297" s="148">
        <v>45107</v>
      </c>
      <c r="B2297" s="46">
        <v>181</v>
      </c>
      <c r="C2297" s="149">
        <v>0.12228009259259259</v>
      </c>
      <c r="D2297" s="38" t="s">
        <v>69</v>
      </c>
      <c r="E2297" s="7" t="s">
        <v>18888</v>
      </c>
      <c r="F2297" s="38" t="s">
        <v>182</v>
      </c>
      <c r="G2297" s="38" t="s">
        <v>575</v>
      </c>
      <c r="H2297">
        <v>3.4020000000000001</v>
      </c>
      <c r="O2297" t="s">
        <v>18884</v>
      </c>
      <c r="P2297" t="s">
        <v>18885</v>
      </c>
      <c r="Q2297">
        <v>423084.22</v>
      </c>
      <c r="R2297">
        <v>6207042.4800000004</v>
      </c>
      <c r="S2297" t="s">
        <v>18886</v>
      </c>
      <c r="T2297" t="s">
        <v>18887</v>
      </c>
      <c r="U2297">
        <v>423075</v>
      </c>
      <c r="V2297">
        <v>6207036.3899999997</v>
      </c>
      <c r="W2297">
        <v>229.58</v>
      </c>
      <c r="X2297">
        <v>150.05000000000001</v>
      </c>
    </row>
    <row r="2298" spans="1:24" s="171" customFormat="1" x14ac:dyDescent="0.25">
      <c r="A2298" s="74">
        <v>45107</v>
      </c>
      <c r="B2298" s="105">
        <v>181</v>
      </c>
      <c r="C2298" s="76">
        <v>0.1474074074074074</v>
      </c>
      <c r="D2298" s="75" t="s">
        <v>69</v>
      </c>
      <c r="E2298" s="172" t="s">
        <v>18893</v>
      </c>
      <c r="F2298" s="75" t="s">
        <v>182</v>
      </c>
      <c r="G2298" s="75" t="s">
        <v>575</v>
      </c>
      <c r="H2298" s="171">
        <v>0.21299999999999999</v>
      </c>
      <c r="O2298" s="171" t="s">
        <v>18889</v>
      </c>
      <c r="P2298" s="171" t="s">
        <v>18890</v>
      </c>
      <c r="Q2298" s="171">
        <v>422451.34</v>
      </c>
      <c r="R2298" s="171">
        <v>6210916.4400000004</v>
      </c>
      <c r="S2298" s="171" t="s">
        <v>18891</v>
      </c>
      <c r="T2298" s="171" t="s">
        <v>18892</v>
      </c>
      <c r="U2298" s="171">
        <v>422441.15</v>
      </c>
      <c r="V2298" s="171">
        <v>6210911.3300000001</v>
      </c>
      <c r="W2298" s="171">
        <v>228.44</v>
      </c>
      <c r="X2298" s="171">
        <v>150.05000000000001</v>
      </c>
    </row>
    <row r="2299" spans="1:24" s="169" customFormat="1" x14ac:dyDescent="0.25">
      <c r="A2299" s="65">
        <v>45107</v>
      </c>
      <c r="B2299" s="106">
        <v>181</v>
      </c>
      <c r="C2299" s="67">
        <v>0.15359953703703702</v>
      </c>
      <c r="D2299" s="66" t="s">
        <v>69</v>
      </c>
      <c r="E2299" s="170" t="s">
        <v>18899</v>
      </c>
      <c r="F2299" s="66" t="s">
        <v>182</v>
      </c>
      <c r="G2299" s="66" t="s">
        <v>575</v>
      </c>
      <c r="H2299" s="169">
        <v>0.20399999999999999</v>
      </c>
      <c r="M2299" s="169" t="s">
        <v>18894</v>
      </c>
      <c r="O2299" s="169" t="s">
        <v>18895</v>
      </c>
      <c r="P2299" s="169" t="s">
        <v>18896</v>
      </c>
      <c r="Q2299" s="169">
        <v>422450.6</v>
      </c>
      <c r="R2299" s="169">
        <v>6210915.7699999996</v>
      </c>
      <c r="S2299" s="169" t="s">
        <v>18897</v>
      </c>
      <c r="T2299" s="169" t="s">
        <v>18898</v>
      </c>
      <c r="U2299" s="169">
        <v>422417.31</v>
      </c>
      <c r="V2299" s="169">
        <v>6210893.7599999998</v>
      </c>
      <c r="W2299" s="169">
        <v>288.14</v>
      </c>
      <c r="X2299" s="169">
        <v>150.05000000000001</v>
      </c>
    </row>
    <row r="2300" spans="1:24" s="157" customFormat="1" x14ac:dyDescent="0.25">
      <c r="A2300" s="148">
        <v>45107</v>
      </c>
      <c r="B2300" s="46">
        <v>181</v>
      </c>
      <c r="C2300" s="149">
        <v>0.15869212962962961</v>
      </c>
      <c r="D2300" s="162" t="s">
        <v>17396</v>
      </c>
      <c r="E2300" s="153" t="s">
        <v>19237</v>
      </c>
      <c r="F2300" s="162" t="s">
        <v>182</v>
      </c>
      <c r="G2300" s="162" t="s">
        <v>575</v>
      </c>
      <c r="H2300" s="157">
        <v>0.16600000000000001</v>
      </c>
      <c r="L2300" s="157" t="s">
        <v>18907</v>
      </c>
      <c r="O2300" s="157" t="s">
        <v>18900</v>
      </c>
      <c r="P2300" s="157" t="s">
        <v>18901</v>
      </c>
      <c r="Q2300" s="157">
        <v>422417.66</v>
      </c>
      <c r="R2300" s="157">
        <v>6210934.8499999996</v>
      </c>
      <c r="S2300" s="157" t="s">
        <v>18902</v>
      </c>
      <c r="T2300" s="157" t="s">
        <v>18903</v>
      </c>
      <c r="U2300" s="157">
        <v>422392.29</v>
      </c>
      <c r="V2300" s="157">
        <v>6210921.8099999996</v>
      </c>
      <c r="W2300" s="157">
        <v>314.77999999999997</v>
      </c>
      <c r="X2300" s="157">
        <v>150.05000000000001</v>
      </c>
    </row>
    <row r="2301" spans="1:24" x14ac:dyDescent="0.25">
      <c r="A2301" s="148">
        <v>45107</v>
      </c>
      <c r="B2301" s="46">
        <v>181</v>
      </c>
      <c r="C2301" s="149">
        <v>0.15869212962962961</v>
      </c>
      <c r="D2301" s="38" t="s">
        <v>17396</v>
      </c>
      <c r="E2301" s="7" t="s">
        <v>65</v>
      </c>
      <c r="F2301" s="38" t="s">
        <v>182</v>
      </c>
      <c r="G2301" s="38" t="s">
        <v>575</v>
      </c>
      <c r="H2301">
        <v>0.16600000000000001</v>
      </c>
      <c r="I2301" t="s">
        <v>18904</v>
      </c>
      <c r="J2301" t="s">
        <v>18905</v>
      </c>
      <c r="K2301" t="s">
        <v>18906</v>
      </c>
      <c r="L2301" t="s">
        <v>18907</v>
      </c>
      <c r="O2301" t="s">
        <v>18900</v>
      </c>
      <c r="P2301" t="s">
        <v>18901</v>
      </c>
      <c r="Q2301">
        <v>422417.66</v>
      </c>
      <c r="R2301">
        <v>6210934.8499999996</v>
      </c>
      <c r="S2301" t="s">
        <v>18902</v>
      </c>
      <c r="T2301" t="s">
        <v>18903</v>
      </c>
      <c r="U2301">
        <v>422392.29</v>
      </c>
      <c r="V2301">
        <v>6210921.8099999996</v>
      </c>
      <c r="W2301">
        <v>314.77999999999997</v>
      </c>
      <c r="X2301">
        <v>150.05000000000001</v>
      </c>
    </row>
    <row r="2302" spans="1:24" x14ac:dyDescent="0.25">
      <c r="A2302" s="148">
        <v>45107</v>
      </c>
      <c r="B2302" s="46">
        <v>181</v>
      </c>
      <c r="C2302" s="149">
        <v>0.1630324074074074</v>
      </c>
      <c r="D2302" s="38" t="s">
        <v>17396</v>
      </c>
      <c r="E2302" s="7" t="s">
        <v>70</v>
      </c>
      <c r="F2302" s="38" t="s">
        <v>182</v>
      </c>
      <c r="G2302" s="38" t="s">
        <v>575</v>
      </c>
      <c r="H2302">
        <v>-2.3E-2</v>
      </c>
      <c r="I2302" t="s">
        <v>18904</v>
      </c>
      <c r="J2302" t="s">
        <v>18905</v>
      </c>
      <c r="K2302" t="s">
        <v>18906</v>
      </c>
      <c r="L2302" t="s">
        <v>18907</v>
      </c>
      <c r="O2302" t="s">
        <v>18908</v>
      </c>
      <c r="P2302" t="s">
        <v>18909</v>
      </c>
      <c r="Q2302">
        <v>422286.76</v>
      </c>
      <c r="R2302">
        <v>6211075.5599999996</v>
      </c>
      <c r="S2302" t="s">
        <v>18910</v>
      </c>
      <c r="T2302" t="s">
        <v>18911</v>
      </c>
      <c r="U2302">
        <v>422258.71</v>
      </c>
      <c r="V2302">
        <v>6211055.3899999997</v>
      </c>
      <c r="W2302">
        <v>314.45999999999998</v>
      </c>
      <c r="X2302">
        <v>150.05000000000001</v>
      </c>
    </row>
    <row r="2303" spans="1:24" x14ac:dyDescent="0.25">
      <c r="A2303" s="148">
        <v>45107</v>
      </c>
      <c r="B2303" s="46">
        <v>181</v>
      </c>
      <c r="C2303" s="149">
        <v>0.16922453703703702</v>
      </c>
      <c r="D2303" s="38" t="s">
        <v>17396</v>
      </c>
      <c r="E2303" s="7" t="s">
        <v>65</v>
      </c>
      <c r="F2303" s="38" t="s">
        <v>182</v>
      </c>
      <c r="G2303" s="38" t="s">
        <v>576</v>
      </c>
      <c r="H2303">
        <v>-1.2999999999999999E-2</v>
      </c>
      <c r="I2303" t="s">
        <v>18916</v>
      </c>
      <c r="J2303" t="s">
        <v>18917</v>
      </c>
      <c r="K2303" t="s">
        <v>18918</v>
      </c>
      <c r="L2303" t="s">
        <v>18919</v>
      </c>
      <c r="O2303" t="s">
        <v>18912</v>
      </c>
      <c r="P2303" t="s">
        <v>18913</v>
      </c>
      <c r="Q2303">
        <v>422284.21</v>
      </c>
      <c r="R2303">
        <v>6211079.0300000003</v>
      </c>
      <c r="S2303" t="s">
        <v>18914</v>
      </c>
      <c r="T2303" t="s">
        <v>18915</v>
      </c>
      <c r="U2303">
        <v>422264.41</v>
      </c>
      <c r="V2303">
        <v>6211062.7199999997</v>
      </c>
      <c r="W2303">
        <v>136.35</v>
      </c>
      <c r="X2303">
        <v>150.05000000000001</v>
      </c>
    </row>
    <row r="2304" spans="1:24" x14ac:dyDescent="0.25">
      <c r="A2304" s="148">
        <v>45107</v>
      </c>
      <c r="B2304" s="46">
        <v>181</v>
      </c>
      <c r="C2304" s="149">
        <v>0.17317129629629632</v>
      </c>
      <c r="D2304" s="38" t="s">
        <v>17396</v>
      </c>
      <c r="E2304" s="7" t="s">
        <v>70</v>
      </c>
      <c r="F2304" s="38" t="s">
        <v>182</v>
      </c>
      <c r="G2304" s="38" t="s">
        <v>576</v>
      </c>
      <c r="H2304">
        <v>0.17199999999999999</v>
      </c>
      <c r="I2304" t="s">
        <v>18916</v>
      </c>
      <c r="J2304" t="s">
        <v>18917</v>
      </c>
      <c r="K2304" t="s">
        <v>18918</v>
      </c>
      <c r="L2304" t="s">
        <v>18919</v>
      </c>
      <c r="O2304" t="s">
        <v>18920</v>
      </c>
      <c r="P2304" t="s">
        <v>18921</v>
      </c>
      <c r="Q2304">
        <v>422402.83</v>
      </c>
      <c r="R2304">
        <v>6210950.5700000003</v>
      </c>
      <c r="S2304" t="s">
        <v>18922</v>
      </c>
      <c r="T2304" t="s">
        <v>18923</v>
      </c>
      <c r="U2304">
        <v>422395.01</v>
      </c>
      <c r="V2304">
        <v>6210932.0800000001</v>
      </c>
      <c r="W2304">
        <v>134.82</v>
      </c>
      <c r="X2304">
        <v>150.05000000000001</v>
      </c>
    </row>
    <row r="2305" spans="1:24" x14ac:dyDescent="0.25">
      <c r="A2305" s="148">
        <v>45107</v>
      </c>
      <c r="B2305" s="46">
        <v>181</v>
      </c>
      <c r="C2305" s="149">
        <v>0.17855324074074075</v>
      </c>
      <c r="D2305" s="38" t="s">
        <v>17396</v>
      </c>
      <c r="E2305" s="7" t="s">
        <v>65</v>
      </c>
      <c r="F2305" s="38" t="s">
        <v>182</v>
      </c>
      <c r="G2305" s="38" t="s">
        <v>577</v>
      </c>
      <c r="H2305">
        <v>0.16800000000000001</v>
      </c>
      <c r="I2305" t="s">
        <v>18928</v>
      </c>
      <c r="J2305" t="s">
        <v>18929</v>
      </c>
      <c r="K2305" t="s">
        <v>18930</v>
      </c>
      <c r="L2305" t="s">
        <v>18919</v>
      </c>
      <c r="O2305" t="s">
        <v>18924</v>
      </c>
      <c r="P2305" t="s">
        <v>18925</v>
      </c>
      <c r="Q2305">
        <v>422428.92</v>
      </c>
      <c r="R2305">
        <v>6210947.2800000003</v>
      </c>
      <c r="S2305" t="s">
        <v>18926</v>
      </c>
      <c r="T2305" t="s">
        <v>18927</v>
      </c>
      <c r="U2305">
        <v>422406.55</v>
      </c>
      <c r="V2305">
        <v>6210933.3499999996</v>
      </c>
      <c r="W2305">
        <v>314.62</v>
      </c>
      <c r="X2305">
        <v>150.05000000000001</v>
      </c>
    </row>
    <row r="2306" spans="1:24" x14ac:dyDescent="0.25">
      <c r="A2306" s="148">
        <v>45107</v>
      </c>
      <c r="B2306" s="46">
        <v>181</v>
      </c>
      <c r="C2306" s="149">
        <v>0.18311342592592594</v>
      </c>
      <c r="D2306" s="38" t="s">
        <v>17396</v>
      </c>
      <c r="E2306" s="7" t="s">
        <v>70</v>
      </c>
      <c r="F2306" s="38" t="s">
        <v>182</v>
      </c>
      <c r="G2306" s="38" t="s">
        <v>577</v>
      </c>
      <c r="H2306">
        <v>-2.7E-2</v>
      </c>
      <c r="I2306" t="s">
        <v>18928</v>
      </c>
      <c r="J2306" t="s">
        <v>18929</v>
      </c>
      <c r="K2306" t="s">
        <v>18930</v>
      </c>
      <c r="L2306" t="s">
        <v>18935</v>
      </c>
      <c r="O2306" t="s">
        <v>18931</v>
      </c>
      <c r="P2306" t="s">
        <v>18932</v>
      </c>
      <c r="Q2306">
        <v>422285.55</v>
      </c>
      <c r="R2306">
        <v>6211090.0700000003</v>
      </c>
      <c r="S2306" t="s">
        <v>18933</v>
      </c>
      <c r="T2306" t="s">
        <v>18934</v>
      </c>
      <c r="U2306">
        <v>422268.43</v>
      </c>
      <c r="V2306">
        <v>6211071.4299999997</v>
      </c>
      <c r="W2306">
        <v>314.54000000000002</v>
      </c>
      <c r="X2306">
        <v>150.05000000000001</v>
      </c>
    </row>
    <row r="2307" spans="1:24" x14ac:dyDescent="0.25">
      <c r="A2307" s="148">
        <v>45107</v>
      </c>
      <c r="B2307" s="46">
        <v>181</v>
      </c>
      <c r="C2307" s="149">
        <v>0.1867824074074074</v>
      </c>
      <c r="D2307" s="38" t="s">
        <v>17396</v>
      </c>
      <c r="E2307" s="7" t="s">
        <v>65</v>
      </c>
      <c r="F2307" s="38" t="s">
        <v>182</v>
      </c>
      <c r="G2307" s="38" t="s">
        <v>578</v>
      </c>
      <c r="H2307">
        <v>-1.4E-2</v>
      </c>
      <c r="I2307" t="s">
        <v>18940</v>
      </c>
      <c r="J2307" t="s">
        <v>18941</v>
      </c>
      <c r="K2307" t="s">
        <v>18942</v>
      </c>
      <c r="L2307" t="s">
        <v>18935</v>
      </c>
      <c r="O2307" t="s">
        <v>18936</v>
      </c>
      <c r="P2307" t="s">
        <v>18937</v>
      </c>
      <c r="Q2307">
        <v>422303.08</v>
      </c>
      <c r="R2307">
        <v>6211086.0300000003</v>
      </c>
      <c r="S2307" t="s">
        <v>18938</v>
      </c>
      <c r="T2307" t="s">
        <v>18939</v>
      </c>
      <c r="U2307">
        <v>422276.33</v>
      </c>
      <c r="V2307">
        <v>6211076.25</v>
      </c>
      <c r="W2307">
        <v>134.91</v>
      </c>
      <c r="X2307">
        <v>150.05000000000001</v>
      </c>
    </row>
    <row r="2308" spans="1:24" x14ac:dyDescent="0.25">
      <c r="A2308" s="148">
        <v>45107</v>
      </c>
      <c r="B2308" s="46">
        <v>181</v>
      </c>
      <c r="C2308" s="149">
        <v>0.19097222222222221</v>
      </c>
      <c r="D2308" s="38" t="s">
        <v>17396</v>
      </c>
      <c r="E2308" s="7" t="s">
        <v>70</v>
      </c>
      <c r="F2308" s="38" t="s">
        <v>182</v>
      </c>
      <c r="G2308" s="38" t="s">
        <v>578</v>
      </c>
      <c r="H2308">
        <v>0.17299999999999999</v>
      </c>
      <c r="I2308" t="s">
        <v>18940</v>
      </c>
      <c r="J2308" t="s">
        <v>18941</v>
      </c>
      <c r="K2308" t="s">
        <v>18942</v>
      </c>
      <c r="L2308" t="s">
        <v>18947</v>
      </c>
      <c r="O2308" t="s">
        <v>18943</v>
      </c>
      <c r="P2308" t="s">
        <v>18944</v>
      </c>
      <c r="Q2308">
        <v>422434.86</v>
      </c>
      <c r="R2308">
        <v>6210954.3799999999</v>
      </c>
      <c r="S2308" t="s">
        <v>18945</v>
      </c>
      <c r="T2308" t="s">
        <v>18946</v>
      </c>
      <c r="U2308">
        <v>422408.44</v>
      </c>
      <c r="V2308">
        <v>6210944.21</v>
      </c>
      <c r="W2308">
        <v>135.31</v>
      </c>
      <c r="X2308">
        <v>150.05000000000001</v>
      </c>
    </row>
    <row r="2309" spans="1:24" x14ac:dyDescent="0.25">
      <c r="A2309" s="148">
        <v>45107</v>
      </c>
      <c r="B2309" s="46">
        <v>181</v>
      </c>
      <c r="C2309" s="149">
        <v>0.19501157407407407</v>
      </c>
      <c r="D2309" s="38" t="s">
        <v>17396</v>
      </c>
      <c r="E2309" s="7" t="s">
        <v>65</v>
      </c>
      <c r="F2309" s="38" t="s">
        <v>182</v>
      </c>
      <c r="G2309" s="38" t="s">
        <v>579</v>
      </c>
      <c r="H2309">
        <v>0.16700000000000001</v>
      </c>
      <c r="I2309" t="s">
        <v>18952</v>
      </c>
      <c r="J2309" t="s">
        <v>18953</v>
      </c>
      <c r="K2309" t="s">
        <v>18954</v>
      </c>
      <c r="L2309" t="s">
        <v>18947</v>
      </c>
      <c r="O2309" t="s">
        <v>18948</v>
      </c>
      <c r="P2309" t="s">
        <v>18949</v>
      </c>
      <c r="Q2309">
        <v>422438.67</v>
      </c>
      <c r="R2309">
        <v>6210962.5999999996</v>
      </c>
      <c r="S2309" t="s">
        <v>18950</v>
      </c>
      <c r="T2309" t="s">
        <v>18951</v>
      </c>
      <c r="U2309">
        <v>422418.81</v>
      </c>
      <c r="V2309">
        <v>6210946.6500000004</v>
      </c>
      <c r="W2309">
        <v>315.89999999999998</v>
      </c>
      <c r="X2309">
        <v>150.05000000000001</v>
      </c>
    </row>
    <row r="2310" spans="1:24" x14ac:dyDescent="0.25">
      <c r="A2310" s="148">
        <v>45107</v>
      </c>
      <c r="B2310" s="46">
        <v>181</v>
      </c>
      <c r="C2310" s="149">
        <v>0.19918981481481482</v>
      </c>
      <c r="D2310" s="38" t="s">
        <v>17396</v>
      </c>
      <c r="E2310" s="7" t="s">
        <v>70</v>
      </c>
      <c r="F2310" s="38" t="s">
        <v>182</v>
      </c>
      <c r="G2310" s="38" t="s">
        <v>579</v>
      </c>
      <c r="H2310">
        <v>-1.9E-2</v>
      </c>
      <c r="I2310" t="s">
        <v>18952</v>
      </c>
      <c r="J2310" t="s">
        <v>18953</v>
      </c>
      <c r="K2310" t="s">
        <v>18954</v>
      </c>
      <c r="L2310" t="s">
        <v>18947</v>
      </c>
      <c r="O2310" t="s">
        <v>18955</v>
      </c>
      <c r="P2310" t="s">
        <v>18956</v>
      </c>
      <c r="Q2310">
        <v>422306.46</v>
      </c>
      <c r="R2310">
        <v>6211094.5899999999</v>
      </c>
      <c r="S2310" t="s">
        <v>18957</v>
      </c>
      <c r="T2310" t="s">
        <v>18958</v>
      </c>
      <c r="U2310">
        <v>422287.35</v>
      </c>
      <c r="V2310">
        <v>6211078.0899999999</v>
      </c>
      <c r="W2310">
        <v>315.8</v>
      </c>
      <c r="X2310">
        <v>150.05000000000001</v>
      </c>
    </row>
    <row r="2311" spans="1:24" x14ac:dyDescent="0.25">
      <c r="A2311" s="148">
        <v>45107</v>
      </c>
      <c r="B2311" s="46">
        <v>181</v>
      </c>
      <c r="C2311" s="149">
        <v>0.20256944444444444</v>
      </c>
      <c r="D2311" s="38" t="s">
        <v>17396</v>
      </c>
      <c r="E2311" s="7" t="s">
        <v>65</v>
      </c>
      <c r="F2311" s="38" t="s">
        <v>182</v>
      </c>
      <c r="G2311" s="38" t="s">
        <v>580</v>
      </c>
      <c r="H2311">
        <v>-1.2999999999999999E-2</v>
      </c>
      <c r="I2311" t="s">
        <v>18963</v>
      </c>
      <c r="J2311" t="s">
        <v>18964</v>
      </c>
      <c r="K2311" t="s">
        <v>18965</v>
      </c>
      <c r="L2311" t="s">
        <v>18966</v>
      </c>
      <c r="O2311" t="s">
        <v>18959</v>
      </c>
      <c r="P2311" t="s">
        <v>18960</v>
      </c>
      <c r="Q2311">
        <v>422311.25</v>
      </c>
      <c r="R2311">
        <v>6211103.6799999997</v>
      </c>
      <c r="S2311" t="s">
        <v>18961</v>
      </c>
      <c r="T2311" t="s">
        <v>18962</v>
      </c>
      <c r="U2311">
        <v>422289.79</v>
      </c>
      <c r="V2311">
        <v>6211088.4299999997</v>
      </c>
      <c r="W2311">
        <v>135.19</v>
      </c>
      <c r="X2311">
        <v>150.05000000000001</v>
      </c>
    </row>
    <row r="2312" spans="1:24" x14ac:dyDescent="0.25">
      <c r="A2312" s="148">
        <v>45107</v>
      </c>
      <c r="B2312" s="46">
        <v>181</v>
      </c>
      <c r="C2312" s="149">
        <v>0.20700231481481482</v>
      </c>
      <c r="D2312" s="38" t="s">
        <v>17396</v>
      </c>
      <c r="E2312" s="7" t="s">
        <v>70</v>
      </c>
      <c r="F2312" s="38" t="s">
        <v>182</v>
      </c>
      <c r="G2312" s="38" t="s">
        <v>580</v>
      </c>
      <c r="H2312">
        <v>0.17199999999999999</v>
      </c>
      <c r="I2312" t="s">
        <v>18963</v>
      </c>
      <c r="J2312" t="s">
        <v>18964</v>
      </c>
      <c r="K2312" t="s">
        <v>18965</v>
      </c>
      <c r="L2312" t="s">
        <v>18966</v>
      </c>
      <c r="O2312" t="s">
        <v>18967</v>
      </c>
      <c r="P2312" t="s">
        <v>18968</v>
      </c>
      <c r="Q2312">
        <v>422450.28</v>
      </c>
      <c r="R2312">
        <v>6210963.5099999998</v>
      </c>
      <c r="S2312" t="s">
        <v>18969</v>
      </c>
      <c r="T2312" t="s">
        <v>18970</v>
      </c>
      <c r="U2312">
        <v>422420.99</v>
      </c>
      <c r="V2312">
        <v>6210957.2699999996</v>
      </c>
      <c r="W2312">
        <v>135.94999999999999</v>
      </c>
      <c r="X2312">
        <v>150.05000000000001</v>
      </c>
    </row>
    <row r="2313" spans="1:24" x14ac:dyDescent="0.25">
      <c r="A2313" s="148">
        <v>45107</v>
      </c>
      <c r="B2313" s="46">
        <v>181</v>
      </c>
      <c r="C2313" s="149">
        <v>0.21206018518518518</v>
      </c>
      <c r="D2313" s="38" t="s">
        <v>17396</v>
      </c>
      <c r="E2313" s="7" t="s">
        <v>65</v>
      </c>
      <c r="F2313" s="38" t="s">
        <v>182</v>
      </c>
      <c r="G2313" s="38" t="s">
        <v>574</v>
      </c>
      <c r="H2313">
        <v>0.16700000000000001</v>
      </c>
      <c r="I2313" t="s">
        <v>18975</v>
      </c>
      <c r="J2313" t="s">
        <v>18976</v>
      </c>
      <c r="K2313" t="s">
        <v>18977</v>
      </c>
      <c r="L2313" t="s">
        <v>18978</v>
      </c>
      <c r="O2313" t="s">
        <v>18971</v>
      </c>
      <c r="P2313" t="s">
        <v>18972</v>
      </c>
      <c r="Q2313">
        <v>422454.73</v>
      </c>
      <c r="R2313">
        <v>6210971.0999999996</v>
      </c>
      <c r="S2313" t="s">
        <v>18973</v>
      </c>
      <c r="T2313" t="s">
        <v>18974</v>
      </c>
      <c r="U2313">
        <v>422431.21</v>
      </c>
      <c r="V2313">
        <v>6210959.5300000003</v>
      </c>
      <c r="W2313">
        <v>315.66000000000003</v>
      </c>
      <c r="X2313">
        <v>150.05000000000001</v>
      </c>
    </row>
    <row r="2314" spans="1:24" x14ac:dyDescent="0.25">
      <c r="A2314" s="148">
        <v>45107</v>
      </c>
      <c r="B2314" s="46">
        <v>181</v>
      </c>
      <c r="C2314" s="149">
        <v>0.21644675925925927</v>
      </c>
      <c r="D2314" s="38" t="s">
        <v>17396</v>
      </c>
      <c r="E2314" s="7" t="s">
        <v>70</v>
      </c>
      <c r="F2314" s="38" t="s">
        <v>182</v>
      </c>
      <c r="G2314" s="38" t="s">
        <v>574</v>
      </c>
      <c r="H2314">
        <v>-2.9000000000000001E-2</v>
      </c>
      <c r="I2314" t="s">
        <v>18975</v>
      </c>
      <c r="J2314" t="s">
        <v>18976</v>
      </c>
      <c r="K2314" t="s">
        <v>18977</v>
      </c>
      <c r="L2314" t="s">
        <v>18978</v>
      </c>
      <c r="O2314" t="s">
        <v>18979</v>
      </c>
      <c r="P2314" t="s">
        <v>18980</v>
      </c>
      <c r="Q2314">
        <v>422316.82</v>
      </c>
      <c r="R2314">
        <v>6211109.6600000001</v>
      </c>
      <c r="S2314" t="s">
        <v>18981</v>
      </c>
      <c r="T2314" t="s">
        <v>18982</v>
      </c>
      <c r="U2314">
        <v>422293.13</v>
      </c>
      <c r="V2314">
        <v>6211097.75</v>
      </c>
      <c r="W2314">
        <v>314.95</v>
      </c>
      <c r="X2314">
        <v>150.05000000000001</v>
      </c>
    </row>
    <row r="2315" spans="1:24" x14ac:dyDescent="0.25">
      <c r="A2315" s="148">
        <v>45107</v>
      </c>
      <c r="B2315" s="46">
        <v>181</v>
      </c>
      <c r="C2315" s="149">
        <v>0.22120370370370371</v>
      </c>
      <c r="D2315" s="38" t="s">
        <v>17396</v>
      </c>
      <c r="E2315" s="7" t="s">
        <v>65</v>
      </c>
      <c r="F2315" s="38" t="s">
        <v>182</v>
      </c>
      <c r="G2315" s="38" t="s">
        <v>573</v>
      </c>
      <c r="H2315">
        <v>-1.6E-2</v>
      </c>
      <c r="I2315" t="s">
        <v>18987</v>
      </c>
      <c r="J2315" t="s">
        <v>18988</v>
      </c>
      <c r="K2315" t="s">
        <v>18989</v>
      </c>
      <c r="L2315" t="s">
        <v>18990</v>
      </c>
      <c r="O2315" t="s">
        <v>18983</v>
      </c>
      <c r="P2315" t="s">
        <v>18984</v>
      </c>
      <c r="Q2315">
        <v>422320.14</v>
      </c>
      <c r="R2315">
        <v>6211118.21</v>
      </c>
      <c r="S2315" t="s">
        <v>18985</v>
      </c>
      <c r="T2315" t="s">
        <v>18986</v>
      </c>
      <c r="U2315">
        <v>422300.46</v>
      </c>
      <c r="V2315">
        <v>6211103.3399999999</v>
      </c>
      <c r="W2315">
        <v>136.80000000000001</v>
      </c>
      <c r="X2315">
        <v>150.05000000000001</v>
      </c>
    </row>
    <row r="2316" spans="1:24" x14ac:dyDescent="0.25">
      <c r="A2316" s="148">
        <v>45107</v>
      </c>
      <c r="B2316" s="46">
        <v>181</v>
      </c>
      <c r="C2316" s="149">
        <v>0.22559027777777776</v>
      </c>
      <c r="D2316" s="38" t="s">
        <v>17396</v>
      </c>
      <c r="E2316" s="7" t="s">
        <v>70</v>
      </c>
      <c r="F2316" s="38" t="s">
        <v>182</v>
      </c>
      <c r="G2316" s="38" t="s">
        <v>573</v>
      </c>
      <c r="H2316">
        <v>0.17199999999999999</v>
      </c>
      <c r="I2316" t="s">
        <v>18987</v>
      </c>
      <c r="J2316" t="s">
        <v>18988</v>
      </c>
      <c r="K2316" t="s">
        <v>18989</v>
      </c>
      <c r="L2316" t="s">
        <v>18990</v>
      </c>
      <c r="O2316" t="s">
        <v>18991</v>
      </c>
      <c r="P2316" t="s">
        <v>18992</v>
      </c>
      <c r="Q2316">
        <v>422458.31</v>
      </c>
      <c r="R2316">
        <v>6210982.3399999999</v>
      </c>
      <c r="S2316" t="s">
        <v>18993</v>
      </c>
      <c r="T2316" t="s">
        <v>18994</v>
      </c>
      <c r="U2316">
        <v>422433.61</v>
      </c>
      <c r="V2316">
        <v>6210969.8600000003</v>
      </c>
      <c r="W2316">
        <v>134.86000000000001</v>
      </c>
      <c r="X2316">
        <v>150.05000000000001</v>
      </c>
    </row>
    <row r="2317" spans="1:24" x14ac:dyDescent="0.25">
      <c r="A2317" s="148">
        <v>45107</v>
      </c>
      <c r="B2317" s="46">
        <v>181</v>
      </c>
      <c r="C2317" s="149">
        <v>0.22925925925925927</v>
      </c>
      <c r="D2317" s="38" t="s">
        <v>17396</v>
      </c>
      <c r="E2317" s="7" t="s">
        <v>65</v>
      </c>
      <c r="F2317" s="38" t="s">
        <v>182</v>
      </c>
      <c r="G2317" s="38" t="s">
        <v>572</v>
      </c>
      <c r="H2317">
        <v>0.17499999999999999</v>
      </c>
      <c r="I2317" t="s">
        <v>18999</v>
      </c>
      <c r="J2317" t="s">
        <v>19000</v>
      </c>
      <c r="K2317" t="s">
        <v>19001</v>
      </c>
      <c r="L2317" t="s">
        <v>18990</v>
      </c>
      <c r="O2317" t="s">
        <v>18995</v>
      </c>
      <c r="P2317" t="s">
        <v>18996</v>
      </c>
      <c r="Q2317">
        <v>422470.79</v>
      </c>
      <c r="R2317">
        <v>6210980.79</v>
      </c>
      <c r="S2317" t="s">
        <v>18997</v>
      </c>
      <c r="T2317" t="s">
        <v>18998</v>
      </c>
      <c r="U2317">
        <v>422449.83</v>
      </c>
      <c r="V2317">
        <v>6210966.6200000001</v>
      </c>
      <c r="W2317">
        <v>314.37</v>
      </c>
      <c r="X2317">
        <v>150.05000000000001</v>
      </c>
    </row>
    <row r="2318" spans="1:24" x14ac:dyDescent="0.25">
      <c r="A2318" s="148">
        <v>45107</v>
      </c>
      <c r="B2318" s="46">
        <v>181</v>
      </c>
      <c r="C2318" s="149">
        <v>0.23359953703703704</v>
      </c>
      <c r="D2318" s="38" t="s">
        <v>17396</v>
      </c>
      <c r="E2318" s="7" t="s">
        <v>70</v>
      </c>
      <c r="F2318" s="38" t="s">
        <v>182</v>
      </c>
      <c r="G2318" s="38" t="s">
        <v>572</v>
      </c>
      <c r="H2318">
        <v>-0.03</v>
      </c>
      <c r="I2318" t="s">
        <v>18999</v>
      </c>
      <c r="J2318" t="s">
        <v>19000</v>
      </c>
      <c r="K2318" t="s">
        <v>19001</v>
      </c>
      <c r="L2318" t="s">
        <v>19006</v>
      </c>
      <c r="O2318" t="s">
        <v>19002</v>
      </c>
      <c r="P2318" t="s">
        <v>19003</v>
      </c>
      <c r="Q2318">
        <v>422326.72</v>
      </c>
      <c r="R2318">
        <v>6211123.54</v>
      </c>
      <c r="S2318" t="s">
        <v>19004</v>
      </c>
      <c r="T2318" t="s">
        <v>19005</v>
      </c>
      <c r="U2318">
        <v>422304.98</v>
      </c>
      <c r="V2318">
        <v>6211111.3499999996</v>
      </c>
      <c r="W2318">
        <v>315.14</v>
      </c>
      <c r="X2318">
        <v>150.05000000000001</v>
      </c>
    </row>
    <row r="2319" spans="1:24" x14ac:dyDescent="0.25">
      <c r="A2319" s="148">
        <v>45107</v>
      </c>
      <c r="B2319" s="46">
        <v>181</v>
      </c>
      <c r="C2319" s="149">
        <v>0.23805555555555555</v>
      </c>
      <c r="D2319" s="38" t="s">
        <v>17396</v>
      </c>
      <c r="E2319" s="7" t="s">
        <v>65</v>
      </c>
      <c r="F2319" s="38" t="s">
        <v>182</v>
      </c>
      <c r="G2319" s="38" t="s">
        <v>571</v>
      </c>
      <c r="H2319">
        <v>-2.7E-2</v>
      </c>
      <c r="I2319" t="s">
        <v>19011</v>
      </c>
      <c r="J2319" t="s">
        <v>19012</v>
      </c>
      <c r="K2319" t="s">
        <v>19013</v>
      </c>
      <c r="L2319" t="s">
        <v>19006</v>
      </c>
      <c r="O2319" t="s">
        <v>19007</v>
      </c>
      <c r="P2319" t="s">
        <v>19008</v>
      </c>
      <c r="Q2319">
        <v>422325.73</v>
      </c>
      <c r="R2319">
        <v>6211139.2000000002</v>
      </c>
      <c r="S2319" t="s">
        <v>19009</v>
      </c>
      <c r="T2319" t="s">
        <v>19010</v>
      </c>
      <c r="U2319">
        <v>422305.44</v>
      </c>
      <c r="V2319">
        <v>6211123.6200000001</v>
      </c>
      <c r="W2319">
        <v>135.88</v>
      </c>
      <c r="X2319">
        <v>150.05000000000001</v>
      </c>
    </row>
    <row r="2320" spans="1:24" x14ac:dyDescent="0.25">
      <c r="A2320" s="148">
        <v>45107</v>
      </c>
      <c r="B2320" s="46">
        <v>181</v>
      </c>
      <c r="C2320" s="149">
        <v>0.24175925925925926</v>
      </c>
      <c r="D2320" s="38" t="s">
        <v>17396</v>
      </c>
      <c r="E2320" s="7" t="s">
        <v>70</v>
      </c>
      <c r="F2320" s="38" t="s">
        <v>182</v>
      </c>
      <c r="G2320" s="38" t="s">
        <v>571</v>
      </c>
      <c r="H2320">
        <v>0.17100000000000001</v>
      </c>
      <c r="I2320" t="s">
        <v>19011</v>
      </c>
      <c r="J2320" t="s">
        <v>19012</v>
      </c>
      <c r="K2320" t="s">
        <v>19013</v>
      </c>
      <c r="L2320" t="s">
        <v>19018</v>
      </c>
      <c r="O2320" t="s">
        <v>19014</v>
      </c>
      <c r="P2320" t="s">
        <v>19015</v>
      </c>
      <c r="Q2320">
        <v>422465.63</v>
      </c>
      <c r="R2320">
        <v>6210999.8899999997</v>
      </c>
      <c r="S2320" t="s">
        <v>19016</v>
      </c>
      <c r="T2320" t="s">
        <v>19017</v>
      </c>
      <c r="U2320">
        <v>422445.17</v>
      </c>
      <c r="V2320">
        <v>6210983.7300000004</v>
      </c>
      <c r="W2320">
        <v>134.34</v>
      </c>
      <c r="X2320">
        <v>150.05000000000001</v>
      </c>
    </row>
    <row r="2321" spans="1:24" x14ac:dyDescent="0.25">
      <c r="A2321" s="148">
        <v>45107</v>
      </c>
      <c r="B2321" s="46">
        <v>181</v>
      </c>
      <c r="C2321" s="149">
        <v>0.24554398148148149</v>
      </c>
      <c r="D2321" s="38" t="s">
        <v>17396</v>
      </c>
      <c r="E2321" s="7" t="s">
        <v>65</v>
      </c>
      <c r="F2321" s="38" t="s">
        <v>182</v>
      </c>
      <c r="G2321" s="38" t="s">
        <v>570</v>
      </c>
      <c r="H2321">
        <v>0.16700000000000001</v>
      </c>
      <c r="I2321" t="s">
        <v>19023</v>
      </c>
      <c r="J2321" t="s">
        <v>19024</v>
      </c>
      <c r="K2321" t="s">
        <v>19025</v>
      </c>
      <c r="L2321" t="s">
        <v>19018</v>
      </c>
      <c r="O2321" t="s">
        <v>19019</v>
      </c>
      <c r="P2321" t="s">
        <v>19020</v>
      </c>
      <c r="Q2321">
        <v>422473.38</v>
      </c>
      <c r="R2321">
        <v>6211004.2999999998</v>
      </c>
      <c r="S2321" t="s">
        <v>19021</v>
      </c>
      <c r="T2321" t="s">
        <v>19022</v>
      </c>
      <c r="U2321">
        <v>422456.54</v>
      </c>
      <c r="V2321">
        <v>6210985.3399999999</v>
      </c>
      <c r="W2321">
        <v>314.58999999999997</v>
      </c>
      <c r="X2321">
        <v>150.05000000000001</v>
      </c>
    </row>
    <row r="2322" spans="1:24" x14ac:dyDescent="0.25">
      <c r="A2322" s="148">
        <v>45107</v>
      </c>
      <c r="B2322" s="46">
        <v>181</v>
      </c>
      <c r="C2322" s="149">
        <v>0.24899305555555554</v>
      </c>
      <c r="D2322" s="38" t="s">
        <v>17396</v>
      </c>
      <c r="E2322" s="7" t="s">
        <v>70</v>
      </c>
      <c r="F2322" s="38" t="s">
        <v>182</v>
      </c>
      <c r="G2322" s="38" t="s">
        <v>570</v>
      </c>
      <c r="H2322">
        <v>-1.9E-2</v>
      </c>
      <c r="I2322" t="s">
        <v>19023</v>
      </c>
      <c r="J2322" t="s">
        <v>19024</v>
      </c>
      <c r="K2322" t="s">
        <v>19025</v>
      </c>
      <c r="L2322" t="s">
        <v>19018</v>
      </c>
      <c r="O2322" t="s">
        <v>19026</v>
      </c>
      <c r="P2322" t="s">
        <v>19027</v>
      </c>
      <c r="Q2322">
        <v>422343.54</v>
      </c>
      <c r="R2322">
        <v>6211133.75</v>
      </c>
      <c r="S2322" t="s">
        <v>19028</v>
      </c>
      <c r="T2322" t="s">
        <v>19029</v>
      </c>
      <c r="U2322">
        <v>422325.64</v>
      </c>
      <c r="V2322">
        <v>6211116.2599999998</v>
      </c>
      <c r="W2322">
        <v>315.75</v>
      </c>
      <c r="X2322">
        <v>150.05000000000001</v>
      </c>
    </row>
    <row r="2323" spans="1:24" x14ac:dyDescent="0.25">
      <c r="A2323" s="148">
        <v>45107</v>
      </c>
      <c r="B2323" s="46">
        <v>181</v>
      </c>
      <c r="C2323" s="149">
        <v>0.2528009259259259</v>
      </c>
      <c r="D2323" s="38" t="s">
        <v>17396</v>
      </c>
      <c r="E2323" s="7" t="s">
        <v>65</v>
      </c>
      <c r="F2323" s="38" t="s">
        <v>182</v>
      </c>
      <c r="G2323" s="38" t="s">
        <v>569</v>
      </c>
      <c r="H2323">
        <v>-1.2E-2</v>
      </c>
      <c r="I2323" t="s">
        <v>19034</v>
      </c>
      <c r="J2323" t="s">
        <v>19035</v>
      </c>
      <c r="K2323" t="s">
        <v>19036</v>
      </c>
      <c r="L2323" t="s">
        <v>19037</v>
      </c>
      <c r="O2323" t="s">
        <v>19030</v>
      </c>
      <c r="P2323" t="s">
        <v>19031</v>
      </c>
      <c r="Q2323">
        <v>422355.14</v>
      </c>
      <c r="R2323">
        <v>6211135.2800000003</v>
      </c>
      <c r="S2323" t="s">
        <v>19032</v>
      </c>
      <c r="T2323" t="s">
        <v>19033</v>
      </c>
      <c r="U2323">
        <v>422329.25</v>
      </c>
      <c r="V2323">
        <v>6211125.5300000003</v>
      </c>
      <c r="W2323">
        <v>136.63</v>
      </c>
      <c r="X2323">
        <v>150.05000000000001</v>
      </c>
    </row>
    <row r="2324" spans="1:24" x14ac:dyDescent="0.25">
      <c r="A2324" s="148">
        <v>45107</v>
      </c>
      <c r="B2324" s="46">
        <v>181</v>
      </c>
      <c r="C2324" s="149">
        <v>0.25637731481481479</v>
      </c>
      <c r="D2324" s="38" t="s">
        <v>17396</v>
      </c>
      <c r="E2324" s="7" t="s">
        <v>70</v>
      </c>
      <c r="F2324" s="38" t="s">
        <v>182</v>
      </c>
      <c r="G2324" s="38" t="s">
        <v>569</v>
      </c>
      <c r="H2324">
        <v>0.183</v>
      </c>
      <c r="I2324" t="s">
        <v>19034</v>
      </c>
      <c r="J2324" t="s">
        <v>19035</v>
      </c>
      <c r="K2324" t="s">
        <v>19036</v>
      </c>
      <c r="L2324" t="s">
        <v>19037</v>
      </c>
      <c r="O2324" t="s">
        <v>19038</v>
      </c>
      <c r="P2324" t="s">
        <v>19039</v>
      </c>
      <c r="Q2324">
        <v>422490.23</v>
      </c>
      <c r="R2324">
        <v>6211000.8099999996</v>
      </c>
      <c r="S2324" t="s">
        <v>19040</v>
      </c>
      <c r="T2324" t="s">
        <v>19041</v>
      </c>
      <c r="U2324">
        <v>422467.16</v>
      </c>
      <c r="V2324">
        <v>6210987.5999999996</v>
      </c>
      <c r="W2324">
        <v>136.24</v>
      </c>
      <c r="X2324">
        <v>150.05000000000001</v>
      </c>
    </row>
    <row r="2325" spans="1:24" x14ac:dyDescent="0.25">
      <c r="A2325" s="148">
        <v>45107</v>
      </c>
      <c r="B2325" s="46">
        <v>181</v>
      </c>
      <c r="C2325" s="149">
        <v>0.26480324074074074</v>
      </c>
      <c r="D2325" s="38" t="s">
        <v>17396</v>
      </c>
      <c r="E2325" s="7" t="s">
        <v>65</v>
      </c>
      <c r="F2325" s="38" t="s">
        <v>182</v>
      </c>
      <c r="G2325" s="38" t="s">
        <v>19042</v>
      </c>
      <c r="H2325">
        <v>-0.39700000000000002</v>
      </c>
      <c r="I2325" t="s">
        <v>19047</v>
      </c>
      <c r="L2325" t="s">
        <v>19048</v>
      </c>
      <c r="O2325" t="s">
        <v>19043</v>
      </c>
      <c r="P2325" t="s">
        <v>19044</v>
      </c>
      <c r="Q2325">
        <v>422421.02</v>
      </c>
      <c r="R2325">
        <v>6210993.5300000003</v>
      </c>
      <c r="S2325" t="s">
        <v>19045</v>
      </c>
      <c r="T2325" t="s">
        <v>19046</v>
      </c>
      <c r="U2325">
        <v>422403.14</v>
      </c>
      <c r="V2325">
        <v>6210974.6799999997</v>
      </c>
      <c r="W2325">
        <v>314.32</v>
      </c>
      <c r="X2325">
        <v>15.14</v>
      </c>
    </row>
    <row r="2326" spans="1:24" x14ac:dyDescent="0.25">
      <c r="A2326" s="148">
        <v>45107</v>
      </c>
      <c r="B2326" s="46">
        <v>181</v>
      </c>
      <c r="C2326" s="149">
        <v>0.26743055555555556</v>
      </c>
      <c r="D2326" s="38" t="s">
        <v>17396</v>
      </c>
      <c r="E2326" s="7" t="s">
        <v>70</v>
      </c>
      <c r="F2326" s="38" t="s">
        <v>182</v>
      </c>
      <c r="G2326" s="38" t="s">
        <v>19042</v>
      </c>
      <c r="H2326">
        <v>1.008</v>
      </c>
      <c r="I2326" t="s">
        <v>19047</v>
      </c>
      <c r="J2326" t="s">
        <v>19035</v>
      </c>
      <c r="K2326" t="s">
        <v>19036</v>
      </c>
      <c r="L2326" t="s">
        <v>19048</v>
      </c>
      <c r="O2326" t="s">
        <v>19049</v>
      </c>
      <c r="P2326" t="s">
        <v>19050</v>
      </c>
      <c r="Q2326">
        <v>422323.83</v>
      </c>
      <c r="R2326">
        <v>6211090.1799999997</v>
      </c>
      <c r="S2326" t="s">
        <v>19051</v>
      </c>
      <c r="T2326" t="s">
        <v>19052</v>
      </c>
      <c r="U2326">
        <v>422302.85</v>
      </c>
      <c r="V2326">
        <v>6211074.9900000002</v>
      </c>
      <c r="W2326">
        <v>315.35000000000002</v>
      </c>
      <c r="X2326">
        <v>15.14</v>
      </c>
    </row>
    <row r="2327" spans="1:24" x14ac:dyDescent="0.25">
      <c r="A2327" s="148">
        <v>45107</v>
      </c>
      <c r="B2327" s="46">
        <v>181</v>
      </c>
      <c r="C2327" s="149">
        <v>0.27445601851851853</v>
      </c>
      <c r="D2327" s="38" t="s">
        <v>17396</v>
      </c>
      <c r="E2327" s="7" t="s">
        <v>65</v>
      </c>
      <c r="F2327" s="38" t="s">
        <v>182</v>
      </c>
      <c r="G2327" s="38" t="s">
        <v>19053</v>
      </c>
      <c r="H2327">
        <v>-0.217</v>
      </c>
      <c r="I2327" t="s">
        <v>19058</v>
      </c>
      <c r="J2327" t="s">
        <v>19035</v>
      </c>
      <c r="K2327" t="s">
        <v>19036</v>
      </c>
      <c r="L2327" t="s">
        <v>19059</v>
      </c>
      <c r="O2327" t="s">
        <v>19054</v>
      </c>
      <c r="P2327" t="s">
        <v>19055</v>
      </c>
      <c r="Q2327">
        <v>422313.76</v>
      </c>
      <c r="R2327">
        <v>6211074.0599999996</v>
      </c>
      <c r="S2327" t="s">
        <v>19056</v>
      </c>
      <c r="T2327" t="s">
        <v>19057</v>
      </c>
      <c r="U2327">
        <v>422288.84</v>
      </c>
      <c r="V2327">
        <v>6211063.9500000002</v>
      </c>
      <c r="W2327">
        <v>135.36000000000001</v>
      </c>
      <c r="X2327">
        <v>18.8</v>
      </c>
    </row>
    <row r="2328" spans="1:24" x14ac:dyDescent="0.25">
      <c r="A2328" s="148">
        <v>45107</v>
      </c>
      <c r="B2328" s="46">
        <v>181</v>
      </c>
      <c r="C2328" s="149">
        <v>0.27583333333333332</v>
      </c>
      <c r="D2328" s="38" t="s">
        <v>17396</v>
      </c>
      <c r="E2328" s="7" t="s">
        <v>70</v>
      </c>
      <c r="F2328" s="38" t="s">
        <v>182</v>
      </c>
      <c r="G2328" s="38" t="s">
        <v>19053</v>
      </c>
      <c r="H2328">
        <v>0.376</v>
      </c>
      <c r="I2328" t="s">
        <v>19058</v>
      </c>
      <c r="J2328" t="s">
        <v>19035</v>
      </c>
      <c r="K2328" t="s">
        <v>19036</v>
      </c>
      <c r="L2328" t="s">
        <v>19059</v>
      </c>
      <c r="O2328" t="s">
        <v>19060</v>
      </c>
      <c r="P2328" t="s">
        <v>19061</v>
      </c>
      <c r="Q2328">
        <v>422366.57</v>
      </c>
      <c r="R2328">
        <v>6211023.4500000002</v>
      </c>
      <c r="S2328" t="s">
        <v>19062</v>
      </c>
      <c r="T2328" t="s">
        <v>19063</v>
      </c>
      <c r="U2328">
        <v>422341.44</v>
      </c>
      <c r="V2328">
        <v>6211011.3700000001</v>
      </c>
      <c r="W2328">
        <v>134.97</v>
      </c>
      <c r="X2328">
        <v>18.8</v>
      </c>
    </row>
    <row r="2329" spans="1:24" x14ac:dyDescent="0.25">
      <c r="A2329" s="148">
        <v>45107</v>
      </c>
      <c r="B2329" s="46">
        <v>181</v>
      </c>
      <c r="C2329" s="149">
        <v>0.27869212962962964</v>
      </c>
      <c r="D2329" s="38" t="s">
        <v>17396</v>
      </c>
      <c r="E2329" s="7" t="s">
        <v>19074</v>
      </c>
      <c r="F2329" s="38" t="s">
        <v>182</v>
      </c>
      <c r="H2329">
        <v>0.74299999999999999</v>
      </c>
      <c r="O2329" t="s">
        <v>19064</v>
      </c>
      <c r="P2329" t="s">
        <v>19065</v>
      </c>
      <c r="Q2329">
        <v>422394.34</v>
      </c>
      <c r="R2329">
        <v>6210995.7800000003</v>
      </c>
      <c r="S2329" t="s">
        <v>19066</v>
      </c>
      <c r="T2329" t="s">
        <v>19067</v>
      </c>
      <c r="U2329">
        <v>422382.72</v>
      </c>
      <c r="V2329">
        <v>6210981.9100000001</v>
      </c>
      <c r="W2329">
        <v>207.82</v>
      </c>
      <c r="X2329">
        <v>18.8</v>
      </c>
    </row>
    <row r="2330" spans="1:24" s="169" customFormat="1" x14ac:dyDescent="0.25">
      <c r="A2330" s="65">
        <v>45107</v>
      </c>
      <c r="B2330" s="106">
        <v>181</v>
      </c>
      <c r="C2330" s="67">
        <v>0.29302083333333334</v>
      </c>
      <c r="D2330" s="66" t="s">
        <v>17396</v>
      </c>
      <c r="E2330" s="170" t="s">
        <v>19073</v>
      </c>
      <c r="F2330" s="66" t="s">
        <v>182</v>
      </c>
      <c r="G2330" s="66" t="s">
        <v>183</v>
      </c>
      <c r="H2330" s="169">
        <v>0.04</v>
      </c>
      <c r="M2330" s="169" t="s">
        <v>19068</v>
      </c>
      <c r="O2330" s="169" t="s">
        <v>19069</v>
      </c>
      <c r="P2330" s="169" t="s">
        <v>19070</v>
      </c>
      <c r="Q2330" s="169">
        <v>422394.27</v>
      </c>
      <c r="R2330" s="169">
        <v>6210995.4900000002</v>
      </c>
      <c r="S2330" s="169" t="s">
        <v>19071</v>
      </c>
      <c r="T2330" s="169" t="s">
        <v>19072</v>
      </c>
      <c r="U2330" s="169">
        <v>422385.58</v>
      </c>
      <c r="V2330" s="169">
        <v>6210983.9100000001</v>
      </c>
      <c r="W2330" s="169">
        <v>206.69</v>
      </c>
      <c r="X2330" s="169">
        <v>200.07</v>
      </c>
    </row>
    <row r="2331" spans="1:24" x14ac:dyDescent="0.25">
      <c r="A2331" s="148">
        <v>45107</v>
      </c>
      <c r="B2331" s="46">
        <v>181</v>
      </c>
      <c r="C2331" s="149">
        <v>0.30657407407407405</v>
      </c>
      <c r="D2331" s="38" t="s">
        <v>17396</v>
      </c>
      <c r="E2331" s="7" t="s">
        <v>65</v>
      </c>
      <c r="F2331" s="38" t="s">
        <v>182</v>
      </c>
      <c r="G2331" s="38" t="s">
        <v>183</v>
      </c>
      <c r="H2331">
        <v>-1.6E-2</v>
      </c>
      <c r="I2331" t="s">
        <v>19079</v>
      </c>
      <c r="J2331" t="s">
        <v>19080</v>
      </c>
      <c r="K2331" t="s">
        <v>19081</v>
      </c>
      <c r="L2331" t="s">
        <v>19082</v>
      </c>
      <c r="O2331" t="s">
        <v>19075</v>
      </c>
      <c r="P2331" t="s">
        <v>19076</v>
      </c>
      <c r="Q2331">
        <v>421964.16</v>
      </c>
      <c r="R2331">
        <v>6211059.3499999996</v>
      </c>
      <c r="S2331" t="s">
        <v>19077</v>
      </c>
      <c r="T2331" t="s">
        <v>19078</v>
      </c>
      <c r="U2331">
        <v>421942.21</v>
      </c>
      <c r="V2331">
        <v>6211040.54</v>
      </c>
      <c r="W2331">
        <v>180.96</v>
      </c>
      <c r="X2331">
        <v>200.07</v>
      </c>
    </row>
    <row r="2332" spans="1:24" x14ac:dyDescent="0.25">
      <c r="A2332" s="148">
        <v>45107</v>
      </c>
      <c r="B2332" s="46">
        <v>181</v>
      </c>
      <c r="C2332" s="149">
        <v>0.31136574074074075</v>
      </c>
      <c r="D2332" s="38" t="s">
        <v>17396</v>
      </c>
      <c r="E2332" s="7" t="s">
        <v>70</v>
      </c>
      <c r="F2332" s="38" t="s">
        <v>182</v>
      </c>
      <c r="G2332" s="38" t="s">
        <v>183</v>
      </c>
      <c r="H2332">
        <v>0.215</v>
      </c>
      <c r="I2332" t="s">
        <v>19079</v>
      </c>
      <c r="J2332" t="s">
        <v>19080</v>
      </c>
      <c r="K2332" t="s">
        <v>19081</v>
      </c>
      <c r="L2332" t="s">
        <v>19087</v>
      </c>
      <c r="O2332" t="s">
        <v>19083</v>
      </c>
      <c r="P2332" t="s">
        <v>19084</v>
      </c>
      <c r="Q2332">
        <v>421963.14</v>
      </c>
      <c r="R2332">
        <v>6210819.6200000001</v>
      </c>
      <c r="S2332" t="s">
        <v>19085</v>
      </c>
      <c r="T2332" t="s">
        <v>19086</v>
      </c>
      <c r="U2332">
        <v>421941.98</v>
      </c>
      <c r="V2332">
        <v>6210809.79</v>
      </c>
      <c r="W2332">
        <v>178.57</v>
      </c>
      <c r="X2332">
        <v>200.07</v>
      </c>
    </row>
    <row r="2333" spans="1:24" x14ac:dyDescent="0.25">
      <c r="A2333" s="148">
        <v>45107</v>
      </c>
      <c r="B2333" s="46">
        <v>181</v>
      </c>
      <c r="C2333" s="149">
        <v>0.3157638888888889</v>
      </c>
      <c r="D2333" s="38" t="s">
        <v>17396</v>
      </c>
      <c r="E2333" s="7" t="s">
        <v>19092</v>
      </c>
      <c r="F2333" s="38" t="s">
        <v>182</v>
      </c>
      <c r="G2333" s="38" t="s">
        <v>294</v>
      </c>
      <c r="H2333">
        <v>0.26</v>
      </c>
      <c r="O2333" t="s">
        <v>19088</v>
      </c>
      <c r="P2333" t="s">
        <v>19089</v>
      </c>
      <c r="Q2333">
        <v>421963.32</v>
      </c>
      <c r="R2333">
        <v>6210772.4000000004</v>
      </c>
      <c r="S2333" t="s">
        <v>19090</v>
      </c>
      <c r="T2333" t="s">
        <v>19091</v>
      </c>
      <c r="U2333">
        <v>421936.58</v>
      </c>
      <c r="V2333">
        <v>6210752.1200000001</v>
      </c>
      <c r="W2333">
        <v>314.86</v>
      </c>
      <c r="X2333">
        <v>200.07</v>
      </c>
    </row>
    <row r="2334" spans="1:24" s="157" customFormat="1" x14ac:dyDescent="0.25">
      <c r="A2334" s="148">
        <v>45107</v>
      </c>
      <c r="B2334" s="46">
        <v>181</v>
      </c>
      <c r="C2334" s="149">
        <v>0.32108796296296299</v>
      </c>
      <c r="D2334" s="162" t="s">
        <v>17396</v>
      </c>
      <c r="E2334" s="153" t="s">
        <v>19236</v>
      </c>
      <c r="F2334" s="162" t="s">
        <v>182</v>
      </c>
      <c r="G2334" s="162" t="s">
        <v>294</v>
      </c>
      <c r="H2334" s="157">
        <v>0.215</v>
      </c>
      <c r="O2334" s="157" t="s">
        <v>19093</v>
      </c>
      <c r="P2334" s="157" t="s">
        <v>19094</v>
      </c>
      <c r="Q2334" s="157">
        <v>421925.68</v>
      </c>
      <c r="R2334" s="157">
        <v>6210796.2699999996</v>
      </c>
      <c r="S2334" s="157" t="s">
        <v>19095</v>
      </c>
      <c r="T2334" s="157" t="s">
        <v>19096</v>
      </c>
      <c r="U2334" s="157">
        <v>421904.29</v>
      </c>
      <c r="V2334" s="157">
        <v>6210782.75</v>
      </c>
      <c r="W2334" s="157">
        <v>314.98</v>
      </c>
      <c r="X2334" s="157">
        <v>200.07</v>
      </c>
    </row>
    <row r="2335" spans="1:24" x14ac:dyDescent="0.25">
      <c r="A2335" s="148">
        <v>45107</v>
      </c>
      <c r="B2335" s="46">
        <v>181</v>
      </c>
      <c r="C2335" s="149">
        <v>0.32108796296296299</v>
      </c>
      <c r="D2335" s="38" t="s">
        <v>17396</v>
      </c>
      <c r="E2335" s="7" t="s">
        <v>65</v>
      </c>
      <c r="F2335" s="38" t="s">
        <v>182</v>
      </c>
      <c r="G2335" s="38" t="s">
        <v>294</v>
      </c>
      <c r="H2335">
        <v>0.215</v>
      </c>
      <c r="I2335" t="s">
        <v>19097</v>
      </c>
      <c r="J2335" t="s">
        <v>19098</v>
      </c>
      <c r="K2335" t="s">
        <v>19099</v>
      </c>
      <c r="L2335" t="s">
        <v>19100</v>
      </c>
      <c r="O2335" t="s">
        <v>19093</v>
      </c>
      <c r="P2335" t="s">
        <v>19094</v>
      </c>
      <c r="Q2335">
        <v>421925.68</v>
      </c>
      <c r="R2335">
        <v>6210796.2699999996</v>
      </c>
      <c r="S2335" t="s">
        <v>19095</v>
      </c>
      <c r="T2335" t="s">
        <v>19096</v>
      </c>
      <c r="U2335">
        <v>421904.29</v>
      </c>
      <c r="V2335">
        <v>6210782.75</v>
      </c>
      <c r="W2335">
        <v>314.98</v>
      </c>
      <c r="X2335">
        <v>200.07</v>
      </c>
    </row>
    <row r="2336" spans="1:24" x14ac:dyDescent="0.25">
      <c r="A2336" s="148">
        <v>45107</v>
      </c>
      <c r="B2336" s="46">
        <v>181</v>
      </c>
      <c r="C2336" s="149">
        <v>0.32569444444444445</v>
      </c>
      <c r="D2336" s="38" t="s">
        <v>17396</v>
      </c>
      <c r="E2336" s="7" t="s">
        <v>70</v>
      </c>
      <c r="F2336" s="38" t="s">
        <v>182</v>
      </c>
      <c r="G2336" s="38" t="s">
        <v>294</v>
      </c>
      <c r="H2336">
        <v>-3.1E-2</v>
      </c>
      <c r="I2336" t="s">
        <v>19097</v>
      </c>
      <c r="J2336" t="s">
        <v>19098</v>
      </c>
      <c r="K2336" t="s">
        <v>19099</v>
      </c>
      <c r="L2336" t="s">
        <v>19100</v>
      </c>
      <c r="O2336" t="s">
        <v>19101</v>
      </c>
      <c r="P2336" t="s">
        <v>19102</v>
      </c>
      <c r="Q2336">
        <v>421753.69</v>
      </c>
      <c r="R2336">
        <v>6210969.6100000003</v>
      </c>
      <c r="S2336" t="s">
        <v>19103</v>
      </c>
      <c r="T2336" t="s">
        <v>19104</v>
      </c>
      <c r="U2336">
        <v>421730.13</v>
      </c>
      <c r="V2336">
        <v>6210956.9299999997</v>
      </c>
      <c r="W2336">
        <v>314.75</v>
      </c>
      <c r="X2336">
        <v>200.07</v>
      </c>
    </row>
    <row r="2337" spans="1:24" x14ac:dyDescent="0.25">
      <c r="A2337" s="148">
        <v>45107</v>
      </c>
      <c r="B2337" s="46">
        <v>181</v>
      </c>
      <c r="C2337" s="149">
        <v>0.32931712962962961</v>
      </c>
      <c r="D2337" s="38" t="s">
        <v>17396</v>
      </c>
      <c r="E2337" s="7" t="s">
        <v>65</v>
      </c>
      <c r="F2337" s="38" t="s">
        <v>182</v>
      </c>
      <c r="G2337" s="38" t="s">
        <v>293</v>
      </c>
      <c r="H2337">
        <v>-8.0000000000000002E-3</v>
      </c>
      <c r="I2337" t="s">
        <v>19109</v>
      </c>
      <c r="J2337" t="s">
        <v>19110</v>
      </c>
      <c r="K2337" t="s">
        <v>19111</v>
      </c>
      <c r="L2337" t="s">
        <v>19100</v>
      </c>
      <c r="O2337" t="s">
        <v>19105</v>
      </c>
      <c r="P2337" t="s">
        <v>19106</v>
      </c>
      <c r="Q2337">
        <v>421768.8</v>
      </c>
      <c r="R2337">
        <v>6210965.9400000004</v>
      </c>
      <c r="S2337" t="s">
        <v>19107</v>
      </c>
      <c r="T2337" t="s">
        <v>19108</v>
      </c>
      <c r="U2337">
        <v>421745.43</v>
      </c>
      <c r="V2337">
        <v>6210954.1200000001</v>
      </c>
      <c r="W2337">
        <v>135.72</v>
      </c>
      <c r="X2337">
        <v>200.07</v>
      </c>
    </row>
    <row r="2338" spans="1:24" x14ac:dyDescent="0.25">
      <c r="A2338" s="148">
        <v>45107</v>
      </c>
      <c r="B2338" s="46">
        <v>181</v>
      </c>
      <c r="C2338" s="149">
        <v>0.33385416666666662</v>
      </c>
      <c r="D2338" s="38" t="s">
        <v>17396</v>
      </c>
      <c r="E2338" s="7" t="s">
        <v>70</v>
      </c>
      <c r="F2338" s="38" t="s">
        <v>182</v>
      </c>
      <c r="G2338" s="38" t="s">
        <v>293</v>
      </c>
      <c r="H2338">
        <v>0.23499999999999999</v>
      </c>
      <c r="I2338" t="s">
        <v>19109</v>
      </c>
      <c r="J2338" t="s">
        <v>19110</v>
      </c>
      <c r="K2338" t="s">
        <v>19111</v>
      </c>
      <c r="L2338" t="s">
        <v>19116</v>
      </c>
      <c r="O2338" t="s">
        <v>19112</v>
      </c>
      <c r="P2338" t="s">
        <v>19113</v>
      </c>
      <c r="Q2338">
        <v>421938.9</v>
      </c>
      <c r="R2338">
        <v>6210796.2199999997</v>
      </c>
      <c r="S2338" t="s">
        <v>19114</v>
      </c>
      <c r="T2338" t="s">
        <v>19115</v>
      </c>
      <c r="U2338">
        <v>421917.07</v>
      </c>
      <c r="V2338">
        <v>6210782.5099999998</v>
      </c>
      <c r="W2338">
        <v>134.77000000000001</v>
      </c>
      <c r="X2338">
        <v>200.07</v>
      </c>
    </row>
    <row r="2339" spans="1:24" x14ac:dyDescent="0.25">
      <c r="A2339" s="148">
        <v>45107</v>
      </c>
      <c r="B2339" s="46">
        <v>181</v>
      </c>
      <c r="C2339" s="149">
        <v>0.33659722222222221</v>
      </c>
      <c r="D2339" s="38" t="s">
        <v>17396</v>
      </c>
      <c r="E2339" s="7" t="s">
        <v>65</v>
      </c>
      <c r="F2339" s="38" t="s">
        <v>182</v>
      </c>
      <c r="G2339" s="38" t="s">
        <v>292</v>
      </c>
      <c r="H2339">
        <v>0.224</v>
      </c>
      <c r="I2339" t="s">
        <v>19121</v>
      </c>
      <c r="J2339" t="s">
        <v>19122</v>
      </c>
      <c r="K2339" t="s">
        <v>19123</v>
      </c>
      <c r="L2339" t="s">
        <v>19116</v>
      </c>
      <c r="O2339" t="s">
        <v>19117</v>
      </c>
      <c r="P2339" t="s">
        <v>19118</v>
      </c>
      <c r="Q2339">
        <v>421945.39</v>
      </c>
      <c r="R2339">
        <v>6210802.6600000001</v>
      </c>
      <c r="S2339" t="s">
        <v>19119</v>
      </c>
      <c r="T2339" t="s">
        <v>19120</v>
      </c>
      <c r="U2339">
        <v>421923.16</v>
      </c>
      <c r="V2339">
        <v>6210789.1900000004</v>
      </c>
      <c r="W2339">
        <v>316.05</v>
      </c>
      <c r="X2339">
        <v>200.06</v>
      </c>
    </row>
    <row r="2340" spans="1:24" x14ac:dyDescent="0.25">
      <c r="A2340" s="148">
        <v>45107</v>
      </c>
      <c r="B2340" s="46">
        <v>181</v>
      </c>
      <c r="C2340" s="149">
        <v>0.34128472222222223</v>
      </c>
      <c r="D2340" s="38" t="s">
        <v>17396</v>
      </c>
      <c r="E2340" s="7" t="s">
        <v>70</v>
      </c>
      <c r="F2340" s="38" t="s">
        <v>182</v>
      </c>
      <c r="G2340" s="38" t="s">
        <v>292</v>
      </c>
      <c r="H2340">
        <v>-2.7E-2</v>
      </c>
      <c r="I2340" t="s">
        <v>19121</v>
      </c>
      <c r="J2340" t="s">
        <v>19122</v>
      </c>
      <c r="K2340" t="s">
        <v>19123</v>
      </c>
      <c r="L2340" t="s">
        <v>19128</v>
      </c>
      <c r="O2340" t="s">
        <v>19124</v>
      </c>
      <c r="P2340" t="s">
        <v>19125</v>
      </c>
      <c r="Q2340">
        <v>421769.81</v>
      </c>
      <c r="R2340">
        <v>6210979.4100000001</v>
      </c>
      <c r="S2340" t="s">
        <v>19126</v>
      </c>
      <c r="T2340" t="s">
        <v>19127</v>
      </c>
      <c r="U2340">
        <v>421746</v>
      </c>
      <c r="V2340">
        <v>6210966.4800000004</v>
      </c>
      <c r="W2340">
        <v>314.70999999999998</v>
      </c>
      <c r="X2340">
        <v>200.06</v>
      </c>
    </row>
    <row r="2341" spans="1:24" x14ac:dyDescent="0.25">
      <c r="A2341" s="148">
        <v>45107</v>
      </c>
      <c r="B2341" s="46">
        <v>181</v>
      </c>
      <c r="C2341" s="149">
        <v>0.34495370370370365</v>
      </c>
      <c r="D2341" s="38" t="s">
        <v>17396</v>
      </c>
      <c r="E2341" s="7" t="s">
        <v>65</v>
      </c>
      <c r="F2341" s="38" t="s">
        <v>182</v>
      </c>
      <c r="G2341" s="38" t="s">
        <v>291</v>
      </c>
      <c r="H2341">
        <v>-8.0000000000000002E-3</v>
      </c>
      <c r="I2341" t="s">
        <v>19133</v>
      </c>
      <c r="J2341" t="s">
        <v>19134</v>
      </c>
      <c r="K2341" t="s">
        <v>19135</v>
      </c>
      <c r="L2341" t="s">
        <v>19128</v>
      </c>
      <c r="O2341" t="s">
        <v>19129</v>
      </c>
      <c r="P2341" t="s">
        <v>19130</v>
      </c>
      <c r="Q2341">
        <v>421782.48</v>
      </c>
      <c r="R2341">
        <v>6210979.4800000004</v>
      </c>
      <c r="S2341" t="s">
        <v>19131</v>
      </c>
      <c r="T2341" t="s">
        <v>19132</v>
      </c>
      <c r="U2341">
        <v>421758.03</v>
      </c>
      <c r="V2341">
        <v>6210967.2599999998</v>
      </c>
      <c r="W2341">
        <v>135.72999999999999</v>
      </c>
      <c r="X2341">
        <v>200.07</v>
      </c>
    </row>
    <row r="2342" spans="1:24" x14ac:dyDescent="0.25">
      <c r="A2342" s="148">
        <v>45107</v>
      </c>
      <c r="B2342" s="46">
        <v>181</v>
      </c>
      <c r="C2342" s="149">
        <v>0.34921296296296295</v>
      </c>
      <c r="D2342" s="38" t="s">
        <v>17396</v>
      </c>
      <c r="E2342" s="7" t="s">
        <v>70</v>
      </c>
      <c r="F2342" s="38" t="s">
        <v>182</v>
      </c>
      <c r="G2342" s="38" t="s">
        <v>291</v>
      </c>
      <c r="H2342">
        <v>0.219</v>
      </c>
      <c r="I2342" t="s">
        <v>19133</v>
      </c>
      <c r="J2342" t="s">
        <v>19134</v>
      </c>
      <c r="K2342" t="s">
        <v>19135</v>
      </c>
      <c r="L2342" t="s">
        <v>19128</v>
      </c>
      <c r="O2342" t="s">
        <v>19136</v>
      </c>
      <c r="P2342" t="s">
        <v>19137</v>
      </c>
      <c r="Q2342">
        <v>421942.37</v>
      </c>
      <c r="R2342">
        <v>6210819.0899999999</v>
      </c>
      <c r="S2342" t="s">
        <v>19138</v>
      </c>
      <c r="T2342" t="s">
        <v>19139</v>
      </c>
      <c r="U2342">
        <v>421918.67</v>
      </c>
      <c r="V2342">
        <v>6210806.4900000002</v>
      </c>
      <c r="W2342">
        <v>135.04</v>
      </c>
      <c r="X2342">
        <v>200.07</v>
      </c>
    </row>
    <row r="2343" spans="1:24" x14ac:dyDescent="0.25">
      <c r="A2343" s="148">
        <v>45107</v>
      </c>
      <c r="B2343" s="46">
        <v>181</v>
      </c>
      <c r="C2343" s="149">
        <v>0.35321759259259261</v>
      </c>
      <c r="D2343" s="38" t="s">
        <v>17396</v>
      </c>
      <c r="E2343" s="7" t="s">
        <v>65</v>
      </c>
      <c r="F2343" s="38" t="s">
        <v>182</v>
      </c>
      <c r="G2343" s="38" t="s">
        <v>290</v>
      </c>
      <c r="H2343">
        <v>0.22500000000000001</v>
      </c>
      <c r="I2343" t="s">
        <v>19144</v>
      </c>
      <c r="J2343" t="s">
        <v>19145</v>
      </c>
      <c r="K2343" t="s">
        <v>19146</v>
      </c>
      <c r="L2343" t="s">
        <v>19147</v>
      </c>
      <c r="O2343" t="s">
        <v>19140</v>
      </c>
      <c r="P2343" t="s">
        <v>19141</v>
      </c>
      <c r="Q2343">
        <v>421958.41</v>
      </c>
      <c r="R2343">
        <v>6210815.8499999996</v>
      </c>
      <c r="S2343" t="s">
        <v>19142</v>
      </c>
      <c r="T2343" t="s">
        <v>19143</v>
      </c>
      <c r="U2343">
        <v>421937</v>
      </c>
      <c r="V2343">
        <v>6210800.9299999997</v>
      </c>
      <c r="W2343">
        <v>315.24</v>
      </c>
      <c r="X2343">
        <v>200.06</v>
      </c>
    </row>
    <row r="2344" spans="1:24" x14ac:dyDescent="0.25">
      <c r="A2344" s="148">
        <v>45107</v>
      </c>
      <c r="B2344" s="46">
        <v>181</v>
      </c>
      <c r="C2344" s="149">
        <v>0.35766203703703708</v>
      </c>
      <c r="D2344" s="38" t="s">
        <v>17396</v>
      </c>
      <c r="E2344" s="7" t="s">
        <v>70</v>
      </c>
      <c r="F2344" s="38" t="s">
        <v>182</v>
      </c>
      <c r="G2344" s="38" t="s">
        <v>290</v>
      </c>
      <c r="H2344">
        <v>-1.2E-2</v>
      </c>
      <c r="I2344" t="s">
        <v>19144</v>
      </c>
      <c r="J2344" t="s">
        <v>19145</v>
      </c>
      <c r="K2344" t="s">
        <v>19146</v>
      </c>
      <c r="L2344" t="s">
        <v>19147</v>
      </c>
      <c r="O2344" t="s">
        <v>19148</v>
      </c>
      <c r="P2344" t="s">
        <v>19149</v>
      </c>
      <c r="Q2344">
        <v>421791.45</v>
      </c>
      <c r="R2344">
        <v>6210983.0800000001</v>
      </c>
      <c r="S2344" t="s">
        <v>19150</v>
      </c>
      <c r="T2344" t="s">
        <v>19151</v>
      </c>
      <c r="U2344">
        <v>421769.27</v>
      </c>
      <c r="V2344">
        <v>6210968.8099999996</v>
      </c>
      <c r="W2344">
        <v>314.92</v>
      </c>
      <c r="X2344">
        <v>200.06</v>
      </c>
    </row>
    <row r="2345" spans="1:24" x14ac:dyDescent="0.25">
      <c r="A2345" s="148">
        <v>45107</v>
      </c>
      <c r="B2345" s="46">
        <v>181</v>
      </c>
      <c r="C2345" s="149">
        <v>0.36123842592592598</v>
      </c>
      <c r="D2345" s="38" t="s">
        <v>17396</v>
      </c>
      <c r="E2345" s="7" t="s">
        <v>65</v>
      </c>
      <c r="F2345" s="38" t="s">
        <v>182</v>
      </c>
      <c r="G2345" s="38" t="s">
        <v>289</v>
      </c>
      <c r="H2345">
        <v>-1.9E-2</v>
      </c>
      <c r="I2345" t="s">
        <v>19156</v>
      </c>
      <c r="J2345" t="s">
        <v>19157</v>
      </c>
      <c r="K2345" t="s">
        <v>19158</v>
      </c>
      <c r="L2345" t="s">
        <v>19147</v>
      </c>
      <c r="O2345" t="s">
        <v>19152</v>
      </c>
      <c r="P2345" t="s">
        <v>19153</v>
      </c>
      <c r="Q2345">
        <v>421789.73</v>
      </c>
      <c r="R2345">
        <v>6210997.0899999999</v>
      </c>
      <c r="S2345" t="s">
        <v>19154</v>
      </c>
      <c r="T2345" t="s">
        <v>19155</v>
      </c>
      <c r="U2345">
        <v>421762.93</v>
      </c>
      <c r="V2345">
        <v>6210987.7599999998</v>
      </c>
      <c r="W2345">
        <v>135.26</v>
      </c>
      <c r="X2345">
        <v>200.07</v>
      </c>
    </row>
    <row r="2346" spans="1:24" x14ac:dyDescent="0.25">
      <c r="A2346" s="148">
        <v>45107</v>
      </c>
      <c r="B2346" s="46">
        <v>181</v>
      </c>
      <c r="C2346" s="149">
        <v>0.36598379629629635</v>
      </c>
      <c r="D2346" s="38" t="s">
        <v>17396</v>
      </c>
      <c r="E2346" s="7" t="s">
        <v>70</v>
      </c>
      <c r="F2346" s="38" t="s">
        <v>182</v>
      </c>
      <c r="G2346" s="38" t="s">
        <v>289</v>
      </c>
      <c r="H2346">
        <v>0.23</v>
      </c>
      <c r="I2346" t="s">
        <v>19156</v>
      </c>
      <c r="J2346" t="s">
        <v>19157</v>
      </c>
      <c r="K2346" t="s">
        <v>19158</v>
      </c>
      <c r="L2346" t="s">
        <v>19163</v>
      </c>
      <c r="O2346" t="s">
        <v>19159</v>
      </c>
      <c r="P2346" t="s">
        <v>19160</v>
      </c>
      <c r="Q2346">
        <v>421967.72</v>
      </c>
      <c r="R2346">
        <v>6210819.7699999996</v>
      </c>
      <c r="S2346" t="s">
        <v>19161</v>
      </c>
      <c r="T2346" t="s">
        <v>19162</v>
      </c>
      <c r="U2346">
        <v>421938.74</v>
      </c>
      <c r="V2346">
        <v>6210811.8099999996</v>
      </c>
      <c r="W2346">
        <v>134.32</v>
      </c>
      <c r="X2346">
        <v>200.07</v>
      </c>
    </row>
    <row r="2347" spans="1:24" x14ac:dyDescent="0.25">
      <c r="A2347" s="148">
        <v>45107</v>
      </c>
      <c r="B2347" s="46">
        <v>181</v>
      </c>
      <c r="C2347" s="149">
        <v>0.36935185185185188</v>
      </c>
      <c r="D2347" s="38" t="s">
        <v>17396</v>
      </c>
      <c r="E2347" s="7" t="s">
        <v>65</v>
      </c>
      <c r="F2347" s="38" t="s">
        <v>182</v>
      </c>
      <c r="G2347" s="38" t="s">
        <v>288</v>
      </c>
      <c r="H2347">
        <v>0.22500000000000001</v>
      </c>
      <c r="I2347" t="s">
        <v>19168</v>
      </c>
      <c r="J2347" t="s">
        <v>19169</v>
      </c>
      <c r="K2347" t="s">
        <v>19170</v>
      </c>
      <c r="L2347" t="s">
        <v>19163</v>
      </c>
      <c r="O2347" t="s">
        <v>19164</v>
      </c>
      <c r="P2347" t="s">
        <v>19165</v>
      </c>
      <c r="Q2347">
        <v>421973.56</v>
      </c>
      <c r="R2347">
        <v>6210826.25</v>
      </c>
      <c r="S2347" t="s">
        <v>19166</v>
      </c>
      <c r="T2347" t="s">
        <v>19167</v>
      </c>
      <c r="U2347">
        <v>421949.63</v>
      </c>
      <c r="V2347">
        <v>6210813.7000000002</v>
      </c>
      <c r="W2347">
        <v>314.19</v>
      </c>
      <c r="X2347">
        <v>200.07</v>
      </c>
    </row>
    <row r="2348" spans="1:24" x14ac:dyDescent="0.25">
      <c r="A2348" s="148">
        <v>45107</v>
      </c>
      <c r="B2348" s="46">
        <v>181</v>
      </c>
      <c r="C2348" s="149">
        <v>0.3740046296296296</v>
      </c>
      <c r="D2348" s="38" t="s">
        <v>17396</v>
      </c>
      <c r="E2348" s="7" t="s">
        <v>70</v>
      </c>
      <c r="F2348" s="38" t="s">
        <v>182</v>
      </c>
      <c r="G2348" s="38" t="s">
        <v>288</v>
      </c>
      <c r="H2348">
        <v>-2.4E-2</v>
      </c>
      <c r="I2348" t="s">
        <v>19168</v>
      </c>
      <c r="J2348" t="s">
        <v>19169</v>
      </c>
      <c r="K2348" t="s">
        <v>19170</v>
      </c>
      <c r="L2348" t="s">
        <v>19175</v>
      </c>
      <c r="O2348" t="s">
        <v>19171</v>
      </c>
      <c r="P2348" t="s">
        <v>19172</v>
      </c>
      <c r="Q2348">
        <v>421798.94</v>
      </c>
      <c r="R2348">
        <v>6211001.0599999996</v>
      </c>
      <c r="S2348" t="s">
        <v>19173</v>
      </c>
      <c r="T2348" t="s">
        <v>19174</v>
      </c>
      <c r="U2348">
        <v>421773.85</v>
      </c>
      <c r="V2348">
        <v>6210989.5099999998</v>
      </c>
      <c r="W2348">
        <v>314.7</v>
      </c>
      <c r="X2348">
        <v>200.07</v>
      </c>
    </row>
    <row r="2349" spans="1:24" x14ac:dyDescent="0.25">
      <c r="A2349" s="148">
        <v>45107</v>
      </c>
      <c r="B2349" s="46">
        <v>181</v>
      </c>
      <c r="C2349" s="149">
        <v>0.37670138888888888</v>
      </c>
      <c r="D2349" s="38" t="s">
        <v>17396</v>
      </c>
      <c r="E2349" s="7" t="s">
        <v>65</v>
      </c>
      <c r="F2349" s="38" t="s">
        <v>182</v>
      </c>
      <c r="G2349" s="38" t="s">
        <v>287</v>
      </c>
      <c r="H2349">
        <v>-1.9E-2</v>
      </c>
      <c r="I2349" t="s">
        <v>19181</v>
      </c>
      <c r="J2349" t="s">
        <v>19182</v>
      </c>
      <c r="K2349" t="s">
        <v>19183</v>
      </c>
      <c r="L2349" t="s">
        <v>19175</v>
      </c>
      <c r="O2349" t="s">
        <v>19177</v>
      </c>
      <c r="P2349" t="s">
        <v>19178</v>
      </c>
      <c r="Q2349">
        <v>421795.02</v>
      </c>
      <c r="R2349">
        <v>6211017.7999999998</v>
      </c>
      <c r="S2349" t="s">
        <v>19179</v>
      </c>
      <c r="T2349" t="s">
        <v>19180</v>
      </c>
      <c r="U2349">
        <v>421775.69</v>
      </c>
      <c r="V2349">
        <v>6211000.2699999996</v>
      </c>
      <c r="W2349">
        <v>135.74</v>
      </c>
      <c r="X2349">
        <v>200.06</v>
      </c>
    </row>
    <row r="2350" spans="1:24" x14ac:dyDescent="0.25">
      <c r="A2350" s="148">
        <v>45107</v>
      </c>
      <c r="B2350" s="46">
        <v>181</v>
      </c>
      <c r="C2350" s="149">
        <v>0.38138888888888883</v>
      </c>
      <c r="D2350" s="38" t="s">
        <v>17396</v>
      </c>
      <c r="E2350" s="7" t="s">
        <v>70</v>
      </c>
      <c r="F2350" s="38" t="s">
        <v>182</v>
      </c>
      <c r="G2350" s="38" t="s">
        <v>287</v>
      </c>
      <c r="H2350">
        <v>0.22900000000000001</v>
      </c>
      <c r="I2350" t="s">
        <v>19181</v>
      </c>
      <c r="J2350" t="s">
        <v>19182</v>
      </c>
      <c r="K2350" t="s">
        <v>19183</v>
      </c>
      <c r="L2350" t="s">
        <v>19175</v>
      </c>
      <c r="O2350" t="s">
        <v>19184</v>
      </c>
      <c r="P2350" t="s">
        <v>19185</v>
      </c>
      <c r="Q2350">
        <v>421970.08</v>
      </c>
      <c r="R2350">
        <v>6210842.4900000002</v>
      </c>
      <c r="S2350" t="s">
        <v>19186</v>
      </c>
      <c r="T2350" t="s">
        <v>19187</v>
      </c>
      <c r="U2350">
        <v>421951.1</v>
      </c>
      <c r="V2350">
        <v>6210824.8300000001</v>
      </c>
      <c r="W2350">
        <v>135.49</v>
      </c>
      <c r="X2350">
        <v>200.06</v>
      </c>
    </row>
    <row r="2351" spans="1:24" x14ac:dyDescent="0.25">
      <c r="A2351" s="148">
        <v>45107</v>
      </c>
      <c r="B2351" s="46">
        <v>181</v>
      </c>
      <c r="C2351" s="149">
        <v>0.38464120370370369</v>
      </c>
      <c r="D2351" s="38" t="s">
        <v>17396</v>
      </c>
      <c r="E2351" s="7" t="s">
        <v>65</v>
      </c>
      <c r="F2351" s="38" t="s">
        <v>182</v>
      </c>
      <c r="G2351" s="38" t="s">
        <v>286</v>
      </c>
      <c r="H2351">
        <v>0.22500000000000001</v>
      </c>
      <c r="I2351" t="s">
        <v>19192</v>
      </c>
      <c r="J2351" t="s">
        <v>19193</v>
      </c>
      <c r="K2351" t="s">
        <v>19194</v>
      </c>
      <c r="L2351" t="s">
        <v>19195</v>
      </c>
      <c r="O2351" t="s">
        <v>19188</v>
      </c>
      <c r="P2351" t="s">
        <v>19189</v>
      </c>
      <c r="Q2351">
        <v>421985.42</v>
      </c>
      <c r="R2351">
        <v>6210840.5300000003</v>
      </c>
      <c r="S2351" t="s">
        <v>19190</v>
      </c>
      <c r="T2351" t="s">
        <v>19191</v>
      </c>
      <c r="U2351">
        <v>421962.16</v>
      </c>
      <c r="V2351">
        <v>6210826.46</v>
      </c>
      <c r="W2351">
        <v>314.14999999999998</v>
      </c>
      <c r="X2351">
        <v>200.07</v>
      </c>
    </row>
    <row r="2352" spans="1:24" x14ac:dyDescent="0.25">
      <c r="A2352" s="148">
        <v>45107</v>
      </c>
      <c r="B2352" s="46">
        <v>181</v>
      </c>
      <c r="C2352" s="149">
        <v>0.38927083333333329</v>
      </c>
      <c r="D2352" s="38" t="s">
        <v>17396</v>
      </c>
      <c r="E2352" s="7" t="s">
        <v>70</v>
      </c>
      <c r="F2352" s="38" t="s">
        <v>182</v>
      </c>
      <c r="G2352" s="38" t="s">
        <v>286</v>
      </c>
      <c r="H2352">
        <v>-2.1999999999999999E-2</v>
      </c>
      <c r="I2352" t="s">
        <v>19192</v>
      </c>
      <c r="J2352" t="s">
        <v>19193</v>
      </c>
      <c r="K2352" t="s">
        <v>19194</v>
      </c>
      <c r="L2352" t="s">
        <v>19195</v>
      </c>
      <c r="O2352" t="s">
        <v>19196</v>
      </c>
      <c r="P2352" t="s">
        <v>19197</v>
      </c>
      <c r="Q2352">
        <v>421812.25</v>
      </c>
      <c r="R2352">
        <v>6211013.0899999999</v>
      </c>
      <c r="S2352" t="s">
        <v>19198</v>
      </c>
      <c r="T2352" t="s">
        <v>19199</v>
      </c>
      <c r="U2352">
        <v>421787.34</v>
      </c>
      <c r="V2352">
        <v>6211001.25</v>
      </c>
      <c r="W2352">
        <v>314.81</v>
      </c>
      <c r="X2352">
        <v>200.07</v>
      </c>
    </row>
    <row r="2353" spans="1:24" x14ac:dyDescent="0.25">
      <c r="A2353" s="148">
        <v>45107</v>
      </c>
      <c r="B2353" s="46">
        <v>181</v>
      </c>
      <c r="C2353" s="149">
        <v>0.39280092592592591</v>
      </c>
      <c r="D2353" s="38" t="s">
        <v>17396</v>
      </c>
      <c r="E2353" s="7" t="s">
        <v>65</v>
      </c>
      <c r="F2353" s="38" t="s">
        <v>182</v>
      </c>
      <c r="G2353" s="38" t="s">
        <v>295</v>
      </c>
      <c r="H2353">
        <v>-1.6E-2</v>
      </c>
      <c r="I2353" t="s">
        <v>19204</v>
      </c>
      <c r="J2353" t="s">
        <v>19205</v>
      </c>
      <c r="K2353" t="s">
        <v>19206</v>
      </c>
      <c r="L2353" t="s">
        <v>19195</v>
      </c>
      <c r="O2353" t="s">
        <v>19200</v>
      </c>
      <c r="P2353" t="s">
        <v>19201</v>
      </c>
      <c r="Q2353">
        <v>421809.22</v>
      </c>
      <c r="R2353">
        <v>6211029.4000000004</v>
      </c>
      <c r="S2353" t="s">
        <v>19202</v>
      </c>
      <c r="T2353" t="s">
        <v>19203</v>
      </c>
      <c r="U2353">
        <v>421790.81</v>
      </c>
      <c r="V2353">
        <v>6211010.8399999999</v>
      </c>
      <c r="W2353">
        <v>137.05000000000001</v>
      </c>
      <c r="X2353">
        <v>200.06</v>
      </c>
    </row>
    <row r="2354" spans="1:24" x14ac:dyDescent="0.25">
      <c r="A2354" s="148">
        <v>45107</v>
      </c>
      <c r="B2354" s="46">
        <v>181</v>
      </c>
      <c r="C2354" s="149">
        <v>0.3975231481481481</v>
      </c>
      <c r="D2354" s="38" t="s">
        <v>17396</v>
      </c>
      <c r="E2354" s="7" t="s">
        <v>70</v>
      </c>
      <c r="F2354" s="38" t="s">
        <v>182</v>
      </c>
      <c r="G2354" s="38" t="s">
        <v>295</v>
      </c>
      <c r="H2354">
        <v>0.23</v>
      </c>
      <c r="I2354" t="s">
        <v>19204</v>
      </c>
      <c r="J2354" t="s">
        <v>19205</v>
      </c>
      <c r="K2354" t="s">
        <v>19206</v>
      </c>
      <c r="L2354" t="s">
        <v>19211</v>
      </c>
      <c r="O2354" t="s">
        <v>19207</v>
      </c>
      <c r="P2354" t="s">
        <v>19208</v>
      </c>
      <c r="Q2354">
        <v>421985.75</v>
      </c>
      <c r="R2354">
        <v>6210852.5700000003</v>
      </c>
      <c r="S2354" t="s">
        <v>19209</v>
      </c>
      <c r="T2354" t="s">
        <v>19210</v>
      </c>
      <c r="U2354">
        <v>421964</v>
      </c>
      <c r="V2354">
        <v>6210837.4000000004</v>
      </c>
      <c r="W2354">
        <v>135.13</v>
      </c>
      <c r="X2354">
        <v>200.06</v>
      </c>
    </row>
    <row r="2355" spans="1:24" x14ac:dyDescent="0.25">
      <c r="A2355" s="148">
        <v>45107</v>
      </c>
      <c r="B2355" s="46">
        <v>181</v>
      </c>
      <c r="C2355" s="149">
        <v>0.40137731481481481</v>
      </c>
      <c r="D2355" s="38" t="s">
        <v>17396</v>
      </c>
      <c r="E2355" s="7" t="s">
        <v>65</v>
      </c>
      <c r="F2355" s="38" t="s">
        <v>182</v>
      </c>
      <c r="G2355" s="38" t="s">
        <v>296</v>
      </c>
      <c r="H2355">
        <v>0.22600000000000001</v>
      </c>
      <c r="I2355" t="s">
        <v>19216</v>
      </c>
      <c r="J2355" t="s">
        <v>19217</v>
      </c>
      <c r="K2355" t="s">
        <v>19218</v>
      </c>
      <c r="L2355" t="s">
        <v>19211</v>
      </c>
      <c r="O2355" t="s">
        <v>19212</v>
      </c>
      <c r="P2355" t="s">
        <v>19213</v>
      </c>
      <c r="Q2355">
        <v>421998.18</v>
      </c>
      <c r="R2355">
        <v>6210853.2300000004</v>
      </c>
      <c r="S2355" t="s">
        <v>19214</v>
      </c>
      <c r="T2355" t="s">
        <v>19215</v>
      </c>
      <c r="U2355">
        <v>421975.57</v>
      </c>
      <c r="V2355">
        <v>6210838.5300000003</v>
      </c>
      <c r="W2355">
        <v>316.38</v>
      </c>
      <c r="X2355">
        <v>200.07</v>
      </c>
    </row>
    <row r="2356" spans="1:24" x14ac:dyDescent="0.25">
      <c r="A2356" s="148">
        <v>45107</v>
      </c>
      <c r="B2356" s="46">
        <v>181</v>
      </c>
      <c r="C2356" s="149">
        <v>0.40599537037037042</v>
      </c>
      <c r="D2356" s="38" t="s">
        <v>17396</v>
      </c>
      <c r="E2356" s="7" t="s">
        <v>70</v>
      </c>
      <c r="F2356" s="38" t="s">
        <v>182</v>
      </c>
      <c r="G2356" s="38" t="s">
        <v>296</v>
      </c>
      <c r="H2356">
        <v>-0.02</v>
      </c>
      <c r="I2356" t="s">
        <v>19216</v>
      </c>
      <c r="J2356" t="s">
        <v>19217</v>
      </c>
      <c r="K2356" t="s">
        <v>19218</v>
      </c>
      <c r="L2356" t="s">
        <v>19223</v>
      </c>
      <c r="O2356" t="s">
        <v>19219</v>
      </c>
      <c r="P2356" t="s">
        <v>19220</v>
      </c>
      <c r="Q2356">
        <v>421823.89</v>
      </c>
      <c r="R2356">
        <v>6211026.6100000003</v>
      </c>
      <c r="S2356" t="s">
        <v>19221</v>
      </c>
      <c r="T2356" t="s">
        <v>19222</v>
      </c>
      <c r="U2356">
        <v>421801.51</v>
      </c>
      <c r="V2356">
        <v>6211012.75</v>
      </c>
      <c r="W2356">
        <v>314.64999999999998</v>
      </c>
      <c r="X2356">
        <v>200.07</v>
      </c>
    </row>
    <row r="2357" spans="1:24" x14ac:dyDescent="0.25">
      <c r="A2357" s="148">
        <v>45107</v>
      </c>
      <c r="B2357" s="46">
        <v>181</v>
      </c>
      <c r="C2357" s="149">
        <v>0.41035879629629629</v>
      </c>
      <c r="D2357" s="38" t="s">
        <v>17396</v>
      </c>
      <c r="E2357" s="7" t="s">
        <v>65</v>
      </c>
      <c r="F2357" s="38" t="s">
        <v>182</v>
      </c>
      <c r="G2357" s="38" t="s">
        <v>297</v>
      </c>
      <c r="H2357">
        <v>-1.6E-2</v>
      </c>
      <c r="I2357" t="s">
        <v>19228</v>
      </c>
      <c r="J2357" t="s">
        <v>19229</v>
      </c>
      <c r="K2357" t="s">
        <v>19230</v>
      </c>
      <c r="L2357" t="s">
        <v>19223</v>
      </c>
      <c r="O2357" t="s">
        <v>19224</v>
      </c>
      <c r="P2357" t="s">
        <v>19225</v>
      </c>
      <c r="Q2357">
        <v>421830.25</v>
      </c>
      <c r="R2357">
        <v>6211032.9699999997</v>
      </c>
      <c r="S2357" t="s">
        <v>19226</v>
      </c>
      <c r="T2357" t="s">
        <v>19227</v>
      </c>
      <c r="U2357">
        <v>421803.38</v>
      </c>
      <c r="V2357">
        <v>6211023.5599999996</v>
      </c>
      <c r="W2357">
        <v>136.12</v>
      </c>
      <c r="X2357">
        <v>200.07</v>
      </c>
    </row>
    <row r="2358" spans="1:24" x14ac:dyDescent="0.25">
      <c r="A2358" s="148">
        <v>45107</v>
      </c>
      <c r="B2358" s="46">
        <v>181</v>
      </c>
      <c r="C2358" s="149">
        <v>0.41476851851851854</v>
      </c>
      <c r="D2358" s="38" t="s">
        <v>17396</v>
      </c>
      <c r="E2358" s="7" t="s">
        <v>70</v>
      </c>
      <c r="F2358" s="38" t="s">
        <v>182</v>
      </c>
      <c r="G2358" s="38" t="s">
        <v>297</v>
      </c>
      <c r="H2358">
        <v>0.23200000000000001</v>
      </c>
      <c r="I2358" t="s">
        <v>19228</v>
      </c>
      <c r="J2358" t="s">
        <v>19229</v>
      </c>
      <c r="K2358" t="s">
        <v>19230</v>
      </c>
      <c r="L2358" t="s">
        <v>19235</v>
      </c>
      <c r="O2358" t="s">
        <v>19231</v>
      </c>
      <c r="P2358" t="s">
        <v>19232</v>
      </c>
      <c r="Q2358">
        <v>421996.36</v>
      </c>
      <c r="R2358">
        <v>6210867.6500000004</v>
      </c>
      <c r="S2358" t="s">
        <v>19233</v>
      </c>
      <c r="T2358" t="s">
        <v>19234</v>
      </c>
      <c r="U2358">
        <v>421978.16</v>
      </c>
      <c r="V2358">
        <v>6210848.75</v>
      </c>
      <c r="W2358">
        <v>135.29</v>
      </c>
      <c r="X2358">
        <v>200.07</v>
      </c>
    </row>
    <row r="2359" spans="1:24" x14ac:dyDescent="0.25">
      <c r="A2359" s="148">
        <v>45107</v>
      </c>
      <c r="B2359" s="46">
        <v>181</v>
      </c>
      <c r="C2359" s="149">
        <v>0.41783564814814816</v>
      </c>
      <c r="D2359" s="38" t="s">
        <v>17961</v>
      </c>
      <c r="E2359" s="7" t="s">
        <v>65</v>
      </c>
      <c r="F2359" s="38" t="s">
        <v>182</v>
      </c>
      <c r="G2359" s="38" t="s">
        <v>298</v>
      </c>
      <c r="H2359">
        <v>0.22600000000000001</v>
      </c>
      <c r="I2359" t="s">
        <v>19243</v>
      </c>
      <c r="J2359" t="s">
        <v>19244</v>
      </c>
      <c r="K2359" t="s">
        <v>19245</v>
      </c>
      <c r="L2359" t="s">
        <v>19235</v>
      </c>
      <c r="O2359" t="s">
        <v>19239</v>
      </c>
      <c r="P2359" t="s">
        <v>19240</v>
      </c>
      <c r="Q2359">
        <v>422008.66</v>
      </c>
      <c r="R2359">
        <v>6210868.9100000001</v>
      </c>
      <c r="S2359" t="s">
        <v>19241</v>
      </c>
      <c r="T2359" t="s">
        <v>19242</v>
      </c>
      <c r="U2359">
        <v>421988.7</v>
      </c>
      <c r="V2359">
        <v>6210850.8399999999</v>
      </c>
      <c r="W2359">
        <v>317.68</v>
      </c>
      <c r="X2359">
        <v>200.06</v>
      </c>
    </row>
    <row r="2360" spans="1:24" x14ac:dyDescent="0.25">
      <c r="A2360" s="148">
        <v>45107</v>
      </c>
      <c r="B2360" s="46">
        <v>181</v>
      </c>
      <c r="C2360" s="149">
        <v>0.42248842592592589</v>
      </c>
      <c r="D2360" s="38" t="s">
        <v>17961</v>
      </c>
      <c r="E2360" s="7" t="s">
        <v>70</v>
      </c>
      <c r="F2360" s="38" t="s">
        <v>182</v>
      </c>
      <c r="G2360" s="38" t="s">
        <v>298</v>
      </c>
      <c r="H2360">
        <v>-2.4E-2</v>
      </c>
      <c r="I2360" t="s">
        <v>19243</v>
      </c>
      <c r="J2360" t="s">
        <v>19244</v>
      </c>
      <c r="K2360" t="s">
        <v>19245</v>
      </c>
      <c r="L2360" t="s">
        <v>19235</v>
      </c>
      <c r="O2360" t="s">
        <v>19246</v>
      </c>
      <c r="P2360" t="s">
        <v>19247</v>
      </c>
      <c r="Q2360">
        <v>421833.06</v>
      </c>
      <c r="R2360">
        <v>6211043.4699999997</v>
      </c>
      <c r="S2360" t="s">
        <v>19248</v>
      </c>
      <c r="T2360" t="s">
        <v>19249</v>
      </c>
      <c r="U2360">
        <v>421811.94</v>
      </c>
      <c r="V2360">
        <v>6211027.6900000004</v>
      </c>
      <c r="W2360">
        <v>315.04000000000002</v>
      </c>
      <c r="X2360">
        <v>200.06</v>
      </c>
    </row>
    <row r="2361" spans="1:24" x14ac:dyDescent="0.25">
      <c r="A2361" s="148">
        <v>45107</v>
      </c>
      <c r="B2361" s="46">
        <v>181</v>
      </c>
      <c r="C2361" s="149">
        <v>0.42575231481481479</v>
      </c>
      <c r="D2361" s="38" t="s">
        <v>17961</v>
      </c>
      <c r="E2361" s="7" t="s">
        <v>65</v>
      </c>
      <c r="F2361" s="38" t="s">
        <v>182</v>
      </c>
      <c r="G2361" s="38" t="s">
        <v>299</v>
      </c>
      <c r="H2361">
        <v>-1.9E-2</v>
      </c>
      <c r="I2361" t="s">
        <v>19254</v>
      </c>
      <c r="J2361" t="s">
        <v>19255</v>
      </c>
      <c r="K2361" t="s">
        <v>19256</v>
      </c>
      <c r="L2361" t="s">
        <v>19257</v>
      </c>
      <c r="O2361" t="s">
        <v>19250</v>
      </c>
      <c r="P2361" t="s">
        <v>19251</v>
      </c>
      <c r="Q2361">
        <v>421839.79</v>
      </c>
      <c r="R2361">
        <v>6211050.1200000001</v>
      </c>
      <c r="S2361" t="s">
        <v>19252</v>
      </c>
      <c r="T2361" t="s">
        <v>19253</v>
      </c>
      <c r="U2361">
        <v>421814.1</v>
      </c>
      <c r="V2361">
        <v>6211038.5999999996</v>
      </c>
      <c r="W2361">
        <v>136.88</v>
      </c>
      <c r="X2361">
        <v>200.07</v>
      </c>
    </row>
    <row r="2362" spans="1:24" x14ac:dyDescent="0.25">
      <c r="A2362" s="148">
        <v>45107</v>
      </c>
      <c r="B2362" s="46">
        <v>181</v>
      </c>
      <c r="C2362" s="149">
        <v>0.43041666666666667</v>
      </c>
      <c r="D2362" s="38" t="s">
        <v>17961</v>
      </c>
      <c r="E2362" s="7" t="s">
        <v>70</v>
      </c>
      <c r="F2362" s="38" t="s">
        <v>182</v>
      </c>
      <c r="G2362" s="38" t="s">
        <v>299</v>
      </c>
      <c r="H2362">
        <v>0.23100000000000001</v>
      </c>
      <c r="I2362" t="s">
        <v>19254</v>
      </c>
      <c r="J2362" t="s">
        <v>19255</v>
      </c>
      <c r="K2362" t="s">
        <v>19256</v>
      </c>
      <c r="L2362" t="s">
        <v>19257</v>
      </c>
      <c r="O2362" t="s">
        <v>19258</v>
      </c>
      <c r="P2362" t="s">
        <v>19259</v>
      </c>
      <c r="Q2362">
        <v>422014.97</v>
      </c>
      <c r="R2362">
        <v>6210875.0499999998</v>
      </c>
      <c r="S2362" t="s">
        <v>19260</v>
      </c>
      <c r="T2362" t="s">
        <v>19261</v>
      </c>
      <c r="U2362">
        <v>421990.7</v>
      </c>
      <c r="V2362">
        <v>6210861.8099999996</v>
      </c>
      <c r="W2362">
        <v>134.34</v>
      </c>
      <c r="X2362">
        <v>200.07</v>
      </c>
    </row>
    <row r="2363" spans="1:24" x14ac:dyDescent="0.25">
      <c r="A2363" s="148">
        <v>45107</v>
      </c>
      <c r="B2363" s="46">
        <v>181</v>
      </c>
      <c r="C2363" s="149">
        <v>0.43358796296296293</v>
      </c>
      <c r="D2363" s="38" t="s">
        <v>17961</v>
      </c>
      <c r="E2363" s="7" t="s">
        <v>65</v>
      </c>
      <c r="F2363" s="38" t="s">
        <v>182</v>
      </c>
      <c r="G2363" s="38" t="s">
        <v>300</v>
      </c>
      <c r="H2363">
        <v>0.22700000000000001</v>
      </c>
      <c r="I2363" t="s">
        <v>19266</v>
      </c>
      <c r="J2363" t="s">
        <v>19267</v>
      </c>
      <c r="K2363" t="s">
        <v>19268</v>
      </c>
      <c r="L2363" t="s">
        <v>19257</v>
      </c>
      <c r="O2363" t="s">
        <v>19262</v>
      </c>
      <c r="P2363" t="s">
        <v>19263</v>
      </c>
      <c r="Q2363">
        <v>422025.63</v>
      </c>
      <c r="R2363">
        <v>6210877.7999999998</v>
      </c>
      <c r="S2363" t="s">
        <v>19264</v>
      </c>
      <c r="T2363" t="s">
        <v>19265</v>
      </c>
      <c r="U2363">
        <v>422002.21</v>
      </c>
      <c r="V2363">
        <v>6210862.9199999999</v>
      </c>
      <c r="W2363">
        <v>316.67</v>
      </c>
      <c r="X2363">
        <v>200.06</v>
      </c>
    </row>
    <row r="2364" spans="1:24" x14ac:dyDescent="0.25">
      <c r="A2364" s="148">
        <v>45107</v>
      </c>
      <c r="B2364" s="46">
        <v>181</v>
      </c>
      <c r="C2364" s="149">
        <v>0.43818287037037035</v>
      </c>
      <c r="D2364" s="38" t="s">
        <v>17961</v>
      </c>
      <c r="E2364" s="7" t="s">
        <v>70</v>
      </c>
      <c r="F2364" s="38" t="s">
        <v>182</v>
      </c>
      <c r="G2364" s="38" t="s">
        <v>300</v>
      </c>
      <c r="H2364">
        <v>-1.7999999999999999E-2</v>
      </c>
      <c r="I2364" t="s">
        <v>19266</v>
      </c>
      <c r="J2364" t="s">
        <v>19267</v>
      </c>
      <c r="K2364" t="s">
        <v>19268</v>
      </c>
      <c r="L2364" t="s">
        <v>19273</v>
      </c>
      <c r="O2364" t="s">
        <v>19269</v>
      </c>
      <c r="P2364" t="s">
        <v>19270</v>
      </c>
      <c r="Q2364">
        <v>421851.93</v>
      </c>
      <c r="R2364">
        <v>6211050.9800000004</v>
      </c>
      <c r="S2364" t="s">
        <v>19271</v>
      </c>
      <c r="T2364" t="s">
        <v>19272</v>
      </c>
      <c r="U2364">
        <v>421828.51</v>
      </c>
      <c r="V2364">
        <v>6211036.6600000001</v>
      </c>
      <c r="W2364">
        <v>314.74</v>
      </c>
      <c r="X2364">
        <v>200.06</v>
      </c>
    </row>
    <row r="2365" spans="1:24" x14ac:dyDescent="0.25">
      <c r="A2365" s="148">
        <v>45107</v>
      </c>
      <c r="B2365" s="46">
        <v>181</v>
      </c>
      <c r="C2365" s="149">
        <v>0.44107638888888889</v>
      </c>
      <c r="D2365" s="38" t="s">
        <v>17961</v>
      </c>
      <c r="E2365" s="7" t="s">
        <v>65</v>
      </c>
      <c r="F2365" s="38" t="s">
        <v>182</v>
      </c>
      <c r="G2365" s="38" t="s">
        <v>181</v>
      </c>
      <c r="H2365">
        <v>-1.4E-2</v>
      </c>
      <c r="I2365" t="s">
        <v>19278</v>
      </c>
      <c r="J2365" t="s">
        <v>19279</v>
      </c>
      <c r="K2365" t="s">
        <v>19280</v>
      </c>
      <c r="L2365" t="s">
        <v>19273</v>
      </c>
      <c r="O2365" t="s">
        <v>19274</v>
      </c>
      <c r="P2365" t="s">
        <v>19275</v>
      </c>
      <c r="Q2365">
        <v>421856.62</v>
      </c>
      <c r="R2365">
        <v>6211059.6600000001</v>
      </c>
      <c r="S2365" t="s">
        <v>19276</v>
      </c>
      <c r="T2365" t="s">
        <v>19277</v>
      </c>
      <c r="U2365">
        <v>421830.33</v>
      </c>
      <c r="V2365">
        <v>6211047.7199999997</v>
      </c>
      <c r="W2365">
        <v>135.77000000000001</v>
      </c>
      <c r="X2365">
        <v>200.07</v>
      </c>
    </row>
    <row r="2366" spans="1:24" x14ac:dyDescent="0.25">
      <c r="A2366" s="148">
        <v>45107</v>
      </c>
      <c r="B2366" s="46">
        <v>181</v>
      </c>
      <c r="C2366" s="149">
        <v>0.4456134259259259</v>
      </c>
      <c r="D2366" s="38" t="s">
        <v>17961</v>
      </c>
      <c r="E2366" s="7" t="s">
        <v>70</v>
      </c>
      <c r="F2366" s="38" t="s">
        <v>182</v>
      </c>
      <c r="G2366" s="38" t="s">
        <v>181</v>
      </c>
      <c r="H2366">
        <v>0.22900000000000001</v>
      </c>
      <c r="I2366" t="s">
        <v>19278</v>
      </c>
      <c r="J2366" t="s">
        <v>19279</v>
      </c>
      <c r="K2366" t="s">
        <v>19280</v>
      </c>
      <c r="L2366" t="s">
        <v>19285</v>
      </c>
      <c r="O2366" t="s">
        <v>19281</v>
      </c>
      <c r="P2366" t="s">
        <v>19282</v>
      </c>
      <c r="Q2366">
        <v>422025.52</v>
      </c>
      <c r="R2366">
        <v>6210890.1200000001</v>
      </c>
      <c r="S2366" t="s">
        <v>19283</v>
      </c>
      <c r="T2366" t="s">
        <v>19284</v>
      </c>
      <c r="U2366">
        <v>422001.82</v>
      </c>
      <c r="V2366">
        <v>6210876.0800000001</v>
      </c>
      <c r="W2366">
        <v>134.19999999999999</v>
      </c>
      <c r="X2366">
        <v>200.07</v>
      </c>
    </row>
    <row r="2367" spans="1:24" x14ac:dyDescent="0.25">
      <c r="A2367" s="148">
        <v>45107</v>
      </c>
      <c r="B2367" s="46">
        <v>181</v>
      </c>
      <c r="C2367" s="149">
        <v>0.4485763888888889</v>
      </c>
      <c r="D2367" s="38" t="s">
        <v>17961</v>
      </c>
      <c r="E2367" s="7" t="s">
        <v>65</v>
      </c>
      <c r="F2367" s="38" t="s">
        <v>182</v>
      </c>
      <c r="G2367" s="38" t="s">
        <v>183</v>
      </c>
      <c r="H2367">
        <v>0.224</v>
      </c>
      <c r="I2367" t="s">
        <v>19290</v>
      </c>
      <c r="J2367" t="s">
        <v>19291</v>
      </c>
      <c r="K2367" t="s">
        <v>19292</v>
      </c>
      <c r="L2367" t="s">
        <v>19285</v>
      </c>
      <c r="O2367" t="s">
        <v>19286</v>
      </c>
      <c r="P2367" t="s">
        <v>19287</v>
      </c>
      <c r="Q2367">
        <v>422035.5</v>
      </c>
      <c r="R2367">
        <v>6210891.8300000001</v>
      </c>
      <c r="S2367" t="s">
        <v>19288</v>
      </c>
      <c r="T2367" t="s">
        <v>19289</v>
      </c>
      <c r="U2367">
        <v>422012.44</v>
      </c>
      <c r="V2367">
        <v>6210878.2300000004</v>
      </c>
      <c r="W2367">
        <v>315.45999999999998</v>
      </c>
      <c r="X2367">
        <v>200.07</v>
      </c>
    </row>
    <row r="2368" spans="1:24" x14ac:dyDescent="0.25">
      <c r="A2368" s="148">
        <v>45107</v>
      </c>
      <c r="B2368" s="46">
        <v>181</v>
      </c>
      <c r="C2368" s="149">
        <v>0.45310185185185187</v>
      </c>
      <c r="D2368" s="38" t="s">
        <v>17961</v>
      </c>
      <c r="E2368" s="7" t="s">
        <v>70</v>
      </c>
      <c r="F2368" s="38" t="s">
        <v>182</v>
      </c>
      <c r="G2368" s="38" t="s">
        <v>183</v>
      </c>
      <c r="H2368">
        <v>-1.7999999999999999E-2</v>
      </c>
      <c r="I2368" t="s">
        <v>19290</v>
      </c>
      <c r="J2368" t="s">
        <v>19291</v>
      </c>
      <c r="K2368" t="s">
        <v>19292</v>
      </c>
      <c r="L2368" t="s">
        <v>19285</v>
      </c>
      <c r="O2368" t="s">
        <v>19293</v>
      </c>
      <c r="P2368" t="s">
        <v>19294</v>
      </c>
      <c r="Q2368">
        <v>421864.52</v>
      </c>
      <c r="R2368">
        <v>6211061.3799999999</v>
      </c>
      <c r="S2368" t="s">
        <v>19295</v>
      </c>
      <c r="T2368" t="s">
        <v>19296</v>
      </c>
      <c r="U2368">
        <v>421841.64</v>
      </c>
      <c r="V2368">
        <v>6211048.9800000004</v>
      </c>
      <c r="W2368">
        <v>315.3</v>
      </c>
      <c r="X2368">
        <v>200.07</v>
      </c>
    </row>
    <row r="2369" spans="1:24" x14ac:dyDescent="0.25">
      <c r="A2369" s="148">
        <v>45107</v>
      </c>
      <c r="B2369" s="46">
        <v>181</v>
      </c>
      <c r="C2369" s="149">
        <v>0.45833333333333331</v>
      </c>
      <c r="D2369" s="38" t="s">
        <v>17961</v>
      </c>
      <c r="E2369" s="7" t="s">
        <v>19308</v>
      </c>
      <c r="F2369" s="38" t="s">
        <v>182</v>
      </c>
      <c r="G2369" s="38" t="s">
        <v>736</v>
      </c>
      <c r="H2369">
        <v>0.17199999999999999</v>
      </c>
      <c r="O2369" t="s">
        <v>19298</v>
      </c>
      <c r="P2369" t="s">
        <v>19299</v>
      </c>
      <c r="Q2369">
        <v>419705.87</v>
      </c>
      <c r="R2369">
        <v>6209311.75</v>
      </c>
      <c r="S2369" t="s">
        <v>19300</v>
      </c>
      <c r="T2369" t="s">
        <v>19301</v>
      </c>
      <c r="U2369">
        <v>419676.54</v>
      </c>
      <c r="V2369">
        <v>6209304.5300000003</v>
      </c>
      <c r="W2369">
        <v>316.79000000000002</v>
      </c>
      <c r="X2369">
        <v>150.05000000000001</v>
      </c>
    </row>
    <row r="2370" spans="1:24" s="169" customFormat="1" x14ac:dyDescent="0.25">
      <c r="A2370" s="65">
        <v>45107</v>
      </c>
      <c r="B2370" s="106">
        <v>181</v>
      </c>
      <c r="C2370" s="67">
        <v>0.48226851851851849</v>
      </c>
      <c r="D2370" s="66" t="s">
        <v>17961</v>
      </c>
      <c r="E2370" s="170" t="s">
        <v>19307</v>
      </c>
      <c r="F2370" s="66" t="s">
        <v>460</v>
      </c>
      <c r="G2370" s="66" t="s">
        <v>736</v>
      </c>
      <c r="H2370" s="169">
        <v>0.17199999999999999</v>
      </c>
      <c r="M2370" s="169" t="s">
        <v>19302</v>
      </c>
      <c r="O2370" s="169" t="s">
        <v>19303</v>
      </c>
      <c r="P2370" s="169" t="s">
        <v>19304</v>
      </c>
      <c r="Q2370" s="169">
        <v>419705.92</v>
      </c>
      <c r="R2370" s="169">
        <v>6209311.9500000002</v>
      </c>
      <c r="S2370" s="169" t="s">
        <v>19305</v>
      </c>
      <c r="T2370" s="169" t="s">
        <v>19306</v>
      </c>
      <c r="U2370" s="169">
        <v>419676.66</v>
      </c>
      <c r="V2370" s="169">
        <v>6209304.5099999998</v>
      </c>
      <c r="W2370" s="169">
        <v>314.70999999999998</v>
      </c>
      <c r="X2370" s="169">
        <v>150.05000000000001</v>
      </c>
    </row>
    <row r="2371" spans="1:24" x14ac:dyDescent="0.25">
      <c r="A2371" s="148">
        <v>45107</v>
      </c>
      <c r="B2371" s="46">
        <v>181</v>
      </c>
      <c r="C2371" s="149">
        <v>0.48271990740740739</v>
      </c>
      <c r="D2371" s="38" t="s">
        <v>17961</v>
      </c>
      <c r="E2371" s="153" t="s">
        <v>19348</v>
      </c>
      <c r="F2371" s="38" t="s">
        <v>182</v>
      </c>
      <c r="G2371" s="38" t="s">
        <v>736</v>
      </c>
      <c r="H2371">
        <v>0.17199999999999999</v>
      </c>
      <c r="O2371" t="s">
        <v>19309</v>
      </c>
      <c r="P2371" t="s">
        <v>19310</v>
      </c>
      <c r="Q2371">
        <v>419706.5</v>
      </c>
      <c r="R2371">
        <v>6209312.8899999997</v>
      </c>
      <c r="S2371" t="s">
        <v>19311</v>
      </c>
      <c r="T2371" t="s">
        <v>19312</v>
      </c>
      <c r="U2371">
        <v>419676.67</v>
      </c>
      <c r="V2371">
        <v>6209304.4500000002</v>
      </c>
      <c r="W2371">
        <v>314.13</v>
      </c>
      <c r="X2371">
        <v>150.05000000000001</v>
      </c>
    </row>
    <row r="2372" spans="1:24" x14ac:dyDescent="0.25">
      <c r="A2372" s="148">
        <v>45107</v>
      </c>
      <c r="B2372" s="46">
        <v>181</v>
      </c>
      <c r="C2372" s="149">
        <v>0.48593749999999997</v>
      </c>
      <c r="D2372" s="38" t="s">
        <v>17961</v>
      </c>
      <c r="E2372" s="7" t="s">
        <v>65</v>
      </c>
      <c r="F2372" s="38" t="s">
        <v>460</v>
      </c>
      <c r="G2372" s="38" t="s">
        <v>736</v>
      </c>
      <c r="H2372">
        <v>0.17199999999999999</v>
      </c>
      <c r="I2372" t="s">
        <v>19316</v>
      </c>
      <c r="J2372" t="s">
        <v>19317</v>
      </c>
      <c r="K2372" t="s">
        <v>19318</v>
      </c>
      <c r="L2372" t="s">
        <v>19319</v>
      </c>
      <c r="O2372" t="s">
        <v>19313</v>
      </c>
      <c r="P2372" t="s">
        <v>19314</v>
      </c>
      <c r="Q2372">
        <v>419696.47</v>
      </c>
      <c r="R2372">
        <v>6209322.3700000001</v>
      </c>
      <c r="S2372" t="s">
        <v>19305</v>
      </c>
      <c r="T2372" t="s">
        <v>19315</v>
      </c>
      <c r="U2372">
        <v>419675.94</v>
      </c>
      <c r="V2372">
        <v>6209304.5199999996</v>
      </c>
      <c r="W2372">
        <v>316.41000000000003</v>
      </c>
      <c r="X2372">
        <v>150.05000000000001</v>
      </c>
    </row>
    <row r="2373" spans="1:24" x14ac:dyDescent="0.25">
      <c r="A2373" s="148">
        <v>45107</v>
      </c>
      <c r="B2373" s="46">
        <v>181</v>
      </c>
      <c r="C2373" s="149">
        <v>0.48961805555555554</v>
      </c>
      <c r="D2373" s="38" t="s">
        <v>17961</v>
      </c>
      <c r="E2373" s="7" t="s">
        <v>70</v>
      </c>
      <c r="F2373" s="38" t="s">
        <v>460</v>
      </c>
      <c r="G2373" s="38" t="s">
        <v>736</v>
      </c>
      <c r="H2373">
        <v>-2.1000000000000001E-2</v>
      </c>
      <c r="I2373" t="s">
        <v>19316</v>
      </c>
      <c r="J2373" t="s">
        <v>19317</v>
      </c>
      <c r="K2373" t="s">
        <v>19318</v>
      </c>
      <c r="L2373" t="s">
        <v>19324</v>
      </c>
      <c r="O2373" t="s">
        <v>19320</v>
      </c>
      <c r="P2373" t="s">
        <v>19321</v>
      </c>
      <c r="Q2373">
        <v>419559.55</v>
      </c>
      <c r="R2373">
        <v>6209457.5999999996</v>
      </c>
      <c r="S2373" t="s">
        <v>19322</v>
      </c>
      <c r="T2373" t="s">
        <v>19323</v>
      </c>
      <c r="U2373">
        <v>419539.78</v>
      </c>
      <c r="V2373">
        <v>6209440.7699999996</v>
      </c>
      <c r="W2373">
        <v>315.73</v>
      </c>
      <c r="X2373">
        <v>150.05000000000001</v>
      </c>
    </row>
    <row r="2374" spans="1:24" x14ac:dyDescent="0.25">
      <c r="A2374" s="148">
        <v>45107</v>
      </c>
      <c r="B2374" s="46">
        <v>181</v>
      </c>
      <c r="C2374" s="149">
        <v>0.49322916666666666</v>
      </c>
      <c r="D2374" s="38" t="s">
        <v>17961</v>
      </c>
      <c r="E2374" s="7" t="s">
        <v>65</v>
      </c>
      <c r="F2374" s="38" t="s">
        <v>460</v>
      </c>
      <c r="G2374" s="38" t="s">
        <v>737</v>
      </c>
      <c r="H2374">
        <v>-2.1999999999999999E-2</v>
      </c>
      <c r="I2374" t="s">
        <v>19329</v>
      </c>
      <c r="J2374" t="s">
        <v>19330</v>
      </c>
      <c r="K2374" t="s">
        <v>19331</v>
      </c>
      <c r="L2374" t="s">
        <v>19324</v>
      </c>
      <c r="O2374" t="s">
        <v>19325</v>
      </c>
      <c r="P2374" t="s">
        <v>19326</v>
      </c>
      <c r="Q2374">
        <v>419559.55</v>
      </c>
      <c r="R2374">
        <v>6209470</v>
      </c>
      <c r="S2374" t="s">
        <v>19327</v>
      </c>
      <c r="T2374" t="s">
        <v>19328</v>
      </c>
      <c r="U2374">
        <v>419537.79</v>
      </c>
      <c r="V2374">
        <v>6209455.2800000003</v>
      </c>
      <c r="W2374">
        <v>133.43</v>
      </c>
      <c r="X2374">
        <v>150.05000000000001</v>
      </c>
    </row>
    <row r="2375" spans="1:24" x14ac:dyDescent="0.25">
      <c r="A2375" s="148">
        <v>45107</v>
      </c>
      <c r="B2375" s="46">
        <v>181</v>
      </c>
      <c r="C2375" s="149">
        <v>0.49693287037037037</v>
      </c>
      <c r="D2375" s="38" t="s">
        <v>17961</v>
      </c>
      <c r="E2375" s="7" t="s">
        <v>70</v>
      </c>
      <c r="F2375" s="38" t="s">
        <v>460</v>
      </c>
      <c r="G2375" s="38" t="s">
        <v>737</v>
      </c>
      <c r="H2375">
        <v>0.17599999999999999</v>
      </c>
      <c r="I2375" t="s">
        <v>19329</v>
      </c>
      <c r="J2375" t="s">
        <v>19330</v>
      </c>
      <c r="K2375" t="s">
        <v>19331</v>
      </c>
      <c r="L2375" t="s">
        <v>19324</v>
      </c>
      <c r="O2375" t="s">
        <v>19332</v>
      </c>
      <c r="P2375" t="s">
        <v>19333</v>
      </c>
      <c r="Q2375">
        <v>419696.82</v>
      </c>
      <c r="R2375">
        <v>6209333.1500000004</v>
      </c>
      <c r="S2375" t="s">
        <v>19334</v>
      </c>
      <c r="T2375" t="s">
        <v>19335</v>
      </c>
      <c r="U2375">
        <v>419677.78</v>
      </c>
      <c r="V2375">
        <v>6209315.3499999996</v>
      </c>
      <c r="W2375">
        <v>135.08000000000001</v>
      </c>
      <c r="X2375">
        <v>150.05000000000001</v>
      </c>
    </row>
    <row r="2376" spans="1:24" x14ac:dyDescent="0.25">
      <c r="A2376" s="148">
        <v>45107</v>
      </c>
      <c r="B2376" s="46">
        <v>181</v>
      </c>
      <c r="C2376" s="149">
        <v>0.50024305555555559</v>
      </c>
      <c r="D2376" s="38" t="s">
        <v>17961</v>
      </c>
      <c r="E2376" s="7" t="s">
        <v>65</v>
      </c>
      <c r="F2376" s="38" t="s">
        <v>460</v>
      </c>
      <c r="G2376" s="38" t="s">
        <v>738</v>
      </c>
      <c r="H2376">
        <v>0.17199999999999999</v>
      </c>
      <c r="I2376" t="s">
        <v>19340</v>
      </c>
      <c r="J2376" t="s">
        <v>19341</v>
      </c>
      <c r="K2376" t="s">
        <v>19342</v>
      </c>
      <c r="L2376" t="s">
        <v>19343</v>
      </c>
      <c r="O2376" t="s">
        <v>19336</v>
      </c>
      <c r="P2376" t="s">
        <v>19337</v>
      </c>
      <c r="Q2376">
        <v>419710.95</v>
      </c>
      <c r="R2376">
        <v>6209332.3499999996</v>
      </c>
      <c r="S2376" t="s">
        <v>19338</v>
      </c>
      <c r="T2376" t="s">
        <v>19339</v>
      </c>
      <c r="U2376">
        <v>419688.48</v>
      </c>
      <c r="V2376">
        <v>6209317.3899999997</v>
      </c>
      <c r="W2376">
        <v>316.25</v>
      </c>
      <c r="X2376">
        <v>150.05000000000001</v>
      </c>
    </row>
    <row r="2377" spans="1:24" x14ac:dyDescent="0.25">
      <c r="A2377" s="148">
        <v>45107</v>
      </c>
      <c r="B2377" s="46">
        <v>181</v>
      </c>
      <c r="C2377" s="149">
        <v>0.50388888888888894</v>
      </c>
      <c r="D2377" s="38" t="s">
        <v>17961</v>
      </c>
      <c r="E2377" s="7" t="s">
        <v>70</v>
      </c>
      <c r="F2377" s="38" t="s">
        <v>460</v>
      </c>
      <c r="G2377" s="38" t="s">
        <v>738</v>
      </c>
      <c r="H2377">
        <v>-2.1000000000000001E-2</v>
      </c>
      <c r="I2377" t="s">
        <v>19340</v>
      </c>
      <c r="J2377" t="s">
        <v>19341</v>
      </c>
      <c r="K2377" t="s">
        <v>19342</v>
      </c>
      <c r="L2377" t="s">
        <v>19343</v>
      </c>
      <c r="O2377" t="s">
        <v>19344</v>
      </c>
      <c r="P2377" t="s">
        <v>19345</v>
      </c>
      <c r="Q2377">
        <v>419574.74</v>
      </c>
      <c r="R2377">
        <v>6209468.3099999996</v>
      </c>
      <c r="S2377" t="s">
        <v>19346</v>
      </c>
      <c r="T2377" t="s">
        <v>19347</v>
      </c>
      <c r="U2377">
        <v>419552.23</v>
      </c>
      <c r="V2377">
        <v>6209453.7599999998</v>
      </c>
      <c r="W2377">
        <v>315.13</v>
      </c>
      <c r="X2377">
        <v>150.05000000000001</v>
      </c>
    </row>
    <row r="2378" spans="1:24" x14ac:dyDescent="0.25">
      <c r="A2378" s="148">
        <v>45107</v>
      </c>
      <c r="B2378" s="46">
        <v>181</v>
      </c>
      <c r="C2378" s="149">
        <v>0.50680555555555562</v>
      </c>
      <c r="D2378" s="38" t="s">
        <v>17961</v>
      </c>
      <c r="E2378" s="7" t="s">
        <v>65</v>
      </c>
      <c r="F2378" s="38" t="s">
        <v>460</v>
      </c>
      <c r="G2378" s="38" t="s">
        <v>739</v>
      </c>
      <c r="H2378">
        <v>-1.6E-2</v>
      </c>
      <c r="I2378" t="s">
        <v>19353</v>
      </c>
      <c r="J2378" t="s">
        <v>19354</v>
      </c>
      <c r="K2378" t="s">
        <v>19355</v>
      </c>
      <c r="L2378" t="s">
        <v>19343</v>
      </c>
      <c r="O2378" t="s">
        <v>19349</v>
      </c>
      <c r="P2378" t="s">
        <v>19350</v>
      </c>
      <c r="Q2378">
        <v>419575.91</v>
      </c>
      <c r="R2378">
        <v>6209479.6299999999</v>
      </c>
      <c r="S2378" t="s">
        <v>19351</v>
      </c>
      <c r="T2378" t="s">
        <v>19352</v>
      </c>
      <c r="U2378">
        <v>419554.51</v>
      </c>
      <c r="V2378">
        <v>6209464.2999999998</v>
      </c>
      <c r="W2378">
        <v>135.78</v>
      </c>
      <c r="X2378">
        <v>150.05000000000001</v>
      </c>
    </row>
    <row r="2379" spans="1:24" x14ac:dyDescent="0.25">
      <c r="A2379" s="148">
        <v>45107</v>
      </c>
      <c r="B2379" s="46">
        <v>181</v>
      </c>
      <c r="C2379" s="149">
        <v>0.51043981481481482</v>
      </c>
      <c r="D2379" s="38" t="s">
        <v>17961</v>
      </c>
      <c r="E2379" s="7" t="s">
        <v>70</v>
      </c>
      <c r="F2379" s="38" t="s">
        <v>460</v>
      </c>
      <c r="G2379" s="38" t="s">
        <v>739</v>
      </c>
      <c r="H2379">
        <v>0.17699999999999999</v>
      </c>
      <c r="I2379" t="s">
        <v>19353</v>
      </c>
      <c r="J2379" t="s">
        <v>19354</v>
      </c>
      <c r="K2379" t="s">
        <v>19355</v>
      </c>
      <c r="L2379" t="s">
        <v>19360</v>
      </c>
      <c r="O2379" t="s">
        <v>19356</v>
      </c>
      <c r="P2379" t="s">
        <v>19357</v>
      </c>
      <c r="Q2379">
        <v>419710.15</v>
      </c>
      <c r="R2379">
        <v>6209345.2699999996</v>
      </c>
      <c r="S2379" t="s">
        <v>19358</v>
      </c>
      <c r="T2379" t="s">
        <v>19359</v>
      </c>
      <c r="U2379">
        <v>419690.67</v>
      </c>
      <c r="V2379">
        <v>6209328.0199999996</v>
      </c>
      <c r="W2379">
        <v>135.51</v>
      </c>
      <c r="X2379">
        <v>150.05000000000001</v>
      </c>
    </row>
    <row r="2380" spans="1:24" x14ac:dyDescent="0.25">
      <c r="A2380" s="148">
        <v>45107</v>
      </c>
      <c r="B2380" s="46">
        <v>181</v>
      </c>
      <c r="C2380" s="149">
        <v>0.5135763888888889</v>
      </c>
      <c r="D2380" s="38" t="s">
        <v>17961</v>
      </c>
      <c r="E2380" s="7" t="s">
        <v>65</v>
      </c>
      <c r="F2380" s="38" t="s">
        <v>460</v>
      </c>
      <c r="G2380" s="38" t="s">
        <v>740</v>
      </c>
      <c r="H2380">
        <v>0.17299999999999999</v>
      </c>
      <c r="I2380" t="s">
        <v>19365</v>
      </c>
      <c r="J2380" t="s">
        <v>19366</v>
      </c>
      <c r="K2380" t="s">
        <v>19367</v>
      </c>
      <c r="L2380" t="s">
        <v>19360</v>
      </c>
      <c r="O2380" t="s">
        <v>19361</v>
      </c>
      <c r="P2380" t="s">
        <v>19362</v>
      </c>
      <c r="Q2380">
        <v>419723.38</v>
      </c>
      <c r="R2380">
        <v>6209343.0899999999</v>
      </c>
      <c r="S2380" t="s">
        <v>19363</v>
      </c>
      <c r="T2380" t="s">
        <v>19364</v>
      </c>
      <c r="U2380">
        <v>419702.06</v>
      </c>
      <c r="V2380">
        <v>6209329.0700000003</v>
      </c>
      <c r="W2380">
        <v>317.08</v>
      </c>
      <c r="X2380">
        <v>150.05000000000001</v>
      </c>
    </row>
    <row r="2381" spans="1:24" x14ac:dyDescent="0.25">
      <c r="A2381" s="148">
        <v>45107</v>
      </c>
      <c r="B2381" s="46">
        <v>181</v>
      </c>
      <c r="C2381" s="149">
        <v>0.51718750000000002</v>
      </c>
      <c r="D2381" s="38" t="s">
        <v>17961</v>
      </c>
      <c r="E2381" s="7" t="s">
        <v>70</v>
      </c>
      <c r="F2381" s="38" t="s">
        <v>460</v>
      </c>
      <c r="G2381" s="38" t="s">
        <v>740</v>
      </c>
      <c r="H2381">
        <v>-0.02</v>
      </c>
      <c r="I2381" t="s">
        <v>19365</v>
      </c>
      <c r="J2381" t="s">
        <v>19366</v>
      </c>
      <c r="K2381" t="s">
        <v>19367</v>
      </c>
      <c r="L2381" t="s">
        <v>19360</v>
      </c>
      <c r="O2381" t="s">
        <v>19368</v>
      </c>
      <c r="P2381" t="s">
        <v>19369</v>
      </c>
      <c r="Q2381">
        <v>419588.86</v>
      </c>
      <c r="R2381">
        <v>6209478.25</v>
      </c>
      <c r="S2381" t="s">
        <v>19370</v>
      </c>
      <c r="T2381" t="s">
        <v>19371</v>
      </c>
      <c r="U2381">
        <v>419565.66</v>
      </c>
      <c r="V2381">
        <v>6209465.6900000004</v>
      </c>
      <c r="W2381">
        <v>314.77999999999997</v>
      </c>
      <c r="X2381">
        <v>150.05000000000001</v>
      </c>
    </row>
    <row r="2382" spans="1:24" x14ac:dyDescent="0.25">
      <c r="A2382" s="148">
        <v>45107</v>
      </c>
      <c r="B2382" s="46">
        <v>181</v>
      </c>
      <c r="C2382" s="149">
        <v>0.52059027777777778</v>
      </c>
      <c r="D2382" s="38" t="s">
        <v>17961</v>
      </c>
      <c r="E2382" s="7" t="s">
        <v>65</v>
      </c>
      <c r="F2382" s="38" t="s">
        <v>460</v>
      </c>
      <c r="G2382" s="38" t="s">
        <v>741</v>
      </c>
      <c r="H2382">
        <v>-1.6E-2</v>
      </c>
      <c r="I2382" t="s">
        <v>19376</v>
      </c>
      <c r="J2382" t="s">
        <v>19377</v>
      </c>
      <c r="K2382" t="s">
        <v>19378</v>
      </c>
      <c r="L2382" t="s">
        <v>19379</v>
      </c>
      <c r="O2382" t="s">
        <v>19372</v>
      </c>
      <c r="P2382" t="s">
        <v>19373</v>
      </c>
      <c r="Q2382">
        <v>419586.95</v>
      </c>
      <c r="R2382">
        <v>6209491.7599999998</v>
      </c>
      <c r="S2382" t="s">
        <v>19374</v>
      </c>
      <c r="T2382" t="s">
        <v>19375</v>
      </c>
      <c r="U2382">
        <v>419567.4</v>
      </c>
      <c r="V2382">
        <v>6209476.8499999996</v>
      </c>
      <c r="W2382">
        <v>135.51</v>
      </c>
      <c r="X2382">
        <v>150.05000000000001</v>
      </c>
    </row>
    <row r="2383" spans="1:24" x14ac:dyDescent="0.25">
      <c r="A2383" s="148">
        <v>45107</v>
      </c>
      <c r="B2383" s="46">
        <v>181</v>
      </c>
      <c r="C2383" s="149">
        <v>0.52430555555555558</v>
      </c>
      <c r="D2383" s="38" t="s">
        <v>17961</v>
      </c>
      <c r="E2383" s="160" t="s">
        <v>70</v>
      </c>
      <c r="F2383" s="38" t="s">
        <v>460</v>
      </c>
      <c r="G2383" s="38" t="s">
        <v>741</v>
      </c>
      <c r="H2383">
        <v>0.17799999999999999</v>
      </c>
      <c r="I2383" t="s">
        <v>19376</v>
      </c>
      <c r="J2383" t="s">
        <v>19377</v>
      </c>
      <c r="K2383" t="s">
        <v>19378</v>
      </c>
      <c r="L2383" t="s">
        <v>19379</v>
      </c>
      <c r="O2383" t="s">
        <v>19380</v>
      </c>
      <c r="P2383" t="s">
        <v>19381</v>
      </c>
      <c r="Q2383">
        <v>419723.97</v>
      </c>
      <c r="R2383">
        <v>6209354.2599999998</v>
      </c>
      <c r="S2383" t="s">
        <v>19382</v>
      </c>
      <c r="T2383" t="s">
        <v>19383</v>
      </c>
      <c r="U2383">
        <v>419704.19</v>
      </c>
      <c r="V2383">
        <v>6209340.0099999998</v>
      </c>
      <c r="W2383">
        <v>135.38</v>
      </c>
      <c r="X2383">
        <v>150.05000000000001</v>
      </c>
    </row>
    <row r="2384" spans="1:24" x14ac:dyDescent="0.25">
      <c r="A2384" s="148">
        <v>45107</v>
      </c>
      <c r="B2384" s="46">
        <v>181</v>
      </c>
      <c r="C2384" s="149">
        <v>0.52813657407407411</v>
      </c>
      <c r="D2384" s="38" t="s">
        <v>17961</v>
      </c>
      <c r="E2384" s="7" t="s">
        <v>65</v>
      </c>
      <c r="F2384" s="38" t="s">
        <v>460</v>
      </c>
      <c r="G2384" s="38" t="s">
        <v>735</v>
      </c>
      <c r="H2384">
        <v>0.17399999999999999</v>
      </c>
      <c r="I2384" t="s">
        <v>19388</v>
      </c>
      <c r="J2384" t="s">
        <v>19389</v>
      </c>
      <c r="K2384" t="s">
        <v>19390</v>
      </c>
      <c r="L2384" t="s">
        <v>19379</v>
      </c>
      <c r="O2384" t="s">
        <v>19384</v>
      </c>
      <c r="P2384" t="s">
        <v>19385</v>
      </c>
      <c r="Q2384">
        <v>419726.3</v>
      </c>
      <c r="R2384">
        <v>6209366.5300000003</v>
      </c>
      <c r="S2384" t="s">
        <v>19386</v>
      </c>
      <c r="T2384" t="s">
        <v>19387</v>
      </c>
      <c r="U2384">
        <v>419715.58</v>
      </c>
      <c r="V2384">
        <v>6209341.0700000003</v>
      </c>
      <c r="W2384">
        <v>316.02999999999997</v>
      </c>
      <c r="X2384">
        <v>150.05000000000001</v>
      </c>
    </row>
    <row r="2385" spans="1:24" x14ac:dyDescent="0.25">
      <c r="A2385" s="148">
        <v>45107</v>
      </c>
      <c r="B2385" s="46">
        <v>181</v>
      </c>
      <c r="C2385" s="149">
        <v>0.5317708333333333</v>
      </c>
      <c r="D2385" s="38" t="s">
        <v>17961</v>
      </c>
      <c r="E2385" s="7" t="s">
        <v>70</v>
      </c>
      <c r="F2385" s="38" t="s">
        <v>460</v>
      </c>
      <c r="G2385" s="38" t="s">
        <v>735</v>
      </c>
      <c r="H2385">
        <v>-2.1000000000000001E-2</v>
      </c>
      <c r="I2385" t="s">
        <v>19388</v>
      </c>
      <c r="J2385" t="s">
        <v>19389</v>
      </c>
      <c r="K2385" t="s">
        <v>19390</v>
      </c>
      <c r="L2385" t="s">
        <v>19395</v>
      </c>
      <c r="O2385" t="s">
        <v>19391</v>
      </c>
      <c r="P2385" t="s">
        <v>19392</v>
      </c>
      <c r="Q2385">
        <v>419596.09</v>
      </c>
      <c r="R2385">
        <v>6209496.7699999996</v>
      </c>
      <c r="S2385" t="s">
        <v>19393</v>
      </c>
      <c r="T2385" t="s">
        <v>19394</v>
      </c>
      <c r="U2385">
        <v>419578.09</v>
      </c>
      <c r="V2385">
        <v>6209478.7000000002</v>
      </c>
      <c r="W2385">
        <v>314.88</v>
      </c>
      <c r="X2385">
        <v>150.05000000000001</v>
      </c>
    </row>
    <row r="2386" spans="1:24" x14ac:dyDescent="0.25">
      <c r="A2386" s="148">
        <v>45107</v>
      </c>
      <c r="B2386" s="46">
        <v>181</v>
      </c>
      <c r="C2386" s="149">
        <v>0.53476851851851859</v>
      </c>
      <c r="D2386" s="38" t="s">
        <v>17961</v>
      </c>
      <c r="E2386" s="7" t="s">
        <v>65</v>
      </c>
      <c r="F2386" s="38" t="s">
        <v>460</v>
      </c>
      <c r="G2386" s="38" t="s">
        <v>734</v>
      </c>
      <c r="H2386">
        <v>-1.6E-2</v>
      </c>
      <c r="I2386" t="s">
        <v>19400</v>
      </c>
      <c r="J2386" t="s">
        <v>19401</v>
      </c>
      <c r="K2386" t="s">
        <v>19402</v>
      </c>
      <c r="L2386" t="s">
        <v>19395</v>
      </c>
      <c r="O2386" t="s">
        <v>19396</v>
      </c>
      <c r="P2386" t="s">
        <v>19397</v>
      </c>
      <c r="Q2386">
        <v>419599.43</v>
      </c>
      <c r="R2386">
        <v>6209506.5199999996</v>
      </c>
      <c r="S2386" t="s">
        <v>19398</v>
      </c>
      <c r="T2386" t="s">
        <v>19399</v>
      </c>
      <c r="U2386">
        <v>419580.19</v>
      </c>
      <c r="V2386">
        <v>6209489.4400000004</v>
      </c>
      <c r="W2386">
        <v>136.4</v>
      </c>
      <c r="X2386">
        <v>150.05000000000001</v>
      </c>
    </row>
    <row r="2387" spans="1:24" x14ac:dyDescent="0.25">
      <c r="A2387" s="148">
        <v>45107</v>
      </c>
      <c r="B2387" s="46">
        <v>181</v>
      </c>
      <c r="C2387" s="149">
        <v>0.53841435185185182</v>
      </c>
      <c r="D2387" s="38" t="s">
        <v>17961</v>
      </c>
      <c r="E2387" s="7" t="s">
        <v>70</v>
      </c>
      <c r="F2387" s="38" t="s">
        <v>460</v>
      </c>
      <c r="G2387" s="38" t="s">
        <v>734</v>
      </c>
      <c r="H2387">
        <v>0.17799999999999999</v>
      </c>
      <c r="I2387" t="s">
        <v>19400</v>
      </c>
      <c r="J2387" t="s">
        <v>19401</v>
      </c>
      <c r="K2387" t="s">
        <v>19402</v>
      </c>
      <c r="L2387" t="s">
        <v>19395</v>
      </c>
      <c r="O2387" t="s">
        <v>19403</v>
      </c>
      <c r="P2387" t="s">
        <v>19404</v>
      </c>
      <c r="Q2387">
        <v>419733.38</v>
      </c>
      <c r="R2387">
        <v>6209371.3700000001</v>
      </c>
      <c r="S2387" t="s">
        <v>19405</v>
      </c>
      <c r="T2387" t="s">
        <v>19406</v>
      </c>
      <c r="U2387">
        <v>419717.41</v>
      </c>
      <c r="V2387">
        <v>6209352.0800000001</v>
      </c>
      <c r="W2387">
        <v>136.1</v>
      </c>
      <c r="X2387">
        <v>150.05000000000001</v>
      </c>
    </row>
    <row r="2388" spans="1:24" x14ac:dyDescent="0.25">
      <c r="A2388" s="148">
        <v>45107</v>
      </c>
      <c r="B2388" s="46">
        <v>181</v>
      </c>
      <c r="C2388" s="149">
        <v>0.54134259259259265</v>
      </c>
      <c r="D2388" s="38" t="s">
        <v>17961</v>
      </c>
      <c r="E2388" s="7" t="s">
        <v>65</v>
      </c>
      <c r="F2388" s="38" t="s">
        <v>460</v>
      </c>
      <c r="G2388" s="38" t="s">
        <v>733</v>
      </c>
      <c r="H2388">
        <v>0.17399999999999999</v>
      </c>
      <c r="I2388" t="s">
        <v>19411</v>
      </c>
      <c r="J2388" t="s">
        <v>19412</v>
      </c>
      <c r="K2388" t="s">
        <v>19413</v>
      </c>
      <c r="L2388" t="s">
        <v>19414</v>
      </c>
      <c r="O2388" t="s">
        <v>19407</v>
      </c>
      <c r="P2388" t="s">
        <v>19408</v>
      </c>
      <c r="Q2388">
        <v>419753.36</v>
      </c>
      <c r="R2388">
        <v>6209364.0499999998</v>
      </c>
      <c r="S2388" t="s">
        <v>19409</v>
      </c>
      <c r="T2388" t="s">
        <v>19410</v>
      </c>
      <c r="U2388">
        <v>419728.33</v>
      </c>
      <c r="V2388">
        <v>6209353.5700000003</v>
      </c>
      <c r="W2388">
        <v>316.7</v>
      </c>
      <c r="X2388">
        <v>150.05000000000001</v>
      </c>
    </row>
    <row r="2389" spans="1:24" x14ac:dyDescent="0.25">
      <c r="A2389" s="148">
        <v>45107</v>
      </c>
      <c r="B2389" s="46">
        <v>181</v>
      </c>
      <c r="C2389" s="149">
        <v>0.54520833333333341</v>
      </c>
      <c r="D2389" s="38" t="s">
        <v>17961</v>
      </c>
      <c r="E2389" s="7" t="s">
        <v>70</v>
      </c>
      <c r="F2389" s="38" t="s">
        <v>460</v>
      </c>
      <c r="G2389" s="38" t="s">
        <v>733</v>
      </c>
      <c r="H2389">
        <v>-1.9E-2</v>
      </c>
      <c r="I2389" t="s">
        <v>19411</v>
      </c>
      <c r="J2389" t="s">
        <v>19412</v>
      </c>
      <c r="K2389" t="s">
        <v>19413</v>
      </c>
      <c r="L2389" t="s">
        <v>19414</v>
      </c>
      <c r="O2389" t="s">
        <v>19415</v>
      </c>
      <c r="P2389" t="s">
        <v>19416</v>
      </c>
      <c r="Q2389">
        <v>419609.77</v>
      </c>
      <c r="R2389">
        <v>6209506.5999999996</v>
      </c>
      <c r="S2389" t="s">
        <v>19417</v>
      </c>
      <c r="T2389" t="s">
        <v>19418</v>
      </c>
      <c r="U2389">
        <v>419591.82</v>
      </c>
      <c r="V2389">
        <v>6209490.1900000004</v>
      </c>
      <c r="W2389">
        <v>315.13</v>
      </c>
      <c r="X2389">
        <v>150.05000000000001</v>
      </c>
    </row>
    <row r="2390" spans="1:24" x14ac:dyDescent="0.25">
      <c r="A2390" s="148">
        <v>45107</v>
      </c>
      <c r="B2390" s="46">
        <v>181</v>
      </c>
      <c r="C2390" s="149">
        <v>0.54821759259259262</v>
      </c>
      <c r="D2390" s="38" t="s">
        <v>17961</v>
      </c>
      <c r="E2390" s="7" t="s">
        <v>65</v>
      </c>
      <c r="F2390" s="38" t="s">
        <v>460</v>
      </c>
      <c r="G2390" s="38" t="s">
        <v>732</v>
      </c>
      <c r="H2390">
        <v>-1.4E-2</v>
      </c>
      <c r="I2390" t="s">
        <v>19423</v>
      </c>
      <c r="J2390" t="s">
        <v>19424</v>
      </c>
      <c r="K2390" t="s">
        <v>19425</v>
      </c>
      <c r="L2390" t="s">
        <v>19414</v>
      </c>
      <c r="O2390" t="s">
        <v>19419</v>
      </c>
      <c r="P2390" t="s">
        <v>19420</v>
      </c>
      <c r="Q2390">
        <v>419612.21</v>
      </c>
      <c r="R2390">
        <v>6209519.0899999999</v>
      </c>
      <c r="S2390" t="s">
        <v>19421</v>
      </c>
      <c r="T2390" t="s">
        <v>19422</v>
      </c>
      <c r="U2390">
        <v>419594.02</v>
      </c>
      <c r="V2390">
        <v>6209500.9800000004</v>
      </c>
      <c r="W2390">
        <v>135.82</v>
      </c>
      <c r="X2390">
        <v>150.05000000000001</v>
      </c>
    </row>
    <row r="2391" spans="1:24" x14ac:dyDescent="0.25">
      <c r="A2391" s="148">
        <v>45107</v>
      </c>
      <c r="B2391" s="46">
        <v>181</v>
      </c>
      <c r="C2391" s="149">
        <v>0.55200231481481488</v>
      </c>
      <c r="D2391" s="38" t="s">
        <v>17961</v>
      </c>
      <c r="E2391" s="7" t="s">
        <v>70</v>
      </c>
      <c r="F2391" s="38" t="s">
        <v>460</v>
      </c>
      <c r="G2391" s="38" t="s">
        <v>732</v>
      </c>
      <c r="H2391">
        <v>0.18099999999999999</v>
      </c>
      <c r="I2391" t="s">
        <v>19423</v>
      </c>
      <c r="J2391" t="s">
        <v>19424</v>
      </c>
      <c r="K2391" t="s">
        <v>19425</v>
      </c>
      <c r="L2391" t="s">
        <v>19430</v>
      </c>
      <c r="O2391" t="s">
        <v>19426</v>
      </c>
      <c r="P2391" t="s">
        <v>19427</v>
      </c>
      <c r="Q2391">
        <v>419752.38</v>
      </c>
      <c r="R2391">
        <v>6209378.7800000003</v>
      </c>
      <c r="S2391" t="s">
        <v>19428</v>
      </c>
      <c r="T2391" t="s">
        <v>19429</v>
      </c>
      <c r="U2391">
        <v>419731.6</v>
      </c>
      <c r="V2391">
        <v>6209363.25</v>
      </c>
      <c r="W2391">
        <v>135.15</v>
      </c>
      <c r="X2391">
        <v>150.05000000000001</v>
      </c>
    </row>
    <row r="2392" spans="1:24" x14ac:dyDescent="0.25">
      <c r="A2392" s="148">
        <v>45107</v>
      </c>
      <c r="B2392" s="46">
        <v>181</v>
      </c>
      <c r="C2392" s="149">
        <v>0.55519675925925926</v>
      </c>
      <c r="D2392" s="38" t="s">
        <v>17961</v>
      </c>
      <c r="E2392" s="7" t="s">
        <v>65</v>
      </c>
      <c r="F2392" s="38" t="s">
        <v>460</v>
      </c>
      <c r="G2392" s="38" t="s">
        <v>731</v>
      </c>
      <c r="H2392">
        <v>0.17699999999999999</v>
      </c>
      <c r="I2392" t="s">
        <v>19435</v>
      </c>
      <c r="J2392" t="s">
        <v>19436</v>
      </c>
      <c r="K2392" t="s">
        <v>19437</v>
      </c>
      <c r="L2392" t="s">
        <v>19430</v>
      </c>
      <c r="O2392" t="s">
        <v>19431</v>
      </c>
      <c r="P2392" t="s">
        <v>19432</v>
      </c>
      <c r="Q2392">
        <v>419766.79</v>
      </c>
      <c r="R2392">
        <v>6209378.8099999996</v>
      </c>
      <c r="S2392" t="s">
        <v>19433</v>
      </c>
      <c r="T2392" t="s">
        <v>19434</v>
      </c>
      <c r="U2392">
        <v>419742.91</v>
      </c>
      <c r="V2392">
        <v>6209364.6699999999</v>
      </c>
      <c r="W2392">
        <v>314.64</v>
      </c>
      <c r="X2392">
        <v>150.05000000000001</v>
      </c>
    </row>
    <row r="2393" spans="1:24" x14ac:dyDescent="0.25">
      <c r="A2393" s="148">
        <v>45107</v>
      </c>
      <c r="B2393" s="46">
        <v>181</v>
      </c>
      <c r="C2393" s="149">
        <v>0.55888888888888888</v>
      </c>
      <c r="D2393" s="38" t="s">
        <v>17961</v>
      </c>
      <c r="E2393" s="7" t="s">
        <v>70</v>
      </c>
      <c r="F2393" s="38" t="s">
        <v>460</v>
      </c>
      <c r="G2393" s="38" t="s">
        <v>731</v>
      </c>
      <c r="H2393">
        <v>-1.9E-2</v>
      </c>
      <c r="I2393" t="s">
        <v>19435</v>
      </c>
      <c r="J2393" t="s">
        <v>19436</v>
      </c>
      <c r="K2393" t="s">
        <v>19437</v>
      </c>
      <c r="L2393" t="s">
        <v>19430</v>
      </c>
      <c r="O2393" t="s">
        <v>19438</v>
      </c>
      <c r="P2393" t="s">
        <v>19439</v>
      </c>
      <c r="Q2393">
        <v>419628.85</v>
      </c>
      <c r="R2393">
        <v>6209515.8099999996</v>
      </c>
      <c r="S2393" t="s">
        <v>19440</v>
      </c>
      <c r="T2393" t="s">
        <v>19441</v>
      </c>
      <c r="U2393">
        <v>419604.91</v>
      </c>
      <c r="V2393">
        <v>6209502.7300000004</v>
      </c>
      <c r="W2393">
        <v>314.08999999999997</v>
      </c>
      <c r="X2393">
        <v>150.05000000000001</v>
      </c>
    </row>
    <row r="2394" spans="1:24" x14ac:dyDescent="0.25">
      <c r="A2394" s="148">
        <v>45107</v>
      </c>
      <c r="B2394" s="46">
        <v>181</v>
      </c>
      <c r="C2394" s="149">
        <v>0.56180555555555556</v>
      </c>
      <c r="D2394" s="38" t="s">
        <v>17961</v>
      </c>
      <c r="E2394" s="7" t="s">
        <v>65</v>
      </c>
      <c r="F2394" s="38" t="s">
        <v>460</v>
      </c>
      <c r="G2394" s="38" t="s">
        <v>730</v>
      </c>
      <c r="H2394">
        <v>-1.4E-2</v>
      </c>
      <c r="I2394" t="s">
        <v>19446</v>
      </c>
      <c r="J2394" t="s">
        <v>19447</v>
      </c>
      <c r="K2394" t="s">
        <v>19448</v>
      </c>
      <c r="L2394" t="s">
        <v>19449</v>
      </c>
      <c r="O2394" t="s">
        <v>19442</v>
      </c>
      <c r="P2394" t="s">
        <v>19443</v>
      </c>
      <c r="Q2394">
        <v>419629.2</v>
      </c>
      <c r="R2394">
        <v>6209528.7999999998</v>
      </c>
      <c r="S2394" t="s">
        <v>19444</v>
      </c>
      <c r="T2394" t="s">
        <v>19445</v>
      </c>
      <c r="U2394">
        <v>419606.61</v>
      </c>
      <c r="V2394">
        <v>6209513.9299999997</v>
      </c>
      <c r="W2394">
        <v>135.72999999999999</v>
      </c>
      <c r="X2394">
        <v>150.05000000000001</v>
      </c>
    </row>
    <row r="2395" spans="1:24" x14ac:dyDescent="0.25">
      <c r="A2395" s="148">
        <v>45107</v>
      </c>
      <c r="B2395" s="46">
        <v>181</v>
      </c>
      <c r="C2395" s="149">
        <v>0.56560185185185186</v>
      </c>
      <c r="D2395" s="38" t="s">
        <v>17961</v>
      </c>
      <c r="E2395" s="7" t="s">
        <v>70</v>
      </c>
      <c r="F2395" s="38" t="s">
        <v>460</v>
      </c>
      <c r="G2395" s="38" t="s">
        <v>730</v>
      </c>
      <c r="H2395">
        <v>0.182</v>
      </c>
      <c r="I2395" t="s">
        <v>19446</v>
      </c>
      <c r="J2395" t="s">
        <v>19447</v>
      </c>
      <c r="K2395" t="s">
        <v>19448</v>
      </c>
      <c r="L2395" t="s">
        <v>19449</v>
      </c>
      <c r="O2395" t="s">
        <v>19450</v>
      </c>
      <c r="P2395" t="s">
        <v>19451</v>
      </c>
      <c r="Q2395">
        <v>419769.42</v>
      </c>
      <c r="R2395">
        <v>6209388.1200000001</v>
      </c>
      <c r="S2395" t="s">
        <v>19452</v>
      </c>
      <c r="T2395" t="s">
        <v>19453</v>
      </c>
      <c r="U2395">
        <v>419745.18</v>
      </c>
      <c r="V2395">
        <v>6209375.2800000003</v>
      </c>
      <c r="W2395">
        <v>134.86000000000001</v>
      </c>
      <c r="X2395">
        <v>150.05000000000001</v>
      </c>
    </row>
    <row r="2396" spans="1:24" x14ac:dyDescent="0.25">
      <c r="A2396" s="148">
        <v>45107</v>
      </c>
      <c r="B2396" s="46">
        <v>181</v>
      </c>
      <c r="C2396" s="149">
        <v>0.57190972222222225</v>
      </c>
      <c r="D2396" s="38" t="s">
        <v>17961</v>
      </c>
      <c r="E2396" s="7" t="s">
        <v>19458</v>
      </c>
      <c r="F2396" s="38" t="s">
        <v>460</v>
      </c>
      <c r="G2396" s="38" t="s">
        <v>521</v>
      </c>
      <c r="H2396">
        <v>2.9340000000000002</v>
      </c>
      <c r="O2396" t="s">
        <v>19454</v>
      </c>
      <c r="P2396" t="s">
        <v>19455</v>
      </c>
      <c r="Q2396">
        <v>419797.62</v>
      </c>
      <c r="R2396">
        <v>6209355</v>
      </c>
      <c r="S2396" t="s">
        <v>19456</v>
      </c>
      <c r="T2396" t="s">
        <v>19457</v>
      </c>
      <c r="U2396">
        <v>419786.47</v>
      </c>
      <c r="V2396">
        <v>6209354.7599999998</v>
      </c>
      <c r="W2396">
        <v>268.08999999999997</v>
      </c>
      <c r="X2396">
        <v>150.05000000000001</v>
      </c>
    </row>
    <row r="2397" spans="1:24" s="169" customFormat="1" x14ac:dyDescent="0.25">
      <c r="A2397" s="65">
        <v>45107</v>
      </c>
      <c r="B2397" s="106">
        <v>181</v>
      </c>
      <c r="C2397" s="67">
        <v>0.59638888888888886</v>
      </c>
      <c r="D2397" s="66" t="s">
        <v>17961</v>
      </c>
      <c r="E2397" s="170" t="s">
        <v>19464</v>
      </c>
      <c r="F2397" s="66" t="s">
        <v>182</v>
      </c>
      <c r="G2397" s="66" t="s">
        <v>521</v>
      </c>
      <c r="H2397" s="169">
        <v>0.214</v>
      </c>
      <c r="M2397" s="169" t="s">
        <v>19459</v>
      </c>
      <c r="O2397" s="169" t="s">
        <v>19460</v>
      </c>
      <c r="P2397" s="169" t="s">
        <v>19461</v>
      </c>
      <c r="Q2397" s="169">
        <v>422667.04</v>
      </c>
      <c r="R2397" s="169">
        <v>6209017.9299999997</v>
      </c>
      <c r="S2397" s="169" t="s">
        <v>19462</v>
      </c>
      <c r="T2397" s="169" t="s">
        <v>19463</v>
      </c>
      <c r="U2397" s="169">
        <v>422660.69</v>
      </c>
      <c r="V2397" s="169">
        <v>6209003.5899999999</v>
      </c>
      <c r="W2397" s="169">
        <v>236.81</v>
      </c>
      <c r="X2397" s="169">
        <v>150.05000000000001</v>
      </c>
    </row>
    <row r="2398" spans="1:24" s="157" customFormat="1" x14ac:dyDescent="0.25">
      <c r="A2398" s="148">
        <v>45107</v>
      </c>
      <c r="B2398" s="46">
        <v>181</v>
      </c>
      <c r="C2398" s="149">
        <v>0.60112268518518519</v>
      </c>
      <c r="D2398" s="162" t="s">
        <v>17961</v>
      </c>
      <c r="E2398" s="154" t="s">
        <v>20398</v>
      </c>
      <c r="F2398" s="162" t="s">
        <v>182</v>
      </c>
      <c r="G2398" s="162" t="s">
        <v>521</v>
      </c>
      <c r="H2398" s="157">
        <v>0.17</v>
      </c>
      <c r="L2398" s="157" t="s">
        <v>19472</v>
      </c>
      <c r="O2398" s="157" t="s">
        <v>19465</v>
      </c>
      <c r="P2398" s="157" t="s">
        <v>19466</v>
      </c>
      <c r="Q2398" s="157">
        <v>422700.67</v>
      </c>
      <c r="R2398" s="157">
        <v>6209026.8399999999</v>
      </c>
      <c r="S2398" s="157" t="s">
        <v>19467</v>
      </c>
      <c r="T2398" s="157" t="s">
        <v>19468</v>
      </c>
      <c r="U2398" s="157">
        <v>422696.09</v>
      </c>
      <c r="V2398" s="157">
        <v>6208999.0300000003</v>
      </c>
      <c r="W2398" s="157">
        <v>76.62</v>
      </c>
      <c r="X2398" s="157">
        <v>150.05000000000001</v>
      </c>
    </row>
    <row r="2399" spans="1:24" x14ac:dyDescent="0.25">
      <c r="A2399" s="148">
        <v>45107</v>
      </c>
      <c r="B2399" s="46">
        <v>181</v>
      </c>
      <c r="C2399" s="149">
        <v>0.60112268518518519</v>
      </c>
      <c r="D2399" s="38" t="s">
        <v>17961</v>
      </c>
      <c r="E2399" s="7" t="s">
        <v>65</v>
      </c>
      <c r="F2399" s="38" t="s">
        <v>182</v>
      </c>
      <c r="G2399" s="38" t="s">
        <v>521</v>
      </c>
      <c r="H2399">
        <v>0.17</v>
      </c>
      <c r="I2399" t="s">
        <v>19469</v>
      </c>
      <c r="J2399" t="s">
        <v>19470</v>
      </c>
      <c r="K2399" t="s">
        <v>19471</v>
      </c>
      <c r="L2399" t="s">
        <v>19472</v>
      </c>
      <c r="O2399" t="s">
        <v>19465</v>
      </c>
      <c r="P2399" t="s">
        <v>19466</v>
      </c>
      <c r="Q2399">
        <v>422700.67</v>
      </c>
      <c r="R2399">
        <v>6209026.8399999999</v>
      </c>
      <c r="S2399" t="s">
        <v>19467</v>
      </c>
      <c r="T2399" t="s">
        <v>19468</v>
      </c>
      <c r="U2399">
        <v>422696.09</v>
      </c>
      <c r="V2399">
        <v>6208999.0300000003</v>
      </c>
      <c r="W2399">
        <v>76.62</v>
      </c>
      <c r="X2399">
        <v>150.05000000000001</v>
      </c>
    </row>
    <row r="2400" spans="1:24" x14ac:dyDescent="0.25">
      <c r="A2400" s="148">
        <v>45107</v>
      </c>
      <c r="B2400" s="46">
        <v>181</v>
      </c>
      <c r="C2400" s="149">
        <v>0.60479166666666673</v>
      </c>
      <c r="D2400" s="38" t="s">
        <v>17961</v>
      </c>
      <c r="E2400" s="7" t="s">
        <v>70</v>
      </c>
      <c r="F2400" s="38" t="s">
        <v>182</v>
      </c>
      <c r="G2400" s="38" t="s">
        <v>521</v>
      </c>
      <c r="H2400">
        <v>-2.1999999999999999E-2</v>
      </c>
      <c r="I2400" t="s">
        <v>19469</v>
      </c>
      <c r="J2400" t="s">
        <v>19470</v>
      </c>
      <c r="K2400" t="s">
        <v>19471</v>
      </c>
      <c r="L2400" t="s">
        <v>19477</v>
      </c>
      <c r="O2400" t="s">
        <v>19473</v>
      </c>
      <c r="P2400" t="s">
        <v>19474</v>
      </c>
      <c r="Q2400">
        <v>422889.97</v>
      </c>
      <c r="R2400">
        <v>6209069.4400000004</v>
      </c>
      <c r="S2400" t="s">
        <v>19475</v>
      </c>
      <c r="T2400" t="s">
        <v>19476</v>
      </c>
      <c r="U2400">
        <v>422882.93</v>
      </c>
      <c r="V2400">
        <v>6209042.4100000001</v>
      </c>
      <c r="W2400">
        <v>75.38</v>
      </c>
      <c r="X2400">
        <v>150.05000000000001</v>
      </c>
    </row>
    <row r="2401" spans="1:24" x14ac:dyDescent="0.25">
      <c r="A2401" s="148">
        <v>45107</v>
      </c>
      <c r="B2401" s="46">
        <v>181</v>
      </c>
      <c r="C2401" s="149">
        <v>0.60792824074074081</v>
      </c>
      <c r="D2401" s="38" t="s">
        <v>17961</v>
      </c>
      <c r="E2401" s="7" t="s">
        <v>65</v>
      </c>
      <c r="F2401" s="38" t="s">
        <v>182</v>
      </c>
      <c r="G2401" s="38" t="s">
        <v>522</v>
      </c>
      <c r="H2401">
        <v>-1.9E-2</v>
      </c>
      <c r="I2401" t="s">
        <v>19482</v>
      </c>
      <c r="J2401" t="s">
        <v>19483</v>
      </c>
      <c r="K2401" t="s">
        <v>19484</v>
      </c>
      <c r="L2401" t="s">
        <v>19477</v>
      </c>
      <c r="O2401" t="s">
        <v>19478</v>
      </c>
      <c r="P2401" t="s">
        <v>19479</v>
      </c>
      <c r="Q2401">
        <v>422887.93</v>
      </c>
      <c r="R2401">
        <v>6209080.04</v>
      </c>
      <c r="S2401" t="s">
        <v>19480</v>
      </c>
      <c r="T2401" t="s">
        <v>19481</v>
      </c>
      <c r="U2401">
        <v>422888.64</v>
      </c>
      <c r="V2401">
        <v>6209052.9100000001</v>
      </c>
      <c r="W2401">
        <v>259.62</v>
      </c>
      <c r="X2401">
        <v>150.05000000000001</v>
      </c>
    </row>
    <row r="2402" spans="1:24" x14ac:dyDescent="0.25">
      <c r="A2402" s="148">
        <v>45107</v>
      </c>
      <c r="B2402" s="46">
        <v>181</v>
      </c>
      <c r="C2402" s="149">
        <v>0.61153935185185182</v>
      </c>
      <c r="D2402" s="38" t="s">
        <v>17961</v>
      </c>
      <c r="E2402" s="7" t="s">
        <v>70</v>
      </c>
      <c r="F2402" s="38" t="s">
        <v>182</v>
      </c>
      <c r="G2402" s="38" t="s">
        <v>522</v>
      </c>
      <c r="H2402">
        <v>0.17399999999999999</v>
      </c>
      <c r="I2402" t="s">
        <v>19482</v>
      </c>
      <c r="J2402" t="s">
        <v>19483</v>
      </c>
      <c r="K2402" t="s">
        <v>19484</v>
      </c>
      <c r="L2402" t="s">
        <v>19477</v>
      </c>
      <c r="O2402" t="s">
        <v>19485</v>
      </c>
      <c r="P2402" t="s">
        <v>19486</v>
      </c>
      <c r="Q2402">
        <v>422701.08</v>
      </c>
      <c r="R2402">
        <v>6209036.75</v>
      </c>
      <c r="S2402" t="s">
        <v>19487</v>
      </c>
      <c r="T2402" t="s">
        <v>19488</v>
      </c>
      <c r="U2402">
        <v>422700.37</v>
      </c>
      <c r="V2402">
        <v>6209009.2599999998</v>
      </c>
      <c r="W2402">
        <v>256.33</v>
      </c>
      <c r="X2402">
        <v>150.05000000000001</v>
      </c>
    </row>
    <row r="2403" spans="1:24" x14ac:dyDescent="0.25">
      <c r="A2403" s="148">
        <v>45107</v>
      </c>
      <c r="B2403" s="46">
        <v>181</v>
      </c>
      <c r="C2403" s="149">
        <v>0.61403935185185188</v>
      </c>
      <c r="D2403" s="38" t="s">
        <v>17961</v>
      </c>
      <c r="E2403" s="7" t="s">
        <v>65</v>
      </c>
      <c r="F2403" s="38" t="s">
        <v>182</v>
      </c>
      <c r="G2403" s="38" t="s">
        <v>523</v>
      </c>
      <c r="H2403">
        <v>0.16900000000000001</v>
      </c>
      <c r="I2403" t="s">
        <v>19493</v>
      </c>
      <c r="J2403" t="s">
        <v>19494</v>
      </c>
      <c r="K2403" t="s">
        <v>19495</v>
      </c>
      <c r="L2403" t="s">
        <v>19496</v>
      </c>
      <c r="O2403" t="s">
        <v>19489</v>
      </c>
      <c r="P2403" t="s">
        <v>19490</v>
      </c>
      <c r="Q2403">
        <v>422685.16</v>
      </c>
      <c r="R2403">
        <v>6209041.7400000002</v>
      </c>
      <c r="S2403" t="s">
        <v>19491</v>
      </c>
      <c r="T2403" t="s">
        <v>19492</v>
      </c>
      <c r="U2403">
        <v>422692.82</v>
      </c>
      <c r="V2403">
        <v>6209016.9100000001</v>
      </c>
      <c r="W2403">
        <v>78.260000000000005</v>
      </c>
      <c r="X2403">
        <v>150.05000000000001</v>
      </c>
    </row>
    <row r="2404" spans="1:24" x14ac:dyDescent="0.25">
      <c r="A2404" s="148">
        <v>45107</v>
      </c>
      <c r="B2404" s="46">
        <v>181</v>
      </c>
      <c r="C2404" s="149">
        <v>0.61791666666666667</v>
      </c>
      <c r="D2404" s="38" t="s">
        <v>17961</v>
      </c>
      <c r="E2404" s="7" t="s">
        <v>70</v>
      </c>
      <c r="F2404" s="38" t="s">
        <v>182</v>
      </c>
      <c r="G2404" s="38" t="s">
        <v>523</v>
      </c>
      <c r="H2404">
        <v>-2.4E-2</v>
      </c>
      <c r="I2404" t="s">
        <v>19493</v>
      </c>
      <c r="J2404" t="s">
        <v>19494</v>
      </c>
      <c r="K2404" t="s">
        <v>19495</v>
      </c>
      <c r="L2404" t="s">
        <v>19496</v>
      </c>
      <c r="O2404" t="s">
        <v>19497</v>
      </c>
      <c r="P2404" t="s">
        <v>19498</v>
      </c>
      <c r="Q2404">
        <v>422882.49</v>
      </c>
      <c r="R2404">
        <v>6209087.4000000004</v>
      </c>
      <c r="S2404" t="s">
        <v>19499</v>
      </c>
      <c r="T2404" t="s">
        <v>19500</v>
      </c>
      <c r="U2404">
        <v>422880.41</v>
      </c>
      <c r="V2404">
        <v>6209060.46</v>
      </c>
      <c r="W2404">
        <v>75.44</v>
      </c>
      <c r="X2404">
        <v>150.05000000000001</v>
      </c>
    </row>
    <row r="2405" spans="1:24" x14ac:dyDescent="0.25">
      <c r="A2405" s="148">
        <v>45107</v>
      </c>
      <c r="B2405" s="46">
        <v>181</v>
      </c>
      <c r="C2405" s="149">
        <v>0.62111111111111106</v>
      </c>
      <c r="D2405" s="38" t="s">
        <v>17961</v>
      </c>
      <c r="E2405" s="7" t="s">
        <v>65</v>
      </c>
      <c r="F2405" s="38" t="s">
        <v>182</v>
      </c>
      <c r="G2405" s="38" t="s">
        <v>524</v>
      </c>
      <c r="H2405">
        <v>-1.9E-2</v>
      </c>
      <c r="I2405" t="s">
        <v>19505</v>
      </c>
      <c r="J2405" t="s">
        <v>19506</v>
      </c>
      <c r="K2405" t="s">
        <v>19507</v>
      </c>
      <c r="L2405" t="s">
        <v>19496</v>
      </c>
      <c r="O2405" t="s">
        <v>19501</v>
      </c>
      <c r="P2405" t="s">
        <v>19502</v>
      </c>
      <c r="Q2405">
        <v>422890.67</v>
      </c>
      <c r="R2405">
        <v>6209098.0300000003</v>
      </c>
      <c r="S2405" t="s">
        <v>19503</v>
      </c>
      <c r="T2405" t="s">
        <v>19504</v>
      </c>
      <c r="U2405">
        <v>422884.04</v>
      </c>
      <c r="V2405">
        <v>6209070.6299999999</v>
      </c>
      <c r="W2405">
        <v>257.39</v>
      </c>
      <c r="X2405">
        <v>150.05000000000001</v>
      </c>
    </row>
    <row r="2406" spans="1:24" x14ac:dyDescent="0.25">
      <c r="A2406" s="148">
        <v>45107</v>
      </c>
      <c r="B2406" s="46">
        <v>181</v>
      </c>
      <c r="C2406" s="149">
        <v>0.62480324074074078</v>
      </c>
      <c r="D2406" s="38" t="s">
        <v>17961</v>
      </c>
      <c r="E2406" s="7" t="s">
        <v>70</v>
      </c>
      <c r="F2406" s="38" t="s">
        <v>182</v>
      </c>
      <c r="G2406" s="38" t="s">
        <v>524</v>
      </c>
      <c r="H2406">
        <v>0.17299999999999999</v>
      </c>
      <c r="I2406" t="s">
        <v>19505</v>
      </c>
      <c r="J2406" t="s">
        <v>19506</v>
      </c>
      <c r="K2406" t="s">
        <v>19507</v>
      </c>
      <c r="L2406" t="s">
        <v>19512</v>
      </c>
      <c r="O2406" t="s">
        <v>19508</v>
      </c>
      <c r="P2406" t="s">
        <v>19509</v>
      </c>
      <c r="Q2406">
        <v>422700.33</v>
      </c>
      <c r="R2406">
        <v>6209053.1100000003</v>
      </c>
      <c r="S2406" t="s">
        <v>19510</v>
      </c>
      <c r="T2406" t="s">
        <v>19511</v>
      </c>
      <c r="U2406">
        <v>422697.16</v>
      </c>
      <c r="V2406">
        <v>6209027.1299999999</v>
      </c>
      <c r="W2406">
        <v>256.12</v>
      </c>
      <c r="X2406">
        <v>150.05000000000001</v>
      </c>
    </row>
    <row r="2407" spans="1:24" x14ac:dyDescent="0.25">
      <c r="A2407" s="148">
        <v>45107</v>
      </c>
      <c r="B2407" s="46">
        <v>181</v>
      </c>
      <c r="C2407" s="149">
        <v>0.62771990740740746</v>
      </c>
      <c r="D2407" s="38" t="s">
        <v>17961</v>
      </c>
      <c r="E2407" s="7" t="s">
        <v>65</v>
      </c>
      <c r="F2407" s="38" t="s">
        <v>182</v>
      </c>
      <c r="G2407" s="38" t="s">
        <v>525</v>
      </c>
      <c r="H2407">
        <v>0.16900000000000001</v>
      </c>
      <c r="I2407" t="s">
        <v>19517</v>
      </c>
      <c r="J2407" t="s">
        <v>19518</v>
      </c>
      <c r="K2407" t="s">
        <v>19519</v>
      </c>
      <c r="L2407" t="s">
        <v>19512</v>
      </c>
      <c r="O2407" t="s">
        <v>19513</v>
      </c>
      <c r="P2407" t="s">
        <v>19514</v>
      </c>
      <c r="Q2407">
        <v>422684.35</v>
      </c>
      <c r="R2407">
        <v>6209059.2400000002</v>
      </c>
      <c r="S2407" t="s">
        <v>19515</v>
      </c>
      <c r="T2407" t="s">
        <v>19516</v>
      </c>
      <c r="U2407">
        <v>422688.37</v>
      </c>
      <c r="V2407">
        <v>6209034.3300000001</v>
      </c>
      <c r="W2407">
        <v>78.489999999999995</v>
      </c>
      <c r="X2407">
        <v>150.05000000000001</v>
      </c>
    </row>
    <row r="2408" spans="1:24" x14ac:dyDescent="0.25">
      <c r="A2408" s="148">
        <v>45107</v>
      </c>
      <c r="B2408" s="46">
        <v>181</v>
      </c>
      <c r="C2408" s="149">
        <v>0.63133101851851847</v>
      </c>
      <c r="D2408" s="38" t="s">
        <v>17961</v>
      </c>
      <c r="E2408" s="7" t="s">
        <v>70</v>
      </c>
      <c r="F2408" s="38" t="s">
        <v>182</v>
      </c>
      <c r="G2408" s="38" t="s">
        <v>525</v>
      </c>
      <c r="H2408">
        <v>-2.3E-2</v>
      </c>
      <c r="I2408" t="s">
        <v>19517</v>
      </c>
      <c r="J2408" t="s">
        <v>19518</v>
      </c>
      <c r="K2408" t="s">
        <v>19519</v>
      </c>
      <c r="L2408" t="s">
        <v>19512</v>
      </c>
      <c r="O2408" t="s">
        <v>19520</v>
      </c>
      <c r="P2408" t="s">
        <v>19521</v>
      </c>
      <c r="Q2408">
        <v>422869.29</v>
      </c>
      <c r="R2408">
        <v>6209102.1799999997</v>
      </c>
      <c r="S2408" t="s">
        <v>19522</v>
      </c>
      <c r="T2408" t="s">
        <v>19523</v>
      </c>
      <c r="U2408">
        <v>422875.81</v>
      </c>
      <c r="V2408">
        <v>6209077.8700000001</v>
      </c>
      <c r="W2408">
        <v>76.44</v>
      </c>
      <c r="X2408">
        <v>150.05000000000001</v>
      </c>
    </row>
    <row r="2409" spans="1:24" x14ac:dyDescent="0.25">
      <c r="A2409" s="148">
        <v>45107</v>
      </c>
      <c r="B2409" s="46">
        <v>181</v>
      </c>
      <c r="C2409" s="149">
        <v>0.63460648148148147</v>
      </c>
      <c r="D2409" s="38" t="s">
        <v>17961</v>
      </c>
      <c r="E2409" s="7" t="s">
        <v>65</v>
      </c>
      <c r="F2409" s="38" t="s">
        <v>182</v>
      </c>
      <c r="G2409" s="38" t="s">
        <v>526</v>
      </c>
      <c r="H2409">
        <v>-1.7999999999999999E-2</v>
      </c>
      <c r="I2409" t="s">
        <v>19528</v>
      </c>
      <c r="J2409" t="s">
        <v>19529</v>
      </c>
      <c r="K2409" t="s">
        <v>19530</v>
      </c>
      <c r="L2409" t="s">
        <v>19531</v>
      </c>
      <c r="O2409" t="s">
        <v>19524</v>
      </c>
      <c r="P2409" t="s">
        <v>19525</v>
      </c>
      <c r="Q2409">
        <v>422879.95</v>
      </c>
      <c r="R2409">
        <v>6209114.3200000003</v>
      </c>
      <c r="S2409" t="s">
        <v>19526</v>
      </c>
      <c r="T2409" t="s">
        <v>19527</v>
      </c>
      <c r="U2409">
        <v>422879.68</v>
      </c>
      <c r="V2409">
        <v>6209087.9800000004</v>
      </c>
      <c r="W2409">
        <v>257.45999999999998</v>
      </c>
      <c r="X2409">
        <v>150.05000000000001</v>
      </c>
    </row>
    <row r="2410" spans="1:24" x14ac:dyDescent="0.25">
      <c r="A2410" s="148">
        <v>45107</v>
      </c>
      <c r="B2410" s="46">
        <v>181</v>
      </c>
      <c r="C2410" s="149">
        <v>0.63822916666666674</v>
      </c>
      <c r="D2410" s="38" t="s">
        <v>17961</v>
      </c>
      <c r="E2410" s="7" t="s">
        <v>70</v>
      </c>
      <c r="F2410" s="38" t="s">
        <v>182</v>
      </c>
      <c r="G2410" s="38" t="s">
        <v>526</v>
      </c>
      <c r="H2410">
        <v>0.17299999999999999</v>
      </c>
      <c r="I2410" t="s">
        <v>19528</v>
      </c>
      <c r="J2410" t="s">
        <v>19529</v>
      </c>
      <c r="K2410" t="s">
        <v>19530</v>
      </c>
      <c r="L2410" t="s">
        <v>19531</v>
      </c>
      <c r="O2410" t="s">
        <v>19532</v>
      </c>
      <c r="P2410" t="s">
        <v>19533</v>
      </c>
      <c r="Q2410">
        <v>422692.82</v>
      </c>
      <c r="R2410">
        <v>6209070.6900000004</v>
      </c>
      <c r="S2410" t="s">
        <v>19534</v>
      </c>
      <c r="T2410" t="s">
        <v>19535</v>
      </c>
      <c r="U2410">
        <v>422693.02</v>
      </c>
      <c r="V2410">
        <v>6209044.5599999996</v>
      </c>
      <c r="W2410">
        <v>256.42</v>
      </c>
      <c r="X2410">
        <v>150.05000000000001</v>
      </c>
    </row>
    <row r="2411" spans="1:24" x14ac:dyDescent="0.25">
      <c r="A2411" s="148">
        <v>45107</v>
      </c>
      <c r="B2411" s="46">
        <v>181</v>
      </c>
      <c r="C2411" s="149">
        <v>0.64157407407407407</v>
      </c>
      <c r="D2411" s="38" t="s">
        <v>17961</v>
      </c>
      <c r="E2411" s="7" t="s">
        <v>65</v>
      </c>
      <c r="F2411" s="38" t="s">
        <v>182</v>
      </c>
      <c r="G2411" s="38" t="s">
        <v>532</v>
      </c>
      <c r="H2411">
        <v>0.16800000000000001</v>
      </c>
      <c r="I2411" t="s">
        <v>19540</v>
      </c>
      <c r="J2411" t="s">
        <v>19541</v>
      </c>
      <c r="K2411" t="s">
        <v>19542</v>
      </c>
      <c r="L2411" t="s">
        <v>19531</v>
      </c>
      <c r="O2411" t="s">
        <v>19536</v>
      </c>
      <c r="P2411" t="s">
        <v>19537</v>
      </c>
      <c r="Q2411">
        <v>422679.37</v>
      </c>
      <c r="R2411">
        <v>6209077.0899999999</v>
      </c>
      <c r="S2411" t="s">
        <v>19538</v>
      </c>
      <c r="T2411" t="s">
        <v>19539</v>
      </c>
      <c r="U2411">
        <v>422685.54</v>
      </c>
      <c r="V2411">
        <v>6209052.1799999997</v>
      </c>
      <c r="W2411">
        <v>77.89</v>
      </c>
      <c r="X2411">
        <v>150.05000000000001</v>
      </c>
    </row>
    <row r="2412" spans="1:24" x14ac:dyDescent="0.25">
      <c r="A2412" s="148">
        <v>45107</v>
      </c>
      <c r="B2412" s="46">
        <v>181</v>
      </c>
      <c r="C2412" s="149">
        <v>0.64515046296296297</v>
      </c>
      <c r="D2412" s="38" t="s">
        <v>17961</v>
      </c>
      <c r="E2412" s="7" t="s">
        <v>70</v>
      </c>
      <c r="F2412" s="38" t="s">
        <v>182</v>
      </c>
      <c r="G2412" s="38" t="s">
        <v>532</v>
      </c>
      <c r="H2412">
        <v>-2.3E-2</v>
      </c>
      <c r="I2412" t="s">
        <v>19540</v>
      </c>
      <c r="J2412" t="s">
        <v>19541</v>
      </c>
      <c r="K2412" t="s">
        <v>19542</v>
      </c>
      <c r="L2412" t="s">
        <v>19547</v>
      </c>
      <c r="O2412" t="s">
        <v>19543</v>
      </c>
      <c r="P2412" t="s">
        <v>19544</v>
      </c>
      <c r="Q2412">
        <v>422863.21</v>
      </c>
      <c r="R2412">
        <v>6209119.0899999999</v>
      </c>
      <c r="S2412" t="s">
        <v>19545</v>
      </c>
      <c r="T2412" t="s">
        <v>19546</v>
      </c>
      <c r="U2412">
        <v>422871.63</v>
      </c>
      <c r="V2412">
        <v>6209095.5099999998</v>
      </c>
      <c r="W2412">
        <v>77.209999999999994</v>
      </c>
      <c r="X2412">
        <v>150.05000000000001</v>
      </c>
    </row>
    <row r="2413" spans="1:24" x14ac:dyDescent="0.25">
      <c r="A2413" s="148">
        <v>45107</v>
      </c>
      <c r="B2413" s="46">
        <v>181</v>
      </c>
      <c r="C2413" s="149">
        <v>0.64842592592592596</v>
      </c>
      <c r="D2413" s="38" t="s">
        <v>17961</v>
      </c>
      <c r="E2413" s="7" t="s">
        <v>65</v>
      </c>
      <c r="F2413" s="38" t="s">
        <v>182</v>
      </c>
      <c r="G2413" s="38" t="s">
        <v>531</v>
      </c>
      <c r="H2413">
        <v>-1.9E-2</v>
      </c>
      <c r="I2413" t="s">
        <v>19552</v>
      </c>
      <c r="J2413" t="s">
        <v>19553</v>
      </c>
      <c r="K2413" t="s">
        <v>19554</v>
      </c>
      <c r="L2413" t="s">
        <v>19547</v>
      </c>
      <c r="O2413" t="s">
        <v>19548</v>
      </c>
      <c r="P2413" t="s">
        <v>19549</v>
      </c>
      <c r="Q2413">
        <v>422871.13</v>
      </c>
      <c r="R2413">
        <v>6209130.2599999998</v>
      </c>
      <c r="S2413" t="s">
        <v>19550</v>
      </c>
      <c r="T2413" t="s">
        <v>19551</v>
      </c>
      <c r="U2413">
        <v>422875.83</v>
      </c>
      <c r="V2413">
        <v>6209105.5800000001</v>
      </c>
      <c r="W2413">
        <v>259.67</v>
      </c>
      <c r="X2413">
        <v>150.05000000000001</v>
      </c>
    </row>
    <row r="2414" spans="1:24" x14ac:dyDescent="0.25">
      <c r="A2414" s="148">
        <v>45107</v>
      </c>
      <c r="B2414" s="46">
        <v>181</v>
      </c>
      <c r="C2414" s="149">
        <v>0.65200231481481474</v>
      </c>
      <c r="D2414" s="38" t="s">
        <v>17961</v>
      </c>
      <c r="E2414" s="7" t="s">
        <v>70</v>
      </c>
      <c r="F2414" s="38" t="s">
        <v>182</v>
      </c>
      <c r="G2414" s="38" t="s">
        <v>531</v>
      </c>
      <c r="H2414">
        <v>0.17299999999999999</v>
      </c>
      <c r="I2414" t="s">
        <v>19552</v>
      </c>
      <c r="J2414" t="s">
        <v>19553</v>
      </c>
      <c r="K2414" t="s">
        <v>19554</v>
      </c>
      <c r="L2414" t="s">
        <v>19547</v>
      </c>
      <c r="O2414" t="s">
        <v>19555</v>
      </c>
      <c r="P2414" t="s">
        <v>19556</v>
      </c>
      <c r="Q2414">
        <v>422685.92</v>
      </c>
      <c r="R2414">
        <v>6209087.46</v>
      </c>
      <c r="S2414" t="s">
        <v>19557</v>
      </c>
      <c r="T2414" t="s">
        <v>19558</v>
      </c>
      <c r="U2414">
        <v>422689.72</v>
      </c>
      <c r="V2414">
        <v>6209062.3499999996</v>
      </c>
      <c r="W2414">
        <v>256.89</v>
      </c>
      <c r="X2414">
        <v>150.05000000000001</v>
      </c>
    </row>
    <row r="2415" spans="1:24" x14ac:dyDescent="0.25">
      <c r="A2415" s="148">
        <v>45107</v>
      </c>
      <c r="B2415" s="46">
        <v>181</v>
      </c>
      <c r="C2415" s="149">
        <v>0.65589120370370368</v>
      </c>
      <c r="D2415" s="38" t="s">
        <v>17961</v>
      </c>
      <c r="E2415" s="7" t="s">
        <v>65</v>
      </c>
      <c r="F2415" s="38" t="s">
        <v>182</v>
      </c>
      <c r="G2415" s="38" t="s">
        <v>530</v>
      </c>
      <c r="H2415">
        <v>0.16900000000000001</v>
      </c>
      <c r="I2415" t="s">
        <v>19563</v>
      </c>
      <c r="J2415" t="s">
        <v>19564</v>
      </c>
      <c r="K2415" t="s">
        <v>19565</v>
      </c>
      <c r="L2415" t="s">
        <v>19566</v>
      </c>
      <c r="O2415" t="s">
        <v>19559</v>
      </c>
      <c r="P2415" t="s">
        <v>19560</v>
      </c>
      <c r="Q2415">
        <v>422682.69</v>
      </c>
      <c r="R2415">
        <v>6209096.5999999996</v>
      </c>
      <c r="S2415" t="s">
        <v>19561</v>
      </c>
      <c r="T2415" t="s">
        <v>19562</v>
      </c>
      <c r="U2415">
        <v>422680.58</v>
      </c>
      <c r="V2415">
        <v>6209069.4199999999</v>
      </c>
      <c r="W2415">
        <v>77.42</v>
      </c>
      <c r="X2415">
        <v>150.05000000000001</v>
      </c>
    </row>
    <row r="2416" spans="1:24" x14ac:dyDescent="0.25">
      <c r="A2416" s="148">
        <v>45107</v>
      </c>
      <c r="B2416" s="46">
        <v>181</v>
      </c>
      <c r="C2416" s="149">
        <v>0.65964120370370372</v>
      </c>
      <c r="D2416" s="38" t="s">
        <v>17961</v>
      </c>
      <c r="E2416" s="7" t="s">
        <v>70</v>
      </c>
      <c r="F2416" s="38" t="s">
        <v>182</v>
      </c>
      <c r="G2416" s="38" t="s">
        <v>530</v>
      </c>
      <c r="H2416">
        <v>-2.4E-2</v>
      </c>
      <c r="I2416" t="s">
        <v>19563</v>
      </c>
      <c r="J2416" t="s">
        <v>19564</v>
      </c>
      <c r="K2416" t="s">
        <v>19565</v>
      </c>
      <c r="L2416" t="s">
        <v>19566</v>
      </c>
      <c r="O2416" t="s">
        <v>19567</v>
      </c>
      <c r="P2416" t="s">
        <v>19568</v>
      </c>
      <c r="Q2416">
        <v>422875.31</v>
      </c>
      <c r="R2416">
        <v>6209140.5999999996</v>
      </c>
      <c r="S2416" t="s">
        <v>19569</v>
      </c>
      <c r="T2416" t="s">
        <v>19570</v>
      </c>
      <c r="U2416">
        <v>422868.53</v>
      </c>
      <c r="V2416">
        <v>6209113.1900000004</v>
      </c>
      <c r="W2416">
        <v>76.489999999999995</v>
      </c>
      <c r="X2416">
        <v>150.05000000000001</v>
      </c>
    </row>
    <row r="2417" spans="1:24" x14ac:dyDescent="0.25">
      <c r="A2417" s="148">
        <v>45107</v>
      </c>
      <c r="B2417" s="46">
        <v>181</v>
      </c>
      <c r="C2417" s="149">
        <v>0.66342592592592597</v>
      </c>
      <c r="D2417" s="38" t="s">
        <v>17961</v>
      </c>
      <c r="E2417" s="7" t="s">
        <v>65</v>
      </c>
      <c r="F2417" s="38" t="s">
        <v>182</v>
      </c>
      <c r="G2417" s="38" t="s">
        <v>529</v>
      </c>
      <c r="H2417">
        <v>-0.02</v>
      </c>
      <c r="I2417" t="s">
        <v>19575</v>
      </c>
      <c r="J2417" t="s">
        <v>19576</v>
      </c>
      <c r="K2417" t="s">
        <v>19577</v>
      </c>
      <c r="L2417" t="s">
        <v>19566</v>
      </c>
      <c r="O2417" t="s">
        <v>19571</v>
      </c>
      <c r="P2417" t="s">
        <v>19572</v>
      </c>
      <c r="Q2417">
        <v>422871.46</v>
      </c>
      <c r="R2417">
        <v>6209148.6799999997</v>
      </c>
      <c r="S2417" t="s">
        <v>19573</v>
      </c>
      <c r="T2417" t="s">
        <v>19574</v>
      </c>
      <c r="U2417">
        <v>422872.82</v>
      </c>
      <c r="V2417">
        <v>6209123.1600000001</v>
      </c>
      <c r="W2417">
        <v>257.37</v>
      </c>
      <c r="X2417">
        <v>150.05000000000001</v>
      </c>
    </row>
    <row r="2418" spans="1:24" x14ac:dyDescent="0.25">
      <c r="A2418" s="148">
        <v>45107</v>
      </c>
      <c r="B2418" s="46">
        <v>181</v>
      </c>
      <c r="C2418" s="149">
        <v>0.66708333333333336</v>
      </c>
      <c r="D2418" s="38" t="s">
        <v>6737</v>
      </c>
      <c r="E2418" s="7" t="s">
        <v>70</v>
      </c>
      <c r="F2418" s="38" t="s">
        <v>182</v>
      </c>
      <c r="G2418" s="38" t="s">
        <v>529</v>
      </c>
      <c r="H2418">
        <v>0.17299999999999999</v>
      </c>
      <c r="I2418" t="s">
        <v>19575</v>
      </c>
      <c r="J2418" t="s">
        <v>19576</v>
      </c>
      <c r="K2418" t="s">
        <v>19577</v>
      </c>
      <c r="L2418" t="s">
        <v>19582</v>
      </c>
      <c r="O2418" t="s">
        <v>19578</v>
      </c>
      <c r="P2418" t="s">
        <v>19579</v>
      </c>
      <c r="Q2418">
        <v>422681.21</v>
      </c>
      <c r="R2418">
        <v>6209104.5999999996</v>
      </c>
      <c r="S2418" t="s">
        <v>19580</v>
      </c>
      <c r="T2418" t="s">
        <v>19581</v>
      </c>
      <c r="U2418">
        <v>422684.81</v>
      </c>
      <c r="V2418">
        <v>6209079.5700000003</v>
      </c>
      <c r="W2418">
        <v>256.64</v>
      </c>
      <c r="X2418">
        <v>150.05000000000001</v>
      </c>
    </row>
    <row r="2419" spans="1:24" x14ac:dyDescent="0.25">
      <c r="A2419" s="148">
        <v>45107</v>
      </c>
      <c r="B2419" s="46">
        <v>181</v>
      </c>
      <c r="C2419" s="149">
        <v>0.67048611111111101</v>
      </c>
      <c r="D2419" s="38" t="s">
        <v>6737</v>
      </c>
      <c r="E2419" s="7" t="s">
        <v>65</v>
      </c>
      <c r="F2419" s="38" t="s">
        <v>182</v>
      </c>
      <c r="G2419" s="38" t="s">
        <v>528</v>
      </c>
      <c r="H2419">
        <v>0.16900000000000001</v>
      </c>
      <c r="I2419" t="s">
        <v>19587</v>
      </c>
      <c r="J2419" t="s">
        <v>19588</v>
      </c>
      <c r="K2419" t="s">
        <v>19589</v>
      </c>
      <c r="L2419" t="s">
        <v>19582</v>
      </c>
      <c r="O2419" t="s">
        <v>19583</v>
      </c>
      <c r="P2419" t="s">
        <v>19584</v>
      </c>
      <c r="Q2419">
        <v>422676.43</v>
      </c>
      <c r="R2419">
        <v>6209115.6799999997</v>
      </c>
      <c r="S2419" t="s">
        <v>19585</v>
      </c>
      <c r="T2419" t="s">
        <v>19586</v>
      </c>
      <c r="U2419">
        <v>422676.14</v>
      </c>
      <c r="V2419">
        <v>6209086.9100000001</v>
      </c>
      <c r="W2419">
        <v>76.31</v>
      </c>
      <c r="X2419">
        <v>150.05000000000001</v>
      </c>
    </row>
    <row r="2420" spans="1:24" x14ac:dyDescent="0.25">
      <c r="A2420" s="148">
        <v>45107</v>
      </c>
      <c r="B2420" s="46">
        <v>181</v>
      </c>
      <c r="C2420" s="149">
        <v>0.67415509259259254</v>
      </c>
      <c r="D2420" s="38" t="s">
        <v>6737</v>
      </c>
      <c r="E2420" s="7" t="s">
        <v>70</v>
      </c>
      <c r="F2420" s="38" t="s">
        <v>182</v>
      </c>
      <c r="G2420" s="38" t="s">
        <v>528</v>
      </c>
      <c r="H2420">
        <v>-2.5000000000000001E-2</v>
      </c>
      <c r="I2420" t="s">
        <v>19587</v>
      </c>
      <c r="J2420" t="s">
        <v>19588</v>
      </c>
      <c r="K2420" t="s">
        <v>19589</v>
      </c>
      <c r="L2420" t="s">
        <v>19582</v>
      </c>
      <c r="O2420" t="s">
        <v>19590</v>
      </c>
      <c r="P2420" t="s">
        <v>19591</v>
      </c>
      <c r="Q2420">
        <v>422864.94</v>
      </c>
      <c r="R2420">
        <v>6209157.6200000001</v>
      </c>
      <c r="S2420" t="s">
        <v>19592</v>
      </c>
      <c r="T2420" t="s">
        <v>19593</v>
      </c>
      <c r="U2420">
        <v>422864.7</v>
      </c>
      <c r="V2420">
        <v>6209130.9000000004</v>
      </c>
      <c r="W2420">
        <v>76.650000000000006</v>
      </c>
      <c r="X2420">
        <v>150.05000000000001</v>
      </c>
    </row>
    <row r="2421" spans="1:24" x14ac:dyDescent="0.25">
      <c r="A2421" s="148">
        <v>45107</v>
      </c>
      <c r="B2421" s="46">
        <v>181</v>
      </c>
      <c r="C2421" s="149">
        <v>0.67743055555555554</v>
      </c>
      <c r="D2421" s="38" t="s">
        <v>6737</v>
      </c>
      <c r="E2421" s="7" t="s">
        <v>65</v>
      </c>
      <c r="F2421" s="38" t="s">
        <v>182</v>
      </c>
      <c r="G2421" s="38" t="s">
        <v>527</v>
      </c>
      <c r="H2421">
        <v>-0.02</v>
      </c>
      <c r="I2421" t="s">
        <v>19598</v>
      </c>
      <c r="J2421" t="s">
        <v>19599</v>
      </c>
      <c r="K2421" t="s">
        <v>19600</v>
      </c>
      <c r="L2421" t="s">
        <v>19601</v>
      </c>
      <c r="O2421" t="s">
        <v>19594</v>
      </c>
      <c r="P2421" t="s">
        <v>19595</v>
      </c>
      <c r="Q2421">
        <v>422861.82</v>
      </c>
      <c r="R2421">
        <v>6209164.8099999996</v>
      </c>
      <c r="S2421" t="s">
        <v>19596</v>
      </c>
      <c r="T2421" t="s">
        <v>19597</v>
      </c>
      <c r="U2421">
        <v>422869.07</v>
      </c>
      <c r="V2421">
        <v>6209140.9000000004</v>
      </c>
      <c r="W2421">
        <v>257.57</v>
      </c>
      <c r="X2421">
        <v>150.05000000000001</v>
      </c>
    </row>
    <row r="2422" spans="1:24" x14ac:dyDescent="0.25">
      <c r="A2422" s="148">
        <v>45107</v>
      </c>
      <c r="B2422" s="46">
        <v>181</v>
      </c>
      <c r="C2422" s="149">
        <v>0.68104166666666666</v>
      </c>
      <c r="D2422" s="38" t="s">
        <v>6737</v>
      </c>
      <c r="E2422" s="7" t="s">
        <v>70</v>
      </c>
      <c r="F2422" s="38" t="s">
        <v>182</v>
      </c>
      <c r="G2422" s="38" t="s">
        <v>527</v>
      </c>
      <c r="H2422">
        <v>0.17399999999999999</v>
      </c>
      <c r="I2422" t="s">
        <v>19598</v>
      </c>
      <c r="J2422" t="s">
        <v>19599</v>
      </c>
      <c r="K2422" t="s">
        <v>19600</v>
      </c>
      <c r="L2422" t="s">
        <v>19601</v>
      </c>
      <c r="O2422" t="s">
        <v>19602</v>
      </c>
      <c r="P2422" t="s">
        <v>19603</v>
      </c>
      <c r="Q2422">
        <v>422674.32</v>
      </c>
      <c r="R2422">
        <v>6209122.0800000001</v>
      </c>
      <c r="S2422" t="s">
        <v>19604</v>
      </c>
      <c r="T2422" t="s">
        <v>19605</v>
      </c>
      <c r="U2422">
        <v>422680.64</v>
      </c>
      <c r="V2422">
        <v>6209097.0599999996</v>
      </c>
      <c r="W2422">
        <v>257.23</v>
      </c>
      <c r="X2422">
        <v>150.05000000000001</v>
      </c>
    </row>
    <row r="2423" spans="1:24" x14ac:dyDescent="0.25">
      <c r="A2423" s="148">
        <v>45107</v>
      </c>
      <c r="B2423" s="46">
        <v>181</v>
      </c>
      <c r="C2423" s="149">
        <v>0.68656249999999996</v>
      </c>
      <c r="D2423" s="38" t="s">
        <v>6737</v>
      </c>
      <c r="E2423" s="7" t="s">
        <v>19610</v>
      </c>
      <c r="F2423" s="38" t="s">
        <v>182</v>
      </c>
      <c r="G2423" s="38" t="s">
        <v>527</v>
      </c>
      <c r="H2423">
        <v>9.9290000000000003</v>
      </c>
      <c r="O2423" t="s">
        <v>19606</v>
      </c>
      <c r="P2423" t="s">
        <v>19607</v>
      </c>
      <c r="Q2423">
        <v>422649.5</v>
      </c>
      <c r="R2423">
        <v>6209116.7400000002</v>
      </c>
      <c r="S2423" t="s">
        <v>19608</v>
      </c>
      <c r="T2423" t="s">
        <v>19609</v>
      </c>
      <c r="U2423">
        <v>422648.8</v>
      </c>
      <c r="V2423">
        <v>6209103.3499999996</v>
      </c>
      <c r="W2423">
        <v>165.16</v>
      </c>
      <c r="X2423">
        <v>150.05000000000001</v>
      </c>
    </row>
    <row r="2424" spans="1:24" x14ac:dyDescent="0.25">
      <c r="A2424" s="148">
        <v>45107</v>
      </c>
      <c r="B2424" s="46">
        <v>181</v>
      </c>
      <c r="C2424" s="149">
        <v>0.70949074074074081</v>
      </c>
      <c r="D2424" s="38" t="s">
        <v>6737</v>
      </c>
      <c r="E2424" s="7" t="s">
        <v>19615</v>
      </c>
      <c r="F2424" s="38" t="s">
        <v>460</v>
      </c>
      <c r="G2424" s="38" t="s">
        <v>434</v>
      </c>
      <c r="H2424">
        <v>-5.5E-2</v>
      </c>
      <c r="O2424" t="s">
        <v>19611</v>
      </c>
      <c r="P2424" t="s">
        <v>19612</v>
      </c>
      <c r="Q2424">
        <v>419966.97</v>
      </c>
      <c r="R2424">
        <v>6207626.7699999996</v>
      </c>
      <c r="S2424" t="s">
        <v>19613</v>
      </c>
      <c r="T2424" t="s">
        <v>19614</v>
      </c>
      <c r="U2424">
        <v>419971.72</v>
      </c>
      <c r="V2424">
        <v>6207616.5199999996</v>
      </c>
      <c r="W2424">
        <v>139.91999999999999</v>
      </c>
      <c r="X2424">
        <v>200.06</v>
      </c>
    </row>
    <row r="2425" spans="1:24" s="169" customFormat="1" x14ac:dyDescent="0.25">
      <c r="A2425" s="65">
        <v>45107</v>
      </c>
      <c r="B2425" s="106">
        <v>181</v>
      </c>
      <c r="C2425" s="67">
        <v>0.74427083333333333</v>
      </c>
      <c r="D2425" s="66" t="s">
        <v>6737</v>
      </c>
      <c r="E2425" s="170" t="s">
        <v>19621</v>
      </c>
      <c r="F2425" s="66" t="s">
        <v>460</v>
      </c>
      <c r="G2425" s="66" t="s">
        <v>434</v>
      </c>
      <c r="H2425" s="169">
        <v>0.249</v>
      </c>
      <c r="M2425" s="169" t="s">
        <v>19616</v>
      </c>
      <c r="O2425" s="169" t="s">
        <v>19617</v>
      </c>
      <c r="P2425" s="169" t="s">
        <v>19618</v>
      </c>
      <c r="Q2425" s="169">
        <v>419892.3</v>
      </c>
      <c r="R2425" s="169">
        <v>6207516.5800000001</v>
      </c>
      <c r="S2425" s="169" t="s">
        <v>19619</v>
      </c>
      <c r="T2425" s="169" t="s">
        <v>19620</v>
      </c>
      <c r="U2425" s="169">
        <v>419896.47</v>
      </c>
      <c r="V2425" s="169">
        <v>6207493.3799999999</v>
      </c>
      <c r="W2425" s="169">
        <v>104.66</v>
      </c>
      <c r="X2425" s="169">
        <v>200.06</v>
      </c>
    </row>
    <row r="2426" spans="1:24" s="163" customFormat="1" x14ac:dyDescent="0.25">
      <c r="A2426" s="148">
        <v>45107</v>
      </c>
      <c r="B2426" s="46">
        <v>181</v>
      </c>
      <c r="C2426" s="149">
        <v>0.74693287037037026</v>
      </c>
      <c r="D2426" s="162" t="s">
        <v>6737</v>
      </c>
      <c r="E2426" s="154" t="s">
        <v>20079</v>
      </c>
      <c r="F2426" s="162" t="s">
        <v>460</v>
      </c>
      <c r="G2426" s="162" t="s">
        <v>434</v>
      </c>
    </row>
    <row r="2427" spans="1:24" x14ac:dyDescent="0.25">
      <c r="A2427" s="148">
        <v>45107</v>
      </c>
      <c r="B2427" s="46">
        <v>181</v>
      </c>
      <c r="C2427" s="149">
        <v>0.74693287037037026</v>
      </c>
      <c r="D2427" s="38" t="s">
        <v>6737</v>
      </c>
      <c r="E2427" s="7" t="s">
        <v>65</v>
      </c>
      <c r="F2427" s="38" t="s">
        <v>460</v>
      </c>
      <c r="G2427" s="38" t="s">
        <v>434</v>
      </c>
      <c r="H2427">
        <v>0.215</v>
      </c>
      <c r="I2427" t="s">
        <v>19626</v>
      </c>
      <c r="J2427" t="s">
        <v>19627</v>
      </c>
      <c r="K2427" t="s">
        <v>19628</v>
      </c>
      <c r="L2427" t="s">
        <v>19629</v>
      </c>
      <c r="O2427" t="s">
        <v>19622</v>
      </c>
      <c r="P2427" t="s">
        <v>19623</v>
      </c>
      <c r="Q2427">
        <v>419919.62</v>
      </c>
      <c r="R2427">
        <v>6207522.1500000004</v>
      </c>
      <c r="S2427" t="s">
        <v>19624</v>
      </c>
      <c r="T2427" t="s">
        <v>19625</v>
      </c>
      <c r="U2427">
        <v>419929.04</v>
      </c>
      <c r="V2427">
        <v>6207500.6500000004</v>
      </c>
      <c r="W2427">
        <v>77.52</v>
      </c>
      <c r="X2427">
        <v>200.06</v>
      </c>
    </row>
    <row r="2428" spans="1:24" x14ac:dyDescent="0.25">
      <c r="A2428" s="148">
        <v>45107</v>
      </c>
      <c r="B2428" s="46">
        <v>181</v>
      </c>
      <c r="C2428" s="149">
        <v>0.75133101851851858</v>
      </c>
      <c r="D2428" s="38" t="s">
        <v>6737</v>
      </c>
      <c r="E2428" s="7" t="s">
        <v>70</v>
      </c>
      <c r="F2428" s="38" t="s">
        <v>460</v>
      </c>
      <c r="G2428" s="38" t="s">
        <v>434</v>
      </c>
      <c r="H2428">
        <v>-2.1000000000000001E-2</v>
      </c>
      <c r="I2428" t="s">
        <v>19626</v>
      </c>
      <c r="J2428" t="s">
        <v>19627</v>
      </c>
      <c r="K2428" t="s">
        <v>19628</v>
      </c>
      <c r="L2428" t="s">
        <v>19634</v>
      </c>
      <c r="O2428" t="s">
        <v>19630</v>
      </c>
      <c r="P2428" t="s">
        <v>19631</v>
      </c>
      <c r="Q2428">
        <v>420145.47</v>
      </c>
      <c r="R2428">
        <v>6207573.79</v>
      </c>
      <c r="S2428" t="s">
        <v>19632</v>
      </c>
      <c r="T2428" t="s">
        <v>19633</v>
      </c>
      <c r="U2428">
        <v>420158.77</v>
      </c>
      <c r="V2428">
        <v>6207553.9299999997</v>
      </c>
      <c r="W2428">
        <v>78.22</v>
      </c>
      <c r="X2428">
        <v>200.06</v>
      </c>
    </row>
    <row r="2429" spans="1:24" x14ac:dyDescent="0.25">
      <c r="A2429" s="148">
        <v>45107</v>
      </c>
      <c r="B2429" s="46">
        <v>181</v>
      </c>
      <c r="C2429" s="149">
        <v>0.75488425925925917</v>
      </c>
      <c r="D2429" s="38" t="s">
        <v>6737</v>
      </c>
      <c r="E2429" s="7" t="s">
        <v>65</v>
      </c>
      <c r="F2429" s="38" t="s">
        <v>460</v>
      </c>
      <c r="G2429" s="38" t="s">
        <v>433</v>
      </c>
      <c r="H2429">
        <v>-1.7000000000000001E-2</v>
      </c>
      <c r="I2429" t="s">
        <v>19639</v>
      </c>
      <c r="J2429" t="s">
        <v>19640</v>
      </c>
      <c r="K2429" t="s">
        <v>19641</v>
      </c>
      <c r="L2429" t="s">
        <v>19634</v>
      </c>
      <c r="O2429" t="s">
        <v>19635</v>
      </c>
      <c r="P2429" t="s">
        <v>19636</v>
      </c>
      <c r="Q2429">
        <v>420166.79</v>
      </c>
      <c r="R2429">
        <v>6207572.5</v>
      </c>
      <c r="S2429" t="s">
        <v>19637</v>
      </c>
      <c r="T2429" t="s">
        <v>19638</v>
      </c>
      <c r="U2429">
        <v>420167.9</v>
      </c>
      <c r="V2429">
        <v>6207546.7999999998</v>
      </c>
      <c r="W2429">
        <v>256.79000000000002</v>
      </c>
      <c r="X2429">
        <v>200.06</v>
      </c>
    </row>
    <row r="2430" spans="1:24" x14ac:dyDescent="0.25">
      <c r="A2430" s="148">
        <v>45107</v>
      </c>
      <c r="B2430" s="46">
        <v>181</v>
      </c>
      <c r="C2430" s="149">
        <v>0.7594212962962964</v>
      </c>
      <c r="D2430" s="38" t="s">
        <v>6737</v>
      </c>
      <c r="E2430" s="7" t="s">
        <v>70</v>
      </c>
      <c r="F2430" s="38" t="s">
        <v>460</v>
      </c>
      <c r="G2430" s="38" t="s">
        <v>433</v>
      </c>
      <c r="H2430">
        <v>0.221</v>
      </c>
      <c r="I2430" t="s">
        <v>19639</v>
      </c>
      <c r="J2430" t="s">
        <v>19640</v>
      </c>
      <c r="K2430" t="s">
        <v>19641</v>
      </c>
      <c r="L2430" t="s">
        <v>19646</v>
      </c>
      <c r="O2430" t="s">
        <v>19642</v>
      </c>
      <c r="P2430" t="s">
        <v>19643</v>
      </c>
      <c r="Q2430">
        <v>419932.35</v>
      </c>
      <c r="R2430">
        <v>6207519.4299999997</v>
      </c>
      <c r="S2430" t="s">
        <v>19644</v>
      </c>
      <c r="T2430" t="s">
        <v>19645</v>
      </c>
      <c r="U2430">
        <v>419935.95</v>
      </c>
      <c r="V2430">
        <v>6207493.2000000002</v>
      </c>
      <c r="W2430">
        <v>257.10000000000002</v>
      </c>
      <c r="X2430">
        <v>200.06</v>
      </c>
    </row>
    <row r="2431" spans="1:24" x14ac:dyDescent="0.25">
      <c r="A2431" s="148">
        <v>45107</v>
      </c>
      <c r="B2431" s="46">
        <v>181</v>
      </c>
      <c r="C2431" s="149">
        <v>0.76261574074074068</v>
      </c>
      <c r="D2431" s="38" t="s">
        <v>6737</v>
      </c>
      <c r="E2431" s="7" t="s">
        <v>65</v>
      </c>
      <c r="F2431" s="38" t="s">
        <v>460</v>
      </c>
      <c r="G2431" s="38" t="s">
        <v>432</v>
      </c>
      <c r="H2431">
        <v>0.216</v>
      </c>
      <c r="I2431" t="s">
        <v>19651</v>
      </c>
      <c r="J2431" t="s">
        <v>19652</v>
      </c>
      <c r="K2431" t="s">
        <v>19653</v>
      </c>
      <c r="L2431" t="s">
        <v>19646</v>
      </c>
      <c r="O2431" t="s">
        <v>19647</v>
      </c>
      <c r="P2431" t="s">
        <v>19648</v>
      </c>
      <c r="Q2431">
        <v>419921.68</v>
      </c>
      <c r="R2431">
        <v>6207507.9000000004</v>
      </c>
      <c r="S2431" t="s">
        <v>19649</v>
      </c>
      <c r="T2431" t="s">
        <v>19650</v>
      </c>
      <c r="U2431">
        <v>419932.41</v>
      </c>
      <c r="V2431">
        <v>6207483.1900000004</v>
      </c>
      <c r="W2431">
        <v>77.680000000000007</v>
      </c>
      <c r="X2431">
        <v>200.06</v>
      </c>
    </row>
    <row r="2432" spans="1:24" x14ac:dyDescent="0.25">
      <c r="A2432" s="148">
        <v>45107</v>
      </c>
      <c r="B2432" s="46">
        <v>181</v>
      </c>
      <c r="C2432" s="149">
        <v>0.76706018518518515</v>
      </c>
      <c r="D2432" s="38" t="s">
        <v>6737</v>
      </c>
      <c r="E2432" s="7" t="s">
        <v>70</v>
      </c>
      <c r="F2432" s="38" t="s">
        <v>460</v>
      </c>
      <c r="G2432" s="38" t="s">
        <v>432</v>
      </c>
      <c r="H2432">
        <v>-2.1000000000000001E-2</v>
      </c>
      <c r="I2432" t="s">
        <v>19651</v>
      </c>
      <c r="J2432" t="s">
        <v>19652</v>
      </c>
      <c r="K2432" t="s">
        <v>19653</v>
      </c>
      <c r="L2432" t="s">
        <v>19646</v>
      </c>
      <c r="O2432" t="s">
        <v>19654</v>
      </c>
      <c r="P2432" t="s">
        <v>19655</v>
      </c>
      <c r="Q2432">
        <v>420149.54</v>
      </c>
      <c r="R2432">
        <v>6207560.5099999998</v>
      </c>
      <c r="S2432" t="s">
        <v>19656</v>
      </c>
      <c r="T2432" t="s">
        <v>19657</v>
      </c>
      <c r="U2432">
        <v>420163.44</v>
      </c>
      <c r="V2432">
        <v>6207536.4800000004</v>
      </c>
      <c r="W2432">
        <v>77.28</v>
      </c>
      <c r="X2432">
        <v>200.06</v>
      </c>
    </row>
    <row r="2433" spans="1:24" x14ac:dyDescent="0.25">
      <c r="A2433" s="148">
        <v>45107</v>
      </c>
      <c r="B2433" s="46">
        <v>181</v>
      </c>
      <c r="C2433" s="149">
        <v>0.77021990740740742</v>
      </c>
      <c r="D2433" s="38" t="s">
        <v>6737</v>
      </c>
      <c r="E2433" s="7" t="s">
        <v>65</v>
      </c>
      <c r="F2433" s="38" t="s">
        <v>460</v>
      </c>
      <c r="G2433" s="38" t="s">
        <v>431</v>
      </c>
      <c r="H2433">
        <v>-1.7000000000000001E-2</v>
      </c>
      <c r="I2433" t="s">
        <v>19662</v>
      </c>
      <c r="J2433" t="s">
        <v>19663</v>
      </c>
      <c r="K2433" t="s">
        <v>19664</v>
      </c>
      <c r="L2433" t="s">
        <v>19665</v>
      </c>
      <c r="O2433" t="s">
        <v>19658</v>
      </c>
      <c r="P2433" t="s">
        <v>19659</v>
      </c>
      <c r="Q2433">
        <v>420162.92</v>
      </c>
      <c r="R2433">
        <v>6207552.9800000004</v>
      </c>
      <c r="S2433" t="s">
        <v>19660</v>
      </c>
      <c r="T2433" t="s">
        <v>19661</v>
      </c>
      <c r="U2433">
        <v>420172.35</v>
      </c>
      <c r="V2433">
        <v>6207529.1699999999</v>
      </c>
      <c r="W2433">
        <v>257.98</v>
      </c>
      <c r="X2433">
        <v>200.06</v>
      </c>
    </row>
    <row r="2434" spans="1:24" x14ac:dyDescent="0.25">
      <c r="A2434" s="148">
        <v>45107</v>
      </c>
      <c r="B2434" s="46">
        <v>181</v>
      </c>
      <c r="C2434" s="149">
        <v>0.77375000000000005</v>
      </c>
      <c r="D2434" s="38" t="s">
        <v>6737</v>
      </c>
      <c r="E2434" s="7" t="s">
        <v>19674</v>
      </c>
      <c r="F2434" s="38" t="s">
        <v>460</v>
      </c>
      <c r="G2434" s="38" t="s">
        <v>431</v>
      </c>
      <c r="H2434">
        <v>0.157</v>
      </c>
      <c r="O2434" t="s">
        <v>19666</v>
      </c>
      <c r="P2434" t="s">
        <v>19667</v>
      </c>
      <c r="Q2434">
        <v>419979.34</v>
      </c>
      <c r="R2434">
        <v>6207511.8200000003</v>
      </c>
      <c r="S2434" t="s">
        <v>19668</v>
      </c>
      <c r="T2434" t="s">
        <v>19669</v>
      </c>
      <c r="U2434">
        <v>420002.28</v>
      </c>
      <c r="V2434">
        <v>6207490.0300000003</v>
      </c>
      <c r="W2434">
        <v>256.72000000000003</v>
      </c>
      <c r="X2434">
        <v>200.06</v>
      </c>
    </row>
    <row r="2435" spans="1:24" x14ac:dyDescent="0.25">
      <c r="A2435" s="148">
        <v>45107</v>
      </c>
      <c r="B2435" s="46">
        <v>181</v>
      </c>
      <c r="C2435" s="149">
        <v>0.77496527777777768</v>
      </c>
      <c r="D2435" s="38" t="s">
        <v>6737</v>
      </c>
      <c r="E2435" s="7" t="s">
        <v>70</v>
      </c>
      <c r="F2435" s="38" t="s">
        <v>460</v>
      </c>
      <c r="G2435" s="38" t="s">
        <v>431</v>
      </c>
      <c r="H2435">
        <v>0.221</v>
      </c>
      <c r="I2435" t="s">
        <v>19662</v>
      </c>
      <c r="J2435" t="s">
        <v>19663</v>
      </c>
      <c r="K2435" t="s">
        <v>19664</v>
      </c>
      <c r="L2435" t="s">
        <v>19665</v>
      </c>
      <c r="O2435" t="s">
        <v>19670</v>
      </c>
      <c r="P2435" t="s">
        <v>19671</v>
      </c>
      <c r="Q2435">
        <v>419917.04</v>
      </c>
      <c r="R2435">
        <v>6207497.8200000003</v>
      </c>
      <c r="S2435" t="s">
        <v>19672</v>
      </c>
      <c r="T2435" t="s">
        <v>19673</v>
      </c>
      <c r="U2435">
        <v>419939.86</v>
      </c>
      <c r="V2435">
        <v>6207475.5899999999</v>
      </c>
      <c r="W2435">
        <v>256.49</v>
      </c>
      <c r="X2435">
        <v>200.06</v>
      </c>
    </row>
    <row r="2436" spans="1:24" x14ac:dyDescent="0.25">
      <c r="A2436" s="148">
        <v>45107</v>
      </c>
      <c r="B2436" s="46">
        <v>181</v>
      </c>
      <c r="C2436" s="149">
        <v>0.77854166666666658</v>
      </c>
      <c r="D2436" s="38" t="s">
        <v>6737</v>
      </c>
      <c r="E2436" s="7" t="s">
        <v>65</v>
      </c>
      <c r="F2436" s="38" t="s">
        <v>460</v>
      </c>
      <c r="G2436" s="38" t="s">
        <v>430</v>
      </c>
      <c r="H2436">
        <v>0.218</v>
      </c>
      <c r="I2436" t="s">
        <v>19679</v>
      </c>
      <c r="J2436" t="s">
        <v>19680</v>
      </c>
      <c r="K2436" t="s">
        <v>19681</v>
      </c>
      <c r="L2436" t="s">
        <v>19665</v>
      </c>
      <c r="O2436" t="s">
        <v>19675</v>
      </c>
      <c r="P2436" t="s">
        <v>19676</v>
      </c>
      <c r="Q2436">
        <v>419921.85</v>
      </c>
      <c r="R2436">
        <v>6207489.0099999998</v>
      </c>
      <c r="S2436" t="s">
        <v>19677</v>
      </c>
      <c r="T2436" t="s">
        <v>19678</v>
      </c>
      <c r="U2436">
        <v>419934.91</v>
      </c>
      <c r="V2436">
        <v>6207465.21</v>
      </c>
      <c r="W2436">
        <v>77.33</v>
      </c>
      <c r="X2436">
        <v>200.06</v>
      </c>
    </row>
    <row r="2437" spans="1:24" x14ac:dyDescent="0.25">
      <c r="A2437" s="148">
        <v>45107</v>
      </c>
      <c r="B2437" s="46">
        <v>181</v>
      </c>
      <c r="C2437" s="149">
        <v>0.78302083333333339</v>
      </c>
      <c r="D2437" s="38" t="s">
        <v>6737</v>
      </c>
      <c r="E2437" s="7" t="s">
        <v>70</v>
      </c>
      <c r="F2437" s="38" t="s">
        <v>460</v>
      </c>
      <c r="G2437" s="38" t="s">
        <v>430</v>
      </c>
      <c r="H2437">
        <v>-2.1999999999999999E-2</v>
      </c>
      <c r="I2437" t="s">
        <v>19679</v>
      </c>
      <c r="J2437" t="s">
        <v>19680</v>
      </c>
      <c r="K2437" t="s">
        <v>19681</v>
      </c>
      <c r="L2437" t="s">
        <v>19686</v>
      </c>
      <c r="O2437" t="s">
        <v>19682</v>
      </c>
      <c r="P2437" t="s">
        <v>19683</v>
      </c>
      <c r="Q2437">
        <v>420153.96</v>
      </c>
      <c r="R2437">
        <v>6207542.3200000003</v>
      </c>
      <c r="S2437" t="s">
        <v>19684</v>
      </c>
      <c r="T2437" t="s">
        <v>19685</v>
      </c>
      <c r="U2437">
        <v>420168.25</v>
      </c>
      <c r="V2437">
        <v>6207519.0300000003</v>
      </c>
      <c r="W2437">
        <v>76.33</v>
      </c>
      <c r="X2437">
        <v>200.06</v>
      </c>
    </row>
    <row r="2438" spans="1:24" x14ac:dyDescent="0.25">
      <c r="A2438" s="148">
        <v>45107</v>
      </c>
      <c r="B2438" s="46">
        <v>181</v>
      </c>
      <c r="C2438" s="149">
        <v>0.78613425925925917</v>
      </c>
      <c r="D2438" s="38" t="s">
        <v>6737</v>
      </c>
      <c r="E2438" s="7" t="s">
        <v>65</v>
      </c>
      <c r="F2438" s="38" t="s">
        <v>460</v>
      </c>
      <c r="G2438" s="38" t="s">
        <v>429</v>
      </c>
      <c r="H2438">
        <v>-1.7000000000000001E-2</v>
      </c>
      <c r="I2438" t="s">
        <v>19691</v>
      </c>
      <c r="J2438" t="s">
        <v>19692</v>
      </c>
      <c r="K2438" t="s">
        <v>19693</v>
      </c>
      <c r="L2438" t="s">
        <v>19686</v>
      </c>
      <c r="O2438" t="s">
        <v>19687</v>
      </c>
      <c r="P2438" t="s">
        <v>19688</v>
      </c>
      <c r="Q2438">
        <v>420165.94</v>
      </c>
      <c r="R2438">
        <v>6207535.9500000002</v>
      </c>
      <c r="S2438" t="s">
        <v>19689</v>
      </c>
      <c r="T2438" t="s">
        <v>19690</v>
      </c>
      <c r="U2438">
        <v>420176.22</v>
      </c>
      <c r="V2438">
        <v>6207511.6399999997</v>
      </c>
      <c r="W2438">
        <v>256.64</v>
      </c>
      <c r="X2438">
        <v>200.06</v>
      </c>
    </row>
    <row r="2439" spans="1:24" x14ac:dyDescent="0.25">
      <c r="A2439" s="148">
        <v>45107</v>
      </c>
      <c r="B2439" s="46">
        <v>181</v>
      </c>
      <c r="C2439" s="149">
        <v>0.79061342592592598</v>
      </c>
      <c r="D2439" s="38" t="s">
        <v>6737</v>
      </c>
      <c r="E2439" s="7" t="s">
        <v>70</v>
      </c>
      <c r="F2439" s="38" t="s">
        <v>460</v>
      </c>
      <c r="G2439" s="38" t="s">
        <v>429</v>
      </c>
      <c r="H2439">
        <v>0.222</v>
      </c>
      <c r="I2439" t="s">
        <v>19691</v>
      </c>
      <c r="J2439" t="s">
        <v>19692</v>
      </c>
      <c r="K2439" t="s">
        <v>19693</v>
      </c>
      <c r="L2439" t="s">
        <v>19698</v>
      </c>
      <c r="O2439" t="s">
        <v>19694</v>
      </c>
      <c r="P2439" t="s">
        <v>19695</v>
      </c>
      <c r="Q2439">
        <v>419934.19</v>
      </c>
      <c r="R2439">
        <v>6207483.46</v>
      </c>
      <c r="S2439" t="s">
        <v>19696</v>
      </c>
      <c r="T2439" t="s">
        <v>19697</v>
      </c>
      <c r="U2439">
        <v>419943.16</v>
      </c>
      <c r="V2439">
        <v>6207457.9500000002</v>
      </c>
      <c r="W2439">
        <v>256.14</v>
      </c>
      <c r="X2439">
        <v>200.06</v>
      </c>
    </row>
    <row r="2440" spans="1:24" x14ac:dyDescent="0.25">
      <c r="A2440" s="148">
        <v>45107</v>
      </c>
      <c r="B2440" s="46">
        <v>181</v>
      </c>
      <c r="C2440" s="149">
        <v>0.79312499999999997</v>
      </c>
      <c r="D2440" s="38" t="s">
        <v>6737</v>
      </c>
      <c r="E2440" s="7" t="s">
        <v>65</v>
      </c>
      <c r="F2440" s="38" t="s">
        <v>460</v>
      </c>
      <c r="G2440" s="38" t="s">
        <v>428</v>
      </c>
      <c r="H2440">
        <v>0.218</v>
      </c>
      <c r="I2440" t="s">
        <v>19703</v>
      </c>
      <c r="J2440" t="s">
        <v>19704</v>
      </c>
      <c r="K2440" t="s">
        <v>19705</v>
      </c>
      <c r="L2440" t="s">
        <v>19698</v>
      </c>
      <c r="O2440" t="s">
        <v>19699</v>
      </c>
      <c r="P2440" t="s">
        <v>19700</v>
      </c>
      <c r="Q2440">
        <v>419917.52</v>
      </c>
      <c r="R2440">
        <v>6207470.8399999999</v>
      </c>
      <c r="S2440" t="s">
        <v>19701</v>
      </c>
      <c r="T2440" t="s">
        <v>19702</v>
      </c>
      <c r="U2440">
        <v>419938.63</v>
      </c>
      <c r="V2440">
        <v>6207447.6100000003</v>
      </c>
      <c r="W2440">
        <v>77.349999999999994</v>
      </c>
      <c r="X2440">
        <v>200.06</v>
      </c>
    </row>
    <row r="2441" spans="1:24" x14ac:dyDescent="0.25">
      <c r="A2441" s="148">
        <v>45107</v>
      </c>
      <c r="B2441" s="46">
        <v>181</v>
      </c>
      <c r="C2441" s="149">
        <v>0.79760416666666656</v>
      </c>
      <c r="D2441" s="38" t="s">
        <v>6737</v>
      </c>
      <c r="E2441" s="7" t="s">
        <v>70</v>
      </c>
      <c r="F2441" s="38" t="s">
        <v>460</v>
      </c>
      <c r="G2441" s="38" t="s">
        <v>428</v>
      </c>
      <c r="H2441">
        <v>-2.1999999999999999E-2</v>
      </c>
      <c r="I2441" t="s">
        <v>19703</v>
      </c>
      <c r="J2441" t="s">
        <v>19704</v>
      </c>
      <c r="K2441" t="s">
        <v>19705</v>
      </c>
      <c r="L2441" t="s">
        <v>19698</v>
      </c>
      <c r="O2441" t="s">
        <v>19706</v>
      </c>
      <c r="P2441" t="s">
        <v>19707</v>
      </c>
      <c r="Q2441">
        <v>420147.73</v>
      </c>
      <c r="R2441">
        <v>6207522.7800000003</v>
      </c>
      <c r="S2441" t="s">
        <v>19708</v>
      </c>
      <c r="T2441" t="s">
        <v>19709</v>
      </c>
      <c r="U2441">
        <v>420172.49</v>
      </c>
      <c r="V2441">
        <v>6207501.5</v>
      </c>
      <c r="W2441">
        <v>75.91</v>
      </c>
      <c r="X2441">
        <v>200.06</v>
      </c>
    </row>
    <row r="2442" spans="1:24" x14ac:dyDescent="0.25">
      <c r="A2442" s="148">
        <v>45107</v>
      </c>
      <c r="B2442" s="46">
        <v>181</v>
      </c>
      <c r="C2442" s="149">
        <v>0.79982638888888891</v>
      </c>
      <c r="D2442" s="38" t="s">
        <v>6737</v>
      </c>
      <c r="E2442" s="7" t="s">
        <v>65</v>
      </c>
      <c r="F2442" s="38" t="s">
        <v>460</v>
      </c>
      <c r="G2442" s="38" t="s">
        <v>427</v>
      </c>
      <c r="H2442">
        <v>-1.9E-2</v>
      </c>
      <c r="I2442" t="s">
        <v>19714</v>
      </c>
      <c r="J2442" t="s">
        <v>19715</v>
      </c>
      <c r="K2442" t="s">
        <v>19716</v>
      </c>
      <c r="L2442" t="s">
        <v>19717</v>
      </c>
      <c r="O2442" t="s">
        <v>19710</v>
      </c>
      <c r="P2442" t="s">
        <v>19711</v>
      </c>
      <c r="Q2442">
        <v>420181.16</v>
      </c>
      <c r="R2442">
        <v>6207520.1200000001</v>
      </c>
      <c r="S2442" t="s">
        <v>19712</v>
      </c>
      <c r="T2442" t="s">
        <v>19713</v>
      </c>
      <c r="U2442">
        <v>420181.86</v>
      </c>
      <c r="V2442">
        <v>6207494.4100000001</v>
      </c>
      <c r="W2442">
        <v>257.37</v>
      </c>
      <c r="X2442">
        <v>200.06</v>
      </c>
    </row>
    <row r="2443" spans="1:24" x14ac:dyDescent="0.25">
      <c r="A2443" s="148">
        <v>45107</v>
      </c>
      <c r="B2443" s="46">
        <v>181</v>
      </c>
      <c r="C2443" s="149">
        <v>0.80431712962962953</v>
      </c>
      <c r="D2443" s="38" t="s">
        <v>6737</v>
      </c>
      <c r="E2443" s="7" t="s">
        <v>70</v>
      </c>
      <c r="F2443" s="38" t="s">
        <v>460</v>
      </c>
      <c r="G2443" s="38" t="s">
        <v>427</v>
      </c>
      <c r="H2443">
        <v>0.223</v>
      </c>
      <c r="I2443" t="s">
        <v>19714</v>
      </c>
      <c r="J2443" t="s">
        <v>19715</v>
      </c>
      <c r="K2443" t="s">
        <v>19716</v>
      </c>
      <c r="L2443" t="s">
        <v>19717</v>
      </c>
      <c r="O2443" t="s">
        <v>19718</v>
      </c>
      <c r="P2443" t="s">
        <v>19719</v>
      </c>
      <c r="Q2443">
        <v>419951.92</v>
      </c>
      <c r="R2443">
        <v>6207468.1900000004</v>
      </c>
      <c r="S2443" t="s">
        <v>19720</v>
      </c>
      <c r="T2443" t="s">
        <v>19721</v>
      </c>
      <c r="U2443">
        <v>419946.66</v>
      </c>
      <c r="V2443">
        <v>6207440.1699999999</v>
      </c>
      <c r="W2443">
        <v>257.10000000000002</v>
      </c>
      <c r="X2443">
        <v>200.06</v>
      </c>
    </row>
    <row r="2444" spans="1:24" x14ac:dyDescent="0.25">
      <c r="A2444" s="148">
        <v>45107</v>
      </c>
      <c r="B2444" s="46">
        <v>181</v>
      </c>
      <c r="C2444" s="149">
        <v>0.80697916666666669</v>
      </c>
      <c r="D2444" s="38" t="s">
        <v>6737</v>
      </c>
      <c r="E2444" s="7" t="s">
        <v>65</v>
      </c>
      <c r="F2444" s="38" t="s">
        <v>460</v>
      </c>
      <c r="G2444" s="38" t="s">
        <v>426</v>
      </c>
      <c r="H2444">
        <v>0.218</v>
      </c>
      <c r="I2444" t="s">
        <v>19726</v>
      </c>
      <c r="J2444" t="s">
        <v>19727</v>
      </c>
      <c r="K2444" t="s">
        <v>19728</v>
      </c>
      <c r="L2444" t="s">
        <v>19717</v>
      </c>
      <c r="O2444" t="s">
        <v>19722</v>
      </c>
      <c r="P2444" t="s">
        <v>19723</v>
      </c>
      <c r="Q2444">
        <v>419925.18</v>
      </c>
      <c r="R2444">
        <v>6207453.0300000003</v>
      </c>
      <c r="S2444" t="s">
        <v>19724</v>
      </c>
      <c r="T2444" t="s">
        <v>19725</v>
      </c>
      <c r="U2444">
        <v>419942.59</v>
      </c>
      <c r="V2444">
        <v>6207430.1399999997</v>
      </c>
      <c r="W2444">
        <v>77.59</v>
      </c>
      <c r="X2444">
        <v>200.06</v>
      </c>
    </row>
    <row r="2445" spans="1:24" x14ac:dyDescent="0.25">
      <c r="A2445" s="148">
        <v>45107</v>
      </c>
      <c r="B2445" s="46">
        <v>181</v>
      </c>
      <c r="C2445" s="149">
        <v>0.81146990740740732</v>
      </c>
      <c r="D2445" s="38" t="s">
        <v>6737</v>
      </c>
      <c r="E2445" s="7" t="s">
        <v>70</v>
      </c>
      <c r="F2445" s="38" t="s">
        <v>460</v>
      </c>
      <c r="G2445" s="38" t="s">
        <v>426</v>
      </c>
      <c r="H2445">
        <v>-2.3E-2</v>
      </c>
      <c r="I2445" t="s">
        <v>19726</v>
      </c>
      <c r="J2445" t="s">
        <v>19727</v>
      </c>
      <c r="K2445" t="s">
        <v>19728</v>
      </c>
      <c r="L2445" t="s">
        <v>19733</v>
      </c>
      <c r="O2445" t="s">
        <v>19729</v>
      </c>
      <c r="P2445" t="s">
        <v>19730</v>
      </c>
      <c r="Q2445">
        <v>420154.82</v>
      </c>
      <c r="R2445">
        <v>6207505.0700000003</v>
      </c>
      <c r="S2445" t="s">
        <v>19731</v>
      </c>
      <c r="T2445" t="s">
        <v>19732</v>
      </c>
      <c r="U2445">
        <v>420176.99</v>
      </c>
      <c r="V2445">
        <v>6207484.1600000001</v>
      </c>
      <c r="W2445">
        <v>75.98</v>
      </c>
      <c r="X2445">
        <v>200.06</v>
      </c>
    </row>
    <row r="2446" spans="1:24" x14ac:dyDescent="0.25">
      <c r="A2446" s="148">
        <v>45107</v>
      </c>
      <c r="B2446" s="46">
        <v>181</v>
      </c>
      <c r="C2446" s="149">
        <v>0.81394675925925919</v>
      </c>
      <c r="D2446" s="38" t="s">
        <v>6737</v>
      </c>
      <c r="E2446" s="7" t="s">
        <v>65</v>
      </c>
      <c r="F2446" s="38" t="s">
        <v>460</v>
      </c>
      <c r="G2446" s="38" t="s">
        <v>435</v>
      </c>
      <c r="H2446">
        <v>-1.7999999999999999E-2</v>
      </c>
      <c r="I2446" t="s">
        <v>19738</v>
      </c>
      <c r="J2446" t="s">
        <v>19739</v>
      </c>
      <c r="K2446" t="s">
        <v>19740</v>
      </c>
      <c r="L2446" t="s">
        <v>19733</v>
      </c>
      <c r="O2446" t="s">
        <v>19734</v>
      </c>
      <c r="P2446" t="s">
        <v>19735</v>
      </c>
      <c r="Q2446">
        <v>420187.54</v>
      </c>
      <c r="R2446">
        <v>6207505.2800000003</v>
      </c>
      <c r="S2446" t="s">
        <v>19736</v>
      </c>
      <c r="T2446" t="s">
        <v>19737</v>
      </c>
      <c r="U2446">
        <v>420185.56</v>
      </c>
      <c r="V2446">
        <v>6207476.8899999997</v>
      </c>
      <c r="W2446">
        <v>257.45</v>
      </c>
      <c r="X2446">
        <v>200.06</v>
      </c>
    </row>
    <row r="2447" spans="1:24" x14ac:dyDescent="0.25">
      <c r="A2447" s="148">
        <v>45107</v>
      </c>
      <c r="B2447" s="46">
        <v>181</v>
      </c>
      <c r="C2447" s="149">
        <v>0.81856481481481491</v>
      </c>
      <c r="D2447" s="38" t="s">
        <v>6737</v>
      </c>
      <c r="E2447" s="7" t="s">
        <v>70</v>
      </c>
      <c r="F2447" s="38" t="s">
        <v>460</v>
      </c>
      <c r="G2447" s="38" t="s">
        <v>435</v>
      </c>
      <c r="H2447">
        <v>0.224</v>
      </c>
      <c r="I2447" t="s">
        <v>19738</v>
      </c>
      <c r="J2447" t="s">
        <v>19739</v>
      </c>
      <c r="K2447" t="s">
        <v>19740</v>
      </c>
      <c r="L2447" t="s">
        <v>19733</v>
      </c>
      <c r="O2447" t="s">
        <v>19741</v>
      </c>
      <c r="P2447" t="s">
        <v>19742</v>
      </c>
      <c r="Q2447">
        <v>419952.7</v>
      </c>
      <c r="R2447">
        <v>6207451.3799999999</v>
      </c>
      <c r="S2447" t="s">
        <v>19743</v>
      </c>
      <c r="T2447" t="s">
        <v>19744</v>
      </c>
      <c r="U2447">
        <v>419949.89</v>
      </c>
      <c r="V2447">
        <v>6207422.5700000003</v>
      </c>
      <c r="W2447">
        <v>257.24</v>
      </c>
      <c r="X2447">
        <v>200.06</v>
      </c>
    </row>
    <row r="2448" spans="1:24" x14ac:dyDescent="0.25">
      <c r="A2448" s="148">
        <v>45107</v>
      </c>
      <c r="B2448" s="46">
        <v>181</v>
      </c>
      <c r="C2448" s="149">
        <v>0.82134259259259268</v>
      </c>
      <c r="D2448" s="38" t="s">
        <v>6737</v>
      </c>
      <c r="E2448" s="7" t="s">
        <v>65</v>
      </c>
      <c r="F2448" s="38" t="s">
        <v>460</v>
      </c>
      <c r="G2448" s="38" t="s">
        <v>436</v>
      </c>
      <c r="H2448">
        <v>0.219</v>
      </c>
      <c r="I2448" t="s">
        <v>19749</v>
      </c>
      <c r="J2448" t="s">
        <v>19750</v>
      </c>
      <c r="K2448" t="s">
        <v>19751</v>
      </c>
      <c r="L2448" t="s">
        <v>19752</v>
      </c>
      <c r="O2448" t="s">
        <v>19745</v>
      </c>
      <c r="P2448" t="s">
        <v>19746</v>
      </c>
      <c r="Q2448">
        <v>419922.04</v>
      </c>
      <c r="R2448">
        <v>6207434.3200000003</v>
      </c>
      <c r="S2448" t="s">
        <v>19747</v>
      </c>
      <c r="T2448" t="s">
        <v>19748</v>
      </c>
      <c r="U2448">
        <v>419945.42</v>
      </c>
      <c r="V2448">
        <v>6207412.5899999999</v>
      </c>
      <c r="W2448">
        <v>80.319999999999993</v>
      </c>
      <c r="X2448">
        <v>200.06</v>
      </c>
    </row>
    <row r="2449" spans="1:24" x14ac:dyDescent="0.25">
      <c r="A2449" s="148">
        <v>45107</v>
      </c>
      <c r="B2449" s="46">
        <v>181</v>
      </c>
      <c r="C2449" s="149">
        <v>0.82608796296296294</v>
      </c>
      <c r="D2449" s="38" t="s">
        <v>6737</v>
      </c>
      <c r="E2449" s="7" t="s">
        <v>70</v>
      </c>
      <c r="F2449" s="38" t="s">
        <v>460</v>
      </c>
      <c r="G2449" s="38" t="s">
        <v>436</v>
      </c>
      <c r="H2449">
        <v>-2.3E-2</v>
      </c>
      <c r="I2449" t="s">
        <v>19749</v>
      </c>
      <c r="J2449" t="s">
        <v>19750</v>
      </c>
      <c r="K2449" t="s">
        <v>19751</v>
      </c>
      <c r="L2449" t="s">
        <v>19752</v>
      </c>
      <c r="O2449" t="s">
        <v>19753</v>
      </c>
      <c r="P2449" t="s">
        <v>19754</v>
      </c>
      <c r="Q2449">
        <v>420162.01</v>
      </c>
      <c r="R2449">
        <v>6207488.6100000003</v>
      </c>
      <c r="S2449" t="s">
        <v>19755</v>
      </c>
      <c r="T2449" t="s">
        <v>19756</v>
      </c>
      <c r="U2449">
        <v>420180.86</v>
      </c>
      <c r="V2449">
        <v>6207466.7300000004</v>
      </c>
      <c r="W2449">
        <v>76.709999999999994</v>
      </c>
      <c r="X2449">
        <v>200.06</v>
      </c>
    </row>
    <row r="2450" spans="1:24" x14ac:dyDescent="0.25">
      <c r="A2450" s="148">
        <v>45107</v>
      </c>
      <c r="B2450" s="46">
        <v>181</v>
      </c>
      <c r="C2450" s="149">
        <v>0.8288888888888889</v>
      </c>
      <c r="D2450" s="38" t="s">
        <v>6737</v>
      </c>
      <c r="E2450" s="7" t="s">
        <v>65</v>
      </c>
      <c r="F2450" s="38" t="s">
        <v>460</v>
      </c>
      <c r="G2450" s="38" t="s">
        <v>437</v>
      </c>
      <c r="H2450">
        <v>-1.7999999999999999E-2</v>
      </c>
      <c r="I2450" t="s">
        <v>19760</v>
      </c>
      <c r="J2450" t="s">
        <v>19761</v>
      </c>
      <c r="K2450" t="s">
        <v>19762</v>
      </c>
      <c r="L2450" t="s">
        <v>19752</v>
      </c>
      <c r="O2450" t="s">
        <v>19757</v>
      </c>
      <c r="P2450" t="s">
        <v>19758</v>
      </c>
      <c r="Q2450">
        <v>420192.53</v>
      </c>
      <c r="R2450">
        <v>6207486.0499999998</v>
      </c>
      <c r="S2450" t="s">
        <v>19759</v>
      </c>
      <c r="T2450" t="s">
        <v>8988</v>
      </c>
      <c r="U2450">
        <v>420189.32</v>
      </c>
      <c r="V2450">
        <v>6207459.1200000001</v>
      </c>
      <c r="W2450">
        <v>259.42</v>
      </c>
      <c r="X2450">
        <v>200.06</v>
      </c>
    </row>
    <row r="2451" spans="1:24" x14ac:dyDescent="0.25">
      <c r="A2451" s="148">
        <v>45107</v>
      </c>
      <c r="B2451" s="46">
        <v>181</v>
      </c>
      <c r="C2451" s="149">
        <v>0.83347222222222228</v>
      </c>
      <c r="D2451" s="38" t="s">
        <v>6737</v>
      </c>
      <c r="E2451" s="7" t="s">
        <v>70</v>
      </c>
      <c r="F2451" s="38" t="s">
        <v>460</v>
      </c>
      <c r="G2451" s="38" t="s">
        <v>437</v>
      </c>
      <c r="H2451">
        <v>0.22500000000000001</v>
      </c>
      <c r="I2451" t="s">
        <v>19760</v>
      </c>
      <c r="J2451" t="s">
        <v>19761</v>
      </c>
      <c r="K2451" t="s">
        <v>19762</v>
      </c>
      <c r="L2451" t="s">
        <v>19767</v>
      </c>
      <c r="O2451" t="s">
        <v>19763</v>
      </c>
      <c r="P2451" t="s">
        <v>19764</v>
      </c>
      <c r="Q2451">
        <v>419955.54</v>
      </c>
      <c r="R2451">
        <v>6207432.3399999999</v>
      </c>
      <c r="S2451" t="s">
        <v>19765</v>
      </c>
      <c r="T2451" t="s">
        <v>19766</v>
      </c>
      <c r="U2451">
        <v>419953.05</v>
      </c>
      <c r="V2451">
        <v>6207404.7699999996</v>
      </c>
      <c r="W2451">
        <v>257.12</v>
      </c>
      <c r="X2451">
        <v>200.06</v>
      </c>
    </row>
    <row r="2452" spans="1:24" x14ac:dyDescent="0.25">
      <c r="A2452" s="148">
        <v>45107</v>
      </c>
      <c r="B2452" s="46">
        <v>181</v>
      </c>
      <c r="C2452" s="149">
        <v>0.83616898148148155</v>
      </c>
      <c r="D2452" s="38" t="s">
        <v>6737</v>
      </c>
      <c r="E2452" s="7" t="s">
        <v>65</v>
      </c>
      <c r="F2452" s="38" t="s">
        <v>460</v>
      </c>
      <c r="G2452" s="38" t="s">
        <v>438</v>
      </c>
      <c r="H2452">
        <v>0.22</v>
      </c>
      <c r="I2452" t="s">
        <v>19772</v>
      </c>
      <c r="J2452" t="s">
        <v>19773</v>
      </c>
      <c r="K2452" t="s">
        <v>19774</v>
      </c>
      <c r="L2452" t="s">
        <v>19767</v>
      </c>
      <c r="O2452" t="s">
        <v>19768</v>
      </c>
      <c r="P2452" t="s">
        <v>19769</v>
      </c>
      <c r="Q2452">
        <v>419924.8</v>
      </c>
      <c r="R2452">
        <v>6207415.7400000002</v>
      </c>
      <c r="S2452" t="s">
        <v>19770</v>
      </c>
      <c r="T2452" t="s">
        <v>19771</v>
      </c>
      <c r="U2452">
        <v>419948.64</v>
      </c>
      <c r="V2452">
        <v>6207394.6200000001</v>
      </c>
      <c r="W2452">
        <v>80.08</v>
      </c>
      <c r="X2452">
        <v>200.06</v>
      </c>
    </row>
    <row r="2453" spans="1:24" x14ac:dyDescent="0.25">
      <c r="A2453" s="148">
        <v>45107</v>
      </c>
      <c r="B2453" s="46">
        <v>181</v>
      </c>
      <c r="C2453" s="149">
        <v>0.84108796296296295</v>
      </c>
      <c r="D2453" s="38" t="s">
        <v>6737</v>
      </c>
      <c r="E2453" s="7" t="s">
        <v>70</v>
      </c>
      <c r="F2453" s="38" t="s">
        <v>460</v>
      </c>
      <c r="G2453" s="38" t="s">
        <v>438</v>
      </c>
      <c r="H2453">
        <v>-2.3E-2</v>
      </c>
      <c r="I2453" t="s">
        <v>19772</v>
      </c>
      <c r="J2453" t="s">
        <v>19773</v>
      </c>
      <c r="K2453" t="s">
        <v>19774</v>
      </c>
      <c r="L2453" t="s">
        <v>19767</v>
      </c>
      <c r="O2453" t="s">
        <v>19775</v>
      </c>
      <c r="P2453" t="s">
        <v>19776</v>
      </c>
      <c r="Q2453">
        <v>420176.03</v>
      </c>
      <c r="R2453">
        <v>6207473.4299999997</v>
      </c>
      <c r="S2453" t="s">
        <v>19777</v>
      </c>
      <c r="T2453" t="s">
        <v>19778</v>
      </c>
      <c r="U2453">
        <v>420185.05</v>
      </c>
      <c r="V2453">
        <v>6207449.0300000003</v>
      </c>
      <c r="W2453">
        <v>76.900000000000006</v>
      </c>
      <c r="X2453">
        <v>200.06</v>
      </c>
    </row>
    <row r="2454" spans="1:24" x14ac:dyDescent="0.25">
      <c r="A2454" s="148">
        <v>45107</v>
      </c>
      <c r="B2454" s="46">
        <v>181</v>
      </c>
      <c r="C2454" s="149">
        <v>0.84467592592592589</v>
      </c>
      <c r="D2454" s="38" t="s">
        <v>6737</v>
      </c>
      <c r="E2454" s="7" t="s">
        <v>65</v>
      </c>
      <c r="F2454" s="38" t="s">
        <v>460</v>
      </c>
      <c r="G2454" s="38" t="s">
        <v>439</v>
      </c>
      <c r="H2454">
        <v>-1.7000000000000001E-2</v>
      </c>
      <c r="I2454" t="s">
        <v>19783</v>
      </c>
      <c r="J2454" t="s">
        <v>19784</v>
      </c>
      <c r="K2454" t="s">
        <v>19785</v>
      </c>
      <c r="L2454" t="s">
        <v>19786</v>
      </c>
      <c r="O2454" t="s">
        <v>19779</v>
      </c>
      <c r="P2454" t="s">
        <v>19780</v>
      </c>
      <c r="Q2454">
        <v>420186.12</v>
      </c>
      <c r="R2454">
        <v>6207465.79</v>
      </c>
      <c r="S2454" t="s">
        <v>19781</v>
      </c>
      <c r="T2454" t="s">
        <v>19782</v>
      </c>
      <c r="U2454">
        <v>420192.75</v>
      </c>
      <c r="V2454">
        <v>6207441.5999999996</v>
      </c>
      <c r="W2454">
        <v>256.88</v>
      </c>
      <c r="X2454">
        <v>200.06</v>
      </c>
    </row>
    <row r="2455" spans="1:24" x14ac:dyDescent="0.25">
      <c r="A2455" s="148">
        <v>45107</v>
      </c>
      <c r="B2455" s="46">
        <v>181</v>
      </c>
      <c r="C2455" s="149">
        <v>0.84928240740740746</v>
      </c>
      <c r="D2455" s="38" t="s">
        <v>6737</v>
      </c>
      <c r="E2455" s="7" t="s">
        <v>70</v>
      </c>
      <c r="F2455" s="38" t="s">
        <v>460</v>
      </c>
      <c r="G2455" s="38" t="s">
        <v>439</v>
      </c>
      <c r="H2455">
        <v>0.22600000000000001</v>
      </c>
      <c r="I2455" t="s">
        <v>19783</v>
      </c>
      <c r="J2455" t="s">
        <v>19784</v>
      </c>
      <c r="K2455" t="s">
        <v>19785</v>
      </c>
      <c r="L2455" t="s">
        <v>19786</v>
      </c>
      <c r="O2455" t="s">
        <v>19787</v>
      </c>
      <c r="P2455" t="s">
        <v>19788</v>
      </c>
      <c r="Q2455">
        <v>419946.97</v>
      </c>
      <c r="R2455">
        <v>6207411.2000000002</v>
      </c>
      <c r="S2455" t="s">
        <v>19789</v>
      </c>
      <c r="T2455" t="s">
        <v>19790</v>
      </c>
      <c r="U2455">
        <v>419955.6</v>
      </c>
      <c r="V2455">
        <v>6207386.8300000001</v>
      </c>
      <c r="W2455">
        <v>256.64</v>
      </c>
      <c r="X2455">
        <v>200.06</v>
      </c>
    </row>
    <row r="2456" spans="1:24" x14ac:dyDescent="0.25">
      <c r="A2456" s="148">
        <v>45107</v>
      </c>
      <c r="B2456" s="46">
        <v>181</v>
      </c>
      <c r="C2456" s="149">
        <v>0.85273148148148159</v>
      </c>
      <c r="D2456" s="38" t="s">
        <v>6737</v>
      </c>
      <c r="E2456" s="7" t="s">
        <v>65</v>
      </c>
      <c r="F2456" s="38" t="s">
        <v>460</v>
      </c>
      <c r="G2456" s="38" t="s">
        <v>440</v>
      </c>
      <c r="H2456">
        <v>0.222</v>
      </c>
      <c r="I2456" t="s">
        <v>19795</v>
      </c>
      <c r="J2456" t="s">
        <v>19796</v>
      </c>
      <c r="K2456" t="s">
        <v>19797</v>
      </c>
      <c r="L2456" t="s">
        <v>19798</v>
      </c>
      <c r="O2456" t="s">
        <v>19791</v>
      </c>
      <c r="P2456" t="s">
        <v>19792</v>
      </c>
      <c r="Q2456">
        <v>419941.05</v>
      </c>
      <c r="R2456">
        <v>6207401.7699999996</v>
      </c>
      <c r="S2456" t="s">
        <v>19793</v>
      </c>
      <c r="T2456" t="s">
        <v>19794</v>
      </c>
      <c r="U2456">
        <v>419950.87</v>
      </c>
      <c r="V2456">
        <v>6207376.75</v>
      </c>
      <c r="W2456">
        <v>78.88</v>
      </c>
      <c r="X2456">
        <v>200.06</v>
      </c>
    </row>
    <row r="2457" spans="1:24" x14ac:dyDescent="0.25">
      <c r="A2457" s="148">
        <v>45107</v>
      </c>
      <c r="B2457" s="46">
        <v>181</v>
      </c>
      <c r="C2457" s="149">
        <v>0.85736111111111113</v>
      </c>
      <c r="D2457" s="38" t="s">
        <v>6737</v>
      </c>
      <c r="E2457" s="7" t="s">
        <v>70</v>
      </c>
      <c r="F2457" s="38" t="s">
        <v>460</v>
      </c>
      <c r="G2457" s="38" t="s">
        <v>440</v>
      </c>
      <c r="H2457">
        <v>-2.3E-2</v>
      </c>
      <c r="I2457" t="s">
        <v>19795</v>
      </c>
      <c r="J2457" t="s">
        <v>19796</v>
      </c>
      <c r="K2457" t="s">
        <v>19797</v>
      </c>
      <c r="L2457" t="s">
        <v>19798</v>
      </c>
      <c r="O2457" t="s">
        <v>19799</v>
      </c>
      <c r="P2457" t="s">
        <v>19800</v>
      </c>
      <c r="Q2457">
        <v>420180.83</v>
      </c>
      <c r="R2457">
        <v>6207456.3200000003</v>
      </c>
      <c r="S2457" t="s">
        <v>19801</v>
      </c>
      <c r="T2457" t="s">
        <v>19802</v>
      </c>
      <c r="U2457">
        <v>420189.24</v>
      </c>
      <c r="V2457">
        <v>6207431.6500000004</v>
      </c>
      <c r="W2457">
        <v>77.05</v>
      </c>
      <c r="X2457">
        <v>200.06</v>
      </c>
    </row>
    <row r="2458" spans="1:24" x14ac:dyDescent="0.25">
      <c r="A2458" s="148">
        <v>45107</v>
      </c>
      <c r="B2458" s="46">
        <v>181</v>
      </c>
      <c r="C2458" s="149">
        <v>0.86149305555555555</v>
      </c>
      <c r="D2458" s="38" t="s">
        <v>6737</v>
      </c>
      <c r="E2458" s="7" t="s">
        <v>65</v>
      </c>
      <c r="F2458" s="38" t="s">
        <v>460</v>
      </c>
      <c r="G2458" s="38" t="s">
        <v>441</v>
      </c>
      <c r="H2458">
        <v>-1.7999999999999999E-2</v>
      </c>
      <c r="I2458" t="s">
        <v>19807</v>
      </c>
      <c r="J2458" t="s">
        <v>19808</v>
      </c>
      <c r="K2458" t="s">
        <v>19809</v>
      </c>
      <c r="L2458" t="s">
        <v>19798</v>
      </c>
      <c r="O2458" t="s">
        <v>19803</v>
      </c>
      <c r="P2458" t="s">
        <v>19804</v>
      </c>
      <c r="Q2458">
        <v>420186.37</v>
      </c>
      <c r="R2458">
        <v>6207447.8799999999</v>
      </c>
      <c r="S2458" t="s">
        <v>19805</v>
      </c>
      <c r="T2458" t="s">
        <v>19806</v>
      </c>
      <c r="U2458">
        <v>420197.34</v>
      </c>
      <c r="V2458">
        <v>6207424.3799999999</v>
      </c>
      <c r="W2458">
        <v>256.02</v>
      </c>
      <c r="X2458">
        <v>200.06</v>
      </c>
    </row>
    <row r="2459" spans="1:24" x14ac:dyDescent="0.25">
      <c r="A2459" s="148">
        <v>45107</v>
      </c>
      <c r="B2459" s="46">
        <v>181</v>
      </c>
      <c r="C2459" s="149">
        <v>0.86614583333333339</v>
      </c>
      <c r="D2459" s="38" t="s">
        <v>6737</v>
      </c>
      <c r="E2459" s="7" t="s">
        <v>70</v>
      </c>
      <c r="F2459" s="38" t="s">
        <v>460</v>
      </c>
      <c r="G2459" s="38" t="s">
        <v>441</v>
      </c>
      <c r="H2459">
        <v>0.22800000000000001</v>
      </c>
      <c r="I2459" t="s">
        <v>19807</v>
      </c>
      <c r="J2459" t="s">
        <v>19808</v>
      </c>
      <c r="K2459" t="s">
        <v>19809</v>
      </c>
      <c r="L2459" t="s">
        <v>19814</v>
      </c>
      <c r="O2459" t="s">
        <v>19810</v>
      </c>
      <c r="P2459" t="s">
        <v>19811</v>
      </c>
      <c r="Q2459">
        <v>419943.55</v>
      </c>
      <c r="R2459">
        <v>6207392.5700000003</v>
      </c>
      <c r="S2459" t="s">
        <v>19812</v>
      </c>
      <c r="T2459" t="s">
        <v>19813</v>
      </c>
      <c r="U2459">
        <v>419958.07</v>
      </c>
      <c r="V2459">
        <v>6207369.1600000001</v>
      </c>
      <c r="W2459">
        <v>255.37</v>
      </c>
      <c r="X2459">
        <v>200.06</v>
      </c>
    </row>
    <row r="2460" spans="1:24" x14ac:dyDescent="0.25">
      <c r="A2460" s="148">
        <v>45107</v>
      </c>
      <c r="B2460" s="46">
        <v>181</v>
      </c>
      <c r="C2460" s="149">
        <v>0.86986111111111108</v>
      </c>
      <c r="D2460" s="38" t="s">
        <v>6737</v>
      </c>
      <c r="E2460" s="7" t="s">
        <v>65</v>
      </c>
      <c r="F2460" s="38" t="s">
        <v>460</v>
      </c>
      <c r="G2460" s="38" t="s">
        <v>442</v>
      </c>
      <c r="H2460">
        <v>0.223</v>
      </c>
      <c r="I2460" t="s">
        <v>19819</v>
      </c>
      <c r="J2460" t="s">
        <v>19820</v>
      </c>
      <c r="K2460" t="s">
        <v>19821</v>
      </c>
      <c r="L2460" t="s">
        <v>19814</v>
      </c>
      <c r="O2460" t="s">
        <v>19815</v>
      </c>
      <c r="P2460" t="s">
        <v>19816</v>
      </c>
      <c r="Q2460">
        <v>419946.28</v>
      </c>
      <c r="R2460">
        <v>6207384.4400000004</v>
      </c>
      <c r="S2460" t="s">
        <v>19817</v>
      </c>
      <c r="T2460" t="s">
        <v>19818</v>
      </c>
      <c r="U2460">
        <v>419954.04</v>
      </c>
      <c r="V2460">
        <v>6207358.9000000004</v>
      </c>
      <c r="W2460">
        <v>77.83</v>
      </c>
      <c r="X2460">
        <v>200.06</v>
      </c>
    </row>
    <row r="2461" spans="1:24" x14ac:dyDescent="0.25">
      <c r="A2461" s="148">
        <v>45107</v>
      </c>
      <c r="B2461" s="46">
        <v>181</v>
      </c>
      <c r="C2461" s="149">
        <v>0.87452546296296296</v>
      </c>
      <c r="D2461" s="38" t="s">
        <v>6737</v>
      </c>
      <c r="E2461" s="7" t="s">
        <v>70</v>
      </c>
      <c r="F2461" s="38" t="s">
        <v>460</v>
      </c>
      <c r="G2461" s="38" t="s">
        <v>442</v>
      </c>
      <c r="H2461">
        <v>-2.3E-2</v>
      </c>
      <c r="I2461" t="s">
        <v>19819</v>
      </c>
      <c r="J2461" t="s">
        <v>19820</v>
      </c>
      <c r="K2461" t="s">
        <v>19821</v>
      </c>
      <c r="L2461" t="s">
        <v>19826</v>
      </c>
      <c r="O2461" t="s">
        <v>19822</v>
      </c>
      <c r="P2461" t="s">
        <v>19823</v>
      </c>
      <c r="Q2461">
        <v>420188.55</v>
      </c>
      <c r="R2461">
        <v>6207439.6299999999</v>
      </c>
      <c r="S2461" t="s">
        <v>19824</v>
      </c>
      <c r="T2461" t="s">
        <v>19825</v>
      </c>
      <c r="U2461">
        <v>420193.96</v>
      </c>
      <c r="V2461">
        <v>6207414.2400000002</v>
      </c>
      <c r="W2461">
        <v>77.92</v>
      </c>
      <c r="X2461">
        <v>200.06</v>
      </c>
    </row>
    <row r="2462" spans="1:24" x14ac:dyDescent="0.25">
      <c r="A2462" s="148">
        <v>45107</v>
      </c>
      <c r="B2462" s="46">
        <v>181</v>
      </c>
      <c r="C2462" s="149">
        <v>0.88283564814814808</v>
      </c>
      <c r="D2462" s="38" t="s">
        <v>6737</v>
      </c>
      <c r="E2462" s="7" t="s">
        <v>65</v>
      </c>
      <c r="F2462" s="38" t="s">
        <v>460</v>
      </c>
      <c r="G2462" s="38" t="s">
        <v>19827</v>
      </c>
      <c r="H2462">
        <v>-1.7000000000000001E-2</v>
      </c>
      <c r="I2462" t="s">
        <v>19832</v>
      </c>
      <c r="J2462" t="s">
        <v>19833</v>
      </c>
      <c r="K2462" t="s">
        <v>19834</v>
      </c>
      <c r="L2462" t="s">
        <v>19826</v>
      </c>
      <c r="O2462" t="s">
        <v>19828</v>
      </c>
      <c r="P2462" t="s">
        <v>19829</v>
      </c>
      <c r="Q2462">
        <v>420161.7</v>
      </c>
      <c r="R2462">
        <v>6207552.5499999998</v>
      </c>
      <c r="S2462" t="s">
        <v>19830</v>
      </c>
      <c r="T2462" t="s">
        <v>19831</v>
      </c>
      <c r="U2462">
        <v>420171.88</v>
      </c>
      <c r="V2462">
        <v>6207529.1699999999</v>
      </c>
      <c r="W2462">
        <v>258.29000000000002</v>
      </c>
      <c r="X2462">
        <v>200.06</v>
      </c>
    </row>
    <row r="2463" spans="1:24" x14ac:dyDescent="0.25">
      <c r="A2463" s="148">
        <v>45107</v>
      </c>
      <c r="B2463" s="46">
        <v>181</v>
      </c>
      <c r="C2463" s="149">
        <v>0.88736111111111116</v>
      </c>
      <c r="D2463" s="38" t="s">
        <v>6737</v>
      </c>
      <c r="E2463" s="7" t="s">
        <v>70</v>
      </c>
      <c r="F2463" s="38" t="s">
        <v>460</v>
      </c>
      <c r="G2463" s="38" t="s">
        <v>19827</v>
      </c>
      <c r="H2463">
        <v>0.222</v>
      </c>
      <c r="I2463" t="s">
        <v>19832</v>
      </c>
      <c r="J2463" t="s">
        <v>19833</v>
      </c>
      <c r="K2463" t="s">
        <v>19834</v>
      </c>
      <c r="L2463" t="s">
        <v>19840</v>
      </c>
      <c r="O2463" t="s">
        <v>19836</v>
      </c>
      <c r="P2463" t="s">
        <v>19837</v>
      </c>
      <c r="Q2463">
        <v>419925.55</v>
      </c>
      <c r="R2463">
        <v>6207499.8099999996</v>
      </c>
      <c r="S2463" t="s">
        <v>19838</v>
      </c>
      <c r="T2463" t="s">
        <v>19839</v>
      </c>
      <c r="U2463">
        <v>419939.14</v>
      </c>
      <c r="V2463">
        <v>6207475.5199999996</v>
      </c>
      <c r="W2463">
        <v>256.72000000000003</v>
      </c>
      <c r="X2463">
        <v>200.06</v>
      </c>
    </row>
    <row r="2464" spans="1:24" x14ac:dyDescent="0.25">
      <c r="A2464" s="148">
        <v>45107</v>
      </c>
      <c r="B2464" s="46">
        <v>181</v>
      </c>
      <c r="C2464" s="149">
        <v>0.89288194444444446</v>
      </c>
      <c r="D2464" s="38" t="s">
        <v>6737</v>
      </c>
      <c r="E2464" s="7" t="s">
        <v>19845</v>
      </c>
      <c r="F2464" s="38" t="s">
        <v>8011</v>
      </c>
      <c r="G2464" s="38" t="s">
        <v>19827</v>
      </c>
      <c r="H2464">
        <v>0.25700000000000001</v>
      </c>
      <c r="O2464" t="s">
        <v>19841</v>
      </c>
      <c r="P2464" t="s">
        <v>19842</v>
      </c>
      <c r="Q2464">
        <v>419891.07</v>
      </c>
      <c r="R2464">
        <v>6207492.7800000003</v>
      </c>
      <c r="S2464" t="s">
        <v>19843</v>
      </c>
      <c r="T2464" t="s">
        <v>19844</v>
      </c>
      <c r="U2464">
        <v>419895.03</v>
      </c>
      <c r="V2464">
        <v>6207480.1900000004</v>
      </c>
      <c r="W2464">
        <v>144.29</v>
      </c>
      <c r="X2464">
        <v>200.06</v>
      </c>
    </row>
    <row r="2465" spans="1:24" s="169" customFormat="1" x14ac:dyDescent="0.25">
      <c r="A2465" s="65">
        <v>45107</v>
      </c>
      <c r="B2465" s="106">
        <v>181</v>
      </c>
      <c r="C2465" s="67">
        <v>0.91347222222222213</v>
      </c>
      <c r="D2465" s="66" t="s">
        <v>6737</v>
      </c>
      <c r="E2465" s="170" t="s">
        <v>19851</v>
      </c>
      <c r="F2465" s="66" t="s">
        <v>8011</v>
      </c>
      <c r="G2465" s="66" t="s">
        <v>1176</v>
      </c>
      <c r="H2465" s="169">
        <v>-0.06</v>
      </c>
      <c r="M2465" s="169" t="s">
        <v>19846</v>
      </c>
      <c r="O2465" s="169" t="s">
        <v>19847</v>
      </c>
      <c r="P2465" s="169" t="s">
        <v>19848</v>
      </c>
      <c r="Q2465" s="169">
        <v>417548.15</v>
      </c>
      <c r="R2465" s="169">
        <v>6207063.7599999998</v>
      </c>
      <c r="S2465" s="169" t="s">
        <v>19849</v>
      </c>
      <c r="T2465" s="169" t="s">
        <v>19850</v>
      </c>
      <c r="U2465" s="169">
        <v>417563.62</v>
      </c>
      <c r="V2465" s="169">
        <v>6207063.2000000002</v>
      </c>
      <c r="W2465" s="169">
        <v>94.88</v>
      </c>
      <c r="X2465" s="169">
        <v>150.05000000000001</v>
      </c>
    </row>
    <row r="2466" spans="1:24" s="157" customFormat="1" x14ac:dyDescent="0.25">
      <c r="A2466" s="148">
        <v>45107</v>
      </c>
      <c r="B2466" s="46">
        <v>181</v>
      </c>
      <c r="C2466" s="149">
        <v>0.913599537037037</v>
      </c>
      <c r="D2466" s="162" t="s">
        <v>6737</v>
      </c>
      <c r="E2466" s="160" t="s">
        <v>19862</v>
      </c>
      <c r="F2466" s="162" t="s">
        <v>8011</v>
      </c>
      <c r="G2466" s="162" t="s">
        <v>1176</v>
      </c>
      <c r="H2466" s="157">
        <v>-4.8000000000000001E-2</v>
      </c>
      <c r="O2466" s="157" t="s">
        <v>19858</v>
      </c>
      <c r="P2466" s="157" t="s">
        <v>19859</v>
      </c>
      <c r="Q2466" s="157">
        <v>417547.68</v>
      </c>
      <c r="R2466" s="157">
        <v>6207063.6699999999</v>
      </c>
      <c r="S2466" s="157" t="s">
        <v>19860</v>
      </c>
      <c r="T2466" s="157" t="s">
        <v>19861</v>
      </c>
      <c r="U2466" s="157">
        <v>417569.65</v>
      </c>
      <c r="V2466" s="157">
        <v>6207056.4199999999</v>
      </c>
      <c r="W2466" s="157">
        <v>182.6</v>
      </c>
      <c r="X2466" s="157">
        <v>150.05000000000001</v>
      </c>
    </row>
    <row r="2467" spans="1:24" s="169" customFormat="1" ht="14.25" customHeight="1" x14ac:dyDescent="0.25">
      <c r="A2467" s="65">
        <v>45107</v>
      </c>
      <c r="B2467" s="106">
        <v>181</v>
      </c>
      <c r="C2467" s="67">
        <v>0.91991898148148143</v>
      </c>
      <c r="D2467" s="66" t="s">
        <v>61</v>
      </c>
      <c r="E2467" s="170" t="s">
        <v>19857</v>
      </c>
      <c r="F2467" s="66" t="s">
        <v>8011</v>
      </c>
      <c r="G2467" s="66" t="s">
        <v>1176</v>
      </c>
      <c r="H2467" s="169">
        <v>-5.6000000000000001E-2</v>
      </c>
      <c r="M2467" s="169" t="s">
        <v>19852</v>
      </c>
      <c r="O2467" s="169" t="s">
        <v>19853</v>
      </c>
      <c r="P2467" s="169" t="s">
        <v>19854</v>
      </c>
      <c r="Q2467" s="169">
        <v>417547.48</v>
      </c>
      <c r="R2467" s="169">
        <v>6207063.9199999999</v>
      </c>
      <c r="S2467" s="169" t="s">
        <v>19855</v>
      </c>
      <c r="T2467" s="169" t="s">
        <v>19856</v>
      </c>
      <c r="U2467" s="169">
        <v>417572.41</v>
      </c>
      <c r="V2467" s="169">
        <v>6207059.3399999999</v>
      </c>
      <c r="W2467" s="169">
        <v>99.53</v>
      </c>
      <c r="X2467" s="169">
        <v>150.05000000000001</v>
      </c>
    </row>
    <row r="2468" spans="1:24" x14ac:dyDescent="0.25">
      <c r="A2468" s="148">
        <v>45107</v>
      </c>
      <c r="B2468" s="46">
        <v>181</v>
      </c>
      <c r="C2468" s="149">
        <v>0.92388888888888887</v>
      </c>
      <c r="D2468" s="38" t="s">
        <v>61</v>
      </c>
      <c r="E2468" s="7" t="s">
        <v>65</v>
      </c>
      <c r="F2468" s="38" t="s">
        <v>8011</v>
      </c>
      <c r="G2468" s="38" t="s">
        <v>1176</v>
      </c>
      <c r="H2468">
        <v>-1.6E-2</v>
      </c>
      <c r="I2468" t="s">
        <v>19867</v>
      </c>
      <c r="J2468" t="s">
        <v>19868</v>
      </c>
      <c r="K2468" t="s">
        <v>19869</v>
      </c>
      <c r="L2468" t="s">
        <v>19870</v>
      </c>
      <c r="O2468" t="s">
        <v>19863</v>
      </c>
      <c r="P2468" t="s">
        <v>19864</v>
      </c>
      <c r="Q2468">
        <v>417545.47</v>
      </c>
      <c r="R2468">
        <v>6207032.3499999996</v>
      </c>
      <c r="S2468" t="s">
        <v>19865</v>
      </c>
      <c r="T2468" t="s">
        <v>19866</v>
      </c>
      <c r="U2468">
        <v>417569.63</v>
      </c>
      <c r="V2468">
        <v>6207023.6799999997</v>
      </c>
      <c r="W2468">
        <v>180.74</v>
      </c>
      <c r="X2468">
        <v>150.05000000000001</v>
      </c>
    </row>
    <row r="2469" spans="1:24" x14ac:dyDescent="0.25">
      <c r="A2469" s="148">
        <v>45107</v>
      </c>
      <c r="B2469" s="46">
        <v>181</v>
      </c>
      <c r="C2469" s="149">
        <v>0.92733796296296289</v>
      </c>
      <c r="D2469" s="38" t="s">
        <v>61</v>
      </c>
      <c r="E2469" s="7" t="s">
        <v>70</v>
      </c>
      <c r="F2469" s="38" t="s">
        <v>8011</v>
      </c>
      <c r="G2469" s="38" t="s">
        <v>1176</v>
      </c>
      <c r="H2469">
        <v>0.16800000000000001</v>
      </c>
      <c r="I2469" t="s">
        <v>19867</v>
      </c>
      <c r="J2469" t="s">
        <v>19868</v>
      </c>
      <c r="K2469" t="s">
        <v>19869</v>
      </c>
      <c r="L2469" t="s">
        <v>19875</v>
      </c>
      <c r="O2469" t="s">
        <v>19871</v>
      </c>
      <c r="P2469" t="s">
        <v>19872</v>
      </c>
      <c r="Q2469">
        <v>417543.7</v>
      </c>
      <c r="R2469">
        <v>6206849.0099999998</v>
      </c>
      <c r="S2469" t="s">
        <v>19873</v>
      </c>
      <c r="T2469" t="s">
        <v>19874</v>
      </c>
      <c r="U2469">
        <v>417569.54</v>
      </c>
      <c r="V2469">
        <v>6206840.6200000001</v>
      </c>
      <c r="W2469">
        <v>179.99</v>
      </c>
      <c r="X2469">
        <v>150.05000000000001</v>
      </c>
    </row>
    <row r="2470" spans="1:24" x14ac:dyDescent="0.25">
      <c r="A2470" s="148">
        <v>45107</v>
      </c>
      <c r="B2470" s="46">
        <v>181</v>
      </c>
      <c r="C2470" s="149">
        <v>0.93076388888888895</v>
      </c>
      <c r="D2470" s="38" t="s">
        <v>61</v>
      </c>
      <c r="E2470" s="7" t="s">
        <v>65</v>
      </c>
      <c r="F2470" s="38" t="s">
        <v>8011</v>
      </c>
      <c r="G2470" s="38" t="s">
        <v>1175</v>
      </c>
      <c r="H2470">
        <v>0.159</v>
      </c>
      <c r="I2470" t="s">
        <v>19880</v>
      </c>
      <c r="J2470" t="s">
        <v>19881</v>
      </c>
      <c r="K2470" t="s">
        <v>19882</v>
      </c>
      <c r="L2470" t="s">
        <v>19875</v>
      </c>
      <c r="O2470" t="s">
        <v>19876</v>
      </c>
      <c r="P2470" t="s">
        <v>19877</v>
      </c>
      <c r="Q2470">
        <v>417553.8</v>
      </c>
      <c r="R2470">
        <v>6206843.6399999997</v>
      </c>
      <c r="S2470" t="s">
        <v>19878</v>
      </c>
      <c r="T2470" t="s">
        <v>19879</v>
      </c>
      <c r="U2470">
        <v>417578.68</v>
      </c>
      <c r="V2470">
        <v>6206837.9500000002</v>
      </c>
      <c r="W2470">
        <v>0.17</v>
      </c>
      <c r="X2470">
        <v>150.05000000000001</v>
      </c>
    </row>
    <row r="2471" spans="1:24" x14ac:dyDescent="0.25">
      <c r="A2471" s="148">
        <v>45107</v>
      </c>
      <c r="B2471" s="46">
        <v>181</v>
      </c>
      <c r="C2471" s="149">
        <v>0.93410879629629628</v>
      </c>
      <c r="D2471" s="38" t="s">
        <v>61</v>
      </c>
      <c r="E2471" s="7" t="s">
        <v>70</v>
      </c>
      <c r="F2471" s="38" t="s">
        <v>8011</v>
      </c>
      <c r="G2471" s="38" t="s">
        <v>1175</v>
      </c>
      <c r="H2471">
        <v>-0.02</v>
      </c>
      <c r="I2471" t="s">
        <v>19880</v>
      </c>
      <c r="J2471" t="s">
        <v>19881</v>
      </c>
      <c r="K2471" t="s">
        <v>19882</v>
      </c>
      <c r="L2471" t="s">
        <v>19875</v>
      </c>
      <c r="O2471" t="s">
        <v>19883</v>
      </c>
      <c r="P2471" t="s">
        <v>19884</v>
      </c>
      <c r="Q2471">
        <v>417553.78</v>
      </c>
      <c r="R2471">
        <v>6207020.3200000003</v>
      </c>
      <c r="S2471" t="s">
        <v>19885</v>
      </c>
      <c r="T2471" t="s">
        <v>19886</v>
      </c>
      <c r="U2471">
        <v>417578.54</v>
      </c>
      <c r="V2471">
        <v>6207016.6399999997</v>
      </c>
      <c r="W2471">
        <v>0.42</v>
      </c>
      <c r="X2471">
        <v>150.05000000000001</v>
      </c>
    </row>
    <row r="2472" spans="1:24" x14ac:dyDescent="0.25">
      <c r="A2472" s="148">
        <v>45107</v>
      </c>
      <c r="B2472" s="46">
        <v>181</v>
      </c>
      <c r="C2472" s="149">
        <v>0.93792824074074066</v>
      </c>
      <c r="D2472" s="38" t="s">
        <v>61</v>
      </c>
      <c r="E2472" s="7" t="s">
        <v>65</v>
      </c>
      <c r="F2472" s="38" t="s">
        <v>8011</v>
      </c>
      <c r="G2472" s="38" t="s">
        <v>1174</v>
      </c>
      <c r="H2472">
        <v>-1.2E-2</v>
      </c>
      <c r="I2472" t="s">
        <v>19891</v>
      </c>
      <c r="J2472" t="s">
        <v>19892</v>
      </c>
      <c r="K2472" t="s">
        <v>19893</v>
      </c>
      <c r="L2472" t="s">
        <v>19894</v>
      </c>
      <c r="O2472" t="s">
        <v>19887</v>
      </c>
      <c r="P2472" t="s">
        <v>19888</v>
      </c>
      <c r="Q2472">
        <v>417563.41</v>
      </c>
      <c r="R2472">
        <v>6207025.4199999999</v>
      </c>
      <c r="S2472" t="s">
        <v>19889</v>
      </c>
      <c r="T2472" t="s">
        <v>19890</v>
      </c>
      <c r="U2472">
        <v>417587.66</v>
      </c>
      <c r="V2472">
        <v>6207019.7000000002</v>
      </c>
      <c r="W2472">
        <v>179.07</v>
      </c>
      <c r="X2472">
        <v>150.05000000000001</v>
      </c>
    </row>
    <row r="2473" spans="1:24" x14ac:dyDescent="0.25">
      <c r="A2473" s="148">
        <v>45107</v>
      </c>
      <c r="B2473" s="46">
        <v>181</v>
      </c>
      <c r="C2473" s="149">
        <v>0.9412152777777778</v>
      </c>
      <c r="D2473" s="38" t="s">
        <v>61</v>
      </c>
      <c r="E2473" s="7" t="s">
        <v>70</v>
      </c>
      <c r="F2473" s="38" t="s">
        <v>8011</v>
      </c>
      <c r="G2473" s="38" t="s">
        <v>1174</v>
      </c>
      <c r="H2473">
        <v>0.16400000000000001</v>
      </c>
      <c r="I2473" t="s">
        <v>19891</v>
      </c>
      <c r="J2473" t="s">
        <v>19892</v>
      </c>
      <c r="K2473" t="s">
        <v>19893</v>
      </c>
      <c r="L2473" t="s">
        <v>19894</v>
      </c>
      <c r="O2473" t="s">
        <v>19895</v>
      </c>
      <c r="P2473" t="s">
        <v>19896</v>
      </c>
      <c r="Q2473">
        <v>417562.03</v>
      </c>
      <c r="R2473">
        <v>6206850</v>
      </c>
      <c r="S2473" t="s">
        <v>19897</v>
      </c>
      <c r="T2473" t="s">
        <v>19898</v>
      </c>
      <c r="U2473">
        <v>417587.66</v>
      </c>
      <c r="V2473">
        <v>6206844.0499999998</v>
      </c>
      <c r="W2473">
        <v>180.01</v>
      </c>
      <c r="X2473">
        <v>150.05000000000001</v>
      </c>
    </row>
    <row r="2474" spans="1:24" x14ac:dyDescent="0.25">
      <c r="A2474" s="148">
        <v>45107</v>
      </c>
      <c r="B2474" s="46">
        <v>181</v>
      </c>
      <c r="C2474" s="149">
        <v>0.94472222222222213</v>
      </c>
      <c r="D2474" s="38" t="s">
        <v>61</v>
      </c>
      <c r="E2474" s="7" t="s">
        <v>65</v>
      </c>
      <c r="F2474" s="38" t="s">
        <v>8011</v>
      </c>
      <c r="G2474" s="38" t="s">
        <v>1173</v>
      </c>
      <c r="H2474">
        <v>0.159</v>
      </c>
      <c r="I2474" t="s">
        <v>19903</v>
      </c>
      <c r="J2474" t="s">
        <v>19904</v>
      </c>
      <c r="K2474" t="s">
        <v>19905</v>
      </c>
      <c r="L2474" t="s">
        <v>19894</v>
      </c>
      <c r="O2474" t="s">
        <v>19899</v>
      </c>
      <c r="P2474" t="s">
        <v>19900</v>
      </c>
      <c r="Q2474">
        <v>417571.53</v>
      </c>
      <c r="R2474">
        <v>6206846.8799999999</v>
      </c>
      <c r="S2474" t="s">
        <v>19901</v>
      </c>
      <c r="T2474" t="s">
        <v>19902</v>
      </c>
      <c r="U2474">
        <v>417596.49</v>
      </c>
      <c r="V2474">
        <v>6206838</v>
      </c>
      <c r="W2474">
        <v>1.38</v>
      </c>
      <c r="X2474">
        <v>150.05000000000001</v>
      </c>
    </row>
    <row r="2475" spans="1:24" x14ac:dyDescent="0.25">
      <c r="A2475" s="148">
        <v>45107</v>
      </c>
      <c r="B2475" s="46">
        <v>181</v>
      </c>
      <c r="C2475" s="149">
        <v>0.94805555555555554</v>
      </c>
      <c r="D2475" s="38" t="s">
        <v>61</v>
      </c>
      <c r="E2475" s="7" t="s">
        <v>70</v>
      </c>
      <c r="F2475" s="38" t="s">
        <v>8011</v>
      </c>
      <c r="G2475" s="38" t="s">
        <v>1173</v>
      </c>
      <c r="H2475">
        <v>-1.9E-2</v>
      </c>
      <c r="I2475" t="s">
        <v>19903</v>
      </c>
      <c r="J2475" t="s">
        <v>19904</v>
      </c>
      <c r="K2475" t="s">
        <v>19905</v>
      </c>
      <c r="L2475" t="s">
        <v>19910</v>
      </c>
      <c r="O2475" t="s">
        <v>19906</v>
      </c>
      <c r="P2475" t="s">
        <v>19907</v>
      </c>
      <c r="Q2475">
        <v>417572.68</v>
      </c>
      <c r="R2475">
        <v>6207023.7800000003</v>
      </c>
      <c r="S2475" t="s">
        <v>19908</v>
      </c>
      <c r="T2475" t="s">
        <v>19909</v>
      </c>
      <c r="U2475">
        <v>417596.59</v>
      </c>
      <c r="V2475">
        <v>6207016.2199999997</v>
      </c>
      <c r="W2475">
        <v>359.24</v>
      </c>
      <c r="X2475">
        <v>150.05000000000001</v>
      </c>
    </row>
    <row r="2476" spans="1:24" x14ac:dyDescent="0.25">
      <c r="A2476" s="148">
        <v>45107</v>
      </c>
      <c r="B2476" s="46">
        <v>181</v>
      </c>
      <c r="C2476" s="149">
        <v>0.95142361111111118</v>
      </c>
      <c r="D2476" s="38" t="s">
        <v>61</v>
      </c>
      <c r="E2476" s="7" t="s">
        <v>65</v>
      </c>
      <c r="F2476" s="38" t="s">
        <v>8011</v>
      </c>
      <c r="G2476" s="38" t="s">
        <v>1172</v>
      </c>
      <c r="H2476">
        <v>-1.0999999999999999E-2</v>
      </c>
      <c r="I2476" t="s">
        <v>19915</v>
      </c>
      <c r="J2476" t="s">
        <v>19916</v>
      </c>
      <c r="K2476" t="s">
        <v>19917</v>
      </c>
      <c r="L2476" t="s">
        <v>19910</v>
      </c>
      <c r="O2476" t="s">
        <v>19911</v>
      </c>
      <c r="P2476" t="s">
        <v>19912</v>
      </c>
      <c r="Q2476">
        <v>417581.69</v>
      </c>
      <c r="R2476">
        <v>6207027.5899999999</v>
      </c>
      <c r="S2476" t="s">
        <v>19913</v>
      </c>
      <c r="T2476" t="s">
        <v>19914</v>
      </c>
      <c r="U2476">
        <v>417605.75</v>
      </c>
      <c r="V2476">
        <v>6207018.6600000001</v>
      </c>
      <c r="W2476">
        <v>181.07</v>
      </c>
      <c r="X2476">
        <v>150.05000000000001</v>
      </c>
    </row>
    <row r="2477" spans="1:24" x14ac:dyDescent="0.25">
      <c r="A2477" s="148">
        <v>45107</v>
      </c>
      <c r="B2477" s="46">
        <v>181</v>
      </c>
      <c r="C2477" s="149">
        <v>0.95472222222222225</v>
      </c>
      <c r="D2477" s="38" t="s">
        <v>61</v>
      </c>
      <c r="E2477" s="7" t="s">
        <v>70</v>
      </c>
      <c r="F2477" s="38" t="s">
        <v>8011</v>
      </c>
      <c r="G2477" s="38" t="s">
        <v>1172</v>
      </c>
      <c r="H2477">
        <v>0.16600000000000001</v>
      </c>
      <c r="I2477" t="s">
        <v>19915</v>
      </c>
      <c r="J2477" t="s">
        <v>19916</v>
      </c>
      <c r="K2477" t="s">
        <v>19917</v>
      </c>
      <c r="L2477" t="s">
        <v>19910</v>
      </c>
      <c r="O2477" t="s">
        <v>19918</v>
      </c>
      <c r="P2477" t="s">
        <v>19919</v>
      </c>
      <c r="Q2477">
        <v>417579.7</v>
      </c>
      <c r="R2477">
        <v>6206851.9199999999</v>
      </c>
      <c r="S2477" t="s">
        <v>19920</v>
      </c>
      <c r="T2477" t="s">
        <v>19921</v>
      </c>
      <c r="U2477">
        <v>417605.36</v>
      </c>
      <c r="V2477">
        <v>6206842.1399999997</v>
      </c>
      <c r="W2477">
        <v>179.04</v>
      </c>
      <c r="X2477">
        <v>150.05000000000001</v>
      </c>
    </row>
    <row r="2478" spans="1:24" x14ac:dyDescent="0.25">
      <c r="A2478" s="148">
        <v>45107</v>
      </c>
      <c r="B2478" s="46">
        <v>181</v>
      </c>
      <c r="C2478" s="149">
        <v>0.9584259259259259</v>
      </c>
      <c r="D2478" s="38" t="s">
        <v>61</v>
      </c>
      <c r="E2478" s="7" t="s">
        <v>65</v>
      </c>
      <c r="F2478" s="38" t="s">
        <v>8011</v>
      </c>
      <c r="G2478" s="38" t="s">
        <v>1171</v>
      </c>
      <c r="H2478">
        <v>0.16</v>
      </c>
      <c r="I2478" t="s">
        <v>19926</v>
      </c>
      <c r="J2478" t="s">
        <v>19927</v>
      </c>
      <c r="K2478" t="s">
        <v>19928</v>
      </c>
      <c r="L2478" t="s">
        <v>19929</v>
      </c>
      <c r="O2478" t="s">
        <v>19922</v>
      </c>
      <c r="P2478" t="s">
        <v>19923</v>
      </c>
      <c r="Q2478">
        <v>417589.52</v>
      </c>
      <c r="R2478">
        <v>6206841.54</v>
      </c>
      <c r="S2478" t="s">
        <v>19924</v>
      </c>
      <c r="T2478" t="s">
        <v>19925</v>
      </c>
      <c r="U2478">
        <v>417614.5</v>
      </c>
      <c r="V2478">
        <v>6206836.6200000001</v>
      </c>
      <c r="W2478">
        <v>359.12</v>
      </c>
      <c r="X2478">
        <v>150.05000000000001</v>
      </c>
    </row>
    <row r="2479" spans="1:24" x14ac:dyDescent="0.25">
      <c r="A2479" s="148">
        <v>45107</v>
      </c>
      <c r="B2479" s="46">
        <v>181</v>
      </c>
      <c r="C2479" s="149">
        <v>0.96174768518518527</v>
      </c>
      <c r="D2479" s="38" t="s">
        <v>61</v>
      </c>
      <c r="E2479" s="7" t="s">
        <v>70</v>
      </c>
      <c r="F2479" s="38" t="s">
        <v>8011</v>
      </c>
      <c r="G2479" s="38" t="s">
        <v>1171</v>
      </c>
      <c r="H2479">
        <v>-1.7999999999999999E-2</v>
      </c>
      <c r="I2479" t="s">
        <v>19926</v>
      </c>
      <c r="J2479" t="s">
        <v>19927</v>
      </c>
      <c r="K2479" t="s">
        <v>19928</v>
      </c>
      <c r="L2479" t="s">
        <v>19929</v>
      </c>
      <c r="O2479" t="s">
        <v>19930</v>
      </c>
      <c r="P2479" t="s">
        <v>19931</v>
      </c>
      <c r="Q2479">
        <v>417589.78</v>
      </c>
      <c r="R2479">
        <v>6207018.2999999998</v>
      </c>
      <c r="S2479" t="s">
        <v>19932</v>
      </c>
      <c r="T2479" t="s">
        <v>19933</v>
      </c>
      <c r="U2479">
        <v>417614.47</v>
      </c>
      <c r="V2479">
        <v>6207015.4400000004</v>
      </c>
      <c r="W2479">
        <v>359.75</v>
      </c>
      <c r="X2479">
        <v>150.05000000000001</v>
      </c>
    </row>
    <row r="2480" spans="1:24" x14ac:dyDescent="0.25">
      <c r="A2480" s="148">
        <v>45107</v>
      </c>
      <c r="B2480" s="46">
        <v>181</v>
      </c>
      <c r="C2480" s="149">
        <v>0.96480324074074064</v>
      </c>
      <c r="D2480" s="38" t="s">
        <v>61</v>
      </c>
      <c r="E2480" s="7" t="s">
        <v>65</v>
      </c>
      <c r="F2480" s="38" t="s">
        <v>8011</v>
      </c>
      <c r="G2480" s="38" t="s">
        <v>1177</v>
      </c>
      <c r="H2480">
        <v>-1.0999999999999999E-2</v>
      </c>
      <c r="I2480" t="s">
        <v>19938</v>
      </c>
      <c r="J2480" t="s">
        <v>19939</v>
      </c>
      <c r="K2480" t="s">
        <v>19940</v>
      </c>
      <c r="L2480" t="s">
        <v>19929</v>
      </c>
      <c r="O2480" t="s">
        <v>19934</v>
      </c>
      <c r="P2480" t="s">
        <v>19935</v>
      </c>
      <c r="Q2480">
        <v>417598.31</v>
      </c>
      <c r="R2480">
        <v>6207029.3200000003</v>
      </c>
      <c r="S2480" t="s">
        <v>19936</v>
      </c>
      <c r="T2480" t="s">
        <v>19937</v>
      </c>
      <c r="U2480">
        <v>417623.73</v>
      </c>
      <c r="V2480">
        <v>6207019.4400000004</v>
      </c>
      <c r="W2480">
        <v>180.56</v>
      </c>
      <c r="X2480">
        <v>150.05000000000001</v>
      </c>
    </row>
    <row r="2481" spans="1:24" x14ac:dyDescent="0.25">
      <c r="A2481" s="148">
        <v>45107</v>
      </c>
      <c r="B2481" s="46">
        <v>181</v>
      </c>
      <c r="C2481" s="149">
        <v>0.96811342592592586</v>
      </c>
      <c r="D2481" s="38" t="s">
        <v>61</v>
      </c>
      <c r="E2481" s="7" t="s">
        <v>70</v>
      </c>
      <c r="F2481" s="38" t="s">
        <v>8011</v>
      </c>
      <c r="G2481" s="38" t="s">
        <v>1177</v>
      </c>
      <c r="H2481">
        <v>0.16600000000000001</v>
      </c>
      <c r="I2481" t="s">
        <v>19938</v>
      </c>
      <c r="J2481" t="s">
        <v>19939</v>
      </c>
      <c r="K2481" t="s">
        <v>19940</v>
      </c>
      <c r="L2481" t="s">
        <v>19945</v>
      </c>
      <c r="O2481" t="s">
        <v>19941</v>
      </c>
      <c r="P2481" t="s">
        <v>19942</v>
      </c>
      <c r="Q2481">
        <v>417597.74</v>
      </c>
      <c r="R2481">
        <v>6206852.7699999996</v>
      </c>
      <c r="S2481" t="s">
        <v>19943</v>
      </c>
      <c r="T2481" t="s">
        <v>19944</v>
      </c>
      <c r="U2481">
        <v>417623.55</v>
      </c>
      <c r="V2481">
        <v>6206842.4000000004</v>
      </c>
      <c r="W2481">
        <v>179.82</v>
      </c>
      <c r="X2481">
        <v>150.05000000000001</v>
      </c>
    </row>
    <row r="2482" spans="1:24" x14ac:dyDescent="0.25">
      <c r="A2482" s="148">
        <v>45107</v>
      </c>
      <c r="B2482" s="46">
        <v>181</v>
      </c>
      <c r="C2482" s="149">
        <v>0.97123842592592602</v>
      </c>
      <c r="D2482" s="38" t="s">
        <v>61</v>
      </c>
      <c r="E2482" s="7" t="s">
        <v>65</v>
      </c>
      <c r="F2482" s="38" t="s">
        <v>8011</v>
      </c>
      <c r="G2482" s="38" t="s">
        <v>1178</v>
      </c>
      <c r="H2482">
        <v>0.16</v>
      </c>
      <c r="I2482" t="s">
        <v>19950</v>
      </c>
      <c r="J2482" t="s">
        <v>19951</v>
      </c>
      <c r="K2482" t="s">
        <v>19952</v>
      </c>
      <c r="L2482" t="s">
        <v>19945</v>
      </c>
      <c r="O2482" t="s">
        <v>19946</v>
      </c>
      <c r="P2482" t="s">
        <v>19947</v>
      </c>
      <c r="Q2482">
        <v>417606.42</v>
      </c>
      <c r="R2482">
        <v>6206834.6299999999</v>
      </c>
      <c r="S2482" t="s">
        <v>19948</v>
      </c>
      <c r="T2482" t="s">
        <v>19949</v>
      </c>
      <c r="U2482">
        <v>417632.38</v>
      </c>
      <c r="V2482">
        <v>6206837.1500000004</v>
      </c>
      <c r="W2482">
        <v>1.87</v>
      </c>
      <c r="X2482">
        <v>150.05000000000001</v>
      </c>
    </row>
    <row r="2483" spans="1:24" x14ac:dyDescent="0.25">
      <c r="A2483" s="148">
        <v>45107</v>
      </c>
      <c r="B2483" s="46">
        <v>181</v>
      </c>
      <c r="C2483" s="149">
        <v>0.97453703703703709</v>
      </c>
      <c r="D2483" s="38" t="s">
        <v>61</v>
      </c>
      <c r="E2483" s="7" t="s">
        <v>70</v>
      </c>
      <c r="F2483" s="38" t="s">
        <v>8011</v>
      </c>
      <c r="G2483" s="38" t="s">
        <v>1178</v>
      </c>
      <c r="H2483">
        <v>-1.6E-2</v>
      </c>
      <c r="I2483" t="s">
        <v>19950</v>
      </c>
      <c r="J2483" t="s">
        <v>19951</v>
      </c>
      <c r="K2483" t="s">
        <v>19952</v>
      </c>
      <c r="L2483" t="s">
        <v>19945</v>
      </c>
      <c r="O2483" t="s">
        <v>19953</v>
      </c>
      <c r="P2483" t="s">
        <v>19954</v>
      </c>
      <c r="Q2483">
        <v>417607.55</v>
      </c>
      <c r="R2483">
        <v>6207007.9800000004</v>
      </c>
      <c r="S2483" t="s">
        <v>19955</v>
      </c>
      <c r="T2483" t="s">
        <v>19956</v>
      </c>
      <c r="U2483">
        <v>417632.46</v>
      </c>
      <c r="V2483">
        <v>6207012.75</v>
      </c>
      <c r="W2483">
        <v>0.27</v>
      </c>
      <c r="X2483">
        <v>150.05000000000001</v>
      </c>
    </row>
    <row r="2484" spans="1:24" x14ac:dyDescent="0.25">
      <c r="A2484" s="148">
        <v>45107</v>
      </c>
      <c r="B2484" s="46">
        <v>181</v>
      </c>
      <c r="C2484" s="149">
        <v>0.97753472222222226</v>
      </c>
      <c r="D2484" s="38" t="s">
        <v>61</v>
      </c>
      <c r="E2484" s="7" t="s">
        <v>65</v>
      </c>
      <c r="F2484" s="38" t="s">
        <v>8011</v>
      </c>
      <c r="G2484" s="38" t="s">
        <v>1179</v>
      </c>
      <c r="H2484">
        <v>-0.01</v>
      </c>
      <c r="I2484" t="s">
        <v>19961</v>
      </c>
      <c r="J2484" t="s">
        <v>19962</v>
      </c>
      <c r="K2484" t="s">
        <v>19963</v>
      </c>
      <c r="L2484" t="s">
        <v>19964</v>
      </c>
      <c r="O2484" t="s">
        <v>19957</v>
      </c>
      <c r="P2484" t="s">
        <v>19958</v>
      </c>
      <c r="Q2484">
        <v>417616.68</v>
      </c>
      <c r="R2484">
        <v>6207036.9800000004</v>
      </c>
      <c r="S2484" t="s">
        <v>19959</v>
      </c>
      <c r="T2484" t="s">
        <v>19960</v>
      </c>
      <c r="U2484">
        <v>417641.53</v>
      </c>
      <c r="V2484">
        <v>6207018.2699999996</v>
      </c>
      <c r="W2484">
        <v>180.83</v>
      </c>
      <c r="X2484">
        <v>150.05000000000001</v>
      </c>
    </row>
    <row r="2485" spans="1:24" x14ac:dyDescent="0.25">
      <c r="A2485" s="148">
        <v>45107</v>
      </c>
      <c r="B2485" s="46">
        <v>181</v>
      </c>
      <c r="C2485" s="149">
        <v>0.98091435185185183</v>
      </c>
      <c r="D2485" s="38" t="s">
        <v>61</v>
      </c>
      <c r="E2485" s="7" t="s">
        <v>70</v>
      </c>
      <c r="F2485" s="38" t="s">
        <v>8011</v>
      </c>
      <c r="G2485" s="38" t="s">
        <v>1179</v>
      </c>
      <c r="H2485">
        <v>0.16500000000000001</v>
      </c>
      <c r="I2485" t="s">
        <v>19961</v>
      </c>
      <c r="J2485" t="s">
        <v>19962</v>
      </c>
      <c r="K2485" t="s">
        <v>19963</v>
      </c>
      <c r="L2485" t="s">
        <v>19964</v>
      </c>
      <c r="O2485" t="s">
        <v>19965</v>
      </c>
      <c r="P2485" t="s">
        <v>19966</v>
      </c>
      <c r="Q2485">
        <v>417615.56</v>
      </c>
      <c r="R2485">
        <v>6206857.7599999998</v>
      </c>
      <c r="S2485" t="s">
        <v>19967</v>
      </c>
      <c r="T2485" t="s">
        <v>19968</v>
      </c>
      <c r="U2485">
        <v>417641.55</v>
      </c>
      <c r="V2485">
        <v>6206843.0700000003</v>
      </c>
      <c r="W2485">
        <v>180.42</v>
      </c>
      <c r="X2485">
        <v>150.05000000000001</v>
      </c>
    </row>
    <row r="2486" spans="1:24" s="157" customFormat="1" x14ac:dyDescent="0.25">
      <c r="A2486" s="148">
        <v>45107</v>
      </c>
      <c r="B2486" s="46">
        <v>181</v>
      </c>
      <c r="C2486" s="149">
        <v>0.98091435185185183</v>
      </c>
      <c r="D2486" s="162" t="s">
        <v>61</v>
      </c>
      <c r="E2486" s="160" t="s">
        <v>20000</v>
      </c>
      <c r="F2486" s="162" t="s">
        <v>8011</v>
      </c>
      <c r="G2486" s="162" t="s">
        <v>1179</v>
      </c>
      <c r="H2486" s="157">
        <v>0.16500000000000001</v>
      </c>
      <c r="L2486" s="157" t="s">
        <v>19964</v>
      </c>
      <c r="O2486" s="157" t="s">
        <v>19965</v>
      </c>
      <c r="P2486" s="157" t="s">
        <v>19966</v>
      </c>
      <c r="Q2486" s="157">
        <v>417615.56</v>
      </c>
      <c r="R2486" s="157">
        <v>6206857.7599999998</v>
      </c>
      <c r="S2486" s="157" t="s">
        <v>19967</v>
      </c>
      <c r="T2486" s="157" t="s">
        <v>19968</v>
      </c>
      <c r="U2486" s="157">
        <v>417641.55</v>
      </c>
      <c r="V2486" s="157">
        <v>6206843.0700000003</v>
      </c>
      <c r="W2486" s="157">
        <v>180.42</v>
      </c>
      <c r="X2486" s="157">
        <v>150.05000000000001</v>
      </c>
    </row>
    <row r="2487" spans="1:24" x14ac:dyDescent="0.25">
      <c r="A2487" s="148">
        <v>45107</v>
      </c>
      <c r="B2487" s="46">
        <v>181</v>
      </c>
      <c r="C2487" s="149">
        <v>0.98421296296296301</v>
      </c>
      <c r="D2487" s="38" t="s">
        <v>61</v>
      </c>
      <c r="E2487" s="7" t="s">
        <v>65</v>
      </c>
      <c r="F2487" s="38" t="s">
        <v>8011</v>
      </c>
      <c r="G2487" s="38" t="s">
        <v>1180</v>
      </c>
      <c r="H2487">
        <v>0.16</v>
      </c>
      <c r="I2487" t="s">
        <v>19973</v>
      </c>
      <c r="J2487" t="s">
        <v>19974</v>
      </c>
      <c r="K2487" t="s">
        <v>19975</v>
      </c>
      <c r="L2487" t="s">
        <v>19964</v>
      </c>
      <c r="O2487" t="s">
        <v>19969</v>
      </c>
      <c r="P2487" t="s">
        <v>19970</v>
      </c>
      <c r="Q2487">
        <v>417624.08</v>
      </c>
      <c r="R2487">
        <v>6206837.0199999996</v>
      </c>
      <c r="S2487" t="s">
        <v>19971</v>
      </c>
      <c r="T2487" t="s">
        <v>19972</v>
      </c>
      <c r="U2487">
        <v>417650.37</v>
      </c>
      <c r="V2487">
        <v>6206836.9800000004</v>
      </c>
      <c r="W2487">
        <v>2.39</v>
      </c>
      <c r="X2487">
        <v>150.05000000000001</v>
      </c>
    </row>
    <row r="2488" spans="1:24" x14ac:dyDescent="0.25">
      <c r="A2488" s="148">
        <v>45107</v>
      </c>
      <c r="B2488" s="46">
        <v>181</v>
      </c>
      <c r="C2488" s="149">
        <v>0.98753472222222216</v>
      </c>
      <c r="D2488" s="38" t="s">
        <v>61</v>
      </c>
      <c r="E2488" s="7" t="s">
        <v>70</v>
      </c>
      <c r="F2488" s="38" t="s">
        <v>8011</v>
      </c>
      <c r="G2488" s="38" t="s">
        <v>1180</v>
      </c>
      <c r="H2488">
        <v>-1.9E-2</v>
      </c>
      <c r="I2488" t="s">
        <v>19973</v>
      </c>
      <c r="J2488" t="s">
        <v>19974</v>
      </c>
      <c r="K2488" t="s">
        <v>19975</v>
      </c>
      <c r="L2488" t="s">
        <v>19980</v>
      </c>
      <c r="O2488" t="s">
        <v>19976</v>
      </c>
      <c r="P2488" t="s">
        <v>19977</v>
      </c>
      <c r="Q2488">
        <v>417626.23</v>
      </c>
      <c r="R2488">
        <v>6207011.0599999996</v>
      </c>
      <c r="S2488" t="s">
        <v>19978</v>
      </c>
      <c r="T2488" t="s">
        <v>19979</v>
      </c>
      <c r="U2488">
        <v>417650.53</v>
      </c>
      <c r="V2488">
        <v>6207015.7199999997</v>
      </c>
      <c r="W2488">
        <v>359.58</v>
      </c>
      <c r="X2488">
        <v>150.05000000000001</v>
      </c>
    </row>
    <row r="2489" spans="1:24" x14ac:dyDescent="0.25">
      <c r="A2489" s="148">
        <v>45107</v>
      </c>
      <c r="B2489" s="46">
        <v>181</v>
      </c>
      <c r="C2489" s="149">
        <v>0.99185185185185187</v>
      </c>
      <c r="D2489" s="38" t="s">
        <v>61</v>
      </c>
      <c r="E2489" s="7" t="s">
        <v>65</v>
      </c>
      <c r="F2489" s="38" t="s">
        <v>8011</v>
      </c>
      <c r="G2489" s="38" t="s">
        <v>1181</v>
      </c>
      <c r="H2489">
        <v>-1.0999999999999999E-2</v>
      </c>
      <c r="I2489" t="s">
        <v>19985</v>
      </c>
      <c r="J2489" t="s">
        <v>19986</v>
      </c>
      <c r="K2489" t="s">
        <v>19987</v>
      </c>
      <c r="L2489" t="s">
        <v>19980</v>
      </c>
      <c r="O2489" t="s">
        <v>19981</v>
      </c>
      <c r="P2489" t="s">
        <v>19982</v>
      </c>
      <c r="Q2489">
        <v>417633.8</v>
      </c>
      <c r="R2489">
        <v>6207022.7400000002</v>
      </c>
      <c r="S2489" t="s">
        <v>19983</v>
      </c>
      <c r="T2489" t="s">
        <v>19984</v>
      </c>
      <c r="U2489">
        <v>417659.83</v>
      </c>
      <c r="V2489">
        <v>6207019.29</v>
      </c>
      <c r="W2489">
        <v>181.41</v>
      </c>
      <c r="X2489">
        <v>150.05000000000001</v>
      </c>
    </row>
    <row r="2490" spans="1:24" x14ac:dyDescent="0.25">
      <c r="A2490" s="148">
        <v>45107</v>
      </c>
      <c r="B2490" s="46">
        <v>181</v>
      </c>
      <c r="C2490" s="149">
        <v>0.99513888888888891</v>
      </c>
      <c r="D2490" s="38" t="s">
        <v>61</v>
      </c>
      <c r="E2490" s="7" t="s">
        <v>70</v>
      </c>
      <c r="F2490" s="38" t="s">
        <v>8011</v>
      </c>
      <c r="G2490" s="38" t="s">
        <v>1181</v>
      </c>
      <c r="H2490">
        <v>0.16500000000000001</v>
      </c>
      <c r="I2490" t="s">
        <v>19985</v>
      </c>
      <c r="J2490" t="s">
        <v>19986</v>
      </c>
      <c r="K2490" t="s">
        <v>19987</v>
      </c>
      <c r="L2490" t="s">
        <v>19980</v>
      </c>
      <c r="O2490" t="s">
        <v>19988</v>
      </c>
      <c r="P2490" t="s">
        <v>19989</v>
      </c>
      <c r="Q2490">
        <v>417632.78</v>
      </c>
      <c r="R2490">
        <v>6206847.7999999998</v>
      </c>
      <c r="S2490" t="s">
        <v>19990</v>
      </c>
      <c r="T2490" t="s">
        <v>19991</v>
      </c>
      <c r="U2490">
        <v>417659.56</v>
      </c>
      <c r="V2490">
        <v>6206842.79</v>
      </c>
      <c r="W2490">
        <v>179.56</v>
      </c>
      <c r="X2490">
        <v>150.05000000000001</v>
      </c>
    </row>
    <row r="2491" spans="1:24" x14ac:dyDescent="0.25">
      <c r="A2491" s="148">
        <v>45107</v>
      </c>
      <c r="B2491" s="46">
        <v>181</v>
      </c>
      <c r="C2491" s="149">
        <v>0.99874999999999992</v>
      </c>
      <c r="D2491" s="38" t="s">
        <v>61</v>
      </c>
      <c r="E2491" s="7" t="s">
        <v>65</v>
      </c>
      <c r="F2491" s="38" t="s">
        <v>8011</v>
      </c>
      <c r="G2491" s="38" t="s">
        <v>1182</v>
      </c>
      <c r="H2491">
        <v>0.161</v>
      </c>
      <c r="I2491" t="s">
        <v>19996</v>
      </c>
      <c r="J2491" t="s">
        <v>19997</v>
      </c>
      <c r="K2491" t="s">
        <v>19998</v>
      </c>
      <c r="L2491" t="s">
        <v>19999</v>
      </c>
      <c r="O2491" t="s">
        <v>19992</v>
      </c>
      <c r="P2491" t="s">
        <v>19993</v>
      </c>
      <c r="Q2491">
        <v>417643.24</v>
      </c>
      <c r="R2491">
        <v>6206834.4900000002</v>
      </c>
      <c r="S2491" t="s">
        <v>19994</v>
      </c>
      <c r="T2491" t="s">
        <v>19995</v>
      </c>
      <c r="U2491">
        <v>417668.32</v>
      </c>
      <c r="V2491">
        <v>6206836.4199999999</v>
      </c>
      <c r="W2491">
        <v>2.04</v>
      </c>
      <c r="X2491">
        <v>150.05000000000001</v>
      </c>
    </row>
    <row r="2492" spans="1:24" s="158" customFormat="1" x14ac:dyDescent="0.25">
      <c r="A2492" s="69">
        <v>45108</v>
      </c>
      <c r="B2492" s="103">
        <v>182</v>
      </c>
      <c r="C2492" s="71">
        <v>0</v>
      </c>
      <c r="D2492" s="70" t="s">
        <v>61</v>
      </c>
      <c r="E2492" s="159" t="s">
        <v>77</v>
      </c>
      <c r="F2492" s="70" t="s">
        <v>8011</v>
      </c>
      <c r="G2492" s="70" t="s">
        <v>1182</v>
      </c>
      <c r="H2492" s="158">
        <v>9.1999999999999998E-2</v>
      </c>
      <c r="O2492" s="158" t="s">
        <v>20001</v>
      </c>
      <c r="P2492" s="158" t="s">
        <v>20002</v>
      </c>
      <c r="Q2492" s="158">
        <v>417645.22</v>
      </c>
      <c r="R2492" s="158">
        <v>6206899.4800000004</v>
      </c>
      <c r="S2492" s="158" t="s">
        <v>20003</v>
      </c>
      <c r="T2492" s="158" t="s">
        <v>20004</v>
      </c>
      <c r="U2492" s="158">
        <v>417668.37</v>
      </c>
      <c r="V2492" s="158">
        <v>6206904.6900000004</v>
      </c>
      <c r="W2492" s="158">
        <v>0.47</v>
      </c>
      <c r="X2492" s="158">
        <v>150.05000000000001</v>
      </c>
    </row>
    <row r="2493" spans="1:24" x14ac:dyDescent="0.25">
      <c r="A2493" s="148">
        <v>45108</v>
      </c>
      <c r="B2493" s="46">
        <v>182</v>
      </c>
      <c r="C2493" s="149">
        <v>2.0601851851851853E-3</v>
      </c>
      <c r="D2493" s="38" t="s">
        <v>61</v>
      </c>
      <c r="E2493" s="7" t="s">
        <v>70</v>
      </c>
      <c r="F2493" s="38" t="s">
        <v>8011</v>
      </c>
      <c r="G2493" s="38" t="s">
        <v>1182</v>
      </c>
      <c r="H2493">
        <v>-1.7000000000000001E-2</v>
      </c>
      <c r="I2493" t="s">
        <v>19996</v>
      </c>
      <c r="J2493" t="s">
        <v>19997</v>
      </c>
      <c r="K2493" t="s">
        <v>19998</v>
      </c>
      <c r="L2493" t="s">
        <v>19999</v>
      </c>
      <c r="O2493" t="s">
        <v>20005</v>
      </c>
      <c r="P2493" t="s">
        <v>20006</v>
      </c>
      <c r="Q2493">
        <v>417644.95</v>
      </c>
      <c r="R2493">
        <v>6207008.8600000003</v>
      </c>
      <c r="S2493" t="s">
        <v>20007</v>
      </c>
      <c r="T2493" t="s">
        <v>20008</v>
      </c>
      <c r="U2493">
        <v>417668.53</v>
      </c>
      <c r="V2493">
        <v>6207013.8899999997</v>
      </c>
      <c r="W2493">
        <v>359.23</v>
      </c>
      <c r="X2493">
        <v>150.05000000000001</v>
      </c>
    </row>
    <row r="2494" spans="1:24" x14ac:dyDescent="0.25">
      <c r="A2494" s="148">
        <v>45108</v>
      </c>
      <c r="B2494" s="46">
        <v>182</v>
      </c>
      <c r="C2494" s="149">
        <v>7.2106481481481475E-3</v>
      </c>
      <c r="D2494" s="38" t="s">
        <v>61</v>
      </c>
      <c r="E2494" s="7" t="s">
        <v>20017</v>
      </c>
      <c r="F2494" s="38" t="s">
        <v>8011</v>
      </c>
      <c r="G2494" s="38" t="s">
        <v>20009</v>
      </c>
      <c r="H2494">
        <v>-0.01</v>
      </c>
      <c r="I2494" t="s">
        <v>20014</v>
      </c>
      <c r="J2494" t="s">
        <v>20015</v>
      </c>
      <c r="K2494" t="s">
        <v>20016</v>
      </c>
      <c r="L2494" t="s">
        <v>19999</v>
      </c>
      <c r="O2494" t="s">
        <v>20010</v>
      </c>
      <c r="P2494" t="s">
        <v>20011</v>
      </c>
      <c r="Q2494">
        <v>417616.82</v>
      </c>
      <c r="R2494">
        <v>6207016.3899999997</v>
      </c>
      <c r="S2494" t="s">
        <v>20012</v>
      </c>
      <c r="T2494" t="s">
        <v>20013</v>
      </c>
      <c r="U2494">
        <v>417641.65</v>
      </c>
      <c r="V2494">
        <v>6207017.7699999996</v>
      </c>
      <c r="W2494">
        <v>182.4</v>
      </c>
      <c r="X2494">
        <v>150.05000000000001</v>
      </c>
    </row>
    <row r="2495" spans="1:24" x14ac:dyDescent="0.25">
      <c r="A2495" s="148">
        <v>45108</v>
      </c>
      <c r="B2495" s="46">
        <v>182</v>
      </c>
      <c r="C2495" s="149">
        <v>1.0462962962962964E-2</v>
      </c>
      <c r="D2495" s="38" t="s">
        <v>61</v>
      </c>
      <c r="E2495" s="7" t="s">
        <v>70</v>
      </c>
      <c r="F2495" s="38" t="s">
        <v>8011</v>
      </c>
      <c r="G2495" s="38" t="s">
        <v>20009</v>
      </c>
      <c r="H2495">
        <v>0.16500000000000001</v>
      </c>
      <c r="I2495" t="s">
        <v>20014</v>
      </c>
      <c r="J2495" t="s">
        <v>20015</v>
      </c>
      <c r="K2495" t="s">
        <v>20016</v>
      </c>
      <c r="L2495" t="s">
        <v>20022</v>
      </c>
      <c r="O2495" t="s">
        <v>20018</v>
      </c>
      <c r="P2495" t="s">
        <v>20019</v>
      </c>
      <c r="Q2495">
        <v>417615.35</v>
      </c>
      <c r="R2495">
        <v>6206843.5800000001</v>
      </c>
      <c r="S2495" t="s">
        <v>20020</v>
      </c>
      <c r="T2495" t="s">
        <v>20021</v>
      </c>
      <c r="U2495">
        <v>417641.4</v>
      </c>
      <c r="V2495">
        <v>6206843</v>
      </c>
      <c r="W2495">
        <v>179.23</v>
      </c>
      <c r="X2495">
        <v>150.05000000000001</v>
      </c>
    </row>
    <row r="2496" spans="1:24" x14ac:dyDescent="0.25">
      <c r="A2496" s="148">
        <v>45108</v>
      </c>
      <c r="B2496" s="46">
        <v>182</v>
      </c>
      <c r="C2496" s="149">
        <v>1.5162037037037036E-2</v>
      </c>
      <c r="D2496" s="38" t="s">
        <v>61</v>
      </c>
      <c r="E2496" s="7" t="s">
        <v>20027</v>
      </c>
      <c r="F2496" s="38" t="s">
        <v>460</v>
      </c>
      <c r="G2496" s="162" t="s">
        <v>20009</v>
      </c>
      <c r="H2496" s="157">
        <v>0.16500000000000001</v>
      </c>
      <c r="O2496" t="s">
        <v>20023</v>
      </c>
      <c r="P2496" t="s">
        <v>20024</v>
      </c>
      <c r="Q2496">
        <v>417615.92</v>
      </c>
      <c r="R2496">
        <v>6206820.8399999999</v>
      </c>
      <c r="S2496" t="s">
        <v>20025</v>
      </c>
      <c r="T2496" t="s">
        <v>20026</v>
      </c>
      <c r="U2496">
        <v>417625.12</v>
      </c>
      <c r="V2496">
        <v>6206814.9100000001</v>
      </c>
      <c r="W2496">
        <v>104.3</v>
      </c>
      <c r="X2496">
        <v>150.05000000000001</v>
      </c>
    </row>
    <row r="2497" spans="1:24" x14ac:dyDescent="0.25">
      <c r="A2497" s="148">
        <v>45108</v>
      </c>
      <c r="B2497" s="46">
        <v>182</v>
      </c>
      <c r="C2497" s="149">
        <v>3.1053240740740742E-2</v>
      </c>
      <c r="D2497" s="38" t="s">
        <v>61</v>
      </c>
      <c r="E2497" s="7" t="s">
        <v>6102</v>
      </c>
      <c r="F2497" s="38" t="s">
        <v>460</v>
      </c>
      <c r="G2497" s="38" t="s">
        <v>748</v>
      </c>
      <c r="H2497">
        <v>-5.2999999999999999E-2</v>
      </c>
      <c r="O2497" t="s">
        <v>20028</v>
      </c>
      <c r="P2497" t="s">
        <v>20029</v>
      </c>
      <c r="Q2497">
        <v>419710.63</v>
      </c>
      <c r="R2497">
        <v>6206509.5700000003</v>
      </c>
      <c r="S2497" t="s">
        <v>20030</v>
      </c>
      <c r="T2497" t="s">
        <v>20031</v>
      </c>
      <c r="U2497">
        <v>419720.67</v>
      </c>
      <c r="V2497">
        <v>6206503.5599999996</v>
      </c>
      <c r="W2497">
        <v>109.79</v>
      </c>
      <c r="X2497">
        <v>150.05000000000001</v>
      </c>
    </row>
    <row r="2498" spans="1:24" s="175" customFormat="1" x14ac:dyDescent="0.25">
      <c r="A2498" s="102">
        <v>45108</v>
      </c>
      <c r="B2498" s="100">
        <v>182</v>
      </c>
      <c r="C2498" s="104">
        <v>3.1134259259259261E-2</v>
      </c>
      <c r="D2498" s="96" t="s">
        <v>61</v>
      </c>
      <c r="E2498" s="176" t="s">
        <v>20036</v>
      </c>
      <c r="F2498" s="96" t="s">
        <v>460</v>
      </c>
      <c r="G2498" s="96" t="s">
        <v>748</v>
      </c>
      <c r="H2498" s="175">
        <v>-5.2999999999999999E-2</v>
      </c>
      <c r="O2498" s="175" t="s">
        <v>20032</v>
      </c>
      <c r="P2498" s="175" t="s">
        <v>20033</v>
      </c>
      <c r="Q2498" s="175">
        <v>419710.97</v>
      </c>
      <c r="R2498" s="175">
        <v>6206509.8499999996</v>
      </c>
      <c r="S2498" s="175" t="s">
        <v>20034</v>
      </c>
      <c r="T2498" s="175" t="s">
        <v>20035</v>
      </c>
      <c r="U2498" s="175">
        <v>419721.11</v>
      </c>
      <c r="V2498" s="175">
        <v>6206503.9199999999</v>
      </c>
      <c r="W2498" s="175">
        <v>109.56</v>
      </c>
      <c r="X2498" s="175">
        <v>150.05000000000001</v>
      </c>
    </row>
    <row r="2499" spans="1:24" s="157" customFormat="1" x14ac:dyDescent="0.25">
      <c r="A2499" s="148">
        <v>45108</v>
      </c>
      <c r="B2499" s="46">
        <v>182</v>
      </c>
      <c r="C2499" s="149">
        <v>3.6886574074074079E-2</v>
      </c>
      <c r="D2499" s="162" t="s">
        <v>61</v>
      </c>
      <c r="E2499" s="160" t="s">
        <v>20041</v>
      </c>
      <c r="F2499" s="162" t="s">
        <v>460</v>
      </c>
      <c r="G2499" s="162" t="s">
        <v>748</v>
      </c>
      <c r="H2499" s="157">
        <v>-5.7000000000000002E-2</v>
      </c>
      <c r="O2499" s="157" t="s">
        <v>20037</v>
      </c>
      <c r="P2499" s="157" t="s">
        <v>20038</v>
      </c>
      <c r="Q2499" s="157">
        <v>419712.16</v>
      </c>
      <c r="R2499" s="157">
        <v>6206506.7699999996</v>
      </c>
      <c r="S2499" s="157" t="s">
        <v>20039</v>
      </c>
      <c r="T2499" s="157" t="s">
        <v>20040</v>
      </c>
      <c r="U2499" s="157">
        <v>419691.17</v>
      </c>
      <c r="V2499" s="157">
        <v>6206507.7199999997</v>
      </c>
      <c r="W2499" s="157">
        <v>253.94</v>
      </c>
      <c r="X2499" s="157">
        <v>150.05000000000001</v>
      </c>
    </row>
    <row r="2500" spans="1:24" x14ac:dyDescent="0.25">
      <c r="A2500" s="148">
        <v>45108</v>
      </c>
      <c r="B2500" s="46">
        <v>182</v>
      </c>
      <c r="C2500" s="149">
        <v>3.6886574074074079E-2</v>
      </c>
      <c r="D2500" s="38" t="s">
        <v>61</v>
      </c>
      <c r="E2500" s="7" t="s">
        <v>8026</v>
      </c>
      <c r="F2500" s="38" t="s">
        <v>460</v>
      </c>
      <c r="G2500" s="38" t="s">
        <v>748</v>
      </c>
      <c r="H2500">
        <v>-5.7000000000000002E-2</v>
      </c>
      <c r="O2500" t="s">
        <v>20037</v>
      </c>
      <c r="P2500" t="s">
        <v>20038</v>
      </c>
      <c r="Q2500">
        <v>419712.16</v>
      </c>
      <c r="R2500">
        <v>6206506.7699999996</v>
      </c>
      <c r="S2500" t="s">
        <v>20039</v>
      </c>
      <c r="T2500" t="s">
        <v>20040</v>
      </c>
      <c r="U2500">
        <v>419691.17</v>
      </c>
      <c r="V2500">
        <v>6206507.7199999997</v>
      </c>
      <c r="W2500">
        <v>253.94</v>
      </c>
      <c r="X2500">
        <v>150.05000000000001</v>
      </c>
    </row>
    <row r="2501" spans="1:24" s="169" customFormat="1" x14ac:dyDescent="0.25">
      <c r="A2501" s="65">
        <v>45108</v>
      </c>
      <c r="B2501" s="106">
        <v>182</v>
      </c>
      <c r="C2501" s="67">
        <v>3.9629629629629633E-2</v>
      </c>
      <c r="D2501" s="66" t="s">
        <v>61</v>
      </c>
      <c r="E2501" s="170" t="s">
        <v>20047</v>
      </c>
      <c r="F2501" s="66" t="s">
        <v>460</v>
      </c>
      <c r="G2501" s="66" t="s">
        <v>748</v>
      </c>
      <c r="H2501" s="169">
        <v>-5.7000000000000002E-2</v>
      </c>
      <c r="M2501" s="169" t="s">
        <v>20042</v>
      </c>
      <c r="O2501" s="169" t="s">
        <v>20043</v>
      </c>
      <c r="P2501" s="169" t="s">
        <v>20044</v>
      </c>
      <c r="Q2501" s="169">
        <v>419710.88</v>
      </c>
      <c r="R2501" s="169">
        <v>6206505.21</v>
      </c>
      <c r="S2501" s="169" t="s">
        <v>20045</v>
      </c>
      <c r="T2501" s="169" t="s">
        <v>20046</v>
      </c>
      <c r="U2501" s="169">
        <v>419691.36</v>
      </c>
      <c r="V2501" s="169">
        <v>6206506.9100000001</v>
      </c>
      <c r="W2501" s="169">
        <v>255.82</v>
      </c>
      <c r="X2501" s="169">
        <v>150.05000000000001</v>
      </c>
    </row>
    <row r="2502" spans="1:24" x14ac:dyDescent="0.25">
      <c r="A2502" s="148">
        <v>45108</v>
      </c>
      <c r="B2502" s="46">
        <v>182</v>
      </c>
      <c r="C2502" s="149">
        <v>4.2407407407407401E-2</v>
      </c>
      <c r="D2502" s="38" t="s">
        <v>61</v>
      </c>
      <c r="E2502" s="160" t="s">
        <v>19862</v>
      </c>
      <c r="F2502" s="38" t="s">
        <v>460</v>
      </c>
      <c r="G2502" s="38" t="s">
        <v>748</v>
      </c>
      <c r="H2502">
        <v>-5.2999999999999999E-2</v>
      </c>
      <c r="O2502" t="s">
        <v>20048</v>
      </c>
      <c r="P2502" t="s">
        <v>20049</v>
      </c>
      <c r="Q2502">
        <v>419710.97</v>
      </c>
      <c r="R2502">
        <v>6206505.9400000004</v>
      </c>
      <c r="S2502" t="s">
        <v>20050</v>
      </c>
      <c r="T2502" t="s">
        <v>20051</v>
      </c>
      <c r="U2502">
        <v>419684.3</v>
      </c>
      <c r="V2502">
        <v>6206503.75</v>
      </c>
      <c r="W2502">
        <v>252.97</v>
      </c>
      <c r="X2502">
        <v>150.05000000000001</v>
      </c>
    </row>
    <row r="2503" spans="1:24" s="169" customFormat="1" x14ac:dyDescent="0.25">
      <c r="A2503" s="65">
        <v>45108</v>
      </c>
      <c r="B2503" s="106">
        <v>182</v>
      </c>
      <c r="C2503" s="67">
        <v>4.3449074074074077E-2</v>
      </c>
      <c r="D2503" s="66" t="s">
        <v>61</v>
      </c>
      <c r="E2503" s="170" t="s">
        <v>20057</v>
      </c>
      <c r="F2503" s="66" t="s">
        <v>460</v>
      </c>
      <c r="G2503" s="66" t="s">
        <v>748</v>
      </c>
      <c r="H2503" s="169">
        <v>-5.2999999999999999E-2</v>
      </c>
      <c r="M2503" s="169" t="s">
        <v>20052</v>
      </c>
      <c r="O2503" s="169" t="s">
        <v>20053</v>
      </c>
      <c r="P2503" s="169" t="s">
        <v>20054</v>
      </c>
      <c r="Q2503" s="169">
        <v>419710.03</v>
      </c>
      <c r="R2503" s="169">
        <v>6206505.1900000004</v>
      </c>
      <c r="S2503" s="169" t="s">
        <v>20055</v>
      </c>
      <c r="T2503" s="169" t="s">
        <v>20056</v>
      </c>
      <c r="U2503" s="169">
        <v>419684.2</v>
      </c>
      <c r="V2503" s="169">
        <v>6206503.4800000004</v>
      </c>
      <c r="W2503" s="169">
        <v>254.33</v>
      </c>
      <c r="X2503" s="169">
        <v>150.05000000000001</v>
      </c>
    </row>
    <row r="2504" spans="1:24" x14ac:dyDescent="0.25">
      <c r="A2504" s="148">
        <v>45108</v>
      </c>
      <c r="B2504" s="46">
        <v>182</v>
      </c>
      <c r="C2504" s="149">
        <v>5.0381944444444444E-2</v>
      </c>
      <c r="D2504" s="38" t="s">
        <v>61</v>
      </c>
      <c r="E2504" s="7" t="s">
        <v>65</v>
      </c>
      <c r="F2504" s="38" t="s">
        <v>460</v>
      </c>
      <c r="G2504" s="38" t="s">
        <v>748</v>
      </c>
      <c r="H2504">
        <v>-6.0000000000000001E-3</v>
      </c>
      <c r="I2504" t="s">
        <v>20062</v>
      </c>
      <c r="J2504" t="s">
        <v>20063</v>
      </c>
      <c r="K2504" t="s">
        <v>20064</v>
      </c>
      <c r="L2504" t="s">
        <v>20065</v>
      </c>
      <c r="O2504" t="s">
        <v>20058</v>
      </c>
      <c r="P2504" t="s">
        <v>20059</v>
      </c>
      <c r="Q2504">
        <v>419762.23</v>
      </c>
      <c r="R2504">
        <v>6206464</v>
      </c>
      <c r="S2504" t="s">
        <v>20060</v>
      </c>
      <c r="T2504" t="s">
        <v>20061</v>
      </c>
      <c r="U2504">
        <v>419735.99</v>
      </c>
      <c r="V2504">
        <v>6206460.1799999997</v>
      </c>
      <c r="W2504">
        <v>181.8</v>
      </c>
      <c r="X2504">
        <v>150.05000000000001</v>
      </c>
    </row>
    <row r="2505" spans="1:24" x14ac:dyDescent="0.25">
      <c r="A2505" s="148">
        <v>45108</v>
      </c>
      <c r="B2505" s="46">
        <v>182</v>
      </c>
      <c r="C2505" s="149">
        <v>5.2939814814814821E-2</v>
      </c>
      <c r="D2505" s="38" t="s">
        <v>61</v>
      </c>
      <c r="E2505" s="7" t="s">
        <v>20070</v>
      </c>
      <c r="F2505" s="38" t="s">
        <v>460</v>
      </c>
      <c r="G2505" s="38" t="s">
        <v>748</v>
      </c>
      <c r="H2505">
        <v>0.13300000000000001</v>
      </c>
      <c r="O2505" t="s">
        <v>20066</v>
      </c>
      <c r="P2505" t="s">
        <v>20067</v>
      </c>
      <c r="Q2505">
        <v>419764.04</v>
      </c>
      <c r="R2505">
        <v>6206328.7300000004</v>
      </c>
      <c r="S2505" t="s">
        <v>20068</v>
      </c>
      <c r="T2505" t="s">
        <v>20069</v>
      </c>
      <c r="U2505">
        <v>419735.88</v>
      </c>
      <c r="V2505">
        <v>6206321.5899999999</v>
      </c>
      <c r="W2505">
        <v>179.87</v>
      </c>
      <c r="X2505">
        <v>150.05000000000001</v>
      </c>
    </row>
    <row r="2506" spans="1:24" x14ac:dyDescent="0.25">
      <c r="A2506" s="148">
        <v>45108</v>
      </c>
      <c r="B2506" s="46">
        <v>182</v>
      </c>
      <c r="C2506" s="149">
        <v>5.3530092592592594E-2</v>
      </c>
      <c r="D2506" s="38" t="s">
        <v>61</v>
      </c>
      <c r="E2506" s="7" t="s">
        <v>70</v>
      </c>
      <c r="F2506" s="38" t="s">
        <v>460</v>
      </c>
      <c r="G2506" s="38" t="s">
        <v>748</v>
      </c>
      <c r="H2506">
        <v>0.16300000000000001</v>
      </c>
      <c r="I2506" t="s">
        <v>20062</v>
      </c>
      <c r="J2506" t="s">
        <v>20063</v>
      </c>
      <c r="K2506" t="s">
        <v>20064</v>
      </c>
      <c r="L2506" t="s">
        <v>20065</v>
      </c>
      <c r="O2506" t="s">
        <v>20071</v>
      </c>
      <c r="P2506" t="s">
        <v>20072</v>
      </c>
      <c r="Q2506">
        <v>419764.31</v>
      </c>
      <c r="R2506">
        <v>6206297.75</v>
      </c>
      <c r="S2506" t="s">
        <v>20073</v>
      </c>
      <c r="T2506" t="s">
        <v>20074</v>
      </c>
      <c r="U2506">
        <v>419735.8</v>
      </c>
      <c r="V2506">
        <v>6206291.7400000002</v>
      </c>
      <c r="W2506">
        <v>179.4</v>
      </c>
      <c r="X2506">
        <v>150.05000000000001</v>
      </c>
    </row>
    <row r="2507" spans="1:24" x14ac:dyDescent="0.25">
      <c r="A2507" s="148">
        <v>45108</v>
      </c>
      <c r="B2507" s="46">
        <v>182</v>
      </c>
      <c r="C2507" s="149">
        <v>5.7476851851851855E-2</v>
      </c>
      <c r="D2507" s="38" t="s">
        <v>61</v>
      </c>
      <c r="E2507" s="154" t="s">
        <v>20080</v>
      </c>
      <c r="F2507" s="38" t="s">
        <v>460</v>
      </c>
      <c r="G2507" s="38" t="s">
        <v>748</v>
      </c>
      <c r="H2507">
        <v>2.1000000000000001E-2</v>
      </c>
      <c r="O2507" t="s">
        <v>20075</v>
      </c>
      <c r="P2507" t="s">
        <v>20076</v>
      </c>
      <c r="Q2507">
        <v>419763.66</v>
      </c>
      <c r="R2507">
        <v>6206275.3099999996</v>
      </c>
      <c r="S2507" t="s">
        <v>20077</v>
      </c>
      <c r="T2507" t="s">
        <v>20078</v>
      </c>
      <c r="U2507">
        <v>419771.95</v>
      </c>
      <c r="V2507">
        <v>6206260.75</v>
      </c>
      <c r="W2507">
        <v>184.38</v>
      </c>
      <c r="X2507">
        <v>150.05000000000001</v>
      </c>
    </row>
    <row r="2508" spans="1:24" x14ac:dyDescent="0.25">
      <c r="A2508" s="148">
        <v>45108</v>
      </c>
      <c r="B2508" s="46">
        <v>182</v>
      </c>
      <c r="C2508" s="149">
        <v>6.6342592592592592E-2</v>
      </c>
      <c r="D2508" s="38" t="s">
        <v>61</v>
      </c>
      <c r="E2508" s="7" t="s">
        <v>65</v>
      </c>
      <c r="F2508" s="38" t="s">
        <v>460</v>
      </c>
      <c r="G2508" s="38" t="s">
        <v>748</v>
      </c>
      <c r="H2508">
        <v>-1.2E-2</v>
      </c>
      <c r="I2508" t="s">
        <v>20085</v>
      </c>
      <c r="J2508" t="s">
        <v>20086</v>
      </c>
      <c r="K2508" t="s">
        <v>20087</v>
      </c>
      <c r="L2508" t="s">
        <v>20088</v>
      </c>
      <c r="O2508" t="s">
        <v>20081</v>
      </c>
      <c r="P2508" t="s">
        <v>20082</v>
      </c>
      <c r="Q2508">
        <v>419703.34</v>
      </c>
      <c r="R2508">
        <v>6206319.2300000004</v>
      </c>
      <c r="S2508" t="s">
        <v>20083</v>
      </c>
      <c r="T2508" t="s">
        <v>20084</v>
      </c>
      <c r="U2508">
        <v>419716.33</v>
      </c>
      <c r="V2508">
        <v>6206296.7000000002</v>
      </c>
      <c r="W2508">
        <v>71.44</v>
      </c>
      <c r="X2508">
        <v>150.05000000000001</v>
      </c>
    </row>
    <row r="2509" spans="1:24" x14ac:dyDescent="0.25">
      <c r="A2509" s="148">
        <v>45108</v>
      </c>
      <c r="B2509" s="46">
        <v>182</v>
      </c>
      <c r="C2509" s="149">
        <v>6.9814814814814816E-2</v>
      </c>
      <c r="D2509" s="38" t="s">
        <v>61</v>
      </c>
      <c r="E2509" s="7" t="s">
        <v>70</v>
      </c>
      <c r="F2509" s="38" t="s">
        <v>460</v>
      </c>
      <c r="G2509" s="38" t="s">
        <v>748</v>
      </c>
      <c r="H2509">
        <v>0.17199999999999999</v>
      </c>
      <c r="I2509" t="s">
        <v>20085</v>
      </c>
      <c r="J2509" t="s">
        <v>20086</v>
      </c>
      <c r="K2509" t="s">
        <v>20087</v>
      </c>
      <c r="L2509" t="s">
        <v>20088</v>
      </c>
      <c r="O2509" t="s">
        <v>20089</v>
      </c>
      <c r="P2509" t="s">
        <v>20090</v>
      </c>
      <c r="Q2509">
        <v>419873.84</v>
      </c>
      <c r="R2509">
        <v>6206382.6900000004</v>
      </c>
      <c r="S2509" t="s">
        <v>20091</v>
      </c>
      <c r="T2509" t="s">
        <v>20092</v>
      </c>
      <c r="U2509">
        <v>419889.18</v>
      </c>
      <c r="V2509">
        <v>6206359.4000000004</v>
      </c>
      <c r="W2509">
        <v>69.819999999999993</v>
      </c>
      <c r="X2509">
        <v>150.05000000000001</v>
      </c>
    </row>
    <row r="2510" spans="1:24" x14ac:dyDescent="0.25">
      <c r="A2510" s="148">
        <v>45108</v>
      </c>
      <c r="B2510" s="46">
        <v>182</v>
      </c>
      <c r="C2510" s="149">
        <v>7.3414351851851856E-2</v>
      </c>
      <c r="D2510" s="38" t="s">
        <v>61</v>
      </c>
      <c r="E2510" s="7" t="s">
        <v>65</v>
      </c>
      <c r="F2510" s="38" t="s">
        <v>460</v>
      </c>
      <c r="G2510" s="38" t="s">
        <v>749</v>
      </c>
      <c r="H2510">
        <v>0.17199999999999999</v>
      </c>
      <c r="I2510" t="s">
        <v>20097</v>
      </c>
      <c r="J2510" t="s">
        <v>20098</v>
      </c>
      <c r="K2510" t="s">
        <v>20099</v>
      </c>
      <c r="L2510" t="s">
        <v>20100</v>
      </c>
      <c r="O2510" t="s">
        <v>20093</v>
      </c>
      <c r="P2510" t="s">
        <v>20094</v>
      </c>
      <c r="Q2510">
        <v>419875.07</v>
      </c>
      <c r="R2510">
        <v>6206392.6299999999</v>
      </c>
      <c r="S2510" t="s">
        <v>20095</v>
      </c>
      <c r="T2510" t="s">
        <v>20096</v>
      </c>
      <c r="U2510">
        <v>419895.84</v>
      </c>
      <c r="V2510">
        <v>6206371.5</v>
      </c>
      <c r="W2510">
        <v>250.92</v>
      </c>
      <c r="X2510">
        <v>150.05000000000001</v>
      </c>
    </row>
    <row r="2511" spans="1:24" x14ac:dyDescent="0.25">
      <c r="A2511" s="148">
        <v>45108</v>
      </c>
      <c r="B2511" s="46">
        <v>182</v>
      </c>
      <c r="C2511" s="149">
        <v>7.706018518518519E-2</v>
      </c>
      <c r="D2511" s="38" t="s">
        <v>61</v>
      </c>
      <c r="E2511" s="7" t="s">
        <v>70</v>
      </c>
      <c r="F2511" s="38" t="s">
        <v>460</v>
      </c>
      <c r="G2511" s="38" t="s">
        <v>749</v>
      </c>
      <c r="H2511">
        <v>-2.1000000000000001E-2</v>
      </c>
      <c r="I2511" t="s">
        <v>20097</v>
      </c>
      <c r="J2511" t="s">
        <v>20098</v>
      </c>
      <c r="K2511" t="s">
        <v>20099</v>
      </c>
      <c r="L2511" t="s">
        <v>20100</v>
      </c>
      <c r="O2511" t="s">
        <v>20101</v>
      </c>
      <c r="P2511" t="s">
        <v>20102</v>
      </c>
      <c r="Q2511">
        <v>419693.65</v>
      </c>
      <c r="R2511">
        <v>6206323.8600000003</v>
      </c>
      <c r="S2511" t="s">
        <v>20103</v>
      </c>
      <c r="T2511" t="s">
        <v>20104</v>
      </c>
      <c r="U2511">
        <v>419714.93</v>
      </c>
      <c r="V2511">
        <v>6206305.5199999996</v>
      </c>
      <c r="W2511">
        <v>251.36</v>
      </c>
      <c r="X2511">
        <v>150.05000000000001</v>
      </c>
    </row>
    <row r="2512" spans="1:24" x14ac:dyDescent="0.25">
      <c r="A2512" s="148">
        <v>45108</v>
      </c>
      <c r="B2512" s="46">
        <v>182</v>
      </c>
      <c r="C2512" s="149">
        <v>8.0636574074074083E-2</v>
      </c>
      <c r="D2512" s="38" t="s">
        <v>61</v>
      </c>
      <c r="E2512" s="7" t="s">
        <v>65</v>
      </c>
      <c r="F2512" s="38" t="s">
        <v>460</v>
      </c>
      <c r="G2512" s="38" t="s">
        <v>750</v>
      </c>
      <c r="H2512">
        <v>-1.4999999999999999E-2</v>
      </c>
      <c r="I2512" t="s">
        <v>20109</v>
      </c>
      <c r="J2512" t="s">
        <v>20110</v>
      </c>
      <c r="K2512" t="s">
        <v>20111</v>
      </c>
      <c r="L2512" t="s">
        <v>20100</v>
      </c>
      <c r="O2512" t="s">
        <v>20105</v>
      </c>
      <c r="P2512" t="s">
        <v>20106</v>
      </c>
      <c r="Q2512">
        <v>419690.67</v>
      </c>
      <c r="R2512">
        <v>6206334.9500000002</v>
      </c>
      <c r="S2512" t="s">
        <v>20107</v>
      </c>
      <c r="T2512" t="s">
        <v>20108</v>
      </c>
      <c r="U2512">
        <v>419706.99</v>
      </c>
      <c r="V2512">
        <v>6206312.4699999997</v>
      </c>
      <c r="W2512">
        <v>71.28</v>
      </c>
      <c r="X2512">
        <v>150.05000000000001</v>
      </c>
    </row>
    <row r="2513" spans="1:24" x14ac:dyDescent="0.25">
      <c r="A2513" s="148">
        <v>45108</v>
      </c>
      <c r="B2513" s="46">
        <v>182</v>
      </c>
      <c r="C2513" s="149">
        <v>8.4212962962962976E-2</v>
      </c>
      <c r="D2513" s="38" t="s">
        <v>61</v>
      </c>
      <c r="E2513" s="7" t="s">
        <v>70</v>
      </c>
      <c r="F2513" s="38" t="s">
        <v>460</v>
      </c>
      <c r="G2513" s="38" t="s">
        <v>750</v>
      </c>
      <c r="H2513">
        <v>0.17399999999999999</v>
      </c>
      <c r="I2513" t="s">
        <v>20109</v>
      </c>
      <c r="J2513" t="s">
        <v>20110</v>
      </c>
      <c r="K2513" t="s">
        <v>20111</v>
      </c>
      <c r="L2513" t="s">
        <v>20116</v>
      </c>
      <c r="O2513" t="s">
        <v>20112</v>
      </c>
      <c r="P2513" t="s">
        <v>20113</v>
      </c>
      <c r="Q2513">
        <v>419869.65</v>
      </c>
      <c r="R2513">
        <v>6206400.0099999998</v>
      </c>
      <c r="S2513" t="s">
        <v>20114</v>
      </c>
      <c r="T2513" t="s">
        <v>20115</v>
      </c>
      <c r="U2513">
        <v>419884.62</v>
      </c>
      <c r="V2513">
        <v>6206376.8899999997</v>
      </c>
      <c r="W2513">
        <v>70.010000000000005</v>
      </c>
      <c r="X2513">
        <v>150.05000000000001</v>
      </c>
    </row>
    <row r="2514" spans="1:24" x14ac:dyDescent="0.25">
      <c r="A2514" s="148">
        <v>45108</v>
      </c>
      <c r="B2514" s="46">
        <v>182</v>
      </c>
      <c r="C2514" s="149">
        <v>8.7418981481481473E-2</v>
      </c>
      <c r="D2514" s="38" t="s">
        <v>61</v>
      </c>
      <c r="E2514" s="7" t="s">
        <v>65</v>
      </c>
      <c r="F2514" s="38" t="s">
        <v>460</v>
      </c>
      <c r="G2514" s="38" t="s">
        <v>751</v>
      </c>
      <c r="H2514">
        <v>0.17</v>
      </c>
      <c r="I2514" t="s">
        <v>20121</v>
      </c>
      <c r="J2514" t="s">
        <v>20122</v>
      </c>
      <c r="K2514" t="s">
        <v>20123</v>
      </c>
      <c r="L2514" t="s">
        <v>20116</v>
      </c>
      <c r="O2514" t="s">
        <v>20117</v>
      </c>
      <c r="P2514" t="s">
        <v>20118</v>
      </c>
      <c r="Q2514">
        <v>419881.77</v>
      </c>
      <c r="R2514">
        <v>6206414.8399999999</v>
      </c>
      <c r="S2514" t="s">
        <v>20119</v>
      </c>
      <c r="T2514" t="s">
        <v>20120</v>
      </c>
      <c r="U2514">
        <v>419888.51</v>
      </c>
      <c r="V2514">
        <v>6206387.5800000001</v>
      </c>
      <c r="W2514">
        <v>251.67</v>
      </c>
      <c r="X2514">
        <v>150.05000000000001</v>
      </c>
    </row>
    <row r="2515" spans="1:24" x14ac:dyDescent="0.25">
      <c r="A2515" s="148">
        <v>45108</v>
      </c>
      <c r="B2515" s="46">
        <v>182</v>
      </c>
      <c r="C2515" s="149">
        <v>9.0983796296296285E-2</v>
      </c>
      <c r="D2515" s="38" t="s">
        <v>61</v>
      </c>
      <c r="E2515" s="7" t="s">
        <v>70</v>
      </c>
      <c r="F2515" s="38" t="s">
        <v>460</v>
      </c>
      <c r="G2515" s="38" t="s">
        <v>751</v>
      </c>
      <c r="H2515">
        <v>-1.9E-2</v>
      </c>
      <c r="I2515" t="s">
        <v>20121</v>
      </c>
      <c r="J2515" t="s">
        <v>20122</v>
      </c>
      <c r="K2515" t="s">
        <v>20123</v>
      </c>
      <c r="L2515" t="s">
        <v>20116</v>
      </c>
      <c r="O2515" t="s">
        <v>20124</v>
      </c>
      <c r="P2515" t="s">
        <v>20125</v>
      </c>
      <c r="Q2515">
        <v>419704.71</v>
      </c>
      <c r="R2515">
        <v>6206348.1500000004</v>
      </c>
      <c r="S2515" t="s">
        <v>20126</v>
      </c>
      <c r="T2515" t="s">
        <v>20127</v>
      </c>
      <c r="U2515">
        <v>419710.54</v>
      </c>
      <c r="V2515">
        <v>6206323.0700000003</v>
      </c>
      <c r="W2515">
        <v>250.46</v>
      </c>
      <c r="X2515">
        <v>150.05000000000001</v>
      </c>
    </row>
    <row r="2516" spans="1:24" x14ac:dyDescent="0.25">
      <c r="A2516" s="148">
        <v>45108</v>
      </c>
      <c r="B2516" s="46">
        <v>182</v>
      </c>
      <c r="C2516" s="149">
        <v>9.4340277777777773E-2</v>
      </c>
      <c r="D2516" s="38" t="s">
        <v>61</v>
      </c>
      <c r="E2516" s="7" t="s">
        <v>65</v>
      </c>
      <c r="F2516" s="38" t="s">
        <v>460</v>
      </c>
      <c r="G2516" s="38" t="s">
        <v>752</v>
      </c>
      <c r="H2516">
        <v>-1.4E-2</v>
      </c>
      <c r="I2516" t="s">
        <v>20132</v>
      </c>
      <c r="J2516" t="s">
        <v>20133</v>
      </c>
      <c r="K2516" t="s">
        <v>20134</v>
      </c>
      <c r="L2516" t="s">
        <v>20135</v>
      </c>
      <c r="O2516" t="s">
        <v>20128</v>
      </c>
      <c r="P2516" t="s">
        <v>20129</v>
      </c>
      <c r="Q2516">
        <v>419686.62</v>
      </c>
      <c r="R2516">
        <v>6206352.6200000001</v>
      </c>
      <c r="S2516" t="s">
        <v>20130</v>
      </c>
      <c r="T2516" t="s">
        <v>20131</v>
      </c>
      <c r="U2516">
        <v>419701.74</v>
      </c>
      <c r="V2516">
        <v>6206329.79</v>
      </c>
      <c r="W2516">
        <v>71.55</v>
      </c>
      <c r="X2516">
        <v>150.05000000000001</v>
      </c>
    </row>
    <row r="2517" spans="1:24" x14ac:dyDescent="0.25">
      <c r="A2517" s="148">
        <v>45108</v>
      </c>
      <c r="B2517" s="46">
        <v>182</v>
      </c>
      <c r="C2517" s="149">
        <v>9.7881944444444438E-2</v>
      </c>
      <c r="D2517" s="38" t="s">
        <v>61</v>
      </c>
      <c r="E2517" s="7" t="s">
        <v>70</v>
      </c>
      <c r="F2517" s="38" t="s">
        <v>460</v>
      </c>
      <c r="G2517" s="38" t="s">
        <v>752</v>
      </c>
      <c r="H2517">
        <v>0.17599999999999999</v>
      </c>
      <c r="I2517" t="s">
        <v>20132</v>
      </c>
      <c r="J2517" t="s">
        <v>20133</v>
      </c>
      <c r="K2517" t="s">
        <v>20134</v>
      </c>
      <c r="L2517" t="s">
        <v>20135</v>
      </c>
      <c r="O2517" t="s">
        <v>20136</v>
      </c>
      <c r="P2517" t="s">
        <v>20137</v>
      </c>
      <c r="Q2517">
        <v>419862.82</v>
      </c>
      <c r="R2517">
        <v>6206416.6500000004</v>
      </c>
      <c r="S2517" t="s">
        <v>20138</v>
      </c>
      <c r="T2517" t="s">
        <v>20139</v>
      </c>
      <c r="U2517">
        <v>419880.27</v>
      </c>
      <c r="V2517">
        <v>6206394.5300000003</v>
      </c>
      <c r="W2517">
        <v>69.959999999999994</v>
      </c>
      <c r="X2517">
        <v>150.05000000000001</v>
      </c>
    </row>
    <row r="2518" spans="1:24" x14ac:dyDescent="0.25">
      <c r="A2518" s="148">
        <v>45108</v>
      </c>
      <c r="B2518" s="46">
        <v>182</v>
      </c>
      <c r="C2518" s="149">
        <v>0.10105324074074074</v>
      </c>
      <c r="D2518" s="38" t="s">
        <v>61</v>
      </c>
      <c r="E2518" s="7" t="s">
        <v>65</v>
      </c>
      <c r="F2518" s="38" t="s">
        <v>460</v>
      </c>
      <c r="G2518" s="38" t="s">
        <v>753</v>
      </c>
      <c r="H2518">
        <v>0.17199999999999999</v>
      </c>
      <c r="I2518" t="s">
        <v>20144</v>
      </c>
      <c r="J2518" t="s">
        <v>20145</v>
      </c>
      <c r="K2518" t="s">
        <v>20146</v>
      </c>
      <c r="L2518" t="s">
        <v>20135</v>
      </c>
      <c r="O2518" t="s">
        <v>20140</v>
      </c>
      <c r="P2518" t="s">
        <v>20141</v>
      </c>
      <c r="Q2518">
        <v>419862.01</v>
      </c>
      <c r="R2518">
        <v>6206426.1100000003</v>
      </c>
      <c r="S2518" t="s">
        <v>20142</v>
      </c>
      <c r="T2518" t="s">
        <v>20143</v>
      </c>
      <c r="U2518">
        <v>419883.65</v>
      </c>
      <c r="V2518">
        <v>6206405.1299999999</v>
      </c>
      <c r="W2518">
        <v>251.87</v>
      </c>
      <c r="X2518">
        <v>150.05000000000001</v>
      </c>
    </row>
    <row r="2519" spans="1:24" x14ac:dyDescent="0.25">
      <c r="A2519" s="148">
        <v>45108</v>
      </c>
      <c r="B2519" s="46">
        <v>182</v>
      </c>
      <c r="C2519" s="149">
        <v>0.10461805555555555</v>
      </c>
      <c r="D2519" s="38" t="s">
        <v>61</v>
      </c>
      <c r="E2519" s="7" t="s">
        <v>70</v>
      </c>
      <c r="F2519" s="38" t="s">
        <v>460</v>
      </c>
      <c r="G2519" s="38" t="s">
        <v>753</v>
      </c>
      <c r="H2519">
        <v>-0.02</v>
      </c>
      <c r="I2519" t="s">
        <v>20144</v>
      </c>
      <c r="J2519" t="s">
        <v>20145</v>
      </c>
      <c r="K2519" t="s">
        <v>20146</v>
      </c>
      <c r="L2519" t="s">
        <v>20151</v>
      </c>
      <c r="O2519" t="s">
        <v>20147</v>
      </c>
      <c r="P2519" t="s">
        <v>20148</v>
      </c>
      <c r="Q2519">
        <v>419683.79</v>
      </c>
      <c r="R2519">
        <v>6206358.6500000004</v>
      </c>
      <c r="S2519" t="s">
        <v>20149</v>
      </c>
      <c r="T2519" t="s">
        <v>20150</v>
      </c>
      <c r="U2519">
        <v>419703.77</v>
      </c>
      <c r="V2519">
        <v>6206339.5199999996</v>
      </c>
      <c r="W2519">
        <v>251.36</v>
      </c>
      <c r="X2519">
        <v>150.05000000000001</v>
      </c>
    </row>
    <row r="2520" spans="1:24" x14ac:dyDescent="0.25">
      <c r="A2520" s="148">
        <v>45108</v>
      </c>
      <c r="B2520" s="46">
        <v>182</v>
      </c>
      <c r="C2520" s="149">
        <v>0.10774305555555556</v>
      </c>
      <c r="D2520" s="38" t="s">
        <v>61</v>
      </c>
      <c r="E2520" s="7" t="s">
        <v>65</v>
      </c>
      <c r="F2520" s="38" t="s">
        <v>460</v>
      </c>
      <c r="G2520" s="38" t="s">
        <v>747</v>
      </c>
      <c r="H2520">
        <v>-1.4999999999999999E-2</v>
      </c>
      <c r="I2520" t="s">
        <v>20156</v>
      </c>
      <c r="J2520" t="s">
        <v>20157</v>
      </c>
      <c r="K2520" t="s">
        <v>20158</v>
      </c>
      <c r="L2520" t="s">
        <v>20151</v>
      </c>
      <c r="O2520" t="s">
        <v>20152</v>
      </c>
      <c r="P2520" t="s">
        <v>20153</v>
      </c>
      <c r="Q2520">
        <v>419676.67</v>
      </c>
      <c r="R2520">
        <v>6206368.0599999996</v>
      </c>
      <c r="S2520" t="s">
        <v>20154</v>
      </c>
      <c r="T2520" t="s">
        <v>20155</v>
      </c>
      <c r="U2520">
        <v>419694.85</v>
      </c>
      <c r="V2520">
        <v>6206345.9900000002</v>
      </c>
      <c r="W2520">
        <v>70.66</v>
      </c>
      <c r="X2520">
        <v>150.05000000000001</v>
      </c>
    </row>
    <row r="2521" spans="1:24" x14ac:dyDescent="0.25">
      <c r="A2521" s="148">
        <v>45108</v>
      </c>
      <c r="B2521" s="46">
        <v>182</v>
      </c>
      <c r="C2521" s="149">
        <v>0.11133101851851852</v>
      </c>
      <c r="D2521" s="38" t="s">
        <v>61</v>
      </c>
      <c r="E2521" s="7" t="s">
        <v>70</v>
      </c>
      <c r="F2521" s="38" t="s">
        <v>460</v>
      </c>
      <c r="G2521" s="38" t="s">
        <v>747</v>
      </c>
      <c r="H2521">
        <v>0.17799999999999999</v>
      </c>
      <c r="I2521" t="s">
        <v>20156</v>
      </c>
      <c r="J2521" t="s">
        <v>20157</v>
      </c>
      <c r="K2521" t="s">
        <v>20158</v>
      </c>
      <c r="L2521" t="s">
        <v>20151</v>
      </c>
      <c r="O2521" t="s">
        <v>20159</v>
      </c>
      <c r="P2521" t="s">
        <v>20160</v>
      </c>
      <c r="Q2521">
        <v>419855.39</v>
      </c>
      <c r="R2521">
        <v>6206433.0599999996</v>
      </c>
      <c r="S2521" t="s">
        <v>20161</v>
      </c>
      <c r="T2521" t="s">
        <v>20162</v>
      </c>
      <c r="U2521">
        <v>419876.18</v>
      </c>
      <c r="V2521">
        <v>6206411.6500000004</v>
      </c>
      <c r="W2521">
        <v>67.819999999999993</v>
      </c>
      <c r="X2521">
        <v>150.05000000000001</v>
      </c>
    </row>
    <row r="2522" spans="1:24" x14ac:dyDescent="0.25">
      <c r="A2522" s="148">
        <v>45108</v>
      </c>
      <c r="B2522" s="46">
        <v>182</v>
      </c>
      <c r="C2522" s="149">
        <v>0.11442129629629628</v>
      </c>
      <c r="D2522" s="38" t="s">
        <v>61</v>
      </c>
      <c r="E2522" s="7" t="s">
        <v>65</v>
      </c>
      <c r="F2522" s="38" t="s">
        <v>460</v>
      </c>
      <c r="G2522" s="38" t="s">
        <v>746</v>
      </c>
      <c r="H2522">
        <v>0.17299999999999999</v>
      </c>
      <c r="I2522" t="s">
        <v>20167</v>
      </c>
      <c r="J2522" t="s">
        <v>20168</v>
      </c>
      <c r="K2522" t="s">
        <v>20169</v>
      </c>
      <c r="L2522" t="s">
        <v>20170</v>
      </c>
      <c r="O2522" t="s">
        <v>20163</v>
      </c>
      <c r="P2522" t="s">
        <v>20164</v>
      </c>
      <c r="Q2522">
        <v>419855.74</v>
      </c>
      <c r="R2522">
        <v>6206442.9100000001</v>
      </c>
      <c r="S2522" t="s">
        <v>20165</v>
      </c>
      <c r="T2522" t="s">
        <v>20166</v>
      </c>
      <c r="U2522">
        <v>419879.02</v>
      </c>
      <c r="V2522">
        <v>6206422.4500000002</v>
      </c>
      <c r="W2522">
        <v>253.11</v>
      </c>
      <c r="X2522">
        <v>150.05000000000001</v>
      </c>
    </row>
    <row r="2523" spans="1:24" x14ac:dyDescent="0.25">
      <c r="A2523" s="148">
        <v>45108</v>
      </c>
      <c r="B2523" s="46">
        <v>182</v>
      </c>
      <c r="C2523" s="149">
        <v>0.11803240740740741</v>
      </c>
      <c r="D2523" s="38" t="s">
        <v>61</v>
      </c>
      <c r="E2523" s="7" t="s">
        <v>70</v>
      </c>
      <c r="F2523" s="38" t="s">
        <v>460</v>
      </c>
      <c r="G2523" s="38" t="s">
        <v>746</v>
      </c>
      <c r="H2523">
        <v>-1.9E-2</v>
      </c>
      <c r="I2523" t="s">
        <v>20167</v>
      </c>
      <c r="J2523" t="s">
        <v>20168</v>
      </c>
      <c r="K2523" t="s">
        <v>20169</v>
      </c>
      <c r="L2523" t="s">
        <v>20170</v>
      </c>
      <c r="O2523" t="s">
        <v>20171</v>
      </c>
      <c r="P2523" t="s">
        <v>20172</v>
      </c>
      <c r="Q2523">
        <v>419675.91</v>
      </c>
      <c r="R2523">
        <v>6206375.0700000003</v>
      </c>
      <c r="S2523" t="s">
        <v>20173</v>
      </c>
      <c r="T2523" t="s">
        <v>20174</v>
      </c>
      <c r="U2523">
        <v>419697.89</v>
      </c>
      <c r="V2523">
        <v>6206356.7699999996</v>
      </c>
      <c r="W2523">
        <v>249.43</v>
      </c>
      <c r="X2523">
        <v>150.05000000000001</v>
      </c>
    </row>
    <row r="2524" spans="1:24" x14ac:dyDescent="0.25">
      <c r="A2524" s="148">
        <v>45108</v>
      </c>
      <c r="B2524" s="46">
        <v>182</v>
      </c>
      <c r="C2524" s="149">
        <v>0.12111111111111111</v>
      </c>
      <c r="D2524" s="38" t="s">
        <v>61</v>
      </c>
      <c r="E2524" s="7" t="s">
        <v>65</v>
      </c>
      <c r="F2524" s="38" t="s">
        <v>460</v>
      </c>
      <c r="G2524" s="38" t="s">
        <v>745</v>
      </c>
      <c r="H2524">
        <v>-1.4999999999999999E-2</v>
      </c>
      <c r="I2524" t="s">
        <v>20179</v>
      </c>
      <c r="J2524" t="s">
        <v>20180</v>
      </c>
      <c r="K2524" t="s">
        <v>20181</v>
      </c>
      <c r="L2524" t="s">
        <v>20170</v>
      </c>
      <c r="O2524" t="s">
        <v>20175</v>
      </c>
      <c r="P2524" t="s">
        <v>20176</v>
      </c>
      <c r="Q2524">
        <v>419668.37</v>
      </c>
      <c r="R2524">
        <v>6206384.25</v>
      </c>
      <c r="S2524" t="s">
        <v>20177</v>
      </c>
      <c r="T2524" t="s">
        <v>20178</v>
      </c>
      <c r="U2524">
        <v>419688.97</v>
      </c>
      <c r="V2524">
        <v>6206363.2800000003</v>
      </c>
      <c r="W2524">
        <v>71.66</v>
      </c>
      <c r="X2524">
        <v>150.05000000000001</v>
      </c>
    </row>
    <row r="2525" spans="1:24" x14ac:dyDescent="0.25">
      <c r="A2525" s="148">
        <v>45108</v>
      </c>
      <c r="B2525" s="46">
        <v>182</v>
      </c>
      <c r="C2525" s="149">
        <v>0.12471064814814814</v>
      </c>
      <c r="D2525" s="38" t="s">
        <v>61</v>
      </c>
      <c r="E2525" s="7" t="s">
        <v>70</v>
      </c>
      <c r="F2525" s="38" t="s">
        <v>460</v>
      </c>
      <c r="G2525" s="38" t="s">
        <v>745</v>
      </c>
      <c r="H2525">
        <v>0.17899999999999999</v>
      </c>
      <c r="I2525" t="s">
        <v>20179</v>
      </c>
      <c r="J2525" t="s">
        <v>20180</v>
      </c>
      <c r="K2525" t="s">
        <v>20181</v>
      </c>
      <c r="L2525" t="s">
        <v>20186</v>
      </c>
      <c r="O2525" t="s">
        <v>20182</v>
      </c>
      <c r="P2525" t="s">
        <v>20183</v>
      </c>
      <c r="Q2525">
        <v>419847.71</v>
      </c>
      <c r="R2525">
        <v>6206449.4000000004</v>
      </c>
      <c r="S2525" t="s">
        <v>20184</v>
      </c>
      <c r="T2525" t="s">
        <v>20185</v>
      </c>
      <c r="U2525">
        <v>419870.81</v>
      </c>
      <c r="V2525">
        <v>6206429.2800000003</v>
      </c>
      <c r="W2525">
        <v>70.31</v>
      </c>
      <c r="X2525">
        <v>150.05000000000001</v>
      </c>
    </row>
    <row r="2526" spans="1:24" x14ac:dyDescent="0.25">
      <c r="A2526" s="148">
        <v>45108</v>
      </c>
      <c r="B2526" s="46">
        <v>182</v>
      </c>
      <c r="C2526" s="149">
        <v>0.12740740740740741</v>
      </c>
      <c r="D2526" s="38" t="s">
        <v>61</v>
      </c>
      <c r="E2526" s="7" t="s">
        <v>65</v>
      </c>
      <c r="F2526" s="38" t="s">
        <v>460</v>
      </c>
      <c r="G2526" s="38" t="s">
        <v>744</v>
      </c>
      <c r="H2526">
        <v>0.17499999999999999</v>
      </c>
      <c r="I2526" t="s">
        <v>20191</v>
      </c>
      <c r="J2526" t="s">
        <v>20192</v>
      </c>
      <c r="K2526" t="s">
        <v>20193</v>
      </c>
      <c r="L2526" t="s">
        <v>20186</v>
      </c>
      <c r="O2526" t="s">
        <v>20187</v>
      </c>
      <c r="P2526" t="s">
        <v>20188</v>
      </c>
      <c r="Q2526">
        <v>419852.38</v>
      </c>
      <c r="R2526">
        <v>6206459.8600000003</v>
      </c>
      <c r="S2526" t="s">
        <v>20189</v>
      </c>
      <c r="T2526" t="s">
        <v>20190</v>
      </c>
      <c r="U2526">
        <v>419874.56</v>
      </c>
      <c r="V2526">
        <v>6206440.0199999996</v>
      </c>
      <c r="W2526">
        <v>252.95</v>
      </c>
      <c r="X2526">
        <v>150.05000000000001</v>
      </c>
    </row>
    <row r="2527" spans="1:24" x14ac:dyDescent="0.25">
      <c r="A2527" s="148">
        <v>45108</v>
      </c>
      <c r="B2527" s="46">
        <v>182</v>
      </c>
      <c r="C2527" s="149">
        <v>0.1310300925925926</v>
      </c>
      <c r="D2527" s="38" t="s">
        <v>61</v>
      </c>
      <c r="E2527" s="7" t="s">
        <v>70</v>
      </c>
      <c r="F2527" s="38" t="s">
        <v>460</v>
      </c>
      <c r="G2527" s="38" t="s">
        <v>744</v>
      </c>
      <c r="H2527">
        <v>-0.02</v>
      </c>
      <c r="I2527" t="s">
        <v>20191</v>
      </c>
      <c r="J2527" t="s">
        <v>20192</v>
      </c>
      <c r="K2527" t="s">
        <v>20193</v>
      </c>
      <c r="L2527" t="s">
        <v>20186</v>
      </c>
      <c r="O2527" t="s">
        <v>20194</v>
      </c>
      <c r="P2527" t="s">
        <v>20195</v>
      </c>
      <c r="Q2527">
        <v>419673.09</v>
      </c>
      <c r="R2527">
        <v>6206391.8200000003</v>
      </c>
      <c r="S2527" t="s">
        <v>20196</v>
      </c>
      <c r="T2527" t="s">
        <v>20197</v>
      </c>
      <c r="U2527">
        <v>419691.32</v>
      </c>
      <c r="V2527">
        <v>6206373.6399999997</v>
      </c>
      <c r="W2527">
        <v>249.69</v>
      </c>
      <c r="X2527">
        <v>150.05000000000001</v>
      </c>
    </row>
    <row r="2528" spans="1:24" x14ac:dyDescent="0.25">
      <c r="A2528" s="148">
        <v>45108</v>
      </c>
      <c r="B2528" s="46">
        <v>182</v>
      </c>
      <c r="C2528" s="149">
        <v>0.13396990740740741</v>
      </c>
      <c r="D2528" s="38" t="s">
        <v>61</v>
      </c>
      <c r="E2528" s="7" t="s">
        <v>65</v>
      </c>
      <c r="F2528" s="38" t="s">
        <v>460</v>
      </c>
      <c r="G2528" s="38" t="s">
        <v>743</v>
      </c>
      <c r="H2528">
        <v>-1.4999999999999999E-2</v>
      </c>
      <c r="I2528" t="s">
        <v>20202</v>
      </c>
      <c r="J2528" t="s">
        <v>20203</v>
      </c>
      <c r="K2528" t="s">
        <v>20204</v>
      </c>
      <c r="L2528" t="s">
        <v>20205</v>
      </c>
      <c r="O2528" t="s">
        <v>20198</v>
      </c>
      <c r="P2528" t="s">
        <v>20199</v>
      </c>
      <c r="Q2528">
        <v>419665.47</v>
      </c>
      <c r="R2528">
        <v>6206402.6200000001</v>
      </c>
      <c r="S2528" t="s">
        <v>20200</v>
      </c>
      <c r="T2528" t="s">
        <v>20201</v>
      </c>
      <c r="U2528">
        <v>419682.52</v>
      </c>
      <c r="V2528">
        <v>6206380.21</v>
      </c>
      <c r="W2528">
        <v>71.8</v>
      </c>
      <c r="X2528">
        <v>150.05000000000001</v>
      </c>
    </row>
    <row r="2529" spans="1:24" x14ac:dyDescent="0.25">
      <c r="A2529" s="148">
        <v>45108</v>
      </c>
      <c r="B2529" s="46">
        <v>182</v>
      </c>
      <c r="C2529" s="149">
        <v>0.13760416666666667</v>
      </c>
      <c r="D2529" s="38" t="s">
        <v>61</v>
      </c>
      <c r="E2529" s="7" t="s">
        <v>70</v>
      </c>
      <c r="F2529" s="38" t="s">
        <v>460</v>
      </c>
      <c r="G2529" s="38" t="s">
        <v>743</v>
      </c>
      <c r="H2529">
        <v>0.18</v>
      </c>
      <c r="I2529" t="s">
        <v>20202</v>
      </c>
      <c r="J2529" t="s">
        <v>20203</v>
      </c>
      <c r="K2529" t="s">
        <v>20204</v>
      </c>
      <c r="L2529" t="s">
        <v>20205</v>
      </c>
      <c r="O2529" t="s">
        <v>20206</v>
      </c>
      <c r="P2529" t="s">
        <v>20207</v>
      </c>
      <c r="Q2529">
        <v>419846.54</v>
      </c>
      <c r="R2529">
        <v>6206467.7300000004</v>
      </c>
      <c r="S2529" t="s">
        <v>20208</v>
      </c>
      <c r="T2529" t="s">
        <v>20209</v>
      </c>
      <c r="U2529">
        <v>419865.39</v>
      </c>
      <c r="V2529">
        <v>6206446.4500000002</v>
      </c>
      <c r="W2529">
        <v>70.17</v>
      </c>
      <c r="X2529">
        <v>150.05000000000001</v>
      </c>
    </row>
    <row r="2530" spans="1:24" x14ac:dyDescent="0.25">
      <c r="A2530" s="148">
        <v>45108</v>
      </c>
      <c r="B2530" s="46">
        <v>182</v>
      </c>
      <c r="C2530" s="149">
        <v>0.14070601851851852</v>
      </c>
      <c r="D2530" s="38" t="s">
        <v>61</v>
      </c>
      <c r="E2530" s="7" t="s">
        <v>65</v>
      </c>
      <c r="F2530" s="38" t="s">
        <v>460</v>
      </c>
      <c r="G2530" s="38" t="s">
        <v>742</v>
      </c>
      <c r="H2530">
        <v>0.17399999999999999</v>
      </c>
      <c r="I2530" t="s">
        <v>20214</v>
      </c>
      <c r="J2530" t="s">
        <v>20215</v>
      </c>
      <c r="K2530" t="s">
        <v>20216</v>
      </c>
      <c r="L2530" t="s">
        <v>20205</v>
      </c>
      <c r="O2530" t="s">
        <v>20210</v>
      </c>
      <c r="P2530" t="s">
        <v>20211</v>
      </c>
      <c r="Q2530">
        <v>419845.65</v>
      </c>
      <c r="R2530">
        <v>6206476.0700000003</v>
      </c>
      <c r="S2530" t="s">
        <v>20212</v>
      </c>
      <c r="T2530" t="s">
        <v>20213</v>
      </c>
      <c r="U2530">
        <v>419867.55</v>
      </c>
      <c r="V2530">
        <v>6206456.5599999996</v>
      </c>
      <c r="W2530">
        <v>254.38</v>
      </c>
      <c r="X2530">
        <v>150.05000000000001</v>
      </c>
    </row>
    <row r="2531" spans="1:24" x14ac:dyDescent="0.25">
      <c r="A2531" s="148">
        <v>45108</v>
      </c>
      <c r="B2531" s="46">
        <v>182</v>
      </c>
      <c r="C2531" s="149">
        <v>0.14431712962962964</v>
      </c>
      <c r="D2531" s="38" t="s">
        <v>61</v>
      </c>
      <c r="E2531" s="7" t="s">
        <v>70</v>
      </c>
      <c r="F2531" s="38" t="s">
        <v>460</v>
      </c>
      <c r="G2531" s="38" t="s">
        <v>742</v>
      </c>
      <c r="H2531">
        <v>-0.02</v>
      </c>
      <c r="I2531" t="s">
        <v>20214</v>
      </c>
      <c r="J2531" t="s">
        <v>20215</v>
      </c>
      <c r="K2531" t="s">
        <v>20216</v>
      </c>
      <c r="L2531" t="s">
        <v>20221</v>
      </c>
      <c r="O2531" t="s">
        <v>20217</v>
      </c>
      <c r="P2531" t="s">
        <v>20218</v>
      </c>
      <c r="Q2531">
        <v>419665.82</v>
      </c>
      <c r="R2531">
        <v>6206407.6699999999</v>
      </c>
      <c r="S2531" t="s">
        <v>20219</v>
      </c>
      <c r="T2531" t="s">
        <v>20220</v>
      </c>
      <c r="U2531">
        <v>419685.14</v>
      </c>
      <c r="V2531">
        <v>6206390.4500000002</v>
      </c>
      <c r="W2531">
        <v>249.55</v>
      </c>
      <c r="X2531">
        <v>150.05000000000001</v>
      </c>
    </row>
    <row r="2532" spans="1:24" x14ac:dyDescent="0.25">
      <c r="A2532" s="148">
        <v>45108</v>
      </c>
      <c r="B2532" s="46">
        <v>182</v>
      </c>
      <c r="C2532" s="149">
        <v>0.14989583333333334</v>
      </c>
      <c r="D2532" s="38" t="s">
        <v>61</v>
      </c>
      <c r="E2532" s="7" t="s">
        <v>20222</v>
      </c>
      <c r="F2532" s="38" t="s">
        <v>460</v>
      </c>
      <c r="G2532" s="38" t="s">
        <v>1036</v>
      </c>
      <c r="H2532">
        <v>-0.86499999999999999</v>
      </c>
      <c r="O2532" t="s">
        <v>20223</v>
      </c>
      <c r="P2532" t="s">
        <v>20224</v>
      </c>
      <c r="Q2532">
        <v>419631.56</v>
      </c>
      <c r="R2532">
        <v>6206079.1100000003</v>
      </c>
      <c r="S2532" t="s">
        <v>20225</v>
      </c>
      <c r="T2532" t="s">
        <v>20226</v>
      </c>
      <c r="U2532">
        <v>419640.79</v>
      </c>
      <c r="V2532">
        <v>6206072.5899999999</v>
      </c>
      <c r="W2532">
        <v>98.11</v>
      </c>
      <c r="X2532">
        <v>150.05000000000001</v>
      </c>
    </row>
    <row r="2533" spans="1:24" x14ac:dyDescent="0.25">
      <c r="A2533" s="148">
        <v>45108</v>
      </c>
      <c r="B2533" s="46">
        <v>182</v>
      </c>
      <c r="C2533" s="149">
        <v>0.16392361111111112</v>
      </c>
      <c r="D2533" s="38" t="s">
        <v>61</v>
      </c>
      <c r="E2533" s="7" t="s">
        <v>6102</v>
      </c>
      <c r="F2533" s="38" t="s">
        <v>8011</v>
      </c>
      <c r="G2533" s="38" t="s">
        <v>1036</v>
      </c>
      <c r="H2533">
        <v>-0.05</v>
      </c>
      <c r="O2533" t="s">
        <v>20227</v>
      </c>
      <c r="P2533" t="s">
        <v>20228</v>
      </c>
      <c r="Q2533">
        <v>418800.65</v>
      </c>
      <c r="R2533">
        <v>6205260.8600000003</v>
      </c>
      <c r="S2533" t="s">
        <v>20229</v>
      </c>
      <c r="T2533" t="s">
        <v>20230</v>
      </c>
      <c r="U2533">
        <v>418811.35</v>
      </c>
      <c r="V2533">
        <v>6205256.2800000003</v>
      </c>
      <c r="W2533">
        <v>86.59</v>
      </c>
      <c r="X2533">
        <v>150.05000000000001</v>
      </c>
    </row>
    <row r="2534" spans="1:24" s="169" customFormat="1" x14ac:dyDescent="0.25">
      <c r="A2534" s="65">
        <v>45108</v>
      </c>
      <c r="B2534" s="106">
        <v>182</v>
      </c>
      <c r="C2534" s="67">
        <v>0.17105324074074071</v>
      </c>
      <c r="D2534" s="66" t="s">
        <v>17396</v>
      </c>
      <c r="E2534" s="170" t="s">
        <v>20236</v>
      </c>
      <c r="F2534" s="66" t="s">
        <v>8011</v>
      </c>
      <c r="G2534" s="66" t="s">
        <v>1036</v>
      </c>
      <c r="H2534" s="169">
        <v>-4.8000000000000001E-2</v>
      </c>
      <c r="M2534" s="169" t="s">
        <v>20231</v>
      </c>
      <c r="O2534" s="169" t="s">
        <v>20232</v>
      </c>
      <c r="P2534" s="169" t="s">
        <v>20233</v>
      </c>
      <c r="Q2534" s="169">
        <v>418799.96</v>
      </c>
      <c r="R2534" s="169">
        <v>6205260.6699999999</v>
      </c>
      <c r="S2534" s="169" t="s">
        <v>20234</v>
      </c>
      <c r="T2534" s="169" t="s">
        <v>20235</v>
      </c>
      <c r="U2534" s="169">
        <v>418805.59</v>
      </c>
      <c r="V2534" s="169">
        <v>6205251.9400000004</v>
      </c>
      <c r="W2534" s="169">
        <v>56.73</v>
      </c>
      <c r="X2534" s="169">
        <v>150.05000000000001</v>
      </c>
    </row>
    <row r="2535" spans="1:24" x14ac:dyDescent="0.25">
      <c r="A2535" s="148">
        <v>45108</v>
      </c>
      <c r="B2535" s="46">
        <v>182</v>
      </c>
      <c r="C2535" s="149">
        <v>0.17476851851851852</v>
      </c>
      <c r="D2535" s="38" t="s">
        <v>17396</v>
      </c>
      <c r="E2535" s="7" t="s">
        <v>65</v>
      </c>
      <c r="F2535" s="38" t="s">
        <v>8011</v>
      </c>
      <c r="G2535" s="38" t="s">
        <v>1036</v>
      </c>
      <c r="H2535">
        <v>-1.4E-2</v>
      </c>
      <c r="I2535" t="s">
        <v>20241</v>
      </c>
      <c r="J2535" t="s">
        <v>20242</v>
      </c>
      <c r="K2535" t="s">
        <v>20243</v>
      </c>
      <c r="L2535" t="s">
        <v>20244</v>
      </c>
      <c r="O2535" t="s">
        <v>20237</v>
      </c>
      <c r="P2535" t="s">
        <v>20238</v>
      </c>
      <c r="Q2535">
        <v>418796.74</v>
      </c>
      <c r="R2535">
        <v>6205225.3099999996</v>
      </c>
      <c r="S2535" t="s">
        <v>20239</v>
      </c>
      <c r="T2535" t="s">
        <v>20240</v>
      </c>
      <c r="U2535">
        <v>418825.4</v>
      </c>
      <c r="V2535">
        <v>6205226.0199999996</v>
      </c>
      <c r="W2535">
        <v>181.91</v>
      </c>
      <c r="X2535">
        <v>150.05000000000001</v>
      </c>
    </row>
    <row r="2536" spans="1:24" x14ac:dyDescent="0.25">
      <c r="A2536" s="148">
        <v>45108</v>
      </c>
      <c r="B2536" s="46">
        <v>182</v>
      </c>
      <c r="C2536" s="149">
        <v>0.17831018518518518</v>
      </c>
      <c r="D2536" s="38" t="s">
        <v>17396</v>
      </c>
      <c r="E2536" s="7" t="s">
        <v>70</v>
      </c>
      <c r="F2536" s="38" t="s">
        <v>8011</v>
      </c>
      <c r="G2536" s="38" t="s">
        <v>1036</v>
      </c>
      <c r="H2536">
        <v>0.17599999999999999</v>
      </c>
      <c r="I2536" t="s">
        <v>20241</v>
      </c>
      <c r="J2536" t="s">
        <v>20242</v>
      </c>
      <c r="K2536" t="s">
        <v>20243</v>
      </c>
      <c r="L2536" t="s">
        <v>20244</v>
      </c>
      <c r="O2536" t="s">
        <v>20245</v>
      </c>
      <c r="P2536" t="s">
        <v>20246</v>
      </c>
      <c r="Q2536">
        <v>418798.2</v>
      </c>
      <c r="R2536">
        <v>6205037.7599999998</v>
      </c>
      <c r="S2536" t="s">
        <v>20247</v>
      </c>
      <c r="T2536" t="s">
        <v>20248</v>
      </c>
      <c r="U2536">
        <v>418825.35</v>
      </c>
      <c r="V2536">
        <v>6205036.5</v>
      </c>
      <c r="W2536">
        <v>180.19</v>
      </c>
      <c r="X2536">
        <v>150.05000000000001</v>
      </c>
    </row>
    <row r="2537" spans="1:24" x14ac:dyDescent="0.25">
      <c r="A2537" s="148">
        <v>45108</v>
      </c>
      <c r="B2537" s="46">
        <v>182</v>
      </c>
      <c r="C2537" s="149">
        <v>0.18170138888888887</v>
      </c>
      <c r="D2537" s="38" t="s">
        <v>17396</v>
      </c>
      <c r="E2537" s="7" t="s">
        <v>65</v>
      </c>
      <c r="F2537" s="38" t="s">
        <v>8011</v>
      </c>
      <c r="G2537" s="38" t="s">
        <v>1035</v>
      </c>
      <c r="H2537">
        <v>0.17</v>
      </c>
      <c r="I2537" t="s">
        <v>20253</v>
      </c>
      <c r="J2537" t="s">
        <v>20254</v>
      </c>
      <c r="K2537" t="s">
        <v>20255</v>
      </c>
      <c r="L2537" t="s">
        <v>20244</v>
      </c>
      <c r="O2537" t="s">
        <v>20249</v>
      </c>
      <c r="P2537" t="s">
        <v>20250</v>
      </c>
      <c r="Q2537">
        <v>418789.48</v>
      </c>
      <c r="R2537">
        <v>6205034.2000000002</v>
      </c>
      <c r="S2537" t="s">
        <v>20251</v>
      </c>
      <c r="T2537" t="s">
        <v>20252</v>
      </c>
      <c r="U2537">
        <v>418816.23</v>
      </c>
      <c r="V2537">
        <v>6205031.2400000002</v>
      </c>
      <c r="W2537">
        <v>7.0000000000000007E-2</v>
      </c>
      <c r="X2537">
        <v>150.05000000000001</v>
      </c>
    </row>
    <row r="2538" spans="1:24" x14ac:dyDescent="0.25">
      <c r="A2538" s="148">
        <v>45108</v>
      </c>
      <c r="B2538" s="46">
        <v>182</v>
      </c>
      <c r="C2538" s="149">
        <v>0.18531249999999999</v>
      </c>
      <c r="D2538" s="38" t="s">
        <v>17396</v>
      </c>
      <c r="E2538" s="7" t="s">
        <v>70</v>
      </c>
      <c r="F2538" s="38" t="s">
        <v>8011</v>
      </c>
      <c r="G2538" s="38" t="s">
        <v>1035</v>
      </c>
      <c r="H2538">
        <v>-2.1999999999999999E-2</v>
      </c>
      <c r="I2538" t="s">
        <v>20253</v>
      </c>
      <c r="J2538" t="s">
        <v>20254</v>
      </c>
      <c r="K2538" t="s">
        <v>20255</v>
      </c>
      <c r="L2538" t="s">
        <v>20260</v>
      </c>
      <c r="O2538" t="s">
        <v>20256</v>
      </c>
      <c r="P2538" t="s">
        <v>20257</v>
      </c>
      <c r="Q2538">
        <v>418790.24</v>
      </c>
      <c r="R2538">
        <v>6205224.79</v>
      </c>
      <c r="S2538" t="s">
        <v>20258</v>
      </c>
      <c r="T2538" t="s">
        <v>20259</v>
      </c>
      <c r="U2538">
        <v>418816.27</v>
      </c>
      <c r="V2538">
        <v>6205223.3099999996</v>
      </c>
      <c r="W2538">
        <v>0.2</v>
      </c>
      <c r="X2538">
        <v>150.05000000000001</v>
      </c>
    </row>
    <row r="2539" spans="1:24" x14ac:dyDescent="0.25">
      <c r="A2539" s="148">
        <v>45108</v>
      </c>
      <c r="B2539" s="46">
        <v>182</v>
      </c>
      <c r="C2539" s="149">
        <v>0.18851851851851853</v>
      </c>
      <c r="D2539" s="38" t="s">
        <v>17396</v>
      </c>
      <c r="E2539" s="7" t="s">
        <v>65</v>
      </c>
      <c r="F2539" s="38" t="s">
        <v>8011</v>
      </c>
      <c r="G2539" s="38" t="s">
        <v>1034</v>
      </c>
      <c r="H2539">
        <v>-1.4999999999999999E-2</v>
      </c>
      <c r="I2539" t="s">
        <v>20265</v>
      </c>
      <c r="J2539" t="s">
        <v>20266</v>
      </c>
      <c r="K2539" t="s">
        <v>20267</v>
      </c>
      <c r="L2539" t="s">
        <v>20260</v>
      </c>
      <c r="O2539" t="s">
        <v>20261</v>
      </c>
      <c r="P2539" t="s">
        <v>20262</v>
      </c>
      <c r="Q2539">
        <v>418783.18</v>
      </c>
      <c r="R2539">
        <v>6205228.5700000003</v>
      </c>
      <c r="S2539" t="s">
        <v>20263</v>
      </c>
      <c r="T2539" t="s">
        <v>20264</v>
      </c>
      <c r="U2539">
        <v>418807.4</v>
      </c>
      <c r="V2539">
        <v>6205226.9000000004</v>
      </c>
      <c r="W2539">
        <v>182.12</v>
      </c>
      <c r="X2539">
        <v>150.05000000000001</v>
      </c>
    </row>
    <row r="2540" spans="1:24" x14ac:dyDescent="0.25">
      <c r="A2540" s="148">
        <v>45108</v>
      </c>
      <c r="B2540" s="46">
        <v>182</v>
      </c>
      <c r="C2540" s="149">
        <v>0.1920138888888889</v>
      </c>
      <c r="D2540" s="38" t="s">
        <v>17396</v>
      </c>
      <c r="E2540" s="7" t="s">
        <v>70</v>
      </c>
      <c r="F2540" s="38" t="s">
        <v>8011</v>
      </c>
      <c r="G2540" s="38" t="s">
        <v>1034</v>
      </c>
      <c r="H2540">
        <v>0.17199999999999999</v>
      </c>
      <c r="I2540" t="s">
        <v>20265</v>
      </c>
      <c r="J2540" t="s">
        <v>20266</v>
      </c>
      <c r="K2540" t="s">
        <v>20267</v>
      </c>
      <c r="L2540" t="s">
        <v>20260</v>
      </c>
      <c r="O2540" t="s">
        <v>20268</v>
      </c>
      <c r="P2540" t="s">
        <v>20269</v>
      </c>
      <c r="Q2540">
        <v>418781.54</v>
      </c>
      <c r="R2540">
        <v>6205043.4100000001</v>
      </c>
      <c r="S2540" t="s">
        <v>20270</v>
      </c>
      <c r="T2540" t="s">
        <v>20271</v>
      </c>
      <c r="U2540">
        <v>418807.2</v>
      </c>
      <c r="V2540">
        <v>6205040.54</v>
      </c>
      <c r="W2540">
        <v>180.49</v>
      </c>
      <c r="X2540">
        <v>150.05000000000001</v>
      </c>
    </row>
    <row r="2541" spans="1:24" x14ac:dyDescent="0.25">
      <c r="A2541" s="148">
        <v>45108</v>
      </c>
      <c r="B2541" s="46">
        <v>182</v>
      </c>
      <c r="C2541" s="149">
        <v>0.19540509259259262</v>
      </c>
      <c r="D2541" s="38" t="s">
        <v>17396</v>
      </c>
      <c r="E2541" s="7" t="s">
        <v>65</v>
      </c>
      <c r="F2541" s="38" t="s">
        <v>8011</v>
      </c>
      <c r="G2541" s="38" t="s">
        <v>1033</v>
      </c>
      <c r="H2541">
        <v>0.16800000000000001</v>
      </c>
      <c r="I2541" t="s">
        <v>20276</v>
      </c>
      <c r="J2541" t="s">
        <v>20277</v>
      </c>
      <c r="K2541" t="s">
        <v>20278</v>
      </c>
      <c r="L2541" t="s">
        <v>20279</v>
      </c>
      <c r="O2541" t="s">
        <v>20272</v>
      </c>
      <c r="P2541" t="s">
        <v>20273</v>
      </c>
      <c r="Q2541">
        <v>418772.71</v>
      </c>
      <c r="R2541">
        <v>6205034.9000000004</v>
      </c>
      <c r="S2541" t="s">
        <v>20274</v>
      </c>
      <c r="T2541" t="s">
        <v>20275</v>
      </c>
      <c r="U2541">
        <v>418798.19</v>
      </c>
      <c r="V2541">
        <v>6205033.46</v>
      </c>
      <c r="W2541">
        <v>359.77</v>
      </c>
      <c r="X2541">
        <v>150.05000000000001</v>
      </c>
    </row>
    <row r="2542" spans="1:24" x14ac:dyDescent="0.25">
      <c r="A2542" s="148">
        <v>45108</v>
      </c>
      <c r="B2542" s="46">
        <v>182</v>
      </c>
      <c r="C2542" s="149">
        <v>0.19890046296296296</v>
      </c>
      <c r="D2542" s="38" t="s">
        <v>17396</v>
      </c>
      <c r="E2542" s="7" t="s">
        <v>70</v>
      </c>
      <c r="F2542" s="38" t="s">
        <v>8011</v>
      </c>
      <c r="G2542" s="38" t="s">
        <v>1033</v>
      </c>
      <c r="H2542">
        <v>-0.02</v>
      </c>
      <c r="I2542" t="s">
        <v>20276</v>
      </c>
      <c r="J2542" t="s">
        <v>20277</v>
      </c>
      <c r="K2542" t="s">
        <v>20278</v>
      </c>
      <c r="L2542" t="s">
        <v>20279</v>
      </c>
      <c r="O2542" t="s">
        <v>20280</v>
      </c>
      <c r="P2542" t="s">
        <v>20281</v>
      </c>
      <c r="Q2542">
        <v>418772.13</v>
      </c>
      <c r="R2542">
        <v>6205217.8200000003</v>
      </c>
      <c r="S2542" t="s">
        <v>20282</v>
      </c>
      <c r="T2542" t="s">
        <v>20283</v>
      </c>
      <c r="U2542">
        <v>418798.2</v>
      </c>
      <c r="V2542">
        <v>6205220.8899999997</v>
      </c>
      <c r="W2542">
        <v>0.44</v>
      </c>
      <c r="X2542">
        <v>150.05000000000001</v>
      </c>
    </row>
    <row r="2543" spans="1:24" ht="45" x14ac:dyDescent="0.25">
      <c r="A2543" s="148">
        <v>45108</v>
      </c>
      <c r="B2543" s="46">
        <v>182</v>
      </c>
      <c r="C2543" s="149">
        <v>0.20396990740740742</v>
      </c>
      <c r="D2543" s="38" t="s">
        <v>17396</v>
      </c>
      <c r="E2543" s="7" t="s">
        <v>20288</v>
      </c>
      <c r="F2543" s="38" t="s">
        <v>8011</v>
      </c>
      <c r="G2543" s="38" t="s">
        <v>1032</v>
      </c>
      <c r="H2543">
        <v>-3.9E-2</v>
      </c>
      <c r="O2543" t="s">
        <v>20284</v>
      </c>
      <c r="P2543" t="s">
        <v>20285</v>
      </c>
      <c r="Q2543">
        <v>418762.63</v>
      </c>
      <c r="R2543">
        <v>6205267.1299999999</v>
      </c>
      <c r="S2543" t="s">
        <v>20286</v>
      </c>
      <c r="T2543" t="s">
        <v>20287</v>
      </c>
      <c r="U2543">
        <v>418789.17</v>
      </c>
      <c r="V2543">
        <v>6205251.6200000001</v>
      </c>
      <c r="W2543">
        <v>177.85</v>
      </c>
      <c r="X2543">
        <v>150.05000000000001</v>
      </c>
    </row>
    <row r="2544" spans="1:24" ht="30" x14ac:dyDescent="0.25">
      <c r="A2544" s="148">
        <v>45108</v>
      </c>
      <c r="B2544" s="46">
        <v>182</v>
      </c>
      <c r="C2544" s="149">
        <v>0.20943287037037037</v>
      </c>
      <c r="D2544" s="38" t="s">
        <v>17396</v>
      </c>
      <c r="E2544" s="7" t="s">
        <v>20293</v>
      </c>
      <c r="F2544" s="38" t="s">
        <v>8011</v>
      </c>
      <c r="G2544" s="38" t="s">
        <v>1032</v>
      </c>
      <c r="H2544">
        <v>5.1999999999999998E-2</v>
      </c>
      <c r="O2544" t="s">
        <v>20289</v>
      </c>
      <c r="P2544" t="s">
        <v>20290</v>
      </c>
      <c r="Q2544">
        <v>418764.12</v>
      </c>
      <c r="R2544">
        <v>6205167.2400000002</v>
      </c>
      <c r="S2544" t="s">
        <v>20291</v>
      </c>
      <c r="T2544" t="s">
        <v>20292</v>
      </c>
      <c r="U2544">
        <v>418794.21</v>
      </c>
      <c r="V2544">
        <v>6205159.96</v>
      </c>
      <c r="W2544">
        <v>159.65</v>
      </c>
      <c r="X2544">
        <v>150.05000000000001</v>
      </c>
    </row>
    <row r="2545" spans="1:24" x14ac:dyDescent="0.25">
      <c r="A2545" s="148">
        <v>45108</v>
      </c>
      <c r="B2545" s="46">
        <v>182</v>
      </c>
      <c r="C2545" s="149">
        <v>0.21362268518518521</v>
      </c>
      <c r="D2545" s="38" t="s">
        <v>17396</v>
      </c>
      <c r="E2545" s="7" t="s">
        <v>20298</v>
      </c>
      <c r="F2545" s="38" t="s">
        <v>8011</v>
      </c>
      <c r="G2545" s="38" t="s">
        <v>1032</v>
      </c>
      <c r="H2545">
        <v>6.7000000000000004E-2</v>
      </c>
      <c r="O2545" t="s">
        <v>20294</v>
      </c>
      <c r="P2545" t="s">
        <v>20295</v>
      </c>
      <c r="Q2545">
        <v>418764.34</v>
      </c>
      <c r="R2545">
        <v>6205167.9100000001</v>
      </c>
      <c r="S2545" t="s">
        <v>20296</v>
      </c>
      <c r="T2545" t="s">
        <v>20297</v>
      </c>
      <c r="U2545">
        <v>418788.44</v>
      </c>
      <c r="V2545">
        <v>6205144.6600000001</v>
      </c>
      <c r="W2545">
        <v>152.80000000000001</v>
      </c>
      <c r="X2545">
        <v>150.05000000000001</v>
      </c>
    </row>
    <row r="2546" spans="1:24" x14ac:dyDescent="0.25">
      <c r="A2546" s="148">
        <v>45108</v>
      </c>
      <c r="B2546" s="46">
        <v>182</v>
      </c>
      <c r="C2546" s="149">
        <v>0.22179398148148147</v>
      </c>
      <c r="D2546" s="38" t="s">
        <v>17396</v>
      </c>
      <c r="E2546" s="7" t="s">
        <v>65</v>
      </c>
      <c r="F2546" s="38" t="s">
        <v>8011</v>
      </c>
      <c r="G2546" s="38" t="s">
        <v>1025</v>
      </c>
      <c r="H2546">
        <v>-1.7000000000000001E-2</v>
      </c>
      <c r="I2546" t="s">
        <v>20303</v>
      </c>
      <c r="J2546" t="s">
        <v>20304</v>
      </c>
      <c r="K2546" t="s">
        <v>20305</v>
      </c>
      <c r="L2546" t="s">
        <v>20306</v>
      </c>
      <c r="O2546" t="s">
        <v>20299</v>
      </c>
      <c r="P2546" t="s">
        <v>20300</v>
      </c>
      <c r="Q2546">
        <v>418745.33</v>
      </c>
      <c r="R2546">
        <v>6205227.9000000004</v>
      </c>
      <c r="S2546" t="s">
        <v>20301</v>
      </c>
      <c r="T2546" t="s">
        <v>20302</v>
      </c>
      <c r="U2546">
        <v>418771.44</v>
      </c>
      <c r="V2546">
        <v>6205228.9199999999</v>
      </c>
      <c r="W2546">
        <v>183.2</v>
      </c>
      <c r="X2546">
        <v>150.05000000000001</v>
      </c>
    </row>
    <row r="2547" spans="1:24" x14ac:dyDescent="0.25">
      <c r="A2547" s="148">
        <v>45108</v>
      </c>
      <c r="B2547" s="46">
        <v>182</v>
      </c>
      <c r="C2547" s="149">
        <v>0.22474537037037037</v>
      </c>
      <c r="D2547" s="38" t="s">
        <v>17396</v>
      </c>
      <c r="E2547" s="7" t="s">
        <v>70</v>
      </c>
      <c r="F2547" s="38" t="s">
        <v>8011</v>
      </c>
      <c r="G2547" s="38" t="s">
        <v>1025</v>
      </c>
      <c r="H2547">
        <v>0.16800000000000001</v>
      </c>
      <c r="I2547" t="s">
        <v>20303</v>
      </c>
      <c r="J2547" t="s">
        <v>20304</v>
      </c>
      <c r="K2547" t="s">
        <v>20305</v>
      </c>
      <c r="L2547" t="s">
        <v>20306</v>
      </c>
      <c r="O2547" t="s">
        <v>20307</v>
      </c>
      <c r="P2547" t="s">
        <v>20308</v>
      </c>
      <c r="Q2547">
        <v>418745.19</v>
      </c>
      <c r="R2547">
        <v>6205045.9199999999</v>
      </c>
      <c r="S2547" t="s">
        <v>20309</v>
      </c>
      <c r="T2547" t="s">
        <v>20310</v>
      </c>
      <c r="U2547">
        <v>418771.15</v>
      </c>
      <c r="V2547">
        <v>6205044.8200000003</v>
      </c>
      <c r="W2547">
        <v>180.14</v>
      </c>
      <c r="X2547">
        <v>150.05000000000001</v>
      </c>
    </row>
    <row r="2548" spans="1:24" x14ac:dyDescent="0.25">
      <c r="A2548" s="148">
        <v>45108</v>
      </c>
      <c r="B2548" s="46">
        <v>182</v>
      </c>
      <c r="C2548" s="149">
        <v>0.22832175925925927</v>
      </c>
      <c r="D2548" s="38" t="s">
        <v>17396</v>
      </c>
      <c r="E2548" s="7" t="s">
        <v>65</v>
      </c>
      <c r="F2548" s="38" t="s">
        <v>8011</v>
      </c>
      <c r="G2548" s="38" t="s">
        <v>1026</v>
      </c>
      <c r="H2548">
        <v>0.16300000000000001</v>
      </c>
      <c r="I2548" t="s">
        <v>20315</v>
      </c>
      <c r="J2548" t="s">
        <v>20316</v>
      </c>
      <c r="K2548" t="s">
        <v>20317</v>
      </c>
      <c r="L2548" t="s">
        <v>20318</v>
      </c>
      <c r="O2548" t="s">
        <v>20311</v>
      </c>
      <c r="P2548" t="s">
        <v>20312</v>
      </c>
      <c r="Q2548">
        <v>418736.88</v>
      </c>
      <c r="R2548">
        <v>6205041.0499999998</v>
      </c>
      <c r="S2548" t="s">
        <v>20313</v>
      </c>
      <c r="T2548" t="s">
        <v>20314</v>
      </c>
      <c r="U2548">
        <v>418762.18</v>
      </c>
      <c r="V2548">
        <v>6205038.7300000004</v>
      </c>
      <c r="W2548">
        <v>0.77</v>
      </c>
      <c r="X2548">
        <v>150.05000000000001</v>
      </c>
    </row>
    <row r="2549" spans="1:24" x14ac:dyDescent="0.25">
      <c r="A2549" s="148">
        <v>45108</v>
      </c>
      <c r="B2549" s="46">
        <v>182</v>
      </c>
      <c r="C2549" s="149">
        <v>0.23179398148148148</v>
      </c>
      <c r="D2549" s="38" t="s">
        <v>17396</v>
      </c>
      <c r="E2549" s="7" t="s">
        <v>70</v>
      </c>
      <c r="F2549" s="38" t="s">
        <v>8011</v>
      </c>
      <c r="G2549" s="38" t="s">
        <v>1026</v>
      </c>
      <c r="H2549">
        <v>-2.1000000000000001E-2</v>
      </c>
      <c r="I2549" t="s">
        <v>20315</v>
      </c>
      <c r="J2549" t="s">
        <v>20316</v>
      </c>
      <c r="K2549" t="s">
        <v>20317</v>
      </c>
      <c r="L2549" t="s">
        <v>20318</v>
      </c>
      <c r="O2549" t="s">
        <v>20319</v>
      </c>
      <c r="P2549" t="s">
        <v>20320</v>
      </c>
      <c r="Q2549">
        <v>418735.72</v>
      </c>
      <c r="R2549">
        <v>6205224.7800000003</v>
      </c>
      <c r="S2549" t="s">
        <v>20321</v>
      </c>
      <c r="T2549" t="s">
        <v>20322</v>
      </c>
      <c r="U2549">
        <v>418762.27</v>
      </c>
      <c r="V2549">
        <v>6205222.7000000002</v>
      </c>
      <c r="W2549">
        <v>359.46</v>
      </c>
      <c r="X2549">
        <v>150.05000000000001</v>
      </c>
    </row>
    <row r="2550" spans="1:24" x14ac:dyDescent="0.25">
      <c r="A2550" s="148">
        <v>45108</v>
      </c>
      <c r="B2550" s="46">
        <v>182</v>
      </c>
      <c r="C2550" s="149">
        <v>0.23528935185185185</v>
      </c>
      <c r="D2550" s="38" t="s">
        <v>17396</v>
      </c>
      <c r="E2550" s="7" t="s">
        <v>65</v>
      </c>
      <c r="F2550" s="38" t="s">
        <v>8011</v>
      </c>
      <c r="G2550" s="38" t="s">
        <v>1027</v>
      </c>
      <c r="H2550">
        <v>-1.6E-2</v>
      </c>
      <c r="I2550" t="s">
        <v>20327</v>
      </c>
      <c r="J2550" t="s">
        <v>20328</v>
      </c>
      <c r="K2550" t="s">
        <v>20329</v>
      </c>
      <c r="L2550" t="s">
        <v>20318</v>
      </c>
      <c r="O2550" t="s">
        <v>20323</v>
      </c>
      <c r="P2550" t="s">
        <v>20324</v>
      </c>
      <c r="Q2550">
        <v>418729.18</v>
      </c>
      <c r="R2550">
        <v>6205231.1200000001</v>
      </c>
      <c r="S2550" t="s">
        <v>20325</v>
      </c>
      <c r="T2550" t="s">
        <v>20326</v>
      </c>
      <c r="U2550">
        <v>418753.43</v>
      </c>
      <c r="V2550">
        <v>6205228.6900000004</v>
      </c>
      <c r="W2550">
        <v>180.65</v>
      </c>
      <c r="X2550">
        <v>150.05000000000001</v>
      </c>
    </row>
    <row r="2551" spans="1:24" x14ac:dyDescent="0.25">
      <c r="A2551" s="148">
        <v>45108</v>
      </c>
      <c r="B2551" s="46">
        <v>182</v>
      </c>
      <c r="C2551" s="149">
        <v>0.23828703703703705</v>
      </c>
      <c r="D2551" s="38" t="s">
        <v>17396</v>
      </c>
      <c r="E2551" s="7" t="s">
        <v>70</v>
      </c>
      <c r="F2551" s="38" t="s">
        <v>8011</v>
      </c>
      <c r="G2551" s="38" t="s">
        <v>1027</v>
      </c>
      <c r="H2551">
        <v>0.16700000000000001</v>
      </c>
      <c r="I2551" t="s">
        <v>20327</v>
      </c>
      <c r="J2551" t="s">
        <v>20328</v>
      </c>
      <c r="K2551" t="s">
        <v>20329</v>
      </c>
      <c r="L2551" t="s">
        <v>20334</v>
      </c>
      <c r="O2551" t="s">
        <v>20330</v>
      </c>
      <c r="P2551" t="s">
        <v>20331</v>
      </c>
      <c r="Q2551">
        <v>418726.45</v>
      </c>
      <c r="R2551">
        <v>6205046.9800000004</v>
      </c>
      <c r="S2551" t="s">
        <v>20332</v>
      </c>
      <c r="T2551" t="s">
        <v>20333</v>
      </c>
      <c r="U2551">
        <v>418753.3</v>
      </c>
      <c r="V2551">
        <v>6205045.6299999999</v>
      </c>
      <c r="W2551">
        <v>180.41</v>
      </c>
      <c r="X2551">
        <v>150.05000000000001</v>
      </c>
    </row>
    <row r="2552" spans="1:24" x14ac:dyDescent="0.25">
      <c r="A2552" s="148">
        <v>45108</v>
      </c>
      <c r="B2552" s="46">
        <v>182</v>
      </c>
      <c r="C2552" s="149">
        <v>0.24134259259259258</v>
      </c>
      <c r="D2552" s="38" t="s">
        <v>17396</v>
      </c>
      <c r="E2552" s="7" t="s">
        <v>65</v>
      </c>
      <c r="F2552" s="38" t="s">
        <v>8011</v>
      </c>
      <c r="G2552" s="38" t="s">
        <v>1028</v>
      </c>
      <c r="H2552">
        <v>0.16</v>
      </c>
      <c r="I2552" t="s">
        <v>20339</v>
      </c>
      <c r="J2552" t="s">
        <v>20340</v>
      </c>
      <c r="K2552" t="s">
        <v>20341</v>
      </c>
      <c r="L2552" t="s">
        <v>20334</v>
      </c>
      <c r="O2552" t="s">
        <v>20335</v>
      </c>
      <c r="P2552" t="s">
        <v>20336</v>
      </c>
      <c r="Q2552">
        <v>418718.34</v>
      </c>
      <c r="R2552">
        <v>6205042.4800000004</v>
      </c>
      <c r="S2552" t="s">
        <v>20337</v>
      </c>
      <c r="T2552" t="s">
        <v>20338</v>
      </c>
      <c r="U2552">
        <v>418744.27</v>
      </c>
      <c r="V2552">
        <v>6205041</v>
      </c>
      <c r="W2552">
        <v>0.03</v>
      </c>
      <c r="X2552">
        <v>150.05000000000001</v>
      </c>
    </row>
    <row r="2553" spans="1:24" x14ac:dyDescent="0.25">
      <c r="A2553" s="148">
        <v>45108</v>
      </c>
      <c r="B2553" s="46">
        <v>182</v>
      </c>
      <c r="C2553" s="149">
        <v>0.24456018518518519</v>
      </c>
      <c r="D2553" s="38" t="s">
        <v>17396</v>
      </c>
      <c r="E2553" s="7" t="s">
        <v>70</v>
      </c>
      <c r="F2553" s="38" t="s">
        <v>8011</v>
      </c>
      <c r="G2553" s="38" t="s">
        <v>1028</v>
      </c>
      <c r="H2553">
        <v>-1.9E-2</v>
      </c>
      <c r="I2553" t="s">
        <v>20339</v>
      </c>
      <c r="J2553" t="s">
        <v>20340</v>
      </c>
      <c r="K2553" t="s">
        <v>20341</v>
      </c>
      <c r="L2553" t="s">
        <v>20334</v>
      </c>
      <c r="O2553" t="s">
        <v>20342</v>
      </c>
      <c r="P2553" t="s">
        <v>20343</v>
      </c>
      <c r="Q2553">
        <v>418718.19</v>
      </c>
      <c r="R2553">
        <v>6205218.5599999996</v>
      </c>
      <c r="S2553" t="s">
        <v>20344</v>
      </c>
      <c r="T2553" t="s">
        <v>20345</v>
      </c>
      <c r="U2553">
        <v>418744.27</v>
      </c>
      <c r="V2553">
        <v>6205220.71</v>
      </c>
      <c r="W2553">
        <v>0.53</v>
      </c>
      <c r="X2553">
        <v>150.05000000000001</v>
      </c>
    </row>
    <row r="2554" spans="1:24" x14ac:dyDescent="0.25">
      <c r="A2554" s="148">
        <v>45108</v>
      </c>
      <c r="B2554" s="46">
        <v>182</v>
      </c>
      <c r="C2554" s="149">
        <v>0.2480324074074074</v>
      </c>
      <c r="D2554" s="38" t="s">
        <v>17396</v>
      </c>
      <c r="E2554" s="7" t="s">
        <v>65</v>
      </c>
      <c r="F2554" s="38" t="s">
        <v>8011</v>
      </c>
      <c r="G2554" s="38" t="s">
        <v>1029</v>
      </c>
      <c r="H2554">
        <v>-1.4E-2</v>
      </c>
      <c r="I2554" t="s">
        <v>20350</v>
      </c>
      <c r="J2554" t="s">
        <v>20351</v>
      </c>
      <c r="K2554" t="s">
        <v>20352</v>
      </c>
      <c r="L2554" t="s">
        <v>20353</v>
      </c>
      <c r="O2554" t="s">
        <v>20346</v>
      </c>
      <c r="P2554" t="s">
        <v>20347</v>
      </c>
      <c r="Q2554">
        <v>418711.17</v>
      </c>
      <c r="R2554">
        <v>6205228.3799999999</v>
      </c>
      <c r="S2554" t="s">
        <v>20348</v>
      </c>
      <c r="T2554" t="s">
        <v>20349</v>
      </c>
      <c r="U2554">
        <v>418735.24</v>
      </c>
      <c r="V2554">
        <v>6205226.7300000004</v>
      </c>
      <c r="W2554">
        <v>180.43</v>
      </c>
      <c r="X2554">
        <v>150.05000000000001</v>
      </c>
    </row>
    <row r="2555" spans="1:24" x14ac:dyDescent="0.25">
      <c r="A2555" s="148">
        <v>45108</v>
      </c>
      <c r="B2555" s="46">
        <v>182</v>
      </c>
      <c r="C2555" s="149">
        <v>0.2509837962962963</v>
      </c>
      <c r="D2555" s="38" t="s">
        <v>17396</v>
      </c>
      <c r="E2555" s="7" t="s">
        <v>70</v>
      </c>
      <c r="F2555" s="38" t="s">
        <v>8011</v>
      </c>
      <c r="G2555" s="38" t="s">
        <v>1029</v>
      </c>
      <c r="H2555">
        <v>0.16500000000000001</v>
      </c>
      <c r="I2555" t="s">
        <v>20350</v>
      </c>
      <c r="J2555" t="s">
        <v>20351</v>
      </c>
      <c r="K2555" t="s">
        <v>20352</v>
      </c>
      <c r="L2555" t="s">
        <v>20353</v>
      </c>
      <c r="O2555" t="s">
        <v>20354</v>
      </c>
      <c r="P2555" t="s">
        <v>20355</v>
      </c>
      <c r="Q2555">
        <v>418709.41</v>
      </c>
      <c r="R2555">
        <v>6205046.3499999996</v>
      </c>
      <c r="S2555" t="s">
        <v>20356</v>
      </c>
      <c r="T2555" t="s">
        <v>20357</v>
      </c>
      <c r="U2555">
        <v>418735.29</v>
      </c>
      <c r="V2555">
        <v>6205047.0700000003</v>
      </c>
      <c r="W2555">
        <v>180.26</v>
      </c>
      <c r="X2555">
        <v>150.05000000000001</v>
      </c>
    </row>
    <row r="2556" spans="1:24" x14ac:dyDescent="0.25">
      <c r="A2556" s="148">
        <v>45108</v>
      </c>
      <c r="B2556" s="46">
        <v>182</v>
      </c>
      <c r="C2556" s="149">
        <v>0.25423611111111111</v>
      </c>
      <c r="D2556" s="38" t="s">
        <v>17396</v>
      </c>
      <c r="E2556" s="7" t="s">
        <v>65</v>
      </c>
      <c r="F2556" s="38" t="s">
        <v>8011</v>
      </c>
      <c r="G2556" s="38" t="s">
        <v>1030</v>
      </c>
      <c r="H2556">
        <v>0.159</v>
      </c>
      <c r="I2556" t="s">
        <v>20362</v>
      </c>
      <c r="J2556" t="s">
        <v>20363</v>
      </c>
      <c r="K2556" t="s">
        <v>20364</v>
      </c>
      <c r="L2556" t="s">
        <v>20353</v>
      </c>
      <c r="O2556" t="s">
        <v>20358</v>
      </c>
      <c r="P2556" t="s">
        <v>20359</v>
      </c>
      <c r="Q2556">
        <v>418700.59</v>
      </c>
      <c r="R2556">
        <v>6205048.7599999998</v>
      </c>
      <c r="S2556" t="s">
        <v>20360</v>
      </c>
      <c r="T2556" t="s">
        <v>20361</v>
      </c>
      <c r="U2556">
        <v>418726.26</v>
      </c>
      <c r="V2556">
        <v>6205041.9900000002</v>
      </c>
      <c r="W2556">
        <v>7.0000000000000007E-2</v>
      </c>
      <c r="X2556">
        <v>150.05000000000001</v>
      </c>
    </row>
    <row r="2557" spans="1:24" x14ac:dyDescent="0.25">
      <c r="A2557" s="148">
        <v>45108</v>
      </c>
      <c r="B2557" s="46">
        <v>182</v>
      </c>
      <c r="C2557" s="149">
        <v>0.25729166666666664</v>
      </c>
      <c r="D2557" s="38" t="s">
        <v>17396</v>
      </c>
      <c r="E2557" s="7" t="s">
        <v>70</v>
      </c>
      <c r="F2557" s="38" t="s">
        <v>8011</v>
      </c>
      <c r="G2557" s="38" t="s">
        <v>1030</v>
      </c>
      <c r="H2557">
        <v>-0.02</v>
      </c>
      <c r="I2557" t="s">
        <v>20362</v>
      </c>
      <c r="J2557" t="s">
        <v>20363</v>
      </c>
      <c r="K2557" t="s">
        <v>20364</v>
      </c>
      <c r="L2557" t="s">
        <v>20353</v>
      </c>
      <c r="O2557" t="s">
        <v>20365</v>
      </c>
      <c r="P2557" t="s">
        <v>20366</v>
      </c>
      <c r="Q2557">
        <v>418699.7</v>
      </c>
      <c r="R2557">
        <v>6205225.2599999998</v>
      </c>
      <c r="S2557" t="s">
        <v>20367</v>
      </c>
      <c r="T2557" t="s">
        <v>20368</v>
      </c>
      <c r="U2557">
        <v>418726.18</v>
      </c>
      <c r="V2557">
        <v>6205221.3399999999</v>
      </c>
      <c r="W2557">
        <v>359.93</v>
      </c>
      <c r="X2557">
        <v>150.05000000000001</v>
      </c>
    </row>
    <row r="2558" spans="1:24" x14ac:dyDescent="0.25">
      <c r="A2558" s="148">
        <v>45108</v>
      </c>
      <c r="B2558" s="46">
        <v>182</v>
      </c>
      <c r="C2558" s="149">
        <v>0.27572916666666664</v>
      </c>
      <c r="D2558" s="38" t="s">
        <v>17396</v>
      </c>
      <c r="E2558" s="7" t="s">
        <v>65</v>
      </c>
      <c r="F2558" s="38" t="s">
        <v>8011</v>
      </c>
      <c r="G2558" s="38" t="s">
        <v>1032</v>
      </c>
      <c r="H2558">
        <v>-1.4999999999999999E-2</v>
      </c>
      <c r="I2558" t="s">
        <v>20373</v>
      </c>
      <c r="J2558" t="s">
        <v>20374</v>
      </c>
      <c r="K2558" t="s">
        <v>20375</v>
      </c>
      <c r="L2558" t="s">
        <v>20376</v>
      </c>
      <c r="O2558" t="s">
        <v>20369</v>
      </c>
      <c r="P2558" t="s">
        <v>20370</v>
      </c>
      <c r="Q2558">
        <v>418764.7</v>
      </c>
      <c r="R2558">
        <v>6205227.1399999997</v>
      </c>
      <c r="S2558" t="s">
        <v>20371</v>
      </c>
      <c r="T2558" t="s">
        <v>20372</v>
      </c>
      <c r="U2558">
        <v>418789.34</v>
      </c>
      <c r="V2558">
        <v>6205227.6699999999</v>
      </c>
      <c r="W2558">
        <v>181.13</v>
      </c>
      <c r="X2558">
        <v>150.05000000000001</v>
      </c>
    </row>
    <row r="2559" spans="1:24" x14ac:dyDescent="0.25">
      <c r="A2559" s="148">
        <v>45108</v>
      </c>
      <c r="B2559" s="46">
        <v>182</v>
      </c>
      <c r="C2559" s="149">
        <v>0.27936342592592595</v>
      </c>
      <c r="D2559" s="38" t="s">
        <v>17396</v>
      </c>
      <c r="E2559" s="7" t="s">
        <v>70</v>
      </c>
      <c r="F2559" s="38" t="s">
        <v>8011</v>
      </c>
      <c r="G2559" s="38" t="s">
        <v>1032</v>
      </c>
      <c r="H2559">
        <v>0.17599999999999999</v>
      </c>
      <c r="I2559" t="s">
        <v>20373</v>
      </c>
      <c r="J2559" t="s">
        <v>20374</v>
      </c>
      <c r="K2559" t="s">
        <v>20375</v>
      </c>
      <c r="L2559" t="s">
        <v>20381</v>
      </c>
      <c r="O2559" t="s">
        <v>20377</v>
      </c>
      <c r="P2559" t="s">
        <v>20378</v>
      </c>
      <c r="Q2559">
        <v>418763.66</v>
      </c>
      <c r="R2559">
        <v>6205040.6600000001</v>
      </c>
      <c r="S2559" t="s">
        <v>20379</v>
      </c>
      <c r="T2559" t="s">
        <v>20380</v>
      </c>
      <c r="U2559">
        <v>418789.2</v>
      </c>
      <c r="V2559">
        <v>6205036.0700000003</v>
      </c>
      <c r="W2559">
        <v>179.72</v>
      </c>
      <c r="X2559">
        <v>150.05000000000001</v>
      </c>
    </row>
    <row r="2560" spans="1:24" x14ac:dyDescent="0.25">
      <c r="A2560" s="148">
        <v>45108</v>
      </c>
      <c r="B2560" s="46">
        <v>182</v>
      </c>
      <c r="C2560" s="149">
        <v>0.28319444444444447</v>
      </c>
      <c r="D2560" s="38" t="s">
        <v>17396</v>
      </c>
      <c r="E2560" s="7" t="s">
        <v>65</v>
      </c>
      <c r="F2560" s="38" t="s">
        <v>8011</v>
      </c>
      <c r="G2560" s="38" t="s">
        <v>1031</v>
      </c>
      <c r="H2560">
        <v>0.16300000000000001</v>
      </c>
      <c r="I2560" t="s">
        <v>20386</v>
      </c>
      <c r="J2560" t="s">
        <v>20387</v>
      </c>
      <c r="K2560" t="s">
        <v>20388</v>
      </c>
      <c r="L2560" t="s">
        <v>20381</v>
      </c>
      <c r="O2560" t="s">
        <v>20382</v>
      </c>
      <c r="P2560" t="s">
        <v>20383</v>
      </c>
      <c r="Q2560">
        <v>418754.32</v>
      </c>
      <c r="R2560">
        <v>6205041.8300000001</v>
      </c>
      <c r="S2560" t="s">
        <v>20384</v>
      </c>
      <c r="T2560" t="s">
        <v>20385</v>
      </c>
      <c r="U2560">
        <v>418780.24</v>
      </c>
      <c r="V2560">
        <v>6205038.3099999996</v>
      </c>
      <c r="W2560">
        <v>359.46</v>
      </c>
      <c r="X2560">
        <v>150.05000000000001</v>
      </c>
    </row>
    <row r="2561" spans="1:24" x14ac:dyDescent="0.25">
      <c r="A2561" s="148">
        <v>45108</v>
      </c>
      <c r="B2561" s="46">
        <v>182</v>
      </c>
      <c r="C2561" s="149">
        <v>0.28663194444444445</v>
      </c>
      <c r="D2561" s="38" t="s">
        <v>17396</v>
      </c>
      <c r="E2561" s="7" t="s">
        <v>70</v>
      </c>
      <c r="F2561" s="38" t="s">
        <v>8011</v>
      </c>
      <c r="G2561" s="38" t="s">
        <v>1031</v>
      </c>
      <c r="H2561">
        <v>-2.1000000000000001E-2</v>
      </c>
      <c r="I2561" t="s">
        <v>20386</v>
      </c>
      <c r="J2561" t="s">
        <v>20387</v>
      </c>
      <c r="K2561" t="s">
        <v>20388</v>
      </c>
      <c r="L2561" t="s">
        <v>20381</v>
      </c>
      <c r="O2561" t="s">
        <v>20389</v>
      </c>
      <c r="P2561" t="s">
        <v>20390</v>
      </c>
      <c r="Q2561">
        <v>418753.56</v>
      </c>
      <c r="R2561">
        <v>6205225.0800000001</v>
      </c>
      <c r="S2561" t="s">
        <v>20391</v>
      </c>
      <c r="T2561" t="s">
        <v>20392</v>
      </c>
      <c r="U2561">
        <v>418780.24</v>
      </c>
      <c r="V2561">
        <v>6205222.4500000002</v>
      </c>
      <c r="W2561">
        <v>359.82</v>
      </c>
      <c r="X2561">
        <v>150.05000000000001</v>
      </c>
    </row>
    <row r="2562" spans="1:24" x14ac:dyDescent="0.25">
      <c r="A2562" s="148">
        <v>45108</v>
      </c>
      <c r="B2562" s="46">
        <v>182</v>
      </c>
      <c r="C2562" s="149">
        <v>0.28957175925925926</v>
      </c>
      <c r="D2562" s="38" t="s">
        <v>17396</v>
      </c>
      <c r="E2562" s="7" t="s">
        <v>20397</v>
      </c>
      <c r="F2562" s="38" t="s">
        <v>8011</v>
      </c>
      <c r="G2562" s="38" t="s">
        <v>1031</v>
      </c>
      <c r="H2562">
        <v>-3.3000000000000002E-2</v>
      </c>
      <c r="O2562" t="s">
        <v>20393</v>
      </c>
      <c r="P2562" t="s">
        <v>20394</v>
      </c>
      <c r="Q2562">
        <v>418753.76</v>
      </c>
      <c r="R2562">
        <v>6205244.0899999999</v>
      </c>
      <c r="S2562" t="s">
        <v>20395</v>
      </c>
      <c r="T2562" t="s">
        <v>20396</v>
      </c>
      <c r="U2562">
        <v>418771.01</v>
      </c>
      <c r="V2562">
        <v>6205239.8899999997</v>
      </c>
      <c r="W2562">
        <v>85.13</v>
      </c>
      <c r="X2562">
        <v>150.05000000000001</v>
      </c>
    </row>
    <row r="2563" spans="1:24" x14ac:dyDescent="0.25">
      <c r="A2563" s="148">
        <v>45108</v>
      </c>
      <c r="B2563" s="46">
        <v>182</v>
      </c>
      <c r="C2563" s="149">
        <v>0.30998842592592596</v>
      </c>
      <c r="D2563" s="38" t="s">
        <v>17396</v>
      </c>
      <c r="E2563" s="7" t="s">
        <v>6102</v>
      </c>
      <c r="F2563" s="38" t="s">
        <v>8011</v>
      </c>
      <c r="G2563" s="38" t="s">
        <v>940</v>
      </c>
      <c r="H2563">
        <v>-3.5000000000000003E-2</v>
      </c>
      <c r="O2563" t="s">
        <v>20399</v>
      </c>
      <c r="P2563" t="s">
        <v>20400</v>
      </c>
      <c r="Q2563">
        <v>419382.38</v>
      </c>
      <c r="R2563">
        <v>6204415.8300000001</v>
      </c>
      <c r="S2563" t="s">
        <v>20401</v>
      </c>
      <c r="T2563" t="s">
        <v>20402</v>
      </c>
      <c r="U2563">
        <v>419403.54</v>
      </c>
      <c r="V2563">
        <v>6204401.2800000003</v>
      </c>
      <c r="W2563">
        <v>173.64</v>
      </c>
      <c r="X2563">
        <v>200.06</v>
      </c>
    </row>
    <row r="2564" spans="1:24" x14ac:dyDescent="0.25">
      <c r="A2564" s="148">
        <v>45108</v>
      </c>
      <c r="B2564" s="46">
        <v>182</v>
      </c>
      <c r="C2564" s="149">
        <v>0.31276620370370373</v>
      </c>
      <c r="D2564" s="38" t="s">
        <v>17396</v>
      </c>
      <c r="E2564" s="7" t="s">
        <v>65</v>
      </c>
      <c r="F2564" s="38" t="s">
        <v>8011</v>
      </c>
      <c r="G2564" s="38" t="s">
        <v>940</v>
      </c>
      <c r="H2564">
        <v>-8.9999999999999993E-3</v>
      </c>
      <c r="I2564" t="s">
        <v>20407</v>
      </c>
      <c r="J2564" t="s">
        <v>20408</v>
      </c>
      <c r="K2564" t="s">
        <v>20409</v>
      </c>
      <c r="L2564" t="s">
        <v>20410</v>
      </c>
      <c r="O2564" t="s">
        <v>20403</v>
      </c>
      <c r="P2564" t="s">
        <v>20404</v>
      </c>
      <c r="Q2564">
        <v>419380.47</v>
      </c>
      <c r="R2564">
        <v>6204374.0999999996</v>
      </c>
      <c r="S2564" t="s">
        <v>20405</v>
      </c>
      <c r="T2564" t="s">
        <v>20406</v>
      </c>
      <c r="U2564">
        <v>419404.22</v>
      </c>
      <c r="V2564">
        <v>6204374.5999999996</v>
      </c>
      <c r="W2564">
        <v>181.68</v>
      </c>
      <c r="X2564">
        <v>200.06</v>
      </c>
    </row>
    <row r="2565" spans="1:24" x14ac:dyDescent="0.25">
      <c r="A2565" s="148">
        <v>45108</v>
      </c>
      <c r="B2565" s="46">
        <v>182</v>
      </c>
      <c r="C2565" s="149">
        <v>0.31678240740740743</v>
      </c>
      <c r="D2565" s="38" t="s">
        <v>17396</v>
      </c>
      <c r="E2565" s="7" t="s">
        <v>70</v>
      </c>
      <c r="F2565" s="38" t="s">
        <v>8011</v>
      </c>
      <c r="G2565" s="38" t="s">
        <v>940</v>
      </c>
      <c r="H2565">
        <v>0.22500000000000001</v>
      </c>
      <c r="I2565" t="s">
        <v>20407</v>
      </c>
      <c r="J2565" t="s">
        <v>20408</v>
      </c>
      <c r="K2565" t="s">
        <v>20409</v>
      </c>
      <c r="L2565" t="s">
        <v>20410</v>
      </c>
      <c r="O2565" t="s">
        <v>20411</v>
      </c>
      <c r="P2565" t="s">
        <v>20412</v>
      </c>
      <c r="Q2565">
        <v>419380.04</v>
      </c>
      <c r="R2565">
        <v>6204143.6699999999</v>
      </c>
      <c r="S2565" t="s">
        <v>20413</v>
      </c>
      <c r="T2565" t="s">
        <v>20414</v>
      </c>
      <c r="U2565">
        <v>419404.21</v>
      </c>
      <c r="V2565">
        <v>6204141.4100000001</v>
      </c>
      <c r="W2565">
        <v>180.66</v>
      </c>
      <c r="X2565">
        <v>200.06</v>
      </c>
    </row>
    <row r="2566" spans="1:24" x14ac:dyDescent="0.25">
      <c r="A2566" s="148">
        <v>45108</v>
      </c>
      <c r="B2566" s="46">
        <v>182</v>
      </c>
      <c r="C2566" s="149">
        <v>0.32032407407407409</v>
      </c>
      <c r="D2566" s="38" t="s">
        <v>17396</v>
      </c>
      <c r="E2566" s="7" t="s">
        <v>65</v>
      </c>
      <c r="F2566" s="38" t="s">
        <v>8011</v>
      </c>
      <c r="G2566" s="38" t="s">
        <v>939</v>
      </c>
      <c r="H2566">
        <v>0.219</v>
      </c>
      <c r="I2566" t="s">
        <v>20419</v>
      </c>
      <c r="J2566" t="s">
        <v>20420</v>
      </c>
      <c r="K2566" t="s">
        <v>20421</v>
      </c>
      <c r="L2566" t="s">
        <v>20410</v>
      </c>
      <c r="O2566" t="s">
        <v>20415</v>
      </c>
      <c r="P2566" t="s">
        <v>20416</v>
      </c>
      <c r="Q2566">
        <v>419388.22</v>
      </c>
      <c r="R2566">
        <v>6204139.3099999996</v>
      </c>
      <c r="S2566" t="s">
        <v>20417</v>
      </c>
      <c r="T2566" t="s">
        <v>20418</v>
      </c>
      <c r="U2566">
        <v>419413.28</v>
      </c>
      <c r="V2566">
        <v>6204135.7000000002</v>
      </c>
      <c r="W2566">
        <v>359.98</v>
      </c>
      <c r="X2566">
        <v>200.06</v>
      </c>
    </row>
    <row r="2567" spans="1:24" x14ac:dyDescent="0.25">
      <c r="A2567" s="148">
        <v>45108</v>
      </c>
      <c r="B2567" s="46">
        <v>182</v>
      </c>
      <c r="C2567" s="149">
        <v>0.3246412037037037</v>
      </c>
      <c r="D2567" s="38" t="s">
        <v>17396</v>
      </c>
      <c r="E2567" s="7" t="s">
        <v>70</v>
      </c>
      <c r="F2567" s="38" t="s">
        <v>8011</v>
      </c>
      <c r="G2567" s="38" t="s">
        <v>939</v>
      </c>
      <c r="H2567">
        <v>-2.8000000000000001E-2</v>
      </c>
      <c r="I2567" t="s">
        <v>20419</v>
      </c>
      <c r="J2567" t="s">
        <v>20420</v>
      </c>
      <c r="K2567" t="s">
        <v>20421</v>
      </c>
      <c r="L2567" t="s">
        <v>20426</v>
      </c>
      <c r="O2567" t="s">
        <v>20422</v>
      </c>
      <c r="P2567" t="s">
        <v>20423</v>
      </c>
      <c r="Q2567">
        <v>419386.92</v>
      </c>
      <c r="R2567">
        <v>6204388.4100000001</v>
      </c>
      <c r="S2567" t="s">
        <v>20424</v>
      </c>
      <c r="T2567" t="s">
        <v>20425</v>
      </c>
      <c r="U2567">
        <v>419413.22</v>
      </c>
      <c r="V2567">
        <v>6204382.9699999997</v>
      </c>
      <c r="W2567">
        <v>359.07</v>
      </c>
      <c r="X2567">
        <v>200.06</v>
      </c>
    </row>
    <row r="2568" spans="1:24" x14ac:dyDescent="0.25">
      <c r="A2568" s="148">
        <v>45108</v>
      </c>
      <c r="B2568" s="46">
        <v>182</v>
      </c>
      <c r="C2568" s="149">
        <v>0.32827546296296295</v>
      </c>
      <c r="D2568" s="38" t="s">
        <v>17396</v>
      </c>
      <c r="E2568" s="7" t="s">
        <v>65</v>
      </c>
      <c r="F2568" s="38" t="s">
        <v>8011</v>
      </c>
      <c r="G2568" s="38" t="s">
        <v>938</v>
      </c>
      <c r="H2568">
        <v>-2.3E-2</v>
      </c>
      <c r="I2568" t="s">
        <v>20431</v>
      </c>
      <c r="J2568" t="s">
        <v>20432</v>
      </c>
      <c r="K2568" t="s">
        <v>20433</v>
      </c>
      <c r="L2568" t="s">
        <v>20426</v>
      </c>
      <c r="O2568" t="s">
        <v>20427</v>
      </c>
      <c r="P2568" t="s">
        <v>20428</v>
      </c>
      <c r="Q2568">
        <v>419397.34</v>
      </c>
      <c r="R2568">
        <v>6204399.4800000004</v>
      </c>
      <c r="S2568" t="s">
        <v>20429</v>
      </c>
      <c r="T2568" t="s">
        <v>20430</v>
      </c>
      <c r="U2568">
        <v>419422.34</v>
      </c>
      <c r="V2568">
        <v>6204388.9299999997</v>
      </c>
      <c r="W2568">
        <v>181.5</v>
      </c>
      <c r="X2568">
        <v>200.06</v>
      </c>
    </row>
    <row r="2569" spans="1:24" x14ac:dyDescent="0.25">
      <c r="A2569" s="148">
        <v>45108</v>
      </c>
      <c r="B2569" s="46">
        <v>182</v>
      </c>
      <c r="C2569" s="149">
        <v>0.33258101851851851</v>
      </c>
      <c r="D2569" s="38" t="s">
        <v>17396</v>
      </c>
      <c r="E2569" s="7" t="s">
        <v>70</v>
      </c>
      <c r="F2569" s="38" t="s">
        <v>8011</v>
      </c>
      <c r="G2569" s="38" t="s">
        <v>938</v>
      </c>
      <c r="H2569">
        <v>0.22500000000000001</v>
      </c>
      <c r="I2569" t="s">
        <v>20431</v>
      </c>
      <c r="J2569" t="s">
        <v>20432</v>
      </c>
      <c r="K2569" t="s">
        <v>20433</v>
      </c>
      <c r="L2569" t="s">
        <v>20438</v>
      </c>
      <c r="O2569" t="s">
        <v>20434</v>
      </c>
      <c r="P2569" t="s">
        <v>20435</v>
      </c>
      <c r="Q2569">
        <v>419396.67</v>
      </c>
      <c r="R2569">
        <v>6204153.3799999999</v>
      </c>
      <c r="S2569" t="s">
        <v>20436</v>
      </c>
      <c r="T2569" t="s">
        <v>20437</v>
      </c>
      <c r="U2569">
        <v>419422.28</v>
      </c>
      <c r="V2569">
        <v>6204141.2599999998</v>
      </c>
      <c r="W2569">
        <v>180.14</v>
      </c>
      <c r="X2569">
        <v>200.06</v>
      </c>
    </row>
    <row r="2570" spans="1:24" x14ac:dyDescent="0.25">
      <c r="A2570" s="148">
        <v>45108</v>
      </c>
      <c r="B2570" s="46">
        <v>182</v>
      </c>
      <c r="C2570" s="149">
        <v>0.33582175925925922</v>
      </c>
      <c r="D2570" s="38" t="s">
        <v>17396</v>
      </c>
      <c r="E2570" s="7" t="s">
        <v>65</v>
      </c>
      <c r="F2570" s="38" t="s">
        <v>8011</v>
      </c>
      <c r="G2570" s="38" t="s">
        <v>937</v>
      </c>
      <c r="H2570">
        <v>0.219</v>
      </c>
      <c r="I2570" t="s">
        <v>20443</v>
      </c>
      <c r="J2570" t="s">
        <v>20444</v>
      </c>
      <c r="K2570" t="s">
        <v>20445</v>
      </c>
      <c r="L2570" t="s">
        <v>20438</v>
      </c>
      <c r="O2570" t="s">
        <v>20439</v>
      </c>
      <c r="P2570" t="s">
        <v>20440</v>
      </c>
      <c r="Q2570">
        <v>419406.13</v>
      </c>
      <c r="R2570">
        <v>6204139.5800000001</v>
      </c>
      <c r="S2570" t="s">
        <v>20441</v>
      </c>
      <c r="T2570" t="s">
        <v>20442</v>
      </c>
      <c r="U2570">
        <v>419431.01</v>
      </c>
      <c r="V2570">
        <v>6204135.6799999997</v>
      </c>
      <c r="W2570">
        <v>1.42</v>
      </c>
      <c r="X2570">
        <v>200.06</v>
      </c>
    </row>
    <row r="2571" spans="1:24" x14ac:dyDescent="0.25">
      <c r="A2571" s="148">
        <v>45108</v>
      </c>
      <c r="B2571" s="46">
        <v>182</v>
      </c>
      <c r="C2571" s="149">
        <v>0.34</v>
      </c>
      <c r="D2571" s="38" t="s">
        <v>17396</v>
      </c>
      <c r="E2571" s="7" t="s">
        <v>70</v>
      </c>
      <c r="F2571" s="38" t="s">
        <v>8011</v>
      </c>
      <c r="G2571" s="38" t="s">
        <v>937</v>
      </c>
      <c r="H2571">
        <v>-2.3E-2</v>
      </c>
      <c r="I2571" t="s">
        <v>20443</v>
      </c>
      <c r="J2571" t="s">
        <v>20444</v>
      </c>
      <c r="K2571" t="s">
        <v>20445</v>
      </c>
      <c r="L2571" t="s">
        <v>20438</v>
      </c>
      <c r="O2571" t="s">
        <v>20446</v>
      </c>
      <c r="P2571" t="s">
        <v>20447</v>
      </c>
      <c r="Q2571">
        <v>419404.62</v>
      </c>
      <c r="R2571">
        <v>6204378.7199999997</v>
      </c>
      <c r="S2571" t="s">
        <v>20448</v>
      </c>
      <c r="T2571" t="s">
        <v>20449</v>
      </c>
      <c r="U2571">
        <v>419431.2</v>
      </c>
      <c r="V2571">
        <v>6204378.2400000002</v>
      </c>
      <c r="W2571">
        <v>359.73</v>
      </c>
      <c r="X2571">
        <v>200.06</v>
      </c>
    </row>
    <row r="2572" spans="1:24" x14ac:dyDescent="0.25">
      <c r="A2572" s="148">
        <v>45108</v>
      </c>
      <c r="B2572" s="46">
        <v>182</v>
      </c>
      <c r="C2572" s="149">
        <v>0.34662037037037036</v>
      </c>
      <c r="D2572" s="38" t="s">
        <v>17396</v>
      </c>
      <c r="E2572" s="7" t="s">
        <v>65</v>
      </c>
      <c r="F2572" s="38" t="s">
        <v>8011</v>
      </c>
      <c r="G2572" s="38" t="s">
        <v>936</v>
      </c>
      <c r="H2572">
        <v>-1.7999999999999999E-2</v>
      </c>
      <c r="I2572" t="s">
        <v>20454</v>
      </c>
      <c r="J2572" t="s">
        <v>20455</v>
      </c>
      <c r="K2572" t="s">
        <v>20456</v>
      </c>
      <c r="L2572" t="s">
        <v>20457</v>
      </c>
      <c r="O2572" t="s">
        <v>20450</v>
      </c>
      <c r="P2572" t="s">
        <v>20451</v>
      </c>
      <c r="Q2572">
        <v>419418.18</v>
      </c>
      <c r="R2572">
        <v>6204396.4100000001</v>
      </c>
      <c r="S2572" t="s">
        <v>20452</v>
      </c>
      <c r="T2572" t="s">
        <v>20453</v>
      </c>
      <c r="U2572">
        <v>419440.27</v>
      </c>
      <c r="V2572">
        <v>6204383.96</v>
      </c>
      <c r="W2572">
        <v>180.4</v>
      </c>
      <c r="X2572">
        <v>200.06</v>
      </c>
    </row>
    <row r="2573" spans="1:24" x14ac:dyDescent="0.25">
      <c r="A2573" s="148">
        <v>45108</v>
      </c>
      <c r="B2573" s="46">
        <v>182</v>
      </c>
      <c r="C2573" s="149">
        <v>0.35083333333333333</v>
      </c>
      <c r="D2573" s="38" t="s">
        <v>17396</v>
      </c>
      <c r="E2573" s="7" t="s">
        <v>70</v>
      </c>
      <c r="F2573" s="38" t="s">
        <v>8011</v>
      </c>
      <c r="G2573" s="38" t="s">
        <v>936</v>
      </c>
      <c r="H2573">
        <v>0.22500000000000001</v>
      </c>
      <c r="I2573" t="s">
        <v>20454</v>
      </c>
      <c r="J2573" t="s">
        <v>20455</v>
      </c>
      <c r="K2573" t="s">
        <v>20456</v>
      </c>
      <c r="L2573" t="s">
        <v>20457</v>
      </c>
      <c r="O2573" t="s">
        <v>20458</v>
      </c>
      <c r="P2573" t="s">
        <v>20459</v>
      </c>
      <c r="Q2573">
        <v>419415.61</v>
      </c>
      <c r="R2573">
        <v>6204154.0800000001</v>
      </c>
      <c r="S2573" t="s">
        <v>20460</v>
      </c>
      <c r="T2573" t="s">
        <v>20461</v>
      </c>
      <c r="U2573">
        <v>419440.14</v>
      </c>
      <c r="V2573">
        <v>6204141.0599999996</v>
      </c>
      <c r="W2573">
        <v>179.66</v>
      </c>
      <c r="X2573">
        <v>200.06</v>
      </c>
    </row>
    <row r="2574" spans="1:24" x14ac:dyDescent="0.25">
      <c r="A2574" s="148">
        <v>45108</v>
      </c>
      <c r="B2574" s="46">
        <v>182</v>
      </c>
      <c r="C2574" s="149">
        <v>0.35667824074074073</v>
      </c>
      <c r="D2574" s="38" t="s">
        <v>17396</v>
      </c>
      <c r="E2574" s="7" t="s">
        <v>65</v>
      </c>
      <c r="F2574" s="38" t="s">
        <v>8011</v>
      </c>
      <c r="G2574" s="38" t="s">
        <v>935</v>
      </c>
      <c r="H2574">
        <v>0.22</v>
      </c>
      <c r="I2574" t="s">
        <v>20466</v>
      </c>
      <c r="J2574" t="s">
        <v>20467</v>
      </c>
      <c r="K2574" t="s">
        <v>20468</v>
      </c>
      <c r="L2574" t="s">
        <v>20469</v>
      </c>
      <c r="O2574" t="s">
        <v>20462</v>
      </c>
      <c r="P2574" t="s">
        <v>20463</v>
      </c>
      <c r="Q2574">
        <v>419424.64</v>
      </c>
      <c r="R2574">
        <v>6204143.0499999998</v>
      </c>
      <c r="S2574" t="s">
        <v>20464</v>
      </c>
      <c r="T2574" t="s">
        <v>20465</v>
      </c>
      <c r="U2574">
        <v>419449.18</v>
      </c>
      <c r="V2574">
        <v>6204135.1699999999</v>
      </c>
      <c r="W2574">
        <v>359.87</v>
      </c>
      <c r="X2574">
        <v>200.06</v>
      </c>
    </row>
    <row r="2575" spans="1:24" x14ac:dyDescent="0.25">
      <c r="A2575" s="148">
        <v>45108</v>
      </c>
      <c r="B2575" s="46">
        <v>182</v>
      </c>
      <c r="C2575" s="149">
        <v>0.36090277777777779</v>
      </c>
      <c r="D2575" s="38" t="s">
        <v>17396</v>
      </c>
      <c r="E2575" s="7" t="s">
        <v>70</v>
      </c>
      <c r="F2575" s="38" t="s">
        <v>8011</v>
      </c>
      <c r="G2575" s="38" t="s">
        <v>935</v>
      </c>
      <c r="H2575">
        <v>-2.4E-2</v>
      </c>
      <c r="I2575" t="s">
        <v>20466</v>
      </c>
      <c r="J2575" t="s">
        <v>20467</v>
      </c>
      <c r="K2575" t="s">
        <v>20468</v>
      </c>
      <c r="L2575" t="s">
        <v>20469</v>
      </c>
      <c r="O2575" t="s">
        <v>20470</v>
      </c>
      <c r="P2575" t="s">
        <v>20471</v>
      </c>
      <c r="Q2575">
        <v>419423.95</v>
      </c>
      <c r="R2575">
        <v>6204386.4900000002</v>
      </c>
      <c r="S2575" t="s">
        <v>20472</v>
      </c>
      <c r="T2575" t="s">
        <v>20473</v>
      </c>
      <c r="U2575">
        <v>419449.25</v>
      </c>
      <c r="V2575">
        <v>6204378.5899999999</v>
      </c>
      <c r="W2575">
        <v>359.2</v>
      </c>
      <c r="X2575">
        <v>200.06</v>
      </c>
    </row>
    <row r="2576" spans="1:24" x14ac:dyDescent="0.25">
      <c r="A2576" s="148">
        <v>45108</v>
      </c>
      <c r="B2576" s="46">
        <v>182</v>
      </c>
      <c r="C2576" s="149">
        <v>0.36523148148148149</v>
      </c>
      <c r="D2576" s="38" t="s">
        <v>17396</v>
      </c>
      <c r="E2576" s="7" t="s">
        <v>65</v>
      </c>
      <c r="F2576" s="38" t="s">
        <v>8011</v>
      </c>
      <c r="G2576" s="38" t="s">
        <v>934</v>
      </c>
      <c r="H2576">
        <v>-1.9E-2</v>
      </c>
      <c r="I2576" t="s">
        <v>20478</v>
      </c>
      <c r="J2576" t="s">
        <v>20479</v>
      </c>
      <c r="K2576" t="s">
        <v>20480</v>
      </c>
      <c r="L2576" t="s">
        <v>20481</v>
      </c>
      <c r="O2576" t="s">
        <v>20474</v>
      </c>
      <c r="P2576" t="s">
        <v>20475</v>
      </c>
      <c r="Q2576">
        <v>419435.95</v>
      </c>
      <c r="R2576">
        <v>6204399.5099999998</v>
      </c>
      <c r="S2576" t="s">
        <v>20476</v>
      </c>
      <c r="T2576" t="s">
        <v>20477</v>
      </c>
      <c r="U2576">
        <v>419458.28</v>
      </c>
      <c r="V2576">
        <v>6204385.4400000004</v>
      </c>
      <c r="W2576">
        <v>180.65</v>
      </c>
      <c r="X2576">
        <v>200.06</v>
      </c>
    </row>
    <row r="2577" spans="1:24" x14ac:dyDescent="0.25">
      <c r="A2577" s="148">
        <v>45108</v>
      </c>
      <c r="B2577" s="46">
        <v>182</v>
      </c>
      <c r="C2577" s="149">
        <v>0.36952546296296296</v>
      </c>
      <c r="D2577" s="38" t="s">
        <v>17396</v>
      </c>
      <c r="E2577" s="7" t="s">
        <v>70</v>
      </c>
      <c r="F2577" s="38" t="s">
        <v>8011</v>
      </c>
      <c r="G2577" s="38" t="s">
        <v>934</v>
      </c>
      <c r="H2577">
        <v>0.22600000000000001</v>
      </c>
      <c r="I2577" t="s">
        <v>20478</v>
      </c>
      <c r="J2577" t="s">
        <v>20479</v>
      </c>
      <c r="K2577" t="s">
        <v>20480</v>
      </c>
      <c r="L2577" t="s">
        <v>20481</v>
      </c>
      <c r="O2577" t="s">
        <v>20482</v>
      </c>
      <c r="P2577" t="s">
        <v>20483</v>
      </c>
      <c r="Q2577">
        <v>419432.82</v>
      </c>
      <c r="R2577">
        <v>6204152.3399999999</v>
      </c>
      <c r="S2577" t="s">
        <v>20484</v>
      </c>
      <c r="T2577" t="s">
        <v>20485</v>
      </c>
      <c r="U2577">
        <v>419458.23</v>
      </c>
      <c r="V2577">
        <v>6204140.0999999996</v>
      </c>
      <c r="W2577">
        <v>179.99</v>
      </c>
      <c r="X2577">
        <v>200.06</v>
      </c>
    </row>
    <row r="2578" spans="1:24" x14ac:dyDescent="0.25">
      <c r="A2578" s="148">
        <v>45108</v>
      </c>
      <c r="B2578" s="46">
        <v>182</v>
      </c>
      <c r="C2578" s="149">
        <v>0.37334490740740739</v>
      </c>
      <c r="D2578" s="38" t="s">
        <v>17396</v>
      </c>
      <c r="E2578" s="7" t="s">
        <v>65</v>
      </c>
      <c r="F2578" s="38" t="s">
        <v>8011</v>
      </c>
      <c r="G2578" s="38" t="s">
        <v>933</v>
      </c>
      <c r="H2578">
        <v>0.218</v>
      </c>
      <c r="I2578" t="s">
        <v>20490</v>
      </c>
      <c r="J2578" t="s">
        <v>20491</v>
      </c>
      <c r="K2578" t="s">
        <v>20492</v>
      </c>
      <c r="L2578" t="s">
        <v>20493</v>
      </c>
      <c r="O2578" t="s">
        <v>20486</v>
      </c>
      <c r="P2578" t="s">
        <v>20487</v>
      </c>
      <c r="Q2578">
        <v>419442.56</v>
      </c>
      <c r="R2578">
        <v>6204144.7800000003</v>
      </c>
      <c r="S2578" t="s">
        <v>20488</v>
      </c>
      <c r="T2578" t="s">
        <v>20489</v>
      </c>
      <c r="U2578">
        <v>419467.26</v>
      </c>
      <c r="V2578">
        <v>6204137.2199999997</v>
      </c>
      <c r="W2578">
        <v>359.53</v>
      </c>
      <c r="X2578">
        <v>200.06</v>
      </c>
    </row>
    <row r="2579" spans="1:24" x14ac:dyDescent="0.25">
      <c r="A2579" s="148">
        <v>45108</v>
      </c>
      <c r="B2579" s="46">
        <v>182</v>
      </c>
      <c r="C2579" s="149">
        <v>0.37753472222222223</v>
      </c>
      <c r="D2579" s="38" t="s">
        <v>17396</v>
      </c>
      <c r="E2579" s="7" t="s">
        <v>70</v>
      </c>
      <c r="F2579" s="38" t="s">
        <v>8011</v>
      </c>
      <c r="G2579" s="38" t="s">
        <v>933</v>
      </c>
      <c r="H2579">
        <v>-2.3E-2</v>
      </c>
      <c r="I2579" t="s">
        <v>20490</v>
      </c>
      <c r="J2579" t="s">
        <v>20491</v>
      </c>
      <c r="K2579" t="s">
        <v>20492</v>
      </c>
      <c r="L2579" t="s">
        <v>20493</v>
      </c>
      <c r="O2579" t="s">
        <v>20494</v>
      </c>
      <c r="P2579" t="s">
        <v>20495</v>
      </c>
      <c r="Q2579">
        <v>419442.56</v>
      </c>
      <c r="R2579">
        <v>6204385.4199999999</v>
      </c>
      <c r="S2579" t="s">
        <v>20496</v>
      </c>
      <c r="T2579" t="s">
        <v>20497</v>
      </c>
      <c r="U2579">
        <v>419467.21</v>
      </c>
      <c r="V2579">
        <v>6204378.2000000002</v>
      </c>
      <c r="W2579">
        <v>359.76</v>
      </c>
      <c r="X2579">
        <v>200.06</v>
      </c>
    </row>
    <row r="2580" spans="1:24" x14ac:dyDescent="0.25">
      <c r="A2580" s="148">
        <v>45108</v>
      </c>
      <c r="B2580" s="46">
        <v>182</v>
      </c>
      <c r="C2580" s="149">
        <v>0.38100694444444444</v>
      </c>
      <c r="D2580" s="38" t="s">
        <v>17396</v>
      </c>
      <c r="E2580" s="7" t="s">
        <v>65</v>
      </c>
      <c r="F2580" s="38" t="s">
        <v>8011</v>
      </c>
      <c r="G2580" s="38" t="s">
        <v>932</v>
      </c>
      <c r="H2580">
        <v>-1.7000000000000001E-2</v>
      </c>
      <c r="I2580" t="s">
        <v>20502</v>
      </c>
      <c r="J2580" t="s">
        <v>20503</v>
      </c>
      <c r="K2580" t="s">
        <v>20504</v>
      </c>
      <c r="L2580" t="s">
        <v>20493</v>
      </c>
      <c r="O2580" t="s">
        <v>20498</v>
      </c>
      <c r="P2580" t="s">
        <v>20499</v>
      </c>
      <c r="Q2580">
        <v>419453.05</v>
      </c>
      <c r="R2580">
        <v>6204400.75</v>
      </c>
      <c r="S2580" t="s">
        <v>20500</v>
      </c>
      <c r="T2580" t="s">
        <v>20501</v>
      </c>
      <c r="U2580">
        <v>419476.37</v>
      </c>
      <c r="V2580">
        <v>6204383.46</v>
      </c>
      <c r="W2580">
        <v>179.72</v>
      </c>
      <c r="X2580">
        <v>200.06</v>
      </c>
    </row>
    <row r="2581" spans="1:24" x14ac:dyDescent="0.25">
      <c r="A2581" s="148">
        <v>45108</v>
      </c>
      <c r="B2581" s="46">
        <v>182</v>
      </c>
      <c r="C2581" s="149">
        <v>0.38534722222222223</v>
      </c>
      <c r="D2581" s="38" t="s">
        <v>17396</v>
      </c>
      <c r="E2581" s="7" t="s">
        <v>70</v>
      </c>
      <c r="F2581" s="38" t="s">
        <v>8011</v>
      </c>
      <c r="G2581" s="38" t="s">
        <v>932</v>
      </c>
      <c r="H2581">
        <v>0.224</v>
      </c>
      <c r="I2581" t="s">
        <v>20502</v>
      </c>
      <c r="J2581" t="s">
        <v>20503</v>
      </c>
      <c r="K2581" t="s">
        <v>20504</v>
      </c>
      <c r="L2581" t="s">
        <v>20509</v>
      </c>
      <c r="O2581" t="s">
        <v>20505</v>
      </c>
      <c r="P2581" t="s">
        <v>20506</v>
      </c>
      <c r="Q2581">
        <v>419451.38</v>
      </c>
      <c r="R2581">
        <v>6204153.1200000001</v>
      </c>
      <c r="S2581" t="s">
        <v>20507</v>
      </c>
      <c r="T2581" t="s">
        <v>20508</v>
      </c>
      <c r="U2581">
        <v>419476.31</v>
      </c>
      <c r="V2581">
        <v>6204142.0999999996</v>
      </c>
      <c r="W2581">
        <v>179.91</v>
      </c>
      <c r="X2581">
        <v>200.06</v>
      </c>
    </row>
    <row r="2582" spans="1:24" x14ac:dyDescent="0.25">
      <c r="A2582" s="148">
        <v>45108</v>
      </c>
      <c r="B2582" s="46">
        <v>182</v>
      </c>
      <c r="C2582" s="149">
        <v>0.38877314814814817</v>
      </c>
      <c r="D2582" s="38" t="s">
        <v>17396</v>
      </c>
      <c r="E2582" s="7" t="s">
        <v>65</v>
      </c>
      <c r="F2582" s="38" t="s">
        <v>8011</v>
      </c>
      <c r="G2582" s="38" t="s">
        <v>941</v>
      </c>
      <c r="H2582">
        <v>0.23300000000000001</v>
      </c>
      <c r="I2582" t="s">
        <v>20514</v>
      </c>
      <c r="J2582" t="s">
        <v>20515</v>
      </c>
      <c r="K2582" t="s">
        <v>20516</v>
      </c>
      <c r="L2582" t="s">
        <v>20509</v>
      </c>
      <c r="O2582" t="s">
        <v>20510</v>
      </c>
      <c r="P2582" t="s">
        <v>20511</v>
      </c>
      <c r="Q2582">
        <v>419460.55</v>
      </c>
      <c r="R2582">
        <v>6204121.7800000003</v>
      </c>
      <c r="S2582" t="s">
        <v>20512</v>
      </c>
      <c r="T2582" t="s">
        <v>20513</v>
      </c>
      <c r="U2582">
        <v>419485.18</v>
      </c>
      <c r="V2582">
        <v>6204121.8700000001</v>
      </c>
      <c r="W2582">
        <v>359.94</v>
      </c>
      <c r="X2582">
        <v>200.06</v>
      </c>
    </row>
    <row r="2583" spans="1:24" x14ac:dyDescent="0.25">
      <c r="A2583" s="148">
        <v>45108</v>
      </c>
      <c r="B2583" s="46">
        <v>182</v>
      </c>
      <c r="C2583" s="149">
        <v>0.39347222222222222</v>
      </c>
      <c r="D2583" s="38" t="s">
        <v>17396</v>
      </c>
      <c r="E2583" s="7" t="s">
        <v>70</v>
      </c>
      <c r="F2583" s="38" t="s">
        <v>8011</v>
      </c>
      <c r="G2583" s="38" t="s">
        <v>941</v>
      </c>
      <c r="H2583">
        <v>-2.3E-2</v>
      </c>
      <c r="I2583" t="s">
        <v>20514</v>
      </c>
      <c r="J2583" t="s">
        <v>20515</v>
      </c>
      <c r="K2583" t="s">
        <v>20516</v>
      </c>
      <c r="L2583" t="s">
        <v>20521</v>
      </c>
      <c r="O2583" t="s">
        <v>20517</v>
      </c>
      <c r="P2583" t="s">
        <v>20518</v>
      </c>
      <c r="Q2583">
        <v>419461.15</v>
      </c>
      <c r="R2583">
        <v>6204385.9299999997</v>
      </c>
      <c r="S2583" t="s">
        <v>20519</v>
      </c>
      <c r="T2583" t="s">
        <v>20520</v>
      </c>
      <c r="U2583">
        <v>419485.2</v>
      </c>
      <c r="V2583">
        <v>6204378.4199999999</v>
      </c>
      <c r="W2583">
        <v>0.34</v>
      </c>
      <c r="X2583">
        <v>200.06</v>
      </c>
    </row>
    <row r="2584" spans="1:24" x14ac:dyDescent="0.25">
      <c r="A2584" s="148">
        <v>45108</v>
      </c>
      <c r="B2584" s="46">
        <v>182</v>
      </c>
      <c r="C2584" s="149">
        <v>0.39733796296296298</v>
      </c>
      <c r="D2584" s="38" t="s">
        <v>17396</v>
      </c>
      <c r="E2584" s="7" t="s">
        <v>65</v>
      </c>
      <c r="F2584" s="38" t="s">
        <v>8011</v>
      </c>
      <c r="G2584" s="38" t="s">
        <v>942</v>
      </c>
      <c r="H2584">
        <v>-1.9E-2</v>
      </c>
      <c r="I2584" t="s">
        <v>20526</v>
      </c>
      <c r="J2584" t="s">
        <v>20527</v>
      </c>
      <c r="K2584" t="s">
        <v>20528</v>
      </c>
      <c r="L2584" t="s">
        <v>20521</v>
      </c>
      <c r="O2584" t="s">
        <v>20522</v>
      </c>
      <c r="P2584" t="s">
        <v>20523</v>
      </c>
      <c r="Q2584">
        <v>419470.55</v>
      </c>
      <c r="R2584">
        <v>6204394.7199999997</v>
      </c>
      <c r="S2584" t="s">
        <v>20524</v>
      </c>
      <c r="T2584" t="s">
        <v>20525</v>
      </c>
      <c r="U2584">
        <v>419494.3</v>
      </c>
      <c r="V2584">
        <v>6204384.96</v>
      </c>
      <c r="W2584">
        <v>179.91</v>
      </c>
      <c r="X2584">
        <v>200.06</v>
      </c>
    </row>
    <row r="2585" spans="1:24" x14ac:dyDescent="0.25">
      <c r="A2585" s="148">
        <v>45108</v>
      </c>
      <c r="B2585" s="46">
        <v>182</v>
      </c>
      <c r="C2585" s="149">
        <v>0.40164351851851854</v>
      </c>
      <c r="D2585" s="38" t="s">
        <v>17396</v>
      </c>
      <c r="E2585" s="7" t="s">
        <v>70</v>
      </c>
      <c r="F2585" s="38" t="s">
        <v>8011</v>
      </c>
      <c r="G2585" s="38" t="s">
        <v>942</v>
      </c>
      <c r="H2585">
        <v>0.224</v>
      </c>
      <c r="I2585" t="s">
        <v>20526</v>
      </c>
      <c r="J2585" t="s">
        <v>20527</v>
      </c>
      <c r="K2585" t="s">
        <v>20528</v>
      </c>
      <c r="L2585" t="s">
        <v>20521</v>
      </c>
      <c r="O2585" t="s">
        <v>20529</v>
      </c>
      <c r="P2585" t="s">
        <v>20530</v>
      </c>
      <c r="Q2585">
        <v>419469.74</v>
      </c>
      <c r="R2585">
        <v>6204149.1799999997</v>
      </c>
      <c r="S2585" t="s">
        <v>20531</v>
      </c>
      <c r="T2585" t="s">
        <v>20532</v>
      </c>
      <c r="U2585">
        <v>419494.29</v>
      </c>
      <c r="V2585">
        <v>6204142.5</v>
      </c>
      <c r="W2585">
        <v>179.91</v>
      </c>
      <c r="X2585">
        <v>200.06</v>
      </c>
    </row>
    <row r="2586" spans="1:24" x14ac:dyDescent="0.25">
      <c r="A2586" s="148">
        <v>45108</v>
      </c>
      <c r="B2586" s="46">
        <v>182</v>
      </c>
      <c r="C2586" s="149">
        <v>0.40643518518518523</v>
      </c>
      <c r="D2586" s="38" t="s">
        <v>17396</v>
      </c>
      <c r="E2586" s="7" t="s">
        <v>65</v>
      </c>
      <c r="F2586" s="38" t="s">
        <v>8011</v>
      </c>
      <c r="G2586" s="38" t="s">
        <v>943</v>
      </c>
      <c r="H2586">
        <v>0.216</v>
      </c>
      <c r="I2586" t="s">
        <v>20537</v>
      </c>
      <c r="J2586" t="s">
        <v>20538</v>
      </c>
      <c r="K2586" t="s">
        <v>20539</v>
      </c>
      <c r="L2586" t="s">
        <v>20540</v>
      </c>
      <c r="O2586" t="s">
        <v>20533</v>
      </c>
      <c r="P2586" t="s">
        <v>20534</v>
      </c>
      <c r="Q2586">
        <v>419478.08</v>
      </c>
      <c r="R2586">
        <v>6204150.8099999996</v>
      </c>
      <c r="S2586" t="s">
        <v>20535</v>
      </c>
      <c r="T2586" t="s">
        <v>20536</v>
      </c>
      <c r="U2586">
        <v>419503.2</v>
      </c>
      <c r="V2586">
        <v>6204139.3799999999</v>
      </c>
      <c r="W2586">
        <v>0.7</v>
      </c>
      <c r="X2586">
        <v>200.06</v>
      </c>
    </row>
    <row r="2587" spans="1:24" x14ac:dyDescent="0.25">
      <c r="A2587" s="148">
        <v>45108</v>
      </c>
      <c r="B2587" s="46">
        <v>182</v>
      </c>
      <c r="C2587" s="149">
        <v>0.41053240740740743</v>
      </c>
      <c r="D2587" s="38" t="s">
        <v>17396</v>
      </c>
      <c r="E2587" s="7" t="s">
        <v>70</v>
      </c>
      <c r="F2587" s="38" t="s">
        <v>8011</v>
      </c>
      <c r="G2587" s="38" t="s">
        <v>943</v>
      </c>
      <c r="H2587">
        <v>-2.1999999999999999E-2</v>
      </c>
      <c r="I2587" t="s">
        <v>20537</v>
      </c>
      <c r="J2587" t="s">
        <v>20538</v>
      </c>
      <c r="K2587" t="s">
        <v>20539</v>
      </c>
      <c r="L2587" t="s">
        <v>20540</v>
      </c>
      <c r="O2587" t="s">
        <v>20541</v>
      </c>
      <c r="P2587" t="s">
        <v>20542</v>
      </c>
      <c r="Q2587">
        <v>419478.2</v>
      </c>
      <c r="R2587">
        <v>6204386.9800000004</v>
      </c>
      <c r="S2587" t="s">
        <v>20543</v>
      </c>
      <c r="T2587" t="s">
        <v>20544</v>
      </c>
      <c r="U2587">
        <v>419503.22</v>
      </c>
      <c r="V2587">
        <v>6204376.5499999998</v>
      </c>
      <c r="W2587">
        <v>359.19</v>
      </c>
      <c r="X2587">
        <v>200.06</v>
      </c>
    </row>
    <row r="2588" spans="1:24" x14ac:dyDescent="0.25">
      <c r="A2588" s="148">
        <v>45108</v>
      </c>
      <c r="B2588" s="46">
        <v>182</v>
      </c>
      <c r="C2588" s="149">
        <v>0.4148958333333333</v>
      </c>
      <c r="D2588" s="38" t="s">
        <v>17396</v>
      </c>
      <c r="E2588" s="7" t="s">
        <v>65</v>
      </c>
      <c r="F2588" s="38" t="s">
        <v>8011</v>
      </c>
      <c r="G2588" s="38" t="s">
        <v>944</v>
      </c>
      <c r="H2588">
        <v>-1.7000000000000001E-2</v>
      </c>
      <c r="I2588" t="s">
        <v>20549</v>
      </c>
      <c r="J2588" t="s">
        <v>20550</v>
      </c>
      <c r="K2588" t="s">
        <v>20551</v>
      </c>
      <c r="L2588" t="s">
        <v>20552</v>
      </c>
      <c r="O2588" t="s">
        <v>20545</v>
      </c>
      <c r="P2588" t="s">
        <v>20546</v>
      </c>
      <c r="Q2588">
        <v>419487.09</v>
      </c>
      <c r="R2588">
        <v>6204378.0599999996</v>
      </c>
      <c r="S2588" t="s">
        <v>20547</v>
      </c>
      <c r="T2588" t="s">
        <v>20548</v>
      </c>
      <c r="U2588">
        <v>419512.26</v>
      </c>
      <c r="V2588">
        <v>6204382.6600000001</v>
      </c>
      <c r="W2588">
        <v>180.87</v>
      </c>
      <c r="X2588">
        <v>200.06</v>
      </c>
    </row>
    <row r="2589" spans="1:24" x14ac:dyDescent="0.25">
      <c r="A2589" s="148">
        <v>45108</v>
      </c>
      <c r="B2589" s="46">
        <v>182</v>
      </c>
      <c r="C2589" s="149">
        <v>0.41910879629629627</v>
      </c>
      <c r="D2589" s="38" t="s">
        <v>17396</v>
      </c>
      <c r="E2589" s="7" t="s">
        <v>70</v>
      </c>
      <c r="F2589" s="38" t="s">
        <v>8011</v>
      </c>
      <c r="G2589" s="38" t="s">
        <v>944</v>
      </c>
      <c r="H2589">
        <v>0.22800000000000001</v>
      </c>
      <c r="I2589" t="s">
        <v>20549</v>
      </c>
      <c r="J2589" t="s">
        <v>20550</v>
      </c>
      <c r="K2589" t="s">
        <v>20551</v>
      </c>
      <c r="L2589" t="s">
        <v>20552</v>
      </c>
      <c r="O2589" t="s">
        <v>20553</v>
      </c>
      <c r="P2589" t="s">
        <v>20554</v>
      </c>
      <c r="Q2589">
        <v>419486.89</v>
      </c>
      <c r="R2589">
        <v>6204134.1600000001</v>
      </c>
      <c r="S2589" t="s">
        <v>20555</v>
      </c>
      <c r="T2589" t="s">
        <v>20556</v>
      </c>
      <c r="U2589">
        <v>419512.17</v>
      </c>
      <c r="V2589">
        <v>6204137.8399999999</v>
      </c>
      <c r="W2589">
        <v>180.65</v>
      </c>
      <c r="X2589">
        <v>200.06</v>
      </c>
    </row>
    <row r="2590" spans="1:24" x14ac:dyDescent="0.25">
      <c r="A2590" s="148">
        <v>45108</v>
      </c>
      <c r="B2590" s="46">
        <v>182</v>
      </c>
      <c r="C2590" s="149">
        <v>0.4236111111111111</v>
      </c>
      <c r="D2590" s="38" t="s">
        <v>17396</v>
      </c>
      <c r="E2590" s="7" t="s">
        <v>65</v>
      </c>
      <c r="F2590" s="38" t="s">
        <v>8011</v>
      </c>
      <c r="G2590" s="38" t="s">
        <v>945</v>
      </c>
      <c r="H2590">
        <v>0.21299999999999999</v>
      </c>
      <c r="I2590" t="s">
        <v>20561</v>
      </c>
      <c r="J2590" t="s">
        <v>20562</v>
      </c>
      <c r="K2590" t="s">
        <v>20563</v>
      </c>
      <c r="L2590" t="s">
        <v>20552</v>
      </c>
      <c r="O2590" t="s">
        <v>20557</v>
      </c>
      <c r="P2590" t="s">
        <v>20558</v>
      </c>
      <c r="Q2590">
        <v>419496.4</v>
      </c>
      <c r="R2590">
        <v>6204149.0300000003</v>
      </c>
      <c r="S2590" t="s">
        <v>20559</v>
      </c>
      <c r="T2590" t="s">
        <v>20560</v>
      </c>
      <c r="U2590">
        <v>419521.08</v>
      </c>
      <c r="V2590">
        <v>6204142.3700000001</v>
      </c>
      <c r="W2590">
        <v>0.8</v>
      </c>
      <c r="X2590">
        <v>200.06</v>
      </c>
    </row>
    <row r="2591" spans="1:24" x14ac:dyDescent="0.25">
      <c r="A2591" s="148">
        <v>45108</v>
      </c>
      <c r="B2591" s="46">
        <v>182</v>
      </c>
      <c r="C2591" s="149">
        <v>0.42769675925925926</v>
      </c>
      <c r="D2591" s="38" t="s">
        <v>17396</v>
      </c>
      <c r="E2591" s="7" t="s">
        <v>70</v>
      </c>
      <c r="F2591" s="38" t="s">
        <v>8011</v>
      </c>
      <c r="G2591" s="38" t="s">
        <v>945</v>
      </c>
      <c r="H2591">
        <v>-2.1000000000000001E-2</v>
      </c>
      <c r="I2591" t="s">
        <v>20561</v>
      </c>
      <c r="J2591" t="s">
        <v>20562</v>
      </c>
      <c r="K2591" t="s">
        <v>20563</v>
      </c>
      <c r="L2591" t="s">
        <v>20568</v>
      </c>
      <c r="O2591" t="s">
        <v>20564</v>
      </c>
      <c r="P2591" t="s">
        <v>20565</v>
      </c>
      <c r="Q2591">
        <v>419496.26</v>
      </c>
      <c r="R2591">
        <v>6204385.5700000003</v>
      </c>
      <c r="S2591" t="s">
        <v>20566</v>
      </c>
      <c r="T2591" t="s">
        <v>20567</v>
      </c>
      <c r="U2591">
        <v>419521.2</v>
      </c>
      <c r="V2591">
        <v>6204375.79</v>
      </c>
      <c r="W2591">
        <v>358.6</v>
      </c>
      <c r="X2591">
        <v>200.06</v>
      </c>
    </row>
    <row r="2592" spans="1:24" x14ac:dyDescent="0.25">
      <c r="A2592" s="148">
        <v>45108</v>
      </c>
      <c r="B2592" s="46">
        <v>182</v>
      </c>
      <c r="C2592" s="149">
        <v>0.4312037037037037</v>
      </c>
      <c r="D2592" s="38" t="s">
        <v>17396</v>
      </c>
      <c r="E2592" s="7" t="s">
        <v>65</v>
      </c>
      <c r="F2592" s="38" t="s">
        <v>8011</v>
      </c>
      <c r="G2592" s="38" t="s">
        <v>946</v>
      </c>
      <c r="H2592">
        <v>-1.6E-2</v>
      </c>
      <c r="I2592" t="s">
        <v>20573</v>
      </c>
      <c r="J2592" t="s">
        <v>20574</v>
      </c>
      <c r="K2592" t="s">
        <v>20575</v>
      </c>
      <c r="L2592" t="s">
        <v>20568</v>
      </c>
      <c r="O2592" t="s">
        <v>20569</v>
      </c>
      <c r="P2592" t="s">
        <v>20570</v>
      </c>
      <c r="Q2592">
        <v>419505.47</v>
      </c>
      <c r="R2592">
        <v>6204393.5599999996</v>
      </c>
      <c r="S2592" t="s">
        <v>20571</v>
      </c>
      <c r="T2592" t="s">
        <v>20572</v>
      </c>
      <c r="U2592">
        <v>419530.4</v>
      </c>
      <c r="V2592">
        <v>6204382.0199999996</v>
      </c>
      <c r="W2592">
        <v>181.31</v>
      </c>
      <c r="X2592">
        <v>200.06</v>
      </c>
    </row>
    <row r="2593" spans="1:24" x14ac:dyDescent="0.25">
      <c r="A2593" s="148">
        <v>45108</v>
      </c>
      <c r="B2593" s="46">
        <v>182</v>
      </c>
      <c r="C2593" s="149">
        <v>0.4354513888888889</v>
      </c>
      <c r="D2593" s="38" t="s">
        <v>17396</v>
      </c>
      <c r="E2593" s="7" t="s">
        <v>70</v>
      </c>
      <c r="F2593" s="38" t="s">
        <v>8011</v>
      </c>
      <c r="G2593" s="38" t="s">
        <v>946</v>
      </c>
      <c r="H2593">
        <v>0.22500000000000001</v>
      </c>
      <c r="I2593" t="s">
        <v>20573</v>
      </c>
      <c r="J2593" t="s">
        <v>20574</v>
      </c>
      <c r="K2593" t="s">
        <v>20575</v>
      </c>
      <c r="L2593" t="s">
        <v>20580</v>
      </c>
      <c r="O2593" t="s">
        <v>20576</v>
      </c>
      <c r="P2593" t="s">
        <v>20577</v>
      </c>
      <c r="Q2593">
        <v>419505.36</v>
      </c>
      <c r="R2593">
        <v>6204149.0800000001</v>
      </c>
      <c r="S2593" t="s">
        <v>20578</v>
      </c>
      <c r="T2593" t="s">
        <v>20579</v>
      </c>
      <c r="U2593">
        <v>419530.36</v>
      </c>
      <c r="V2593">
        <v>6204140.6399999997</v>
      </c>
      <c r="W2593">
        <v>180.43</v>
      </c>
      <c r="X2593">
        <v>200.06</v>
      </c>
    </row>
    <row r="2594" spans="1:24" x14ac:dyDescent="0.25">
      <c r="A2594" s="148">
        <v>45108</v>
      </c>
      <c r="B2594" s="46">
        <v>182</v>
      </c>
      <c r="C2594" s="149">
        <v>0.43902777777777779</v>
      </c>
      <c r="D2594" s="38" t="s">
        <v>17396</v>
      </c>
      <c r="E2594" s="7" t="s">
        <v>65</v>
      </c>
      <c r="F2594" s="38" t="s">
        <v>8011</v>
      </c>
      <c r="G2594" s="38" t="s">
        <v>947</v>
      </c>
      <c r="H2594">
        <v>0.21299999999999999</v>
      </c>
      <c r="I2594" t="s">
        <v>20585</v>
      </c>
      <c r="J2594" t="s">
        <v>20586</v>
      </c>
      <c r="K2594" t="s">
        <v>20587</v>
      </c>
      <c r="L2594" t="s">
        <v>20580</v>
      </c>
      <c r="O2594" t="s">
        <v>20581</v>
      </c>
      <c r="P2594" t="s">
        <v>20582</v>
      </c>
      <c r="Q2594">
        <v>419515.47</v>
      </c>
      <c r="R2594">
        <v>6204152.3700000001</v>
      </c>
      <c r="S2594" t="s">
        <v>20583</v>
      </c>
      <c r="T2594" t="s">
        <v>20584</v>
      </c>
      <c r="U2594">
        <v>419539.25</v>
      </c>
      <c r="V2594">
        <v>6204141.5099999998</v>
      </c>
      <c r="W2594">
        <v>359.43</v>
      </c>
      <c r="X2594">
        <v>200.06</v>
      </c>
    </row>
    <row r="2595" spans="1:24" x14ac:dyDescent="0.25">
      <c r="A2595" s="148">
        <v>45108</v>
      </c>
      <c r="B2595" s="46">
        <v>182</v>
      </c>
      <c r="C2595" s="149">
        <v>0.44311342592592595</v>
      </c>
      <c r="D2595" s="38" t="s">
        <v>17396</v>
      </c>
      <c r="E2595" s="7" t="s">
        <v>70</v>
      </c>
      <c r="F2595" s="38" t="s">
        <v>8011</v>
      </c>
      <c r="G2595" s="38" t="s">
        <v>947</v>
      </c>
      <c r="H2595">
        <v>-2.1000000000000001E-2</v>
      </c>
      <c r="I2595" t="s">
        <v>20585</v>
      </c>
      <c r="J2595" t="s">
        <v>20586</v>
      </c>
      <c r="K2595" t="s">
        <v>20587</v>
      </c>
      <c r="L2595" t="s">
        <v>20580</v>
      </c>
      <c r="O2595" t="s">
        <v>20588</v>
      </c>
      <c r="P2595" t="s">
        <v>20589</v>
      </c>
      <c r="Q2595">
        <v>419514.98</v>
      </c>
      <c r="R2595">
        <v>6204387.6799999997</v>
      </c>
      <c r="S2595" t="s">
        <v>20590</v>
      </c>
      <c r="T2595" t="s">
        <v>20591</v>
      </c>
      <c r="U2595">
        <v>419539.05</v>
      </c>
      <c r="V2595">
        <v>6204375.79</v>
      </c>
      <c r="W2595">
        <v>0.4</v>
      </c>
      <c r="X2595">
        <v>200.06</v>
      </c>
    </row>
    <row r="2596" spans="1:24" x14ac:dyDescent="0.25">
      <c r="A2596" s="148">
        <v>45108</v>
      </c>
      <c r="B2596" s="46">
        <v>182</v>
      </c>
      <c r="C2596" s="149">
        <v>0.44668981481481485</v>
      </c>
      <c r="D2596" s="38" t="s">
        <v>17396</v>
      </c>
      <c r="E2596" s="7" t="s">
        <v>65</v>
      </c>
      <c r="F2596" s="38" t="s">
        <v>8011</v>
      </c>
      <c r="G2596" s="38" t="s">
        <v>948</v>
      </c>
      <c r="H2596">
        <v>-1.4999999999999999E-2</v>
      </c>
      <c r="I2596" t="s">
        <v>20596</v>
      </c>
      <c r="J2596" t="s">
        <v>20597</v>
      </c>
      <c r="K2596" t="s">
        <v>20598</v>
      </c>
      <c r="L2596" t="s">
        <v>20599</v>
      </c>
      <c r="O2596" t="s">
        <v>20592</v>
      </c>
      <c r="P2596" t="s">
        <v>20593</v>
      </c>
      <c r="Q2596">
        <v>419524.45</v>
      </c>
      <c r="R2596">
        <v>6204389.6699999999</v>
      </c>
      <c r="S2596" t="s">
        <v>20594</v>
      </c>
      <c r="T2596" t="s">
        <v>20595</v>
      </c>
      <c r="U2596">
        <v>419548.15</v>
      </c>
      <c r="V2596">
        <v>6204381.3799999999</v>
      </c>
      <c r="W2596">
        <v>180.21</v>
      </c>
      <c r="X2596">
        <v>200.06</v>
      </c>
    </row>
    <row r="2597" spans="1:24" x14ac:dyDescent="0.25">
      <c r="A2597" s="148">
        <v>45108</v>
      </c>
      <c r="B2597" s="46">
        <v>182</v>
      </c>
      <c r="C2597" s="149">
        <v>0.4508564814814815</v>
      </c>
      <c r="D2597" s="38" t="s">
        <v>17396</v>
      </c>
      <c r="E2597" s="7" t="s">
        <v>70</v>
      </c>
      <c r="F2597" s="38" t="s">
        <v>8011</v>
      </c>
      <c r="G2597" s="38" t="s">
        <v>948</v>
      </c>
      <c r="H2597">
        <v>0.22500000000000001</v>
      </c>
      <c r="I2597" t="s">
        <v>20596</v>
      </c>
      <c r="J2597" t="s">
        <v>20597</v>
      </c>
      <c r="K2597" t="s">
        <v>20598</v>
      </c>
      <c r="L2597" t="s">
        <v>20599</v>
      </c>
      <c r="O2597" t="s">
        <v>20600</v>
      </c>
      <c r="P2597" t="s">
        <v>20601</v>
      </c>
      <c r="Q2597">
        <v>419524.43</v>
      </c>
      <c r="R2597">
        <v>6204150.0599999996</v>
      </c>
      <c r="S2597" t="s">
        <v>20602</v>
      </c>
      <c r="T2597" t="s">
        <v>20603</v>
      </c>
      <c r="U2597">
        <v>419548.18</v>
      </c>
      <c r="V2597">
        <v>6204140.96</v>
      </c>
      <c r="W2597">
        <v>179.68</v>
      </c>
      <c r="X2597">
        <v>200.06</v>
      </c>
    </row>
    <row r="2598" spans="1:24" x14ac:dyDescent="0.25">
      <c r="A2598" s="148">
        <v>45108</v>
      </c>
      <c r="B2598" s="46">
        <v>182</v>
      </c>
      <c r="C2598" s="149">
        <v>0.45685185185185184</v>
      </c>
      <c r="D2598" s="38" t="s">
        <v>17961</v>
      </c>
      <c r="E2598" s="7" t="s">
        <v>20608</v>
      </c>
      <c r="F2598" s="38" t="s">
        <v>1098</v>
      </c>
      <c r="G2598" s="38" t="s">
        <v>1453</v>
      </c>
      <c r="H2598">
        <v>3.3029999999999999</v>
      </c>
      <c r="O2598" t="s">
        <v>20604</v>
      </c>
      <c r="P2598" t="s">
        <v>20605</v>
      </c>
      <c r="Q2598">
        <v>419525.58</v>
      </c>
      <c r="R2598">
        <v>6204110.4400000004</v>
      </c>
      <c r="S2598" t="s">
        <v>20606</v>
      </c>
      <c r="T2598" t="s">
        <v>20607</v>
      </c>
      <c r="U2598">
        <v>419537.71</v>
      </c>
      <c r="V2598">
        <v>6204101.0099999998</v>
      </c>
      <c r="W2598">
        <v>110.47</v>
      </c>
      <c r="X2598">
        <v>150.05000000000001</v>
      </c>
    </row>
    <row r="2599" spans="1:24" x14ac:dyDescent="0.25">
      <c r="A2599" s="148">
        <v>45108</v>
      </c>
      <c r="B2599" s="46">
        <v>182</v>
      </c>
      <c r="C2599" s="149">
        <v>0.47475694444444444</v>
      </c>
      <c r="D2599" s="38" t="s">
        <v>17961</v>
      </c>
      <c r="E2599" s="7" t="s">
        <v>6102</v>
      </c>
      <c r="F2599" s="38" t="s">
        <v>1098</v>
      </c>
      <c r="G2599" s="38" t="s">
        <v>1453</v>
      </c>
      <c r="H2599">
        <v>0.20100000000000001</v>
      </c>
      <c r="O2599" t="s">
        <v>20609</v>
      </c>
      <c r="P2599" t="s">
        <v>20610</v>
      </c>
      <c r="Q2599">
        <v>416423.67999999999</v>
      </c>
      <c r="R2599">
        <v>6203596.3700000001</v>
      </c>
      <c r="S2599" t="s">
        <v>20611</v>
      </c>
      <c r="T2599" t="s">
        <v>20612</v>
      </c>
      <c r="U2599">
        <v>416426.23999999999</v>
      </c>
      <c r="V2599">
        <v>6203585.3300000001</v>
      </c>
      <c r="W2599">
        <v>133.38999999999999</v>
      </c>
      <c r="X2599">
        <v>150.05000000000001</v>
      </c>
    </row>
    <row r="2600" spans="1:24" s="169" customFormat="1" x14ac:dyDescent="0.25">
      <c r="A2600" s="65">
        <v>45108</v>
      </c>
      <c r="B2600" s="106">
        <v>182</v>
      </c>
      <c r="C2600" s="67">
        <v>0.48009259259259257</v>
      </c>
      <c r="D2600" s="66" t="s">
        <v>17961</v>
      </c>
      <c r="E2600" s="170" t="s">
        <v>20618</v>
      </c>
      <c r="F2600" s="66" t="s">
        <v>1098</v>
      </c>
      <c r="G2600" s="66" t="s">
        <v>1453</v>
      </c>
      <c r="H2600" s="169">
        <v>0.2</v>
      </c>
      <c r="M2600" s="169" t="s">
        <v>20613</v>
      </c>
      <c r="O2600" s="169" t="s">
        <v>20614</v>
      </c>
      <c r="P2600" s="169" t="s">
        <v>20615</v>
      </c>
      <c r="Q2600" s="169">
        <v>416424.09</v>
      </c>
      <c r="R2600" s="169">
        <v>6203597.4699999997</v>
      </c>
      <c r="S2600" s="169" t="s">
        <v>20616</v>
      </c>
      <c r="T2600" s="169" t="s">
        <v>20617</v>
      </c>
      <c r="U2600" s="169">
        <v>416428.71</v>
      </c>
      <c r="V2600" s="169">
        <v>6203584.5499999998</v>
      </c>
      <c r="W2600" s="169">
        <v>160.91999999999999</v>
      </c>
      <c r="X2600" s="169">
        <v>150.05000000000001</v>
      </c>
    </row>
    <row r="2601" spans="1:24" s="163" customFormat="1" x14ac:dyDescent="0.25">
      <c r="A2601" s="148">
        <v>45108</v>
      </c>
      <c r="B2601" s="57"/>
      <c r="C2601" s="149">
        <v>0.4872569444444444</v>
      </c>
      <c r="D2601" s="162" t="s">
        <v>17961</v>
      </c>
      <c r="E2601" s="152" t="s">
        <v>20760</v>
      </c>
      <c r="F2601" s="164"/>
      <c r="G2601" s="164"/>
    </row>
    <row r="2602" spans="1:24" x14ac:dyDescent="0.25">
      <c r="A2602" s="148">
        <v>45108</v>
      </c>
      <c r="B2602" s="46">
        <v>182</v>
      </c>
      <c r="C2602" s="149">
        <v>0.4872569444444444</v>
      </c>
      <c r="D2602" s="38" t="s">
        <v>17961</v>
      </c>
      <c r="E2602" s="7" t="s">
        <v>65</v>
      </c>
      <c r="F2602" s="38" t="s">
        <v>1098</v>
      </c>
      <c r="G2602" s="38" t="s">
        <v>1453</v>
      </c>
      <c r="H2602">
        <v>0.16300000000000001</v>
      </c>
      <c r="I2602" t="s">
        <v>20623</v>
      </c>
      <c r="J2602" t="s">
        <v>20624</v>
      </c>
      <c r="K2602" t="s">
        <v>20625</v>
      </c>
      <c r="L2602" t="s">
        <v>20626</v>
      </c>
      <c r="O2602" t="s">
        <v>20619</v>
      </c>
      <c r="P2602" t="s">
        <v>20620</v>
      </c>
      <c r="Q2602">
        <v>416382.89</v>
      </c>
      <c r="R2602">
        <v>6203576.7699999996</v>
      </c>
      <c r="S2602" t="s">
        <v>20621</v>
      </c>
      <c r="T2602" t="s">
        <v>20622</v>
      </c>
      <c r="U2602">
        <v>416405.18</v>
      </c>
      <c r="V2602">
        <v>6203557.5700000003</v>
      </c>
      <c r="W2602">
        <v>250.88</v>
      </c>
      <c r="X2602">
        <v>150.05000000000001</v>
      </c>
    </row>
    <row r="2603" spans="1:24" x14ac:dyDescent="0.25">
      <c r="A2603" s="148">
        <v>45108</v>
      </c>
      <c r="B2603" s="46">
        <v>182</v>
      </c>
      <c r="C2603" s="149">
        <v>0.49028935185185185</v>
      </c>
      <c r="D2603" s="38" t="s">
        <v>17961</v>
      </c>
      <c r="E2603" s="7" t="s">
        <v>70</v>
      </c>
      <c r="F2603" s="38" t="s">
        <v>1098</v>
      </c>
      <c r="G2603" s="38" t="s">
        <v>1453</v>
      </c>
      <c r="H2603">
        <v>-2.3E-2</v>
      </c>
      <c r="I2603" t="s">
        <v>20623</v>
      </c>
      <c r="J2603" t="s">
        <v>20624</v>
      </c>
      <c r="K2603" t="s">
        <v>20625</v>
      </c>
      <c r="L2603" t="s">
        <v>20626</v>
      </c>
      <c r="O2603" t="s">
        <v>20627</v>
      </c>
      <c r="P2603" t="s">
        <v>20628</v>
      </c>
      <c r="Q2603">
        <v>416218.46</v>
      </c>
      <c r="R2603">
        <v>6203516.7000000002</v>
      </c>
      <c r="S2603" t="s">
        <v>20629</v>
      </c>
      <c r="T2603" t="s">
        <v>20630</v>
      </c>
      <c r="U2603">
        <v>416229.87</v>
      </c>
      <c r="V2603">
        <v>6203493.75</v>
      </c>
      <c r="W2603">
        <v>250.17</v>
      </c>
      <c r="X2603">
        <v>150.05000000000001</v>
      </c>
    </row>
    <row r="2604" spans="1:24" x14ac:dyDescent="0.25">
      <c r="A2604" s="148">
        <v>45108</v>
      </c>
      <c r="B2604" s="46">
        <v>182</v>
      </c>
      <c r="C2604" s="149">
        <v>0.4931828703703704</v>
      </c>
      <c r="D2604" s="38" t="s">
        <v>17961</v>
      </c>
      <c r="E2604" s="7" t="s">
        <v>65</v>
      </c>
      <c r="F2604" s="38" t="s">
        <v>1098</v>
      </c>
      <c r="G2604" s="38" t="s">
        <v>1452</v>
      </c>
      <c r="H2604">
        <v>-1.7999999999999999E-2</v>
      </c>
      <c r="I2604" t="s">
        <v>20635</v>
      </c>
      <c r="J2604" t="s">
        <v>20636</v>
      </c>
      <c r="K2604" t="s">
        <v>20637</v>
      </c>
      <c r="L2604" t="s">
        <v>20626</v>
      </c>
      <c r="O2604" t="s">
        <v>20631</v>
      </c>
      <c r="P2604" t="s">
        <v>20632</v>
      </c>
      <c r="Q2604">
        <v>416203.87</v>
      </c>
      <c r="R2604">
        <v>6203522.21</v>
      </c>
      <c r="S2604" t="s">
        <v>20633</v>
      </c>
      <c r="T2604" t="s">
        <v>20634</v>
      </c>
      <c r="U2604">
        <v>416220.93</v>
      </c>
      <c r="V2604">
        <v>6203500.0700000003</v>
      </c>
      <c r="W2604">
        <v>70.099999999999994</v>
      </c>
      <c r="X2604">
        <v>150.05000000000001</v>
      </c>
    </row>
    <row r="2605" spans="1:24" x14ac:dyDescent="0.25">
      <c r="A2605" s="148">
        <v>45108</v>
      </c>
      <c r="B2605" s="46">
        <v>182</v>
      </c>
      <c r="C2605" s="149">
        <v>0.4962037037037037</v>
      </c>
      <c r="D2605" s="38" t="s">
        <v>17961</v>
      </c>
      <c r="E2605" s="7" t="s">
        <v>70</v>
      </c>
      <c r="F2605" s="38" t="s">
        <v>1098</v>
      </c>
      <c r="G2605" s="38" t="s">
        <v>1452</v>
      </c>
      <c r="H2605">
        <v>0.16800000000000001</v>
      </c>
      <c r="I2605" t="s">
        <v>20635</v>
      </c>
      <c r="J2605" t="s">
        <v>20636</v>
      </c>
      <c r="K2605" t="s">
        <v>20637</v>
      </c>
      <c r="L2605" t="s">
        <v>20626</v>
      </c>
      <c r="O2605" t="s">
        <v>20638</v>
      </c>
      <c r="P2605" t="s">
        <v>20639</v>
      </c>
      <c r="Q2605">
        <v>416377.12</v>
      </c>
      <c r="R2605">
        <v>6203584.2599999998</v>
      </c>
      <c r="S2605" t="s">
        <v>20640</v>
      </c>
      <c r="T2605" t="s">
        <v>20641</v>
      </c>
      <c r="U2605">
        <v>416396.36</v>
      </c>
      <c r="V2605">
        <v>6203563.9800000004</v>
      </c>
      <c r="W2605">
        <v>70.05</v>
      </c>
      <c r="X2605">
        <v>150.05000000000001</v>
      </c>
    </row>
    <row r="2606" spans="1:24" x14ac:dyDescent="0.25">
      <c r="A2606" s="148">
        <v>45108</v>
      </c>
      <c r="B2606" s="46">
        <v>182</v>
      </c>
      <c r="C2606" s="149">
        <v>0.49956018518518519</v>
      </c>
      <c r="D2606" s="38" t="s">
        <v>17961</v>
      </c>
      <c r="E2606" s="7" t="s">
        <v>65</v>
      </c>
      <c r="F2606" s="38" t="s">
        <v>1098</v>
      </c>
      <c r="G2606" s="38" t="s">
        <v>1451</v>
      </c>
      <c r="H2606">
        <v>0.16400000000000001</v>
      </c>
      <c r="I2606" t="s">
        <v>20646</v>
      </c>
      <c r="J2606" t="s">
        <v>20647</v>
      </c>
      <c r="K2606" t="s">
        <v>20648</v>
      </c>
      <c r="L2606" t="s">
        <v>20649</v>
      </c>
      <c r="O2606" t="s">
        <v>20642</v>
      </c>
      <c r="P2606" t="s">
        <v>20643</v>
      </c>
      <c r="Q2606">
        <v>416378.87</v>
      </c>
      <c r="R2606">
        <v>6203596.2599999998</v>
      </c>
      <c r="S2606" t="s">
        <v>20644</v>
      </c>
      <c r="T2606" t="s">
        <v>20645</v>
      </c>
      <c r="U2606">
        <v>416399.3</v>
      </c>
      <c r="V2606">
        <v>6203574.46</v>
      </c>
      <c r="W2606">
        <v>252.14</v>
      </c>
      <c r="X2606">
        <v>150.05000000000001</v>
      </c>
    </row>
    <row r="2607" spans="1:24" x14ac:dyDescent="0.25">
      <c r="A2607" s="148">
        <v>45108</v>
      </c>
      <c r="B2607" s="46">
        <v>182</v>
      </c>
      <c r="C2607" s="149">
        <v>0.50252314814814814</v>
      </c>
      <c r="D2607" s="38" t="s">
        <v>17961</v>
      </c>
      <c r="E2607" s="7" t="s">
        <v>70</v>
      </c>
      <c r="F2607" s="38" t="s">
        <v>1098</v>
      </c>
      <c r="G2607" s="38" t="s">
        <v>1451</v>
      </c>
      <c r="H2607">
        <v>-2.1999999999999999E-2</v>
      </c>
      <c r="I2607" t="s">
        <v>20646</v>
      </c>
      <c r="J2607" t="s">
        <v>20647</v>
      </c>
      <c r="K2607" t="s">
        <v>20648</v>
      </c>
      <c r="L2607" t="s">
        <v>20649</v>
      </c>
      <c r="O2607" t="s">
        <v>20650</v>
      </c>
      <c r="P2607" t="s">
        <v>20651</v>
      </c>
      <c r="Q2607">
        <v>416207.09</v>
      </c>
      <c r="R2607">
        <v>6203531.3700000001</v>
      </c>
      <c r="S2607" t="s">
        <v>20652</v>
      </c>
      <c r="T2607" t="s">
        <v>20653</v>
      </c>
      <c r="U2607">
        <v>416224.58</v>
      </c>
      <c r="V2607">
        <v>6203510.8300000001</v>
      </c>
      <c r="W2607">
        <v>250.2</v>
      </c>
      <c r="X2607">
        <v>150.05000000000001</v>
      </c>
    </row>
    <row r="2608" spans="1:24" x14ac:dyDescent="0.25">
      <c r="A2608" s="148">
        <v>45108</v>
      </c>
      <c r="B2608" s="46">
        <v>182</v>
      </c>
      <c r="C2608" s="149">
        <v>0.50611111111111107</v>
      </c>
      <c r="D2608" s="38" t="s">
        <v>17961</v>
      </c>
      <c r="E2608" s="7" t="s">
        <v>65</v>
      </c>
      <c r="F2608" s="38" t="s">
        <v>1098</v>
      </c>
      <c r="G2608" s="38" t="s">
        <v>1450</v>
      </c>
      <c r="H2608">
        <v>-1.7999999999999999E-2</v>
      </c>
      <c r="I2608" t="s">
        <v>20658</v>
      </c>
      <c r="J2608" t="s">
        <v>20659</v>
      </c>
      <c r="K2608" t="s">
        <v>20660</v>
      </c>
      <c r="L2608" t="s">
        <v>20649</v>
      </c>
      <c r="O2608" t="s">
        <v>20654</v>
      </c>
      <c r="P2608" t="s">
        <v>20655</v>
      </c>
      <c r="Q2608">
        <v>416201.89</v>
      </c>
      <c r="R2608">
        <v>6203540.8300000001</v>
      </c>
      <c r="S2608" t="s">
        <v>20656</v>
      </c>
      <c r="T2608" t="s">
        <v>20657</v>
      </c>
      <c r="U2608">
        <v>416214.95</v>
      </c>
      <c r="V2608">
        <v>6203516.96</v>
      </c>
      <c r="W2608">
        <v>70.319999999999993</v>
      </c>
      <c r="X2608">
        <v>150.05000000000001</v>
      </c>
    </row>
    <row r="2609" spans="1:24" x14ac:dyDescent="0.25">
      <c r="A2609" s="148">
        <v>45108</v>
      </c>
      <c r="B2609" s="46">
        <v>182</v>
      </c>
      <c r="C2609" s="149">
        <v>0.50910879629629624</v>
      </c>
      <c r="D2609" s="38" t="s">
        <v>17961</v>
      </c>
      <c r="E2609" s="7" t="s">
        <v>70</v>
      </c>
      <c r="F2609" s="38" t="s">
        <v>1098</v>
      </c>
      <c r="G2609" s="38" t="s">
        <v>1450</v>
      </c>
      <c r="H2609">
        <v>0.16900000000000001</v>
      </c>
      <c r="I2609" t="s">
        <v>20658</v>
      </c>
      <c r="J2609" t="s">
        <v>20659</v>
      </c>
      <c r="K2609" t="s">
        <v>20660</v>
      </c>
      <c r="L2609" t="s">
        <v>20665</v>
      </c>
      <c r="O2609" t="s">
        <v>20661</v>
      </c>
      <c r="P2609" t="s">
        <v>20662</v>
      </c>
      <c r="Q2609">
        <v>416376.28</v>
      </c>
      <c r="R2609">
        <v>6203603.2199999997</v>
      </c>
      <c r="S2609" t="s">
        <v>20663</v>
      </c>
      <c r="T2609" t="s">
        <v>20664</v>
      </c>
      <c r="U2609">
        <v>416390.59</v>
      </c>
      <c r="V2609">
        <v>6203581.0199999996</v>
      </c>
      <c r="W2609">
        <v>70.22</v>
      </c>
      <c r="X2609">
        <v>150.05000000000001</v>
      </c>
    </row>
    <row r="2610" spans="1:24" x14ac:dyDescent="0.25">
      <c r="A2610" s="148">
        <v>45108</v>
      </c>
      <c r="B2610" s="46">
        <v>182</v>
      </c>
      <c r="C2610" s="149">
        <v>0.51201388888888888</v>
      </c>
      <c r="D2610" s="38" t="s">
        <v>17961</v>
      </c>
      <c r="E2610" s="7" t="s">
        <v>65</v>
      </c>
      <c r="F2610" s="38" t="s">
        <v>1098</v>
      </c>
      <c r="G2610" s="38" t="s">
        <v>1449</v>
      </c>
      <c r="H2610">
        <v>0.16400000000000001</v>
      </c>
      <c r="I2610" t="s">
        <v>20670</v>
      </c>
      <c r="J2610" t="s">
        <v>20671</v>
      </c>
      <c r="K2610" t="s">
        <v>20672</v>
      </c>
      <c r="L2610" t="s">
        <v>20665</v>
      </c>
      <c r="O2610" t="s">
        <v>20666</v>
      </c>
      <c r="P2610" t="s">
        <v>20667</v>
      </c>
      <c r="Q2610">
        <v>416374.49</v>
      </c>
      <c r="R2610">
        <v>6203613.9500000002</v>
      </c>
      <c r="S2610" t="s">
        <v>20668</v>
      </c>
      <c r="T2610" t="s">
        <v>20669</v>
      </c>
      <c r="U2610">
        <v>416393.59</v>
      </c>
      <c r="V2610">
        <v>6203591.6100000003</v>
      </c>
      <c r="W2610">
        <v>251.09</v>
      </c>
      <c r="X2610">
        <v>150.05000000000001</v>
      </c>
    </row>
    <row r="2611" spans="1:24" x14ac:dyDescent="0.25">
      <c r="A2611" s="148">
        <v>45108</v>
      </c>
      <c r="B2611" s="46">
        <v>182</v>
      </c>
      <c r="C2611" s="149">
        <v>0.51501157407407405</v>
      </c>
      <c r="D2611" s="38" t="s">
        <v>17961</v>
      </c>
      <c r="E2611" s="7" t="s">
        <v>70</v>
      </c>
      <c r="F2611" s="38" t="s">
        <v>1098</v>
      </c>
      <c r="G2611" s="38" t="s">
        <v>1449</v>
      </c>
      <c r="H2611">
        <v>-2.3E-2</v>
      </c>
      <c r="I2611" t="s">
        <v>20670</v>
      </c>
      <c r="J2611" t="s">
        <v>20671</v>
      </c>
      <c r="K2611" t="s">
        <v>20672</v>
      </c>
      <c r="L2611" t="s">
        <v>20665</v>
      </c>
      <c r="O2611" t="s">
        <v>20673</v>
      </c>
      <c r="P2611" t="s">
        <v>20674</v>
      </c>
      <c r="Q2611">
        <v>416199.77</v>
      </c>
      <c r="R2611">
        <v>6203548.4000000004</v>
      </c>
      <c r="S2611" t="s">
        <v>20675</v>
      </c>
      <c r="T2611" t="s">
        <v>20676</v>
      </c>
      <c r="U2611">
        <v>416218.1</v>
      </c>
      <c r="V2611">
        <v>6203527.6299999999</v>
      </c>
      <c r="W2611">
        <v>250.41</v>
      </c>
      <c r="X2611">
        <v>150.05000000000001</v>
      </c>
    </row>
    <row r="2612" spans="1:24" x14ac:dyDescent="0.25">
      <c r="A2612" s="148">
        <v>45108</v>
      </c>
      <c r="B2612" s="46">
        <v>182</v>
      </c>
      <c r="C2612" s="149">
        <v>0.51768518518518525</v>
      </c>
      <c r="D2612" s="38" t="s">
        <v>17961</v>
      </c>
      <c r="E2612" s="7" t="s">
        <v>65</v>
      </c>
      <c r="F2612" s="38" t="s">
        <v>1098</v>
      </c>
      <c r="G2612" s="38" t="s">
        <v>1448</v>
      </c>
      <c r="H2612">
        <v>-1.6E-2</v>
      </c>
      <c r="I2612" t="s">
        <v>20681</v>
      </c>
      <c r="J2612" t="s">
        <v>20682</v>
      </c>
      <c r="K2612" t="s">
        <v>20683</v>
      </c>
      <c r="L2612" t="s">
        <v>20665</v>
      </c>
      <c r="O2612" t="s">
        <v>20677</v>
      </c>
      <c r="P2612" t="s">
        <v>20678</v>
      </c>
      <c r="Q2612">
        <v>416201.37</v>
      </c>
      <c r="R2612">
        <v>6203559.3099999996</v>
      </c>
      <c r="S2612" t="s">
        <v>20679</v>
      </c>
      <c r="T2612" t="s">
        <v>20680</v>
      </c>
      <c r="U2612">
        <v>416210.3</v>
      </c>
      <c r="V2612">
        <v>6203534.7800000003</v>
      </c>
      <c r="W2612">
        <v>73.569999999999993</v>
      </c>
      <c r="X2612">
        <v>150.05000000000001</v>
      </c>
    </row>
    <row r="2613" spans="1:24" x14ac:dyDescent="0.25">
      <c r="A2613" s="148">
        <v>45108</v>
      </c>
      <c r="B2613" s="46">
        <v>182</v>
      </c>
      <c r="C2613" s="149">
        <v>0.52068287037037042</v>
      </c>
      <c r="D2613" s="38" t="s">
        <v>17961</v>
      </c>
      <c r="E2613" s="7" t="s">
        <v>70</v>
      </c>
      <c r="F2613" s="38" t="s">
        <v>1098</v>
      </c>
      <c r="G2613" s="38" t="s">
        <v>1448</v>
      </c>
      <c r="H2613">
        <v>0.17100000000000001</v>
      </c>
      <c r="I2613" t="s">
        <v>20681</v>
      </c>
      <c r="J2613" t="s">
        <v>20682</v>
      </c>
      <c r="K2613" t="s">
        <v>20683</v>
      </c>
      <c r="L2613" t="s">
        <v>20688</v>
      </c>
      <c r="O2613" t="s">
        <v>20684</v>
      </c>
      <c r="P2613" t="s">
        <v>20685</v>
      </c>
      <c r="Q2613">
        <v>416375.26</v>
      </c>
      <c r="R2613">
        <v>6203622.79</v>
      </c>
      <c r="S2613" t="s">
        <v>20686</v>
      </c>
      <c r="T2613" t="s">
        <v>20687</v>
      </c>
      <c r="U2613">
        <v>416386.13</v>
      </c>
      <c r="V2613">
        <v>6203598.4500000002</v>
      </c>
      <c r="W2613">
        <v>70.17</v>
      </c>
      <c r="X2613">
        <v>150.05000000000001</v>
      </c>
    </row>
    <row r="2614" spans="1:24" x14ac:dyDescent="0.25">
      <c r="A2614" s="148">
        <v>45108</v>
      </c>
      <c r="B2614" s="46">
        <v>182</v>
      </c>
      <c r="C2614" s="149">
        <v>0.52351851851851849</v>
      </c>
      <c r="D2614" s="38" t="s">
        <v>17961</v>
      </c>
      <c r="E2614" s="7" t="s">
        <v>65</v>
      </c>
      <c r="F2614" s="38" t="s">
        <v>1098</v>
      </c>
      <c r="G2614" s="38" t="s">
        <v>1454</v>
      </c>
      <c r="H2614">
        <v>0.16600000000000001</v>
      </c>
      <c r="I2614" t="s">
        <v>20693</v>
      </c>
      <c r="J2614" t="s">
        <v>20694</v>
      </c>
      <c r="K2614" t="s">
        <v>20695</v>
      </c>
      <c r="L2614" t="s">
        <v>20688</v>
      </c>
      <c r="O2614" t="s">
        <v>20689</v>
      </c>
      <c r="P2614" t="s">
        <v>20690</v>
      </c>
      <c r="Q2614">
        <v>416370.5</v>
      </c>
      <c r="R2614">
        <v>6203630.71</v>
      </c>
      <c r="S2614" t="s">
        <v>20691</v>
      </c>
      <c r="T2614" t="s">
        <v>20692</v>
      </c>
      <c r="U2614">
        <v>416388.81</v>
      </c>
      <c r="V2614">
        <v>6203608.9199999999</v>
      </c>
      <c r="W2614">
        <v>251.44</v>
      </c>
      <c r="X2614">
        <v>150.05000000000001</v>
      </c>
    </row>
    <row r="2615" spans="1:24" s="175" customFormat="1" x14ac:dyDescent="0.25">
      <c r="A2615" s="102">
        <v>45108</v>
      </c>
      <c r="B2615" s="100">
        <v>182</v>
      </c>
      <c r="C2615" s="104">
        <v>0.52581018518518519</v>
      </c>
      <c r="D2615" s="96" t="s">
        <v>17961</v>
      </c>
      <c r="E2615" s="176" t="s">
        <v>20700</v>
      </c>
      <c r="F2615" s="96" t="s">
        <v>1098</v>
      </c>
      <c r="G2615" s="96" t="s">
        <v>1454</v>
      </c>
      <c r="H2615" s="175">
        <v>2.1000000000000001E-2</v>
      </c>
      <c r="O2615" s="175" t="s">
        <v>20696</v>
      </c>
      <c r="P2615" s="175" t="s">
        <v>20697</v>
      </c>
      <c r="Q2615" s="175">
        <v>416238.72</v>
      </c>
      <c r="R2615" s="175">
        <v>6203582.9900000002</v>
      </c>
      <c r="S2615" s="175" t="s">
        <v>20698</v>
      </c>
      <c r="T2615" s="175" t="s">
        <v>20699</v>
      </c>
      <c r="U2615" s="175">
        <v>416252.55</v>
      </c>
      <c r="V2615" s="175">
        <v>6203559.3300000001</v>
      </c>
      <c r="W2615" s="175">
        <v>250.27</v>
      </c>
      <c r="X2615" s="175">
        <v>150.05000000000001</v>
      </c>
    </row>
    <row r="2616" spans="1:24" x14ac:dyDescent="0.25">
      <c r="A2616" s="148">
        <v>45108</v>
      </c>
      <c r="B2616" s="46">
        <v>182</v>
      </c>
      <c r="C2616" s="149">
        <v>0.52649305555555559</v>
      </c>
      <c r="D2616" s="38" t="s">
        <v>17961</v>
      </c>
      <c r="E2616" s="7" t="s">
        <v>70</v>
      </c>
      <c r="F2616" s="38" t="s">
        <v>1098</v>
      </c>
      <c r="G2616" s="38" t="s">
        <v>1454</v>
      </c>
      <c r="H2616">
        <v>-2.1000000000000001E-2</v>
      </c>
      <c r="I2616" t="s">
        <v>20693</v>
      </c>
      <c r="J2616" t="s">
        <v>20694</v>
      </c>
      <c r="K2616" t="s">
        <v>20695</v>
      </c>
      <c r="L2616" t="s">
        <v>20688</v>
      </c>
      <c r="O2616" t="s">
        <v>20701</v>
      </c>
      <c r="P2616" t="s">
        <v>20702</v>
      </c>
      <c r="Q2616">
        <v>416197.2</v>
      </c>
      <c r="R2616">
        <v>6203567.0300000003</v>
      </c>
      <c r="S2616" t="s">
        <v>20703</v>
      </c>
      <c r="T2616" t="s">
        <v>20704</v>
      </c>
      <c r="U2616">
        <v>416213.92</v>
      </c>
      <c r="V2616">
        <v>6203545.3799999999</v>
      </c>
      <c r="W2616">
        <v>249.55</v>
      </c>
      <c r="X2616">
        <v>150.05000000000001</v>
      </c>
    </row>
    <row r="2617" spans="1:24" x14ac:dyDescent="0.25">
      <c r="A2617" s="148">
        <v>45108</v>
      </c>
      <c r="B2617" s="46">
        <v>182</v>
      </c>
      <c r="C2617" s="149">
        <v>0.53065972222222224</v>
      </c>
      <c r="D2617" s="38" t="s">
        <v>17961</v>
      </c>
      <c r="E2617" s="7" t="s">
        <v>65</v>
      </c>
      <c r="F2617" s="38" t="s">
        <v>1098</v>
      </c>
      <c r="G2617" s="38" t="s">
        <v>1455</v>
      </c>
      <c r="H2617">
        <v>-1.6E-2</v>
      </c>
      <c r="I2617" t="s">
        <v>20709</v>
      </c>
      <c r="J2617" t="s">
        <v>20710</v>
      </c>
      <c r="K2617" t="s">
        <v>20711</v>
      </c>
      <c r="L2617" t="s">
        <v>20712</v>
      </c>
      <c r="O2617" t="s">
        <v>20705</v>
      </c>
      <c r="P2617" t="s">
        <v>20706</v>
      </c>
      <c r="Q2617">
        <v>416190.35</v>
      </c>
      <c r="R2617">
        <v>6203574.6500000004</v>
      </c>
      <c r="S2617" t="s">
        <v>20707</v>
      </c>
      <c r="T2617" t="s">
        <v>20708</v>
      </c>
      <c r="U2617">
        <v>416204.92</v>
      </c>
      <c r="V2617">
        <v>6203551.6900000004</v>
      </c>
      <c r="W2617">
        <v>69.23</v>
      </c>
      <c r="X2617">
        <v>150.05000000000001</v>
      </c>
    </row>
    <row r="2618" spans="1:24" x14ac:dyDescent="0.25">
      <c r="A2618" s="148">
        <v>45108</v>
      </c>
      <c r="B2618" s="46">
        <v>182</v>
      </c>
      <c r="C2618" s="149">
        <v>0.53364583333333326</v>
      </c>
      <c r="D2618" s="38" t="s">
        <v>17961</v>
      </c>
      <c r="E2618" s="7" t="s">
        <v>70</v>
      </c>
      <c r="F2618" s="38" t="s">
        <v>1098</v>
      </c>
      <c r="G2618" s="38" t="s">
        <v>1455</v>
      </c>
      <c r="H2618">
        <v>0.17100000000000001</v>
      </c>
      <c r="I2618" t="s">
        <v>20709</v>
      </c>
      <c r="J2618" t="s">
        <v>20710</v>
      </c>
      <c r="K2618" t="s">
        <v>20711</v>
      </c>
      <c r="L2618" t="s">
        <v>20712</v>
      </c>
      <c r="O2618" t="s">
        <v>20713</v>
      </c>
      <c r="P2618" t="s">
        <v>20714</v>
      </c>
      <c r="Q2618">
        <v>416363.7</v>
      </c>
      <c r="R2618">
        <v>6203636.5099999998</v>
      </c>
      <c r="S2618" t="s">
        <v>20715</v>
      </c>
      <c r="T2618" t="s">
        <v>20716</v>
      </c>
      <c r="U2618">
        <v>416380.08</v>
      </c>
      <c r="V2618">
        <v>6203615.3799999999</v>
      </c>
      <c r="W2618">
        <v>69.86</v>
      </c>
      <c r="X2618">
        <v>150.05000000000001</v>
      </c>
    </row>
    <row r="2619" spans="1:24" x14ac:dyDescent="0.25">
      <c r="A2619" s="148">
        <v>45108</v>
      </c>
      <c r="B2619" s="46">
        <v>182</v>
      </c>
      <c r="C2619" s="149">
        <v>0.53636574074074073</v>
      </c>
      <c r="D2619" s="38" t="s">
        <v>17961</v>
      </c>
      <c r="E2619" s="7" t="s">
        <v>65</v>
      </c>
      <c r="F2619" s="38" t="s">
        <v>1098</v>
      </c>
      <c r="G2619" s="38" t="s">
        <v>1456</v>
      </c>
      <c r="H2619">
        <v>0.16500000000000001</v>
      </c>
      <c r="I2619" t="s">
        <v>20721</v>
      </c>
      <c r="J2619" t="s">
        <v>20722</v>
      </c>
      <c r="K2619" t="s">
        <v>20723</v>
      </c>
      <c r="L2619" t="s">
        <v>20712</v>
      </c>
      <c r="O2619" t="s">
        <v>20717</v>
      </c>
      <c r="P2619" t="s">
        <v>20718</v>
      </c>
      <c r="Q2619">
        <v>416364.18</v>
      </c>
      <c r="R2619">
        <v>6203648.6200000001</v>
      </c>
      <c r="S2619" t="s">
        <v>20719</v>
      </c>
      <c r="T2619" t="s">
        <v>20720</v>
      </c>
      <c r="U2619">
        <v>416382.11</v>
      </c>
      <c r="V2619">
        <v>6203625.71</v>
      </c>
      <c r="W2619">
        <v>251.67</v>
      </c>
      <c r="X2619">
        <v>150.05000000000001</v>
      </c>
    </row>
    <row r="2620" spans="1:24" x14ac:dyDescent="0.25">
      <c r="A2620" s="148">
        <v>45108</v>
      </c>
      <c r="B2620" s="46">
        <v>182</v>
      </c>
      <c r="C2620" s="149">
        <v>0.53935185185185186</v>
      </c>
      <c r="D2620" s="38" t="s">
        <v>17961</v>
      </c>
      <c r="E2620" s="7" t="s">
        <v>70</v>
      </c>
      <c r="F2620" s="38" t="s">
        <v>1098</v>
      </c>
      <c r="G2620" s="38" t="s">
        <v>1456</v>
      </c>
      <c r="H2620">
        <v>-0.02</v>
      </c>
      <c r="I2620" t="s">
        <v>20721</v>
      </c>
      <c r="J2620" t="s">
        <v>20722</v>
      </c>
      <c r="K2620" t="s">
        <v>20723</v>
      </c>
      <c r="L2620" t="s">
        <v>20728</v>
      </c>
      <c r="O2620" t="s">
        <v>20724</v>
      </c>
      <c r="P2620" t="s">
        <v>20725</v>
      </c>
      <c r="Q2620">
        <v>416192.4</v>
      </c>
      <c r="R2620">
        <v>6203585.1799999997</v>
      </c>
      <c r="S2620" t="s">
        <v>20726</v>
      </c>
      <c r="T2620" t="s">
        <v>20727</v>
      </c>
      <c r="U2620">
        <v>416208.31</v>
      </c>
      <c r="V2620">
        <v>6203562.4800000004</v>
      </c>
      <c r="W2620">
        <v>249.35</v>
      </c>
      <c r="X2620">
        <v>150.05000000000001</v>
      </c>
    </row>
    <row r="2621" spans="1:24" x14ac:dyDescent="0.25">
      <c r="A2621" s="148">
        <v>45108</v>
      </c>
      <c r="B2621" s="46">
        <v>182</v>
      </c>
      <c r="C2621" s="149">
        <v>0.54237268518518522</v>
      </c>
      <c r="D2621" s="38" t="s">
        <v>17961</v>
      </c>
      <c r="E2621" s="7" t="s">
        <v>65</v>
      </c>
      <c r="F2621" s="38" t="s">
        <v>1098</v>
      </c>
      <c r="G2621" s="38" t="s">
        <v>1457</v>
      </c>
      <c r="H2621">
        <v>-1.4999999999999999E-2</v>
      </c>
      <c r="I2621" t="s">
        <v>20733</v>
      </c>
      <c r="J2621" t="s">
        <v>20734</v>
      </c>
      <c r="K2621" t="s">
        <v>20735</v>
      </c>
      <c r="L2621" t="s">
        <v>20728</v>
      </c>
      <c r="O2621" t="s">
        <v>20729</v>
      </c>
      <c r="P2621" t="s">
        <v>20730</v>
      </c>
      <c r="Q2621">
        <v>416190.58</v>
      </c>
      <c r="R2621">
        <v>6203594</v>
      </c>
      <c r="S2621" t="s">
        <v>20731</v>
      </c>
      <c r="T2621" t="s">
        <v>20732</v>
      </c>
      <c r="U2621">
        <v>416199.06</v>
      </c>
      <c r="V2621">
        <v>6203568.6699999999</v>
      </c>
      <c r="W2621">
        <v>69.41</v>
      </c>
      <c r="X2621">
        <v>150.05000000000001</v>
      </c>
    </row>
    <row r="2622" spans="1:24" x14ac:dyDescent="0.25">
      <c r="A2622" s="148">
        <v>45108</v>
      </c>
      <c r="B2622" s="46">
        <v>182</v>
      </c>
      <c r="C2622" s="149">
        <v>0.54533564814814817</v>
      </c>
      <c r="D2622" s="38" t="s">
        <v>17961</v>
      </c>
      <c r="E2622" s="7" t="s">
        <v>70</v>
      </c>
      <c r="F2622" s="38" t="s">
        <v>1098</v>
      </c>
      <c r="G2622" s="38" t="s">
        <v>1457</v>
      </c>
      <c r="H2622">
        <v>0.17</v>
      </c>
      <c r="I2622" t="s">
        <v>20733</v>
      </c>
      <c r="J2622" t="s">
        <v>20734</v>
      </c>
      <c r="K2622" t="s">
        <v>20735</v>
      </c>
      <c r="L2622" t="s">
        <v>20728</v>
      </c>
      <c r="O2622" t="s">
        <v>20736</v>
      </c>
      <c r="P2622" t="s">
        <v>20737</v>
      </c>
      <c r="Q2622">
        <v>416362.88</v>
      </c>
      <c r="R2622">
        <v>6203656.3099999996</v>
      </c>
      <c r="S2622" t="s">
        <v>20738</v>
      </c>
      <c r="T2622" t="s">
        <v>20739</v>
      </c>
      <c r="U2622">
        <v>416373.28</v>
      </c>
      <c r="V2622">
        <v>6203632.0199999996</v>
      </c>
      <c r="W2622">
        <v>69.930000000000007</v>
      </c>
      <c r="X2622">
        <v>150.05000000000001</v>
      </c>
    </row>
    <row r="2623" spans="1:24" x14ac:dyDescent="0.25">
      <c r="A2623" s="148">
        <v>45108</v>
      </c>
      <c r="B2623" s="46">
        <v>182</v>
      </c>
      <c r="C2623" s="149">
        <v>0.54821759259259262</v>
      </c>
      <c r="D2623" s="38" t="s">
        <v>17961</v>
      </c>
      <c r="E2623" s="7" t="s">
        <v>65</v>
      </c>
      <c r="F2623" s="38" t="s">
        <v>1098</v>
      </c>
      <c r="G2623" s="38" t="s">
        <v>1458</v>
      </c>
      <c r="H2623">
        <v>0.16500000000000001</v>
      </c>
      <c r="I2623" t="s">
        <v>20744</v>
      </c>
      <c r="J2623" t="s">
        <v>20745</v>
      </c>
      <c r="K2623" t="s">
        <v>20746</v>
      </c>
      <c r="L2623" t="s">
        <v>20728</v>
      </c>
      <c r="O2623" t="s">
        <v>20740</v>
      </c>
      <c r="P2623" t="s">
        <v>20741</v>
      </c>
      <c r="Q2623">
        <v>416353.85</v>
      </c>
      <c r="R2623">
        <v>6203663.8899999997</v>
      </c>
      <c r="S2623" t="s">
        <v>20742</v>
      </c>
      <c r="T2623" t="s">
        <v>20743</v>
      </c>
      <c r="U2623">
        <v>416376.2</v>
      </c>
      <c r="V2623">
        <v>6203642.75</v>
      </c>
      <c r="W2623">
        <v>251.02</v>
      </c>
      <c r="X2623">
        <v>150.05000000000001</v>
      </c>
    </row>
    <row r="2624" spans="1:24" x14ac:dyDescent="0.25">
      <c r="A2624" s="148">
        <v>45108</v>
      </c>
      <c r="B2624" s="46">
        <v>182</v>
      </c>
      <c r="C2624" s="149">
        <v>0.55114583333333333</v>
      </c>
      <c r="D2624" s="38" t="s">
        <v>17961</v>
      </c>
      <c r="E2624" s="7" t="s">
        <v>70</v>
      </c>
      <c r="F2624" s="38" t="s">
        <v>1098</v>
      </c>
      <c r="G2624" s="38" t="s">
        <v>1458</v>
      </c>
      <c r="H2624">
        <v>-0.02</v>
      </c>
      <c r="I2624" t="s">
        <v>20744</v>
      </c>
      <c r="J2624" t="s">
        <v>20745</v>
      </c>
      <c r="K2624" t="s">
        <v>20746</v>
      </c>
      <c r="L2624" t="s">
        <v>20751</v>
      </c>
      <c r="O2624" t="s">
        <v>20747</v>
      </c>
      <c r="P2624" t="s">
        <v>20748</v>
      </c>
      <c r="Q2624">
        <v>416183.77</v>
      </c>
      <c r="R2624">
        <v>6203600.5800000001</v>
      </c>
      <c r="S2624" t="s">
        <v>20749</v>
      </c>
      <c r="T2624" t="s">
        <v>20750</v>
      </c>
      <c r="U2624">
        <v>416201.82</v>
      </c>
      <c r="V2624">
        <v>6203579.3200000003</v>
      </c>
      <c r="W2624">
        <v>250.42</v>
      </c>
      <c r="X2624">
        <v>150.05000000000001</v>
      </c>
    </row>
    <row r="2625" spans="1:24" x14ac:dyDescent="0.25">
      <c r="A2625" s="148">
        <v>45108</v>
      </c>
      <c r="B2625" s="46">
        <v>182</v>
      </c>
      <c r="C2625" s="149">
        <v>0.55386574074074069</v>
      </c>
      <c r="D2625" s="38" t="s">
        <v>17961</v>
      </c>
      <c r="E2625" s="7" t="s">
        <v>65</v>
      </c>
      <c r="F2625" s="38" t="s">
        <v>1098</v>
      </c>
      <c r="G2625" s="38" t="s">
        <v>1459</v>
      </c>
      <c r="H2625">
        <v>-1.6E-2</v>
      </c>
      <c r="I2625" t="s">
        <v>20757</v>
      </c>
      <c r="J2625" t="s">
        <v>20758</v>
      </c>
      <c r="K2625" t="s">
        <v>20759</v>
      </c>
      <c r="L2625" t="s">
        <v>20751</v>
      </c>
      <c r="O2625" t="s">
        <v>20753</v>
      </c>
      <c r="P2625" t="s">
        <v>20754</v>
      </c>
      <c r="Q2625">
        <v>416175.41</v>
      </c>
      <c r="R2625">
        <v>6203607.1100000003</v>
      </c>
      <c r="S2625" t="s">
        <v>20755</v>
      </c>
      <c r="T2625" t="s">
        <v>20756</v>
      </c>
      <c r="U2625">
        <v>416192.57</v>
      </c>
      <c r="V2625">
        <v>6203585.5599999996</v>
      </c>
      <c r="W2625">
        <v>71.94</v>
      </c>
      <c r="X2625">
        <v>150.05000000000001</v>
      </c>
    </row>
    <row r="2626" spans="1:24" x14ac:dyDescent="0.25">
      <c r="A2626" s="148">
        <v>45108</v>
      </c>
      <c r="B2626" s="46">
        <v>182</v>
      </c>
      <c r="C2626" s="149">
        <v>0.55684027777777778</v>
      </c>
      <c r="D2626" s="38" t="s">
        <v>17961</v>
      </c>
      <c r="E2626" s="7" t="s">
        <v>70</v>
      </c>
      <c r="F2626" s="38" t="s">
        <v>1098</v>
      </c>
      <c r="G2626" s="38" t="s">
        <v>1459</v>
      </c>
      <c r="H2626">
        <v>0.17</v>
      </c>
      <c r="I2626" t="s">
        <v>20757</v>
      </c>
      <c r="J2626" t="s">
        <v>20758</v>
      </c>
      <c r="K2626" t="s">
        <v>20759</v>
      </c>
      <c r="L2626" t="s">
        <v>20751</v>
      </c>
      <c r="O2626" t="s">
        <v>20761</v>
      </c>
      <c r="P2626" t="s">
        <v>20762</v>
      </c>
      <c r="Q2626">
        <v>416347.6</v>
      </c>
      <c r="R2626">
        <v>6203670.0199999996</v>
      </c>
      <c r="S2626" t="s">
        <v>20763</v>
      </c>
      <c r="T2626" t="s">
        <v>20764</v>
      </c>
      <c r="U2626">
        <v>416367.07</v>
      </c>
      <c r="V2626">
        <v>6203648.9199999999</v>
      </c>
      <c r="W2626">
        <v>69.260000000000005</v>
      </c>
      <c r="X2626">
        <v>150.05000000000001</v>
      </c>
    </row>
    <row r="2627" spans="1:24" x14ac:dyDescent="0.25">
      <c r="A2627" s="148">
        <v>45108</v>
      </c>
      <c r="B2627" s="46">
        <v>182</v>
      </c>
      <c r="C2627" s="149">
        <v>0.56112268518518515</v>
      </c>
      <c r="D2627" s="38" t="s">
        <v>17961</v>
      </c>
      <c r="E2627" s="7" t="s">
        <v>20770</v>
      </c>
      <c r="F2627" s="38" t="s">
        <v>1098</v>
      </c>
      <c r="G2627" s="38" t="s">
        <v>1459</v>
      </c>
      <c r="H2627">
        <v>0.20200000000000001</v>
      </c>
      <c r="O2627" t="s">
        <v>20766</v>
      </c>
      <c r="P2627" t="s">
        <v>20767</v>
      </c>
      <c r="Q2627">
        <v>416393.45</v>
      </c>
      <c r="R2627">
        <v>6203686.6100000003</v>
      </c>
      <c r="S2627" t="s">
        <v>20768</v>
      </c>
      <c r="T2627" t="s">
        <v>20769</v>
      </c>
      <c r="U2627">
        <v>416395.75</v>
      </c>
      <c r="V2627">
        <v>6203674.4400000004</v>
      </c>
      <c r="W2627">
        <v>143.69999999999999</v>
      </c>
      <c r="X2627">
        <v>150.05000000000001</v>
      </c>
    </row>
    <row r="2628" spans="1:24" x14ac:dyDescent="0.25">
      <c r="A2628" s="148">
        <v>45108</v>
      </c>
      <c r="B2628" s="46">
        <v>182</v>
      </c>
      <c r="C2628" s="149">
        <v>0.56460648148148151</v>
      </c>
      <c r="D2628" s="38" t="s">
        <v>17961</v>
      </c>
      <c r="E2628" s="152" t="s">
        <v>20765</v>
      </c>
      <c r="F2628" s="38" t="s">
        <v>1098</v>
      </c>
      <c r="G2628" s="38" t="s">
        <v>1459</v>
      </c>
      <c r="H2628">
        <v>4.8000000000000001E-2</v>
      </c>
      <c r="O2628" t="s">
        <v>20771</v>
      </c>
      <c r="P2628" t="s">
        <v>20772</v>
      </c>
      <c r="Q2628">
        <v>416281.03</v>
      </c>
      <c r="R2628">
        <v>6203511.6200000001</v>
      </c>
      <c r="S2628" t="s">
        <v>20773</v>
      </c>
      <c r="T2628" t="s">
        <v>20774</v>
      </c>
      <c r="U2628">
        <v>416290.15</v>
      </c>
      <c r="V2628">
        <v>6203505.4000000004</v>
      </c>
      <c r="W2628">
        <v>97.03</v>
      </c>
      <c r="X2628">
        <v>150.05000000000001</v>
      </c>
    </row>
    <row r="2629" spans="1:24" x14ac:dyDescent="0.25">
      <c r="A2629" s="148">
        <v>45108</v>
      </c>
      <c r="B2629" s="46">
        <v>182</v>
      </c>
      <c r="C2629" s="149">
        <v>0.57231481481481483</v>
      </c>
      <c r="D2629" s="38" t="s">
        <v>17961</v>
      </c>
      <c r="E2629" s="7" t="s">
        <v>6102</v>
      </c>
      <c r="F2629" s="38" t="s">
        <v>1098</v>
      </c>
      <c r="G2629" s="38" t="s">
        <v>1312</v>
      </c>
      <c r="H2629">
        <v>0.215</v>
      </c>
      <c r="O2629" t="s">
        <v>20775</v>
      </c>
      <c r="P2629" t="s">
        <v>20776</v>
      </c>
      <c r="Q2629">
        <v>416081.06</v>
      </c>
      <c r="R2629">
        <v>6202635.9299999997</v>
      </c>
      <c r="S2629" t="s">
        <v>20777</v>
      </c>
      <c r="T2629" t="s">
        <v>20778</v>
      </c>
      <c r="U2629">
        <v>416089.02</v>
      </c>
      <c r="V2629">
        <v>6202629.4199999999</v>
      </c>
      <c r="W2629">
        <v>97.83</v>
      </c>
      <c r="X2629">
        <v>200.06</v>
      </c>
    </row>
    <row r="2630" spans="1:24" s="169" customFormat="1" x14ac:dyDescent="0.25">
      <c r="A2630" s="65">
        <v>45108</v>
      </c>
      <c r="B2630" s="106">
        <v>182</v>
      </c>
      <c r="C2630" s="67">
        <v>0.58067129629629632</v>
      </c>
      <c r="D2630" s="66" t="s">
        <v>17961</v>
      </c>
      <c r="E2630" s="170" t="s">
        <v>20784</v>
      </c>
      <c r="F2630" s="66" t="s">
        <v>1098</v>
      </c>
      <c r="G2630" s="66" t="s">
        <v>1312</v>
      </c>
      <c r="H2630" s="169">
        <v>0.245</v>
      </c>
      <c r="M2630" s="169" t="s">
        <v>20779</v>
      </c>
      <c r="O2630" s="169" t="s">
        <v>20780</v>
      </c>
      <c r="P2630" s="169" t="s">
        <v>20781</v>
      </c>
      <c r="Q2630" s="169">
        <v>416134.14</v>
      </c>
      <c r="R2630" s="169">
        <v>6202634.9100000001</v>
      </c>
      <c r="S2630" s="169" t="s">
        <v>20782</v>
      </c>
      <c r="T2630" s="169" t="s">
        <v>20783</v>
      </c>
      <c r="U2630" s="169">
        <v>416139.89</v>
      </c>
      <c r="V2630" s="169">
        <v>6202608.1399999997</v>
      </c>
      <c r="W2630" s="169">
        <v>250.77</v>
      </c>
      <c r="X2630" s="169">
        <v>200.06</v>
      </c>
    </row>
    <row r="2631" spans="1:24" x14ac:dyDescent="0.25">
      <c r="A2631" s="148">
        <v>45108</v>
      </c>
      <c r="B2631" s="46">
        <v>182</v>
      </c>
      <c r="C2631" s="149">
        <v>0.58442129629629636</v>
      </c>
      <c r="D2631" s="38" t="s">
        <v>17961</v>
      </c>
      <c r="E2631" s="7" t="s">
        <v>65</v>
      </c>
      <c r="F2631" s="38" t="s">
        <v>1098</v>
      </c>
      <c r="G2631" s="38" t="s">
        <v>1312</v>
      </c>
      <c r="H2631">
        <v>0.214</v>
      </c>
      <c r="I2631" t="s">
        <v>20789</v>
      </c>
      <c r="J2631" t="s">
        <v>20790</v>
      </c>
      <c r="K2631" t="s">
        <v>20791</v>
      </c>
      <c r="L2631" t="s">
        <v>20792</v>
      </c>
      <c r="O2631" t="s">
        <v>20785</v>
      </c>
      <c r="P2631" t="s">
        <v>20786</v>
      </c>
      <c r="Q2631">
        <v>416090.23</v>
      </c>
      <c r="R2631">
        <v>6202619.5899999999</v>
      </c>
      <c r="S2631" t="s">
        <v>20787</v>
      </c>
      <c r="T2631" t="s">
        <v>20788</v>
      </c>
      <c r="U2631">
        <v>416110.58</v>
      </c>
      <c r="V2631">
        <v>6202596.9100000001</v>
      </c>
      <c r="W2631">
        <v>251.93</v>
      </c>
      <c r="X2631">
        <v>200.06</v>
      </c>
    </row>
    <row r="2632" spans="1:24" x14ac:dyDescent="0.25">
      <c r="A2632" s="148">
        <v>45108</v>
      </c>
      <c r="B2632" s="46">
        <v>182</v>
      </c>
      <c r="C2632" s="149">
        <v>0.58819444444444446</v>
      </c>
      <c r="D2632" s="38" t="s">
        <v>17961</v>
      </c>
      <c r="E2632" s="7" t="s">
        <v>70</v>
      </c>
      <c r="F2632" s="38" t="s">
        <v>1098</v>
      </c>
      <c r="G2632" s="38" t="s">
        <v>1312</v>
      </c>
      <c r="H2632">
        <v>-2.1999999999999999E-2</v>
      </c>
      <c r="I2632" t="s">
        <v>20789</v>
      </c>
      <c r="J2632" t="s">
        <v>20790</v>
      </c>
      <c r="K2632" t="s">
        <v>20791</v>
      </c>
      <c r="L2632" t="s">
        <v>20792</v>
      </c>
      <c r="O2632" t="s">
        <v>20793</v>
      </c>
      <c r="P2632" t="s">
        <v>20794</v>
      </c>
      <c r="Q2632">
        <v>415868.92</v>
      </c>
      <c r="R2632">
        <v>6202537.5999999996</v>
      </c>
      <c r="S2632" t="s">
        <v>20795</v>
      </c>
      <c r="T2632" t="s">
        <v>20796</v>
      </c>
      <c r="U2632">
        <v>415889.55</v>
      </c>
      <c r="V2632">
        <v>6202516.6100000003</v>
      </c>
      <c r="W2632">
        <v>249.72</v>
      </c>
      <c r="X2632">
        <v>200.06</v>
      </c>
    </row>
    <row r="2633" spans="1:24" x14ac:dyDescent="0.25">
      <c r="A2633" s="148">
        <v>45108</v>
      </c>
      <c r="B2633" s="46">
        <v>182</v>
      </c>
      <c r="C2633" s="149">
        <v>0.59135416666666674</v>
      </c>
      <c r="D2633" s="38" t="s">
        <v>17961</v>
      </c>
      <c r="E2633" s="7" t="s">
        <v>65</v>
      </c>
      <c r="F2633" s="38" t="s">
        <v>1098</v>
      </c>
      <c r="G2633" s="38" t="s">
        <v>1311</v>
      </c>
      <c r="H2633">
        <v>-1.7000000000000001E-2</v>
      </c>
      <c r="I2633" t="s">
        <v>20801</v>
      </c>
      <c r="J2633" t="s">
        <v>20802</v>
      </c>
      <c r="K2633" t="s">
        <v>20803</v>
      </c>
      <c r="L2633" t="s">
        <v>20804</v>
      </c>
      <c r="O2633" t="s">
        <v>20797</v>
      </c>
      <c r="P2633" t="s">
        <v>20798</v>
      </c>
      <c r="Q2633">
        <v>415871.18</v>
      </c>
      <c r="R2633">
        <v>6202530.2699999996</v>
      </c>
      <c r="S2633" t="s">
        <v>20799</v>
      </c>
      <c r="T2633" t="s">
        <v>20800</v>
      </c>
      <c r="U2633">
        <v>415886.05</v>
      </c>
      <c r="V2633">
        <v>6202505.9000000004</v>
      </c>
      <c r="W2633">
        <v>69.510000000000005</v>
      </c>
      <c r="X2633">
        <v>200.06</v>
      </c>
    </row>
    <row r="2634" spans="1:24" x14ac:dyDescent="0.25">
      <c r="A2634" s="148">
        <v>45108</v>
      </c>
      <c r="B2634" s="46">
        <v>182</v>
      </c>
      <c r="C2634" s="149">
        <v>0.59512731481481485</v>
      </c>
      <c r="D2634" s="38" t="s">
        <v>17961</v>
      </c>
      <c r="E2634" s="7" t="s">
        <v>70</v>
      </c>
      <c r="F2634" s="38" t="s">
        <v>1098</v>
      </c>
      <c r="G2634" s="38" t="s">
        <v>1311</v>
      </c>
      <c r="H2634">
        <v>0.218</v>
      </c>
      <c r="I2634" t="s">
        <v>20801</v>
      </c>
      <c r="J2634" t="s">
        <v>20802</v>
      </c>
      <c r="K2634" t="s">
        <v>20803</v>
      </c>
      <c r="L2634" t="s">
        <v>20804</v>
      </c>
      <c r="O2634" t="s">
        <v>20805</v>
      </c>
      <c r="P2634" t="s">
        <v>20806</v>
      </c>
      <c r="Q2634">
        <v>416089.84</v>
      </c>
      <c r="R2634">
        <v>6202608.8399999999</v>
      </c>
      <c r="S2634" t="s">
        <v>20807</v>
      </c>
      <c r="T2634" t="s">
        <v>20808</v>
      </c>
      <c r="U2634">
        <v>416107.32</v>
      </c>
      <c r="V2634">
        <v>6202586.3099999996</v>
      </c>
      <c r="W2634">
        <v>69.86</v>
      </c>
      <c r="X2634">
        <v>200.06</v>
      </c>
    </row>
    <row r="2635" spans="1:24" x14ac:dyDescent="0.25">
      <c r="A2635" s="148">
        <v>45108</v>
      </c>
      <c r="B2635" s="46">
        <v>182</v>
      </c>
      <c r="C2635" s="149">
        <v>0.59795138888888888</v>
      </c>
      <c r="D2635" s="38" t="s">
        <v>17961</v>
      </c>
      <c r="E2635" s="7" t="s">
        <v>65</v>
      </c>
      <c r="F2635" s="38" t="s">
        <v>1098</v>
      </c>
      <c r="G2635" s="38" t="s">
        <v>1310</v>
      </c>
      <c r="H2635">
        <v>0.21299999999999999</v>
      </c>
      <c r="I2635" t="s">
        <v>20813</v>
      </c>
      <c r="J2635" t="s">
        <v>20814</v>
      </c>
      <c r="K2635" t="s">
        <v>20815</v>
      </c>
      <c r="L2635" t="s">
        <v>20804</v>
      </c>
      <c r="O2635" t="s">
        <v>20809</v>
      </c>
      <c r="P2635" t="s">
        <v>20810</v>
      </c>
      <c r="Q2635">
        <v>416096.45</v>
      </c>
      <c r="R2635">
        <v>6202603.21</v>
      </c>
      <c r="S2635" t="s">
        <v>20811</v>
      </c>
      <c r="T2635" t="s">
        <v>20812</v>
      </c>
      <c r="U2635">
        <v>416116.14</v>
      </c>
      <c r="V2635">
        <v>6202579.9500000002</v>
      </c>
      <c r="W2635">
        <v>252.49</v>
      </c>
      <c r="X2635">
        <v>200.06</v>
      </c>
    </row>
    <row r="2636" spans="1:24" x14ac:dyDescent="0.25">
      <c r="A2636" s="148">
        <v>45108</v>
      </c>
      <c r="B2636" s="46">
        <v>182</v>
      </c>
      <c r="C2636" s="149">
        <v>0.60168981481481476</v>
      </c>
      <c r="D2636" s="38" t="s">
        <v>17961</v>
      </c>
      <c r="E2636" s="7" t="s">
        <v>70</v>
      </c>
      <c r="F2636" s="38" t="s">
        <v>1098</v>
      </c>
      <c r="G2636" s="38" t="s">
        <v>1310</v>
      </c>
      <c r="H2636">
        <v>-2.3E-2</v>
      </c>
      <c r="I2636" t="s">
        <v>20813</v>
      </c>
      <c r="J2636" t="s">
        <v>20814</v>
      </c>
      <c r="K2636" t="s">
        <v>20815</v>
      </c>
      <c r="L2636" t="s">
        <v>20820</v>
      </c>
      <c r="O2636" t="s">
        <v>20816</v>
      </c>
      <c r="P2636" t="s">
        <v>20817</v>
      </c>
      <c r="Q2636">
        <v>415879.71</v>
      </c>
      <c r="R2636">
        <v>6202522.4199999999</v>
      </c>
      <c r="S2636" t="s">
        <v>20818</v>
      </c>
      <c r="T2636" t="s">
        <v>20819</v>
      </c>
      <c r="U2636">
        <v>415894.13</v>
      </c>
      <c r="V2636">
        <v>6202499.2199999997</v>
      </c>
      <c r="W2636">
        <v>250.16</v>
      </c>
      <c r="X2636">
        <v>200.06</v>
      </c>
    </row>
    <row r="2637" spans="1:24" x14ac:dyDescent="0.25">
      <c r="A2637" s="148">
        <v>45108</v>
      </c>
      <c r="B2637" s="46">
        <v>182</v>
      </c>
      <c r="C2637" s="149">
        <v>0.60491898148148149</v>
      </c>
      <c r="D2637" s="38" t="s">
        <v>17961</v>
      </c>
      <c r="E2637" s="7" t="s">
        <v>65</v>
      </c>
      <c r="F2637" s="38" t="s">
        <v>1098</v>
      </c>
      <c r="G2637" s="38" t="s">
        <v>1309</v>
      </c>
      <c r="H2637">
        <v>-1.9E-2</v>
      </c>
      <c r="I2637" t="s">
        <v>20825</v>
      </c>
      <c r="J2637" t="s">
        <v>20826</v>
      </c>
      <c r="K2637" t="s">
        <v>20827</v>
      </c>
      <c r="L2637" t="s">
        <v>20820</v>
      </c>
      <c r="O2637" t="s">
        <v>20821</v>
      </c>
      <c r="P2637" t="s">
        <v>20822</v>
      </c>
      <c r="Q2637">
        <v>415879.72</v>
      </c>
      <c r="R2637">
        <v>6202513.2199999997</v>
      </c>
      <c r="S2637" t="s">
        <v>20823</v>
      </c>
      <c r="T2637" t="s">
        <v>20824</v>
      </c>
      <c r="U2637">
        <v>415891.16</v>
      </c>
      <c r="V2637">
        <v>6202488.5300000003</v>
      </c>
      <c r="W2637">
        <v>68.58</v>
      </c>
      <c r="X2637">
        <v>200.06</v>
      </c>
    </row>
    <row r="2638" spans="1:24" x14ac:dyDescent="0.25">
      <c r="A2638" s="148">
        <v>45108</v>
      </c>
      <c r="B2638" s="46">
        <v>182</v>
      </c>
      <c r="C2638" s="149">
        <v>0.60865740740740748</v>
      </c>
      <c r="D2638" s="38" t="s">
        <v>17961</v>
      </c>
      <c r="E2638" s="7" t="s">
        <v>70</v>
      </c>
      <c r="F2638" s="38" t="s">
        <v>1098</v>
      </c>
      <c r="G2638" s="38" t="s">
        <v>1309</v>
      </c>
      <c r="H2638">
        <v>0.217</v>
      </c>
      <c r="I2638" t="s">
        <v>20825</v>
      </c>
      <c r="J2638" t="s">
        <v>20826</v>
      </c>
      <c r="K2638" t="s">
        <v>20827</v>
      </c>
      <c r="L2638" t="s">
        <v>20820</v>
      </c>
      <c r="O2638" t="s">
        <v>20828</v>
      </c>
      <c r="P2638" t="s">
        <v>20829</v>
      </c>
      <c r="Q2638">
        <v>416096.87</v>
      </c>
      <c r="R2638">
        <v>6202591.8700000001</v>
      </c>
      <c r="S2638" t="s">
        <v>20830</v>
      </c>
      <c r="T2638" t="s">
        <v>20831</v>
      </c>
      <c r="U2638">
        <v>416112.4</v>
      </c>
      <c r="V2638">
        <v>6202569.0499999998</v>
      </c>
      <c r="W2638">
        <v>69.53</v>
      </c>
      <c r="X2638">
        <v>200.06</v>
      </c>
    </row>
    <row r="2639" spans="1:24" x14ac:dyDescent="0.25">
      <c r="A2639" s="148">
        <v>45108</v>
      </c>
      <c r="B2639" s="46">
        <v>182</v>
      </c>
      <c r="C2639" s="149">
        <v>0.61155092592592586</v>
      </c>
      <c r="D2639" s="38" t="s">
        <v>17961</v>
      </c>
      <c r="E2639" s="7" t="s">
        <v>65</v>
      </c>
      <c r="F2639" s="38" t="s">
        <v>1098</v>
      </c>
      <c r="G2639" s="38" t="s">
        <v>1308</v>
      </c>
      <c r="H2639">
        <v>0.21099999999999999</v>
      </c>
      <c r="I2639" t="s">
        <v>20836</v>
      </c>
      <c r="J2639" t="s">
        <v>20837</v>
      </c>
      <c r="K2639" t="s">
        <v>20838</v>
      </c>
      <c r="L2639" t="s">
        <v>20820</v>
      </c>
      <c r="O2639" t="s">
        <v>20832</v>
      </c>
      <c r="P2639" t="s">
        <v>20833</v>
      </c>
      <c r="Q2639">
        <v>416107</v>
      </c>
      <c r="R2639">
        <v>6202585.8700000001</v>
      </c>
      <c r="S2639" t="s">
        <v>20834</v>
      </c>
      <c r="T2639" t="s">
        <v>20835</v>
      </c>
      <c r="U2639">
        <v>416120.82</v>
      </c>
      <c r="V2639">
        <v>6202562.4699999997</v>
      </c>
      <c r="W2639">
        <v>251.17</v>
      </c>
      <c r="X2639">
        <v>200.06</v>
      </c>
    </row>
    <row r="2640" spans="1:24" x14ac:dyDescent="0.25">
      <c r="A2640" s="148">
        <v>45108</v>
      </c>
      <c r="B2640" s="46">
        <v>182</v>
      </c>
      <c r="C2640" s="149">
        <v>0.61531250000000004</v>
      </c>
      <c r="D2640" s="38" t="s">
        <v>17961</v>
      </c>
      <c r="E2640" s="7" t="s">
        <v>70</v>
      </c>
      <c r="F2640" s="38" t="s">
        <v>1098</v>
      </c>
      <c r="G2640" s="38" t="s">
        <v>1308</v>
      </c>
      <c r="H2640">
        <v>-2.4E-2</v>
      </c>
      <c r="I2640" t="s">
        <v>20836</v>
      </c>
      <c r="J2640" t="s">
        <v>20837</v>
      </c>
      <c r="K2640" t="s">
        <v>20838</v>
      </c>
      <c r="L2640" t="s">
        <v>20843</v>
      </c>
      <c r="O2640" t="s">
        <v>20839</v>
      </c>
      <c r="P2640" t="s">
        <v>20840</v>
      </c>
      <c r="Q2640">
        <v>415888.79</v>
      </c>
      <c r="R2640">
        <v>6202505.9900000002</v>
      </c>
      <c r="S2640" t="s">
        <v>20841</v>
      </c>
      <c r="T2640" t="s">
        <v>20842</v>
      </c>
      <c r="U2640">
        <v>415899.6</v>
      </c>
      <c r="V2640">
        <v>6202481.96</v>
      </c>
      <c r="W2640">
        <v>249.85</v>
      </c>
      <c r="X2640">
        <v>200.06</v>
      </c>
    </row>
    <row r="2641" spans="1:24" x14ac:dyDescent="0.25">
      <c r="A2641" s="148">
        <v>45108</v>
      </c>
      <c r="B2641" s="46">
        <v>182</v>
      </c>
      <c r="C2641" s="149">
        <v>0.61840277777777775</v>
      </c>
      <c r="D2641" s="38" t="s">
        <v>17961</v>
      </c>
      <c r="E2641" s="7" t="s">
        <v>65</v>
      </c>
      <c r="F2641" s="38" t="s">
        <v>1098</v>
      </c>
      <c r="G2641" s="38" t="s">
        <v>1307</v>
      </c>
      <c r="H2641">
        <v>-1.9E-2</v>
      </c>
      <c r="I2641" t="s">
        <v>20848</v>
      </c>
      <c r="J2641" t="s">
        <v>20849</v>
      </c>
      <c r="K2641" t="s">
        <v>20850</v>
      </c>
      <c r="L2641" t="s">
        <v>20843</v>
      </c>
      <c r="O2641" t="s">
        <v>20844</v>
      </c>
      <c r="P2641" t="s">
        <v>20845</v>
      </c>
      <c r="Q2641">
        <v>415893.47</v>
      </c>
      <c r="R2641">
        <v>6202498.6699999999</v>
      </c>
      <c r="S2641" t="s">
        <v>20846</v>
      </c>
      <c r="T2641" t="s">
        <v>20847</v>
      </c>
      <c r="U2641">
        <v>415896.88</v>
      </c>
      <c r="V2641">
        <v>6202471.7999999998</v>
      </c>
      <c r="W2641">
        <v>70.77</v>
      </c>
      <c r="X2641">
        <v>200.06</v>
      </c>
    </row>
    <row r="2642" spans="1:24" x14ac:dyDescent="0.25">
      <c r="A2642" s="148">
        <v>45108</v>
      </c>
      <c r="B2642" s="46">
        <v>182</v>
      </c>
      <c r="C2642" s="149">
        <v>0.62217592592592597</v>
      </c>
      <c r="D2642" s="38" t="s">
        <v>17961</v>
      </c>
      <c r="E2642" s="7" t="s">
        <v>70</v>
      </c>
      <c r="F2642" s="38" t="s">
        <v>1098</v>
      </c>
      <c r="G2642" s="38" t="s">
        <v>1307</v>
      </c>
      <c r="H2642">
        <v>0.217</v>
      </c>
      <c r="I2642" t="s">
        <v>20848</v>
      </c>
      <c r="J2642" t="s">
        <v>20849</v>
      </c>
      <c r="K2642" t="s">
        <v>20850</v>
      </c>
      <c r="L2642" t="s">
        <v>20843</v>
      </c>
      <c r="O2642" t="s">
        <v>20851</v>
      </c>
      <c r="P2642" t="s">
        <v>20852</v>
      </c>
      <c r="Q2642">
        <v>416113.25</v>
      </c>
      <c r="R2642">
        <v>6202577.3799999999</v>
      </c>
      <c r="S2642" t="s">
        <v>20853</v>
      </c>
      <c r="T2642" t="s">
        <v>20854</v>
      </c>
      <c r="U2642">
        <v>416118.26</v>
      </c>
      <c r="V2642">
        <v>6202552.2400000002</v>
      </c>
      <c r="W2642">
        <v>70.09</v>
      </c>
      <c r="X2642">
        <v>200.06</v>
      </c>
    </row>
    <row r="2643" spans="1:24" x14ac:dyDescent="0.25">
      <c r="A2643" s="148">
        <v>45108</v>
      </c>
      <c r="B2643" s="46">
        <v>182</v>
      </c>
      <c r="C2643" s="149">
        <v>0.62572916666666667</v>
      </c>
      <c r="D2643" s="38" t="s">
        <v>17961</v>
      </c>
      <c r="E2643" s="7" t="s">
        <v>65</v>
      </c>
      <c r="F2643" s="38" t="s">
        <v>1098</v>
      </c>
      <c r="G2643" s="38" t="s">
        <v>1306</v>
      </c>
      <c r="H2643">
        <v>0.21199999999999999</v>
      </c>
      <c r="I2643" t="s">
        <v>20859</v>
      </c>
      <c r="J2643" t="s">
        <v>20860</v>
      </c>
      <c r="K2643" t="s">
        <v>20861</v>
      </c>
      <c r="L2643" t="s">
        <v>20862</v>
      </c>
      <c r="O2643" t="s">
        <v>20855</v>
      </c>
      <c r="P2643" t="s">
        <v>20856</v>
      </c>
      <c r="Q2643">
        <v>416107.3</v>
      </c>
      <c r="R2643">
        <v>6202567.96</v>
      </c>
      <c r="S2643" t="s">
        <v>20857</v>
      </c>
      <c r="T2643" t="s">
        <v>20858</v>
      </c>
      <c r="U2643">
        <v>416127.05</v>
      </c>
      <c r="V2643">
        <v>6202545.6799999997</v>
      </c>
      <c r="W2643">
        <v>250.85</v>
      </c>
      <c r="X2643">
        <v>200.06</v>
      </c>
    </row>
    <row r="2644" spans="1:24" x14ac:dyDescent="0.25">
      <c r="A2644" s="148">
        <v>45108</v>
      </c>
      <c r="B2644" s="46">
        <v>182</v>
      </c>
      <c r="C2644" s="149">
        <v>0.62950231481481478</v>
      </c>
      <c r="D2644" s="38" t="s">
        <v>17961</v>
      </c>
      <c r="E2644" s="7" t="s">
        <v>70</v>
      </c>
      <c r="F2644" s="38" t="s">
        <v>1098</v>
      </c>
      <c r="G2644" s="38" t="s">
        <v>1306</v>
      </c>
      <c r="H2644">
        <v>-2.4E-2</v>
      </c>
      <c r="I2644" t="s">
        <v>20859</v>
      </c>
      <c r="J2644" t="s">
        <v>20860</v>
      </c>
      <c r="K2644" t="s">
        <v>20861</v>
      </c>
      <c r="L2644" t="s">
        <v>20862</v>
      </c>
      <c r="O2644" t="s">
        <v>20863</v>
      </c>
      <c r="P2644" t="s">
        <v>20864</v>
      </c>
      <c r="Q2644">
        <v>415887.31</v>
      </c>
      <c r="R2644">
        <v>6202486.2400000002</v>
      </c>
      <c r="S2644" t="s">
        <v>20865</v>
      </c>
      <c r="T2644" t="s">
        <v>20866</v>
      </c>
      <c r="U2644">
        <v>415905.84</v>
      </c>
      <c r="V2644">
        <v>6202465.2000000002</v>
      </c>
      <c r="W2644">
        <v>249.67</v>
      </c>
      <c r="X2644">
        <v>200.06</v>
      </c>
    </row>
    <row r="2645" spans="1:24" x14ac:dyDescent="0.25">
      <c r="A2645" s="148">
        <v>45108</v>
      </c>
      <c r="B2645" s="46">
        <v>182</v>
      </c>
      <c r="C2645" s="149">
        <v>0.63253472222222229</v>
      </c>
      <c r="D2645" s="38" t="s">
        <v>17961</v>
      </c>
      <c r="E2645" s="7" t="s">
        <v>65</v>
      </c>
      <c r="F2645" s="38" t="s">
        <v>1098</v>
      </c>
      <c r="G2645" s="38" t="s">
        <v>1305</v>
      </c>
      <c r="H2645">
        <v>-1.2E-2</v>
      </c>
      <c r="I2645" t="s">
        <v>20871</v>
      </c>
      <c r="J2645" t="s">
        <v>20872</v>
      </c>
      <c r="K2645" t="s">
        <v>20873</v>
      </c>
      <c r="L2645" t="s">
        <v>20862</v>
      </c>
      <c r="O2645" t="s">
        <v>20867</v>
      </c>
      <c r="P2645" t="s">
        <v>20868</v>
      </c>
      <c r="Q2645">
        <v>415904.13</v>
      </c>
      <c r="R2645">
        <v>6202484.3099999996</v>
      </c>
      <c r="S2645" t="s">
        <v>20869</v>
      </c>
      <c r="T2645" t="s">
        <v>20870</v>
      </c>
      <c r="U2645">
        <v>415909.27</v>
      </c>
      <c r="V2645">
        <v>6202456.9800000004</v>
      </c>
      <c r="W2645">
        <v>70.09</v>
      </c>
      <c r="X2645">
        <v>200.06</v>
      </c>
    </row>
    <row r="2646" spans="1:24" x14ac:dyDescent="0.25">
      <c r="A2646" s="148">
        <v>45108</v>
      </c>
      <c r="B2646" s="46">
        <v>182</v>
      </c>
      <c r="C2646" s="149">
        <v>0.63620370370370372</v>
      </c>
      <c r="D2646" s="38" t="s">
        <v>17961</v>
      </c>
      <c r="E2646" s="7" t="s">
        <v>70</v>
      </c>
      <c r="F2646" s="38" t="s">
        <v>1098</v>
      </c>
      <c r="G2646" s="38" t="s">
        <v>1305</v>
      </c>
      <c r="H2646">
        <v>0.216</v>
      </c>
      <c r="I2646" t="s">
        <v>20871</v>
      </c>
      <c r="J2646" t="s">
        <v>20872</v>
      </c>
      <c r="K2646" t="s">
        <v>20873</v>
      </c>
      <c r="L2646" t="s">
        <v>20878</v>
      </c>
      <c r="O2646" t="s">
        <v>20874</v>
      </c>
      <c r="P2646" t="s">
        <v>20875</v>
      </c>
      <c r="Q2646">
        <v>416119.02</v>
      </c>
      <c r="R2646">
        <v>6202561.3200000003</v>
      </c>
      <c r="S2646" t="s">
        <v>20876</v>
      </c>
      <c r="T2646" t="s">
        <v>20877</v>
      </c>
      <c r="U2646">
        <v>416123.9</v>
      </c>
      <c r="V2646">
        <v>6202535.1600000001</v>
      </c>
      <c r="W2646">
        <v>70.2</v>
      </c>
      <c r="X2646">
        <v>200.06</v>
      </c>
    </row>
    <row r="2647" spans="1:24" x14ac:dyDescent="0.25">
      <c r="A2647" s="148">
        <v>45108</v>
      </c>
      <c r="B2647" s="46">
        <v>182</v>
      </c>
      <c r="C2647" s="149">
        <v>0.63935185185185184</v>
      </c>
      <c r="D2647" s="38" t="s">
        <v>17961</v>
      </c>
      <c r="E2647" s="7" t="s">
        <v>65</v>
      </c>
      <c r="F2647" s="38" t="s">
        <v>1098</v>
      </c>
      <c r="G2647" s="38" t="s">
        <v>1296</v>
      </c>
      <c r="H2647">
        <v>0.21099999999999999</v>
      </c>
      <c r="I2647" t="s">
        <v>20883</v>
      </c>
      <c r="J2647" t="s">
        <v>20884</v>
      </c>
      <c r="K2647" t="s">
        <v>20885</v>
      </c>
      <c r="L2647" t="s">
        <v>20878</v>
      </c>
      <c r="O2647" t="s">
        <v>20879</v>
      </c>
      <c r="P2647" t="s">
        <v>20880</v>
      </c>
      <c r="Q2647">
        <v>416125.23</v>
      </c>
      <c r="R2647">
        <v>6202555.79</v>
      </c>
      <c r="S2647" t="s">
        <v>20881</v>
      </c>
      <c r="T2647" t="s">
        <v>20882</v>
      </c>
      <c r="U2647">
        <v>416132.59</v>
      </c>
      <c r="V2647">
        <v>6202528.5199999996</v>
      </c>
      <c r="W2647">
        <v>249.76</v>
      </c>
      <c r="X2647">
        <v>200.06</v>
      </c>
    </row>
    <row r="2648" spans="1:24" x14ac:dyDescent="0.25">
      <c r="A2648" s="148">
        <v>45108</v>
      </c>
      <c r="B2648" s="46">
        <v>182</v>
      </c>
      <c r="C2648" s="149">
        <v>0.64302083333333326</v>
      </c>
      <c r="D2648" s="38" t="s">
        <v>17961</v>
      </c>
      <c r="E2648" s="7" t="s">
        <v>70</v>
      </c>
      <c r="F2648" s="38" t="s">
        <v>1098</v>
      </c>
      <c r="G2648" s="38" t="s">
        <v>1296</v>
      </c>
      <c r="H2648">
        <v>-1.7000000000000001E-2</v>
      </c>
      <c r="I2648" t="s">
        <v>20883</v>
      </c>
      <c r="J2648" t="s">
        <v>20884</v>
      </c>
      <c r="K2648" t="s">
        <v>20885</v>
      </c>
      <c r="L2648" t="s">
        <v>20878</v>
      </c>
      <c r="O2648" t="s">
        <v>20886</v>
      </c>
      <c r="P2648" t="s">
        <v>20887</v>
      </c>
      <c r="Q2648">
        <v>415912.85</v>
      </c>
      <c r="R2648">
        <v>6202476.2300000004</v>
      </c>
      <c r="S2648" t="s">
        <v>20888</v>
      </c>
      <c r="T2648" t="s">
        <v>20889</v>
      </c>
      <c r="U2648">
        <v>415918.73</v>
      </c>
      <c r="V2648">
        <v>6202450.5999999996</v>
      </c>
      <c r="W2648">
        <v>249.61</v>
      </c>
      <c r="X2648">
        <v>200.06</v>
      </c>
    </row>
    <row r="2649" spans="1:24" x14ac:dyDescent="0.25">
      <c r="A2649" s="148">
        <v>45108</v>
      </c>
      <c r="B2649" s="46">
        <v>182</v>
      </c>
      <c r="C2649" s="149">
        <v>0.64590277777777783</v>
      </c>
      <c r="D2649" s="38" t="s">
        <v>17961</v>
      </c>
      <c r="E2649" s="7" t="s">
        <v>65</v>
      </c>
      <c r="F2649" s="38" t="s">
        <v>1098</v>
      </c>
      <c r="G2649" s="38" t="s">
        <v>1297</v>
      </c>
      <c r="H2649">
        <v>-1.4E-2</v>
      </c>
      <c r="I2649" t="s">
        <v>20894</v>
      </c>
      <c r="J2649" t="s">
        <v>20895</v>
      </c>
      <c r="K2649" t="s">
        <v>20896</v>
      </c>
      <c r="L2649" t="s">
        <v>20897</v>
      </c>
      <c r="O2649" t="s">
        <v>20890</v>
      </c>
      <c r="P2649" t="s">
        <v>20891</v>
      </c>
      <c r="Q2649">
        <v>415904.16</v>
      </c>
      <c r="R2649">
        <v>6202463.9699999997</v>
      </c>
      <c r="S2649" t="s">
        <v>20892</v>
      </c>
      <c r="T2649" t="s">
        <v>20893</v>
      </c>
      <c r="U2649">
        <v>415914.39</v>
      </c>
      <c r="V2649">
        <v>6202439.5700000003</v>
      </c>
      <c r="W2649">
        <v>70.59</v>
      </c>
      <c r="X2649">
        <v>200.06</v>
      </c>
    </row>
    <row r="2650" spans="1:24" x14ac:dyDescent="0.25">
      <c r="A2650" s="148">
        <v>45108</v>
      </c>
      <c r="B2650" s="46">
        <v>182</v>
      </c>
      <c r="C2650" s="149">
        <v>0.64957175925925925</v>
      </c>
      <c r="D2650" s="38" t="s">
        <v>17961</v>
      </c>
      <c r="E2650" s="7" t="s">
        <v>70</v>
      </c>
      <c r="F2650" s="38" t="s">
        <v>1098</v>
      </c>
      <c r="G2650" s="38" t="s">
        <v>1297</v>
      </c>
      <c r="H2650">
        <v>0.216</v>
      </c>
      <c r="I2650" t="s">
        <v>20894</v>
      </c>
      <c r="J2650" t="s">
        <v>20895</v>
      </c>
      <c r="K2650" t="s">
        <v>20896</v>
      </c>
      <c r="L2650" t="s">
        <v>20897</v>
      </c>
      <c r="O2650" t="s">
        <v>20898</v>
      </c>
      <c r="P2650" t="s">
        <v>20899</v>
      </c>
      <c r="Q2650">
        <v>416116.61</v>
      </c>
      <c r="R2650">
        <v>6202540.6299999999</v>
      </c>
      <c r="S2650" t="s">
        <v>20900</v>
      </c>
      <c r="T2650" t="s">
        <v>20901</v>
      </c>
      <c r="U2650">
        <v>416129.8</v>
      </c>
      <c r="V2650">
        <v>6202517.79</v>
      </c>
      <c r="W2650">
        <v>69.59</v>
      </c>
      <c r="X2650">
        <v>200.06</v>
      </c>
    </row>
    <row r="2651" spans="1:24" x14ac:dyDescent="0.25">
      <c r="A2651" s="148">
        <v>45108</v>
      </c>
      <c r="B2651" s="46">
        <v>182</v>
      </c>
      <c r="C2651" s="149">
        <v>0.65295138888888882</v>
      </c>
      <c r="D2651" s="38" t="s">
        <v>17961</v>
      </c>
      <c r="E2651" s="7" t="s">
        <v>65</v>
      </c>
      <c r="F2651" s="38" t="s">
        <v>1098</v>
      </c>
      <c r="G2651" s="38" t="s">
        <v>1298</v>
      </c>
      <c r="H2651">
        <v>0.21199999999999999</v>
      </c>
      <c r="I2651" t="s">
        <v>20906</v>
      </c>
      <c r="J2651" t="s">
        <v>20907</v>
      </c>
      <c r="K2651" t="s">
        <v>20908</v>
      </c>
      <c r="L2651" t="s">
        <v>20897</v>
      </c>
      <c r="O2651" t="s">
        <v>20902</v>
      </c>
      <c r="P2651" t="s">
        <v>20903</v>
      </c>
      <c r="Q2651">
        <v>416125.55</v>
      </c>
      <c r="R2651">
        <v>6202535.2800000003</v>
      </c>
      <c r="S2651" t="s">
        <v>20904</v>
      </c>
      <c r="T2651" t="s">
        <v>20905</v>
      </c>
      <c r="U2651">
        <v>416139.35</v>
      </c>
      <c r="V2651">
        <v>6202511.8399999999</v>
      </c>
      <c r="W2651">
        <v>251.21</v>
      </c>
      <c r="X2651">
        <v>200.06</v>
      </c>
    </row>
    <row r="2652" spans="1:24" x14ac:dyDescent="0.25">
      <c r="A2652" s="148">
        <v>45108</v>
      </c>
      <c r="B2652" s="46">
        <v>182</v>
      </c>
      <c r="C2652" s="149">
        <v>0.65664351851851854</v>
      </c>
      <c r="D2652" s="38" t="s">
        <v>17961</v>
      </c>
      <c r="E2652" s="7" t="s">
        <v>70</v>
      </c>
      <c r="F2652" s="38" t="s">
        <v>1098</v>
      </c>
      <c r="G2652" s="38" t="s">
        <v>1298</v>
      </c>
      <c r="H2652">
        <v>-1.9E-2</v>
      </c>
      <c r="I2652" t="s">
        <v>20906</v>
      </c>
      <c r="J2652" t="s">
        <v>20907</v>
      </c>
      <c r="K2652" t="s">
        <v>20908</v>
      </c>
      <c r="L2652" t="s">
        <v>20913</v>
      </c>
      <c r="O2652" t="s">
        <v>20909</v>
      </c>
      <c r="P2652" t="s">
        <v>20910</v>
      </c>
      <c r="Q2652">
        <v>415910.38</v>
      </c>
      <c r="R2652">
        <v>6202456.29</v>
      </c>
      <c r="S2652" t="s">
        <v>20911</v>
      </c>
      <c r="T2652" t="s">
        <v>20912</v>
      </c>
      <c r="U2652">
        <v>415922.43</v>
      </c>
      <c r="V2652">
        <v>6202432.9500000002</v>
      </c>
      <c r="W2652">
        <v>249.96</v>
      </c>
      <c r="X2652">
        <v>200.06</v>
      </c>
    </row>
    <row r="2653" spans="1:24" x14ac:dyDescent="0.25">
      <c r="A2653" s="148">
        <v>45108</v>
      </c>
      <c r="B2653" s="46">
        <v>182</v>
      </c>
      <c r="C2653" s="149">
        <v>0.66101851851851856</v>
      </c>
      <c r="D2653" s="38" t="s">
        <v>17961</v>
      </c>
      <c r="E2653" s="7" t="s">
        <v>65</v>
      </c>
      <c r="F2653" s="38" t="s">
        <v>1098</v>
      </c>
      <c r="G2653" s="38" t="s">
        <v>1299</v>
      </c>
      <c r="H2653">
        <v>-1.6E-2</v>
      </c>
      <c r="I2653" t="s">
        <v>20918</v>
      </c>
      <c r="J2653" t="s">
        <v>20919</v>
      </c>
      <c r="K2653" t="s">
        <v>20920</v>
      </c>
      <c r="L2653" t="s">
        <v>20913</v>
      </c>
      <c r="O2653" t="s">
        <v>20914</v>
      </c>
      <c r="P2653" t="s">
        <v>20915</v>
      </c>
      <c r="Q2653">
        <v>415918.5</v>
      </c>
      <c r="R2653">
        <v>6202449.6299999999</v>
      </c>
      <c r="S2653" t="s">
        <v>20916</v>
      </c>
      <c r="T2653" t="s">
        <v>20917</v>
      </c>
      <c r="U2653">
        <v>415918.68</v>
      </c>
      <c r="V2653">
        <v>6202421.9800000004</v>
      </c>
      <c r="W2653">
        <v>68.88</v>
      </c>
      <c r="X2653">
        <v>200.06</v>
      </c>
    </row>
    <row r="2654" spans="1:24" x14ac:dyDescent="0.25">
      <c r="A2654" s="148">
        <v>45108</v>
      </c>
      <c r="B2654" s="46">
        <v>182</v>
      </c>
      <c r="C2654" s="149">
        <v>0.66461805555555553</v>
      </c>
      <c r="D2654" s="38" t="s">
        <v>6737</v>
      </c>
      <c r="E2654" s="7" t="s">
        <v>70</v>
      </c>
      <c r="F2654" s="38" t="s">
        <v>1098</v>
      </c>
      <c r="G2654" s="38" t="s">
        <v>1299</v>
      </c>
      <c r="H2654">
        <v>0.217</v>
      </c>
      <c r="I2654" t="s">
        <v>20918</v>
      </c>
      <c r="J2654" t="s">
        <v>20919</v>
      </c>
      <c r="K2654" t="s">
        <v>20920</v>
      </c>
      <c r="L2654" t="s">
        <v>20925</v>
      </c>
      <c r="O2654" t="s">
        <v>20921</v>
      </c>
      <c r="P2654" t="s">
        <v>20922</v>
      </c>
      <c r="Q2654">
        <v>416128.9</v>
      </c>
      <c r="R2654">
        <v>6202525.7400000002</v>
      </c>
      <c r="S2654" t="s">
        <v>20923</v>
      </c>
      <c r="T2654" t="s">
        <v>20924</v>
      </c>
      <c r="U2654">
        <v>416137.16</v>
      </c>
      <c r="V2654">
        <v>6202501.5099999998</v>
      </c>
      <c r="W2654">
        <v>70.08</v>
      </c>
      <c r="X2654">
        <v>200.06</v>
      </c>
    </row>
    <row r="2655" spans="1:24" x14ac:dyDescent="0.25">
      <c r="A2655" s="148">
        <v>45108</v>
      </c>
      <c r="B2655" s="46">
        <v>182</v>
      </c>
      <c r="C2655" s="149">
        <v>0.66969907407407403</v>
      </c>
      <c r="D2655" s="38" t="s">
        <v>6737</v>
      </c>
      <c r="E2655" s="7" t="s">
        <v>65</v>
      </c>
      <c r="F2655" s="38" t="s">
        <v>1098</v>
      </c>
      <c r="G2655" s="38" t="s">
        <v>1300</v>
      </c>
      <c r="H2655">
        <v>0.21199999999999999</v>
      </c>
      <c r="I2655" t="s">
        <v>20930</v>
      </c>
      <c r="J2655" t="s">
        <v>20931</v>
      </c>
      <c r="K2655" t="s">
        <v>20932</v>
      </c>
      <c r="L2655" t="s">
        <v>20925</v>
      </c>
      <c r="O2655" t="s">
        <v>20926</v>
      </c>
      <c r="P2655" t="s">
        <v>20927</v>
      </c>
      <c r="Q2655">
        <v>416131.59</v>
      </c>
      <c r="R2655">
        <v>6202516.9199999999</v>
      </c>
      <c r="S2655" t="s">
        <v>20928</v>
      </c>
      <c r="T2655" t="s">
        <v>20929</v>
      </c>
      <c r="U2655">
        <v>416146.04</v>
      </c>
      <c r="V2655">
        <v>6202495.3399999999</v>
      </c>
      <c r="W2655">
        <v>249.57</v>
      </c>
      <c r="X2655">
        <v>200.06</v>
      </c>
    </row>
    <row r="2656" spans="1:24" x14ac:dyDescent="0.25">
      <c r="A2656" s="148">
        <v>45108</v>
      </c>
      <c r="B2656" s="46">
        <v>182</v>
      </c>
      <c r="C2656" s="149">
        <v>0.6734606481481481</v>
      </c>
      <c r="D2656" s="38" t="s">
        <v>6737</v>
      </c>
      <c r="E2656" s="7" t="s">
        <v>70</v>
      </c>
      <c r="F2656" s="38" t="s">
        <v>1098</v>
      </c>
      <c r="G2656" s="38" t="s">
        <v>1300</v>
      </c>
      <c r="H2656">
        <v>-2.1000000000000001E-2</v>
      </c>
      <c r="I2656" t="s">
        <v>20930</v>
      </c>
      <c r="J2656" t="s">
        <v>20931</v>
      </c>
      <c r="K2656" t="s">
        <v>20932</v>
      </c>
      <c r="L2656" t="s">
        <v>20925</v>
      </c>
      <c r="O2656" t="s">
        <v>20933</v>
      </c>
      <c r="P2656" t="s">
        <v>20934</v>
      </c>
      <c r="Q2656">
        <v>415912.01</v>
      </c>
      <c r="R2656">
        <v>6202437.04</v>
      </c>
      <c r="S2656" t="s">
        <v>20935</v>
      </c>
      <c r="T2656" t="s">
        <v>20936</v>
      </c>
      <c r="U2656">
        <v>415926.92</v>
      </c>
      <c r="V2656">
        <v>6202415.5899999999</v>
      </c>
      <c r="W2656">
        <v>249.66</v>
      </c>
      <c r="X2656">
        <v>200.06</v>
      </c>
    </row>
    <row r="2657" spans="1:24" x14ac:dyDescent="0.25">
      <c r="A2657" s="148">
        <v>45108</v>
      </c>
      <c r="B2657" s="46">
        <v>182</v>
      </c>
      <c r="C2657" s="149">
        <v>0.67723379629629632</v>
      </c>
      <c r="D2657" s="38" t="s">
        <v>6737</v>
      </c>
      <c r="E2657" s="7" t="s">
        <v>65</v>
      </c>
      <c r="F2657" s="38" t="s">
        <v>1098</v>
      </c>
      <c r="G2657" s="38" t="s">
        <v>1301</v>
      </c>
      <c r="H2657">
        <v>-1.6E-2</v>
      </c>
      <c r="I2657" t="s">
        <v>20941</v>
      </c>
      <c r="J2657" t="s">
        <v>20942</v>
      </c>
      <c r="K2657" t="s">
        <v>20943</v>
      </c>
      <c r="L2657" t="s">
        <v>20944</v>
      </c>
      <c r="O2657" t="s">
        <v>20937</v>
      </c>
      <c r="P2657" t="s">
        <v>20938</v>
      </c>
      <c r="Q2657">
        <v>415921.95</v>
      </c>
      <c r="R2657">
        <v>6202432.3399999999</v>
      </c>
      <c r="S2657" t="s">
        <v>20939</v>
      </c>
      <c r="T2657" t="s">
        <v>20940</v>
      </c>
      <c r="U2657">
        <v>415924.53</v>
      </c>
      <c r="V2657">
        <v>6202404.9500000002</v>
      </c>
      <c r="W2657">
        <v>67.599999999999994</v>
      </c>
      <c r="X2657">
        <v>200.06</v>
      </c>
    </row>
    <row r="2658" spans="1:24" x14ac:dyDescent="0.25">
      <c r="A2658" s="148">
        <v>45108</v>
      </c>
      <c r="B2658" s="46">
        <v>182</v>
      </c>
      <c r="C2658" s="149">
        <v>0.68078703703703702</v>
      </c>
      <c r="D2658" s="38" t="s">
        <v>6737</v>
      </c>
      <c r="E2658" s="7" t="s">
        <v>70</v>
      </c>
      <c r="F2658" s="38" t="s">
        <v>1098</v>
      </c>
      <c r="G2658" s="38" t="s">
        <v>1301</v>
      </c>
      <c r="H2658">
        <v>0.218</v>
      </c>
      <c r="I2658" t="s">
        <v>20941</v>
      </c>
      <c r="J2658" t="s">
        <v>20942</v>
      </c>
      <c r="K2658" t="s">
        <v>20943</v>
      </c>
      <c r="L2658" t="s">
        <v>20944</v>
      </c>
      <c r="O2658" t="s">
        <v>20945</v>
      </c>
      <c r="P2658" t="s">
        <v>20946</v>
      </c>
      <c r="Q2658">
        <v>416129.44</v>
      </c>
      <c r="R2658">
        <v>6202506.46</v>
      </c>
      <c r="S2658" t="s">
        <v>20947</v>
      </c>
      <c r="T2658" t="s">
        <v>20948</v>
      </c>
      <c r="U2658">
        <v>416144.11</v>
      </c>
      <c r="V2658">
        <v>6202484.9800000004</v>
      </c>
      <c r="W2658">
        <v>70.459999999999994</v>
      </c>
      <c r="X2658">
        <v>200.06</v>
      </c>
    </row>
    <row r="2659" spans="1:24" x14ac:dyDescent="0.25">
      <c r="A2659" s="148">
        <v>45108</v>
      </c>
      <c r="B2659" s="46">
        <v>182</v>
      </c>
      <c r="C2659" s="149">
        <v>0.68438657407407411</v>
      </c>
      <c r="D2659" s="38" t="s">
        <v>6737</v>
      </c>
      <c r="E2659" s="7" t="s">
        <v>65</v>
      </c>
      <c r="F2659" s="38" t="s">
        <v>1098</v>
      </c>
      <c r="G2659" s="38" t="s">
        <v>1302</v>
      </c>
      <c r="H2659">
        <v>0.21199999999999999</v>
      </c>
      <c r="I2659" t="s">
        <v>20953</v>
      </c>
      <c r="J2659" t="s">
        <v>20954</v>
      </c>
      <c r="K2659" t="s">
        <v>20955</v>
      </c>
      <c r="L2659" t="s">
        <v>20944</v>
      </c>
      <c r="O2659" t="s">
        <v>20949</v>
      </c>
      <c r="P2659" t="s">
        <v>20950</v>
      </c>
      <c r="Q2659">
        <v>416131.61</v>
      </c>
      <c r="R2659">
        <v>6202497.8300000001</v>
      </c>
      <c r="S2659" t="s">
        <v>20951</v>
      </c>
      <c r="T2659" t="s">
        <v>20952</v>
      </c>
      <c r="U2659">
        <v>416152.32000000001</v>
      </c>
      <c r="V2659">
        <v>6202478.4000000004</v>
      </c>
      <c r="W2659">
        <v>251.16</v>
      </c>
      <c r="X2659">
        <v>200.06</v>
      </c>
    </row>
    <row r="2660" spans="1:24" x14ac:dyDescent="0.25">
      <c r="A2660" s="148">
        <v>45108</v>
      </c>
      <c r="B2660" s="46">
        <v>182</v>
      </c>
      <c r="C2660" s="149">
        <v>0.68797453703703704</v>
      </c>
      <c r="D2660" s="38" t="s">
        <v>6737</v>
      </c>
      <c r="E2660" s="7" t="s">
        <v>70</v>
      </c>
      <c r="F2660" s="38" t="s">
        <v>1098</v>
      </c>
      <c r="G2660" s="38" t="s">
        <v>1302</v>
      </c>
      <c r="H2660">
        <v>-2.1000000000000001E-2</v>
      </c>
      <c r="I2660" t="s">
        <v>20953</v>
      </c>
      <c r="J2660" t="s">
        <v>20954</v>
      </c>
      <c r="K2660" t="s">
        <v>20955</v>
      </c>
      <c r="L2660" t="s">
        <v>20960</v>
      </c>
      <c r="O2660" t="s">
        <v>20956</v>
      </c>
      <c r="P2660" t="s">
        <v>20957</v>
      </c>
      <c r="Q2660">
        <v>415920.23</v>
      </c>
      <c r="R2660">
        <v>6202421.0099999998</v>
      </c>
      <c r="S2660" t="s">
        <v>20958</v>
      </c>
      <c r="T2660" t="s">
        <v>20959</v>
      </c>
      <c r="U2660">
        <v>415933.64</v>
      </c>
      <c r="V2660">
        <v>6202398.6200000001</v>
      </c>
      <c r="W2660">
        <v>250.52</v>
      </c>
      <c r="X2660">
        <v>200.06</v>
      </c>
    </row>
    <row r="2661" spans="1:24" x14ac:dyDescent="0.25">
      <c r="A2661" s="148">
        <v>45108</v>
      </c>
      <c r="B2661" s="46">
        <v>182</v>
      </c>
      <c r="C2661" s="149">
        <v>0.69115740740740739</v>
      </c>
      <c r="D2661" s="38" t="s">
        <v>6737</v>
      </c>
      <c r="E2661" s="7" t="s">
        <v>65</v>
      </c>
      <c r="F2661" s="38" t="s">
        <v>1098</v>
      </c>
      <c r="G2661" s="38" t="s">
        <v>1303</v>
      </c>
      <c r="H2661">
        <v>-1.7000000000000001E-2</v>
      </c>
      <c r="I2661" t="s">
        <v>20965</v>
      </c>
      <c r="J2661" t="s">
        <v>20966</v>
      </c>
      <c r="K2661" t="s">
        <v>20967</v>
      </c>
      <c r="L2661" t="s">
        <v>20960</v>
      </c>
      <c r="O2661" t="s">
        <v>20961</v>
      </c>
      <c r="P2661" t="s">
        <v>20962</v>
      </c>
      <c r="Q2661">
        <v>415918.28</v>
      </c>
      <c r="R2661">
        <v>6202411.7000000002</v>
      </c>
      <c r="S2661" t="s">
        <v>20963</v>
      </c>
      <c r="T2661" t="s">
        <v>20964</v>
      </c>
      <c r="U2661">
        <v>415929.97</v>
      </c>
      <c r="V2661">
        <v>6202387.8099999996</v>
      </c>
      <c r="W2661">
        <v>69.22</v>
      </c>
      <c r="X2661">
        <v>200.06</v>
      </c>
    </row>
    <row r="2662" spans="1:24" x14ac:dyDescent="0.25">
      <c r="A2662" s="148">
        <v>45108</v>
      </c>
      <c r="B2662" s="46">
        <v>182</v>
      </c>
      <c r="C2662" s="149">
        <v>0.69495370370370368</v>
      </c>
      <c r="D2662" s="38" t="s">
        <v>6737</v>
      </c>
      <c r="E2662" s="7" t="s">
        <v>70</v>
      </c>
      <c r="F2662" s="38" t="s">
        <v>1098</v>
      </c>
      <c r="G2662" s="38" t="s">
        <v>1303</v>
      </c>
      <c r="H2662">
        <v>0.217</v>
      </c>
      <c r="I2662" t="s">
        <v>20965</v>
      </c>
      <c r="J2662" t="s">
        <v>20966</v>
      </c>
      <c r="K2662" t="s">
        <v>20967</v>
      </c>
      <c r="L2662" t="s">
        <v>20960</v>
      </c>
      <c r="O2662" t="s">
        <v>20968</v>
      </c>
      <c r="P2662" t="s">
        <v>20969</v>
      </c>
      <c r="Q2662">
        <v>416140.36</v>
      </c>
      <c r="R2662">
        <v>6202491.9500000002</v>
      </c>
      <c r="S2662" t="s">
        <v>20970</v>
      </c>
      <c r="T2662" t="s">
        <v>20971</v>
      </c>
      <c r="U2662">
        <v>416149.12</v>
      </c>
      <c r="V2662">
        <v>6202467.6500000004</v>
      </c>
      <c r="W2662">
        <v>70.45</v>
      </c>
      <c r="X2662">
        <v>200.06</v>
      </c>
    </row>
    <row r="2663" spans="1:24" x14ac:dyDescent="0.25">
      <c r="A2663" s="148">
        <v>45108</v>
      </c>
      <c r="B2663" s="46">
        <v>182</v>
      </c>
      <c r="C2663" s="149">
        <v>0.69803240740740735</v>
      </c>
      <c r="D2663" s="38" t="s">
        <v>6737</v>
      </c>
      <c r="E2663" s="7" t="s">
        <v>65</v>
      </c>
      <c r="F2663" s="38" t="s">
        <v>1098</v>
      </c>
      <c r="G2663" s="38" t="s">
        <v>1304</v>
      </c>
      <c r="H2663">
        <v>0.214</v>
      </c>
      <c r="I2663" t="s">
        <v>20976</v>
      </c>
      <c r="J2663" t="s">
        <v>20977</v>
      </c>
      <c r="K2663" t="s">
        <v>20978</v>
      </c>
      <c r="L2663" t="s">
        <v>20979</v>
      </c>
      <c r="O2663" t="s">
        <v>20972</v>
      </c>
      <c r="P2663" t="s">
        <v>20973</v>
      </c>
      <c r="Q2663">
        <v>416138.6</v>
      </c>
      <c r="R2663">
        <v>6202481.1600000001</v>
      </c>
      <c r="S2663" t="s">
        <v>20974</v>
      </c>
      <c r="T2663" t="s">
        <v>20975</v>
      </c>
      <c r="U2663">
        <v>416159.6</v>
      </c>
      <c r="V2663">
        <v>6202461.9000000004</v>
      </c>
      <c r="W2663">
        <v>250.05</v>
      </c>
      <c r="X2663">
        <v>200.06</v>
      </c>
    </row>
    <row r="2664" spans="1:24" x14ac:dyDescent="0.25">
      <c r="A2664" s="148">
        <v>45108</v>
      </c>
      <c r="B2664" s="46">
        <v>182</v>
      </c>
      <c r="C2664" s="149">
        <v>0.70178240740740738</v>
      </c>
      <c r="D2664" s="38" t="s">
        <v>6737</v>
      </c>
      <c r="E2664" s="7" t="s">
        <v>70</v>
      </c>
      <c r="F2664" s="38" t="s">
        <v>1098</v>
      </c>
      <c r="G2664" s="38" t="s">
        <v>1304</v>
      </c>
      <c r="H2664">
        <v>-2.1999999999999999E-2</v>
      </c>
      <c r="I2664" t="s">
        <v>20976</v>
      </c>
      <c r="J2664" t="s">
        <v>20977</v>
      </c>
      <c r="K2664" t="s">
        <v>20978</v>
      </c>
      <c r="L2664" t="s">
        <v>20979</v>
      </c>
      <c r="O2664" t="s">
        <v>20980</v>
      </c>
      <c r="P2664" t="s">
        <v>20981</v>
      </c>
      <c r="Q2664">
        <v>415918.61</v>
      </c>
      <c r="R2664">
        <v>6202401.71</v>
      </c>
      <c r="S2664" t="s">
        <v>20982</v>
      </c>
      <c r="T2664" t="s">
        <v>20983</v>
      </c>
      <c r="U2664">
        <v>415937.86</v>
      </c>
      <c r="V2664">
        <v>6202381.21</v>
      </c>
      <c r="W2664">
        <v>249.47</v>
      </c>
      <c r="X2664">
        <v>200.06</v>
      </c>
    </row>
    <row r="2665" spans="1:24" x14ac:dyDescent="0.25">
      <c r="A2665" s="148">
        <v>45108</v>
      </c>
      <c r="B2665" s="46">
        <v>182</v>
      </c>
      <c r="C2665" s="149">
        <v>0.7065393518518519</v>
      </c>
      <c r="D2665" s="38" t="s">
        <v>6737</v>
      </c>
      <c r="E2665" s="7" t="s">
        <v>20988</v>
      </c>
      <c r="F2665" s="38" t="s">
        <v>8759</v>
      </c>
      <c r="G2665" s="38" t="s">
        <v>1802</v>
      </c>
      <c r="H2665">
        <v>1.9219999999999999</v>
      </c>
      <c r="O2665" t="s">
        <v>20984</v>
      </c>
      <c r="P2665" t="s">
        <v>20985</v>
      </c>
      <c r="Q2665">
        <v>415882.77</v>
      </c>
      <c r="R2665">
        <v>6202387.8099999996</v>
      </c>
      <c r="S2665" t="s">
        <v>20986</v>
      </c>
      <c r="T2665" t="s">
        <v>20987</v>
      </c>
      <c r="U2665">
        <v>415885.34</v>
      </c>
      <c r="V2665">
        <v>6202375.9400000004</v>
      </c>
      <c r="W2665">
        <v>137.25</v>
      </c>
      <c r="X2665">
        <v>150.05000000000001</v>
      </c>
    </row>
    <row r="2666" spans="1:24" s="169" customFormat="1" x14ac:dyDescent="0.25">
      <c r="A2666" s="65">
        <v>45108</v>
      </c>
      <c r="B2666" s="106">
        <v>182</v>
      </c>
      <c r="C2666" s="67">
        <v>0.72423611111111119</v>
      </c>
      <c r="D2666" s="66" t="s">
        <v>6737</v>
      </c>
      <c r="E2666" s="170" t="s">
        <v>20994</v>
      </c>
      <c r="F2666" s="66" t="s">
        <v>8759</v>
      </c>
      <c r="G2666" s="66" t="s">
        <v>1802</v>
      </c>
      <c r="H2666" s="169">
        <v>0.22500000000000001</v>
      </c>
      <c r="M2666" s="169" t="s">
        <v>20989</v>
      </c>
      <c r="O2666" s="169" t="s">
        <v>20990</v>
      </c>
      <c r="P2666" s="169" t="s">
        <v>20991</v>
      </c>
      <c r="Q2666" s="169">
        <v>414197.49</v>
      </c>
      <c r="R2666" s="169">
        <v>6202166.4699999997</v>
      </c>
      <c r="S2666" s="169" t="s">
        <v>20992</v>
      </c>
      <c r="T2666" s="169" t="s">
        <v>20993</v>
      </c>
      <c r="U2666" s="169">
        <v>414208.01</v>
      </c>
      <c r="V2666" s="169">
        <v>6202142.4199999999</v>
      </c>
      <c r="W2666" s="169">
        <v>178.19</v>
      </c>
      <c r="X2666" s="169">
        <v>150.05000000000001</v>
      </c>
    </row>
    <row r="2667" spans="1:24" s="163" customFormat="1" x14ac:dyDescent="0.25">
      <c r="A2667" s="148">
        <v>45108</v>
      </c>
      <c r="B2667" s="46">
        <v>182</v>
      </c>
      <c r="C2667" s="149">
        <v>0.72597222222222213</v>
      </c>
      <c r="D2667" s="162" t="s">
        <v>6737</v>
      </c>
      <c r="E2667" s="152" t="s">
        <v>21003</v>
      </c>
      <c r="F2667" s="162" t="s">
        <v>8759</v>
      </c>
      <c r="G2667" s="162" t="s">
        <v>1802</v>
      </c>
      <c r="H2667" s="157">
        <v>0.16900000000000001</v>
      </c>
    </row>
    <row r="2668" spans="1:24" x14ac:dyDescent="0.25">
      <c r="A2668" s="148">
        <v>45108</v>
      </c>
      <c r="B2668" s="46">
        <v>182</v>
      </c>
      <c r="C2668" s="149">
        <v>0.72736111111111112</v>
      </c>
      <c r="D2668" s="38" t="s">
        <v>6737</v>
      </c>
      <c r="E2668" s="7" t="s">
        <v>65</v>
      </c>
      <c r="F2668" s="38" t="s">
        <v>8759</v>
      </c>
      <c r="G2668" s="38" t="s">
        <v>1802</v>
      </c>
      <c r="H2668">
        <v>0.16900000000000001</v>
      </c>
      <c r="I2668" t="s">
        <v>20999</v>
      </c>
      <c r="J2668" t="s">
        <v>21000</v>
      </c>
      <c r="K2668" t="s">
        <v>21001</v>
      </c>
      <c r="L2668" t="s">
        <v>21002</v>
      </c>
      <c r="O2668" t="s">
        <v>20995</v>
      </c>
      <c r="P2668" t="s">
        <v>20996</v>
      </c>
      <c r="Q2668">
        <v>414143.56</v>
      </c>
      <c r="R2668">
        <v>6202156.2999999998</v>
      </c>
      <c r="S2668" t="s">
        <v>20997</v>
      </c>
      <c r="T2668" t="s">
        <v>20998</v>
      </c>
      <c r="U2668">
        <v>414158.36</v>
      </c>
      <c r="V2668">
        <v>6202131.2400000002</v>
      </c>
      <c r="W2668">
        <v>259.37</v>
      </c>
      <c r="X2668">
        <v>150.05000000000001</v>
      </c>
    </row>
    <row r="2669" spans="1:24" s="175" customFormat="1" x14ac:dyDescent="0.25">
      <c r="A2669" s="102">
        <v>45108</v>
      </c>
      <c r="B2669" s="100">
        <v>182</v>
      </c>
      <c r="C2669" s="104">
        <v>0.72967592592592589</v>
      </c>
      <c r="D2669" s="96" t="s">
        <v>6737</v>
      </c>
      <c r="E2669" s="176" t="s">
        <v>21008</v>
      </c>
      <c r="F2669" s="96" t="s">
        <v>8759</v>
      </c>
      <c r="G2669" s="96" t="s">
        <v>1802</v>
      </c>
      <c r="H2669" s="175">
        <v>2.3E-2</v>
      </c>
      <c r="O2669" s="175" t="s">
        <v>21004</v>
      </c>
      <c r="P2669" s="175" t="s">
        <v>21005</v>
      </c>
      <c r="Q2669" s="175">
        <v>413999.52</v>
      </c>
      <c r="R2669" s="175">
        <v>6202130.7999999998</v>
      </c>
      <c r="S2669" s="175" t="s">
        <v>21006</v>
      </c>
      <c r="T2669" s="175" t="s">
        <v>21007</v>
      </c>
      <c r="U2669" s="175">
        <v>414014.4</v>
      </c>
      <c r="V2669" s="175">
        <v>6202105.7599999998</v>
      </c>
      <c r="W2669" s="175">
        <v>261.02999999999997</v>
      </c>
      <c r="X2669" s="175">
        <v>150.05000000000001</v>
      </c>
    </row>
    <row r="2670" spans="1:24" x14ac:dyDescent="0.25">
      <c r="A2670" s="148">
        <v>45108</v>
      </c>
      <c r="B2670" s="46">
        <v>182</v>
      </c>
      <c r="C2670" s="149">
        <v>0.73042824074074064</v>
      </c>
      <c r="D2670" s="38" t="s">
        <v>6737</v>
      </c>
      <c r="E2670" s="7" t="s">
        <v>70</v>
      </c>
      <c r="F2670" s="38" t="s">
        <v>8759</v>
      </c>
      <c r="G2670" s="38" t="s">
        <v>1802</v>
      </c>
      <c r="H2670">
        <v>-2.1999999999999999E-2</v>
      </c>
      <c r="I2670" t="s">
        <v>20999</v>
      </c>
      <c r="J2670" t="s">
        <v>21000</v>
      </c>
      <c r="K2670" t="s">
        <v>21001</v>
      </c>
      <c r="L2670" t="s">
        <v>21002</v>
      </c>
      <c r="O2670" t="s">
        <v>21009</v>
      </c>
      <c r="P2670" t="s">
        <v>21010</v>
      </c>
      <c r="Q2670">
        <v>413955.05</v>
      </c>
      <c r="R2670">
        <v>6202122.96</v>
      </c>
      <c r="S2670" t="s">
        <v>21011</v>
      </c>
      <c r="T2670" t="s">
        <v>21012</v>
      </c>
      <c r="U2670">
        <v>413969.93</v>
      </c>
      <c r="V2670">
        <v>6202097.9299999997</v>
      </c>
      <c r="W2670">
        <v>260.54000000000002</v>
      </c>
      <c r="X2670">
        <v>150.05000000000001</v>
      </c>
    </row>
    <row r="2671" spans="1:24" x14ac:dyDescent="0.25">
      <c r="A2671" s="148">
        <v>45108</v>
      </c>
      <c r="B2671" s="46">
        <v>182</v>
      </c>
      <c r="C2671" s="149">
        <v>0.73349537037037038</v>
      </c>
      <c r="D2671" s="38" t="s">
        <v>6737</v>
      </c>
      <c r="E2671" s="7" t="s">
        <v>65</v>
      </c>
      <c r="F2671" s="38" t="s">
        <v>8759</v>
      </c>
      <c r="G2671" s="38" t="s">
        <v>1801</v>
      </c>
      <c r="H2671">
        <v>-1.7999999999999999E-2</v>
      </c>
      <c r="I2671" t="s">
        <v>21017</v>
      </c>
      <c r="J2671" t="s">
        <v>21018</v>
      </c>
      <c r="K2671" t="s">
        <v>21019</v>
      </c>
      <c r="L2671" t="s">
        <v>21002</v>
      </c>
      <c r="O2671" t="s">
        <v>21013</v>
      </c>
      <c r="P2671" t="s">
        <v>21014</v>
      </c>
      <c r="Q2671">
        <v>413960.97</v>
      </c>
      <c r="R2671">
        <v>6202113.5599999996</v>
      </c>
      <c r="S2671" t="s">
        <v>21015</v>
      </c>
      <c r="T2671" t="s">
        <v>21016</v>
      </c>
      <c r="U2671">
        <v>413964.2</v>
      </c>
      <c r="V2671">
        <v>6202087.6600000001</v>
      </c>
      <c r="W2671">
        <v>80.16</v>
      </c>
      <c r="X2671">
        <v>150.05000000000001</v>
      </c>
    </row>
    <row r="2672" spans="1:24" x14ac:dyDescent="0.25">
      <c r="A2672" s="148">
        <v>45108</v>
      </c>
      <c r="B2672" s="46">
        <v>182</v>
      </c>
      <c r="C2672" s="149">
        <v>0.7365624999999999</v>
      </c>
      <c r="D2672" s="38" t="s">
        <v>6737</v>
      </c>
      <c r="E2672" s="7" t="s">
        <v>70</v>
      </c>
      <c r="F2672" s="38" t="s">
        <v>8759</v>
      </c>
      <c r="G2672" s="38" t="s">
        <v>1801</v>
      </c>
      <c r="H2672">
        <v>0.17499999999999999</v>
      </c>
      <c r="I2672" t="s">
        <v>21017</v>
      </c>
      <c r="J2672" t="s">
        <v>21018</v>
      </c>
      <c r="K2672" t="s">
        <v>21019</v>
      </c>
      <c r="L2672" t="s">
        <v>21002</v>
      </c>
      <c r="O2672" t="s">
        <v>21020</v>
      </c>
      <c r="P2672" t="s">
        <v>21021</v>
      </c>
      <c r="Q2672">
        <v>414147.34</v>
      </c>
      <c r="R2672">
        <v>6202146.1799999997</v>
      </c>
      <c r="S2672" t="s">
        <v>21022</v>
      </c>
      <c r="T2672" t="s">
        <v>21023</v>
      </c>
      <c r="U2672">
        <v>414154.28</v>
      </c>
      <c r="V2672">
        <v>6202121.1100000003</v>
      </c>
      <c r="W2672">
        <v>79.56</v>
      </c>
      <c r="X2672">
        <v>150.05000000000001</v>
      </c>
    </row>
    <row r="2673" spans="1:24" x14ac:dyDescent="0.25">
      <c r="A2673" s="148">
        <v>45108</v>
      </c>
      <c r="B2673" s="46">
        <v>182</v>
      </c>
      <c r="C2673" s="149">
        <v>0.73958333333333337</v>
      </c>
      <c r="D2673" s="38" t="s">
        <v>6737</v>
      </c>
      <c r="E2673" s="7" t="s">
        <v>65</v>
      </c>
      <c r="F2673" s="38" t="s">
        <v>8759</v>
      </c>
      <c r="G2673" s="38" t="s">
        <v>1800</v>
      </c>
      <c r="H2673">
        <v>0.17100000000000001</v>
      </c>
      <c r="I2673" t="s">
        <v>21028</v>
      </c>
      <c r="J2673" t="s">
        <v>21029</v>
      </c>
      <c r="K2673" t="s">
        <v>21030</v>
      </c>
      <c r="L2673" t="s">
        <v>21031</v>
      </c>
      <c r="O2673" t="s">
        <v>21024</v>
      </c>
      <c r="P2673" t="s">
        <v>21025</v>
      </c>
      <c r="Q2673">
        <v>414144.63</v>
      </c>
      <c r="R2673">
        <v>6202136.4000000004</v>
      </c>
      <c r="S2673" t="s">
        <v>21026</v>
      </c>
      <c r="T2673" t="s">
        <v>21027</v>
      </c>
      <c r="U2673">
        <v>414163.19</v>
      </c>
      <c r="V2673">
        <v>6202113.6299999999</v>
      </c>
      <c r="W2673">
        <v>260.17</v>
      </c>
      <c r="X2673">
        <v>150.05000000000001</v>
      </c>
    </row>
    <row r="2674" spans="1:24" x14ac:dyDescent="0.25">
      <c r="A2674" s="148">
        <v>45108</v>
      </c>
      <c r="B2674" s="46">
        <v>182</v>
      </c>
      <c r="C2674" s="149">
        <v>0.74269675925925915</v>
      </c>
      <c r="D2674" s="38" t="s">
        <v>6737</v>
      </c>
      <c r="E2674" s="7" t="s">
        <v>70</v>
      </c>
      <c r="F2674" s="38" t="s">
        <v>8759</v>
      </c>
      <c r="G2674" s="38" t="s">
        <v>1800</v>
      </c>
      <c r="H2674">
        <v>-2.3E-2</v>
      </c>
      <c r="I2674" t="s">
        <v>21028</v>
      </c>
      <c r="J2674" t="s">
        <v>21029</v>
      </c>
      <c r="K2674" t="s">
        <v>21030</v>
      </c>
      <c r="L2674" t="s">
        <v>21031</v>
      </c>
      <c r="O2674" t="s">
        <v>21032</v>
      </c>
      <c r="P2674" t="s">
        <v>21033</v>
      </c>
      <c r="Q2674">
        <v>413952.91</v>
      </c>
      <c r="R2674">
        <v>6202102.9699999997</v>
      </c>
      <c r="S2674" t="s">
        <v>21034</v>
      </c>
      <c r="T2674" t="s">
        <v>21035</v>
      </c>
      <c r="U2674">
        <v>413971.63</v>
      </c>
      <c r="V2674">
        <v>6202079.8799999999</v>
      </c>
      <c r="W2674">
        <v>259.72000000000003</v>
      </c>
      <c r="X2674">
        <v>150.05000000000001</v>
      </c>
    </row>
    <row r="2675" spans="1:24" x14ac:dyDescent="0.25">
      <c r="A2675" s="148">
        <v>45108</v>
      </c>
      <c r="B2675" s="46">
        <v>182</v>
      </c>
      <c r="C2675" s="149">
        <v>0.74624999999999997</v>
      </c>
      <c r="D2675" s="38" t="s">
        <v>6737</v>
      </c>
      <c r="E2675" s="7" t="s">
        <v>65</v>
      </c>
      <c r="F2675" s="38" t="s">
        <v>8759</v>
      </c>
      <c r="G2675" s="38" t="s">
        <v>1799</v>
      </c>
      <c r="H2675">
        <v>-1.9E-2</v>
      </c>
      <c r="I2675" t="s">
        <v>21040</v>
      </c>
      <c r="J2675" t="s">
        <v>21041</v>
      </c>
      <c r="K2675" t="s">
        <v>21042</v>
      </c>
      <c r="L2675" t="s">
        <v>21031</v>
      </c>
      <c r="O2675" t="s">
        <v>21036</v>
      </c>
      <c r="P2675" t="s">
        <v>21037</v>
      </c>
      <c r="Q2675">
        <v>413954.2</v>
      </c>
      <c r="R2675">
        <v>6202095.4199999999</v>
      </c>
      <c r="S2675" t="s">
        <v>21038</v>
      </c>
      <c r="T2675" t="s">
        <v>21039</v>
      </c>
      <c r="U2675">
        <v>413967.08</v>
      </c>
      <c r="V2675">
        <v>6202070.1600000001</v>
      </c>
      <c r="W2675">
        <v>80.53</v>
      </c>
      <c r="X2675">
        <v>150.05000000000001</v>
      </c>
    </row>
    <row r="2676" spans="1:24" x14ac:dyDescent="0.25">
      <c r="A2676" s="148">
        <v>45108</v>
      </c>
      <c r="B2676" s="46">
        <v>182</v>
      </c>
      <c r="C2676" s="149">
        <v>0.74937500000000001</v>
      </c>
      <c r="D2676" s="38" t="s">
        <v>6737</v>
      </c>
      <c r="E2676" s="7" t="s">
        <v>70</v>
      </c>
      <c r="F2676" s="38" t="s">
        <v>8759</v>
      </c>
      <c r="G2676" s="38" t="s">
        <v>1799</v>
      </c>
      <c r="H2676">
        <v>0.17699999999999999</v>
      </c>
      <c r="I2676" t="s">
        <v>21040</v>
      </c>
      <c r="J2676" t="s">
        <v>21041</v>
      </c>
      <c r="K2676" t="s">
        <v>21042</v>
      </c>
      <c r="L2676" t="s">
        <v>21047</v>
      </c>
      <c r="O2676" t="s">
        <v>21043</v>
      </c>
      <c r="P2676" t="s">
        <v>21044</v>
      </c>
      <c r="Q2676">
        <v>414143.84</v>
      </c>
      <c r="R2676">
        <v>6202128.5700000003</v>
      </c>
      <c r="S2676" t="s">
        <v>21045</v>
      </c>
      <c r="T2676" t="s">
        <v>21046</v>
      </c>
      <c r="U2676">
        <v>414159.15</v>
      </c>
      <c r="V2676">
        <v>6202103.9299999997</v>
      </c>
      <c r="W2676">
        <v>80.459999999999994</v>
      </c>
      <c r="X2676">
        <v>150.05000000000001</v>
      </c>
    </row>
    <row r="2677" spans="1:24" x14ac:dyDescent="0.25">
      <c r="A2677" s="148">
        <v>45108</v>
      </c>
      <c r="B2677" s="46">
        <v>182</v>
      </c>
      <c r="C2677" s="149">
        <v>0.75244212962962964</v>
      </c>
      <c r="D2677" s="38" t="s">
        <v>6737</v>
      </c>
      <c r="E2677" s="7" t="s">
        <v>65</v>
      </c>
      <c r="F2677" s="38" t="s">
        <v>8759</v>
      </c>
      <c r="G2677" s="38" t="s">
        <v>1798</v>
      </c>
      <c r="H2677">
        <v>0.17199999999999999</v>
      </c>
      <c r="I2677" t="s">
        <v>21052</v>
      </c>
      <c r="J2677" t="s">
        <v>21053</v>
      </c>
      <c r="K2677" t="s">
        <v>21054</v>
      </c>
      <c r="L2677" t="s">
        <v>21047</v>
      </c>
      <c r="O2677" t="s">
        <v>21048</v>
      </c>
      <c r="P2677" t="s">
        <v>21049</v>
      </c>
      <c r="Q2677">
        <v>414150.84</v>
      </c>
      <c r="R2677">
        <v>6202116.9000000004</v>
      </c>
      <c r="S2677" t="s">
        <v>21050</v>
      </c>
      <c r="T2677" t="s">
        <v>21051</v>
      </c>
      <c r="U2677">
        <v>414167.03</v>
      </c>
      <c r="V2677">
        <v>6202095.9199999999</v>
      </c>
      <c r="W2677">
        <v>260.43</v>
      </c>
      <c r="X2677">
        <v>150.05000000000001</v>
      </c>
    </row>
    <row r="2678" spans="1:24" x14ac:dyDescent="0.25">
      <c r="A2678" s="148">
        <v>45108</v>
      </c>
      <c r="B2678" s="46">
        <v>182</v>
      </c>
      <c r="C2678" s="149">
        <v>0.75553240740740746</v>
      </c>
      <c r="D2678" s="38" t="s">
        <v>6737</v>
      </c>
      <c r="E2678" s="7" t="s">
        <v>70</v>
      </c>
      <c r="F2678" s="38" t="s">
        <v>8759</v>
      </c>
      <c r="G2678" s="38" t="s">
        <v>1798</v>
      </c>
      <c r="H2678">
        <v>-2.1999999999999999E-2</v>
      </c>
      <c r="I2678" t="s">
        <v>21052</v>
      </c>
      <c r="J2678" t="s">
        <v>21053</v>
      </c>
      <c r="K2678" t="s">
        <v>21054</v>
      </c>
      <c r="L2678" t="s">
        <v>21047</v>
      </c>
      <c r="O2678" t="s">
        <v>21055</v>
      </c>
      <c r="P2678" t="s">
        <v>21056</v>
      </c>
      <c r="Q2678">
        <v>413961.92</v>
      </c>
      <c r="R2678">
        <v>6202085.7000000002</v>
      </c>
      <c r="S2678" t="s">
        <v>21057</v>
      </c>
      <c r="T2678" t="s">
        <v>21058</v>
      </c>
      <c r="U2678">
        <v>413976.46</v>
      </c>
      <c r="V2678">
        <v>6202062.3099999996</v>
      </c>
      <c r="W2678">
        <v>260.14</v>
      </c>
      <c r="X2678">
        <v>150.05000000000001</v>
      </c>
    </row>
    <row r="2679" spans="1:24" x14ac:dyDescent="0.25">
      <c r="A2679" s="148">
        <v>45108</v>
      </c>
      <c r="B2679" s="46">
        <v>182</v>
      </c>
      <c r="C2679" s="149">
        <v>0.75837962962962957</v>
      </c>
      <c r="D2679" s="38" t="s">
        <v>6737</v>
      </c>
      <c r="E2679" s="7" t="s">
        <v>65</v>
      </c>
      <c r="F2679" s="38" t="s">
        <v>8759</v>
      </c>
      <c r="G2679" s="38" t="s">
        <v>1797</v>
      </c>
      <c r="H2679">
        <v>-1.7999999999999999E-2</v>
      </c>
      <c r="I2679" t="s">
        <v>21063</v>
      </c>
      <c r="J2679" t="s">
        <v>21064</v>
      </c>
      <c r="K2679" t="s">
        <v>21065</v>
      </c>
      <c r="L2679" t="s">
        <v>21066</v>
      </c>
      <c r="O2679" t="s">
        <v>21059</v>
      </c>
      <c r="P2679" t="s">
        <v>21060</v>
      </c>
      <c r="Q2679">
        <v>413958.08</v>
      </c>
      <c r="R2679">
        <v>6202075.8799999999</v>
      </c>
      <c r="S2679" t="s">
        <v>21061</v>
      </c>
      <c r="T2679" t="s">
        <v>21062</v>
      </c>
      <c r="U2679">
        <v>413970.56</v>
      </c>
      <c r="V2679">
        <v>6202052.2699999996</v>
      </c>
      <c r="W2679">
        <v>81.98</v>
      </c>
      <c r="X2679">
        <v>150.05000000000001</v>
      </c>
    </row>
    <row r="2680" spans="1:24" x14ac:dyDescent="0.25">
      <c r="A2680" s="148">
        <v>45108</v>
      </c>
      <c r="B2680" s="46">
        <v>182</v>
      </c>
      <c r="C2680" s="149">
        <v>0.76149305555555558</v>
      </c>
      <c r="D2680" s="38" t="s">
        <v>6737</v>
      </c>
      <c r="E2680" s="7" t="s">
        <v>70</v>
      </c>
      <c r="F2680" s="38" t="s">
        <v>8759</v>
      </c>
      <c r="G2680" s="38" t="s">
        <v>1797</v>
      </c>
      <c r="H2680">
        <v>0.17599999999999999</v>
      </c>
      <c r="I2680" t="s">
        <v>21063</v>
      </c>
      <c r="J2680" t="s">
        <v>21064</v>
      </c>
      <c r="K2680" t="s">
        <v>21065</v>
      </c>
      <c r="L2680" t="s">
        <v>21066</v>
      </c>
      <c r="O2680" t="s">
        <v>21067</v>
      </c>
      <c r="P2680" t="s">
        <v>21068</v>
      </c>
      <c r="Q2680">
        <v>414146.8</v>
      </c>
      <c r="R2680">
        <v>6202109.5999999996</v>
      </c>
      <c r="S2680" t="s">
        <v>21069</v>
      </c>
      <c r="T2680" t="s">
        <v>21070</v>
      </c>
      <c r="U2680">
        <v>414161.93</v>
      </c>
      <c r="V2680">
        <v>6202086.0099999998</v>
      </c>
      <c r="W2680">
        <v>80.02</v>
      </c>
      <c r="X2680">
        <v>150.05000000000001</v>
      </c>
    </row>
    <row r="2681" spans="1:24" x14ac:dyDescent="0.25">
      <c r="A2681" s="148">
        <v>45108</v>
      </c>
      <c r="B2681" s="46">
        <v>182</v>
      </c>
      <c r="C2681" s="149">
        <v>0.76447916666666671</v>
      </c>
      <c r="D2681" s="38" t="s">
        <v>6737</v>
      </c>
      <c r="E2681" s="7" t="s">
        <v>65</v>
      </c>
      <c r="F2681" s="38" t="s">
        <v>8759</v>
      </c>
      <c r="G2681" s="38" t="s">
        <v>1791</v>
      </c>
      <c r="H2681">
        <v>0.17199999999999999</v>
      </c>
      <c r="I2681" t="s">
        <v>21075</v>
      </c>
      <c r="J2681" t="s">
        <v>21076</v>
      </c>
      <c r="K2681" t="s">
        <v>21077</v>
      </c>
      <c r="L2681" t="s">
        <v>21066</v>
      </c>
      <c r="O2681" t="s">
        <v>21071</v>
      </c>
      <c r="P2681" t="s">
        <v>21072</v>
      </c>
      <c r="Q2681">
        <v>414153.29</v>
      </c>
      <c r="R2681">
        <v>6202101.1299999999</v>
      </c>
      <c r="S2681" t="s">
        <v>21073</v>
      </c>
      <c r="T2681" t="s">
        <v>21074</v>
      </c>
      <c r="U2681">
        <v>414170.35</v>
      </c>
      <c r="V2681">
        <v>6202078.3899999997</v>
      </c>
      <c r="W2681">
        <v>259.89999999999998</v>
      </c>
      <c r="X2681">
        <v>150.05000000000001</v>
      </c>
    </row>
    <row r="2682" spans="1:24" x14ac:dyDescent="0.25">
      <c r="A2682" s="148">
        <v>45108</v>
      </c>
      <c r="B2682" s="46">
        <v>182</v>
      </c>
      <c r="C2682" s="149">
        <v>0.76758101851851857</v>
      </c>
      <c r="D2682" s="38" t="s">
        <v>6737</v>
      </c>
      <c r="E2682" s="7" t="s">
        <v>70</v>
      </c>
      <c r="F2682" s="38" t="s">
        <v>8759</v>
      </c>
      <c r="G2682" s="38" t="s">
        <v>1791</v>
      </c>
      <c r="H2682">
        <v>-2.4E-2</v>
      </c>
      <c r="I2682" t="s">
        <v>21075</v>
      </c>
      <c r="J2682" t="s">
        <v>21076</v>
      </c>
      <c r="K2682" t="s">
        <v>21077</v>
      </c>
      <c r="L2682" t="s">
        <v>21066</v>
      </c>
      <c r="O2682" t="s">
        <v>21078</v>
      </c>
      <c r="P2682" t="s">
        <v>21079</v>
      </c>
      <c r="Q2682">
        <v>413962.28</v>
      </c>
      <c r="R2682">
        <v>6202068.6900000004</v>
      </c>
      <c r="S2682" t="s">
        <v>21080</v>
      </c>
      <c r="T2682" t="s">
        <v>21081</v>
      </c>
      <c r="U2682">
        <v>413977.3</v>
      </c>
      <c r="V2682">
        <v>6202044.3899999997</v>
      </c>
      <c r="W2682">
        <v>259.74</v>
      </c>
      <c r="X2682">
        <v>150.05000000000001</v>
      </c>
    </row>
    <row r="2683" spans="1:24" x14ac:dyDescent="0.25">
      <c r="A2683" s="148">
        <v>45108</v>
      </c>
      <c r="B2683" s="46">
        <v>182</v>
      </c>
      <c r="C2683" s="149">
        <v>0.77083333333333337</v>
      </c>
      <c r="D2683" s="38" t="s">
        <v>6737</v>
      </c>
      <c r="E2683" s="7" t="s">
        <v>65</v>
      </c>
      <c r="F2683" s="38" t="s">
        <v>8759</v>
      </c>
      <c r="G2683" s="38" t="s">
        <v>1792</v>
      </c>
      <c r="H2683">
        <v>-0.02</v>
      </c>
      <c r="I2683" t="s">
        <v>21086</v>
      </c>
      <c r="J2683" t="s">
        <v>21087</v>
      </c>
      <c r="K2683" t="s">
        <v>21088</v>
      </c>
      <c r="L2683" t="s">
        <v>21089</v>
      </c>
      <c r="O2683" t="s">
        <v>21082</v>
      </c>
      <c r="P2683" t="s">
        <v>21083</v>
      </c>
      <c r="Q2683">
        <v>413958.09</v>
      </c>
      <c r="R2683">
        <v>6202058.8499999996</v>
      </c>
      <c r="S2683" t="s">
        <v>21084</v>
      </c>
      <c r="T2683" t="s">
        <v>21085</v>
      </c>
      <c r="U2683">
        <v>413971.65</v>
      </c>
      <c r="V2683">
        <v>6202034.3600000003</v>
      </c>
      <c r="W2683">
        <v>82.57</v>
      </c>
      <c r="X2683">
        <v>150.05000000000001</v>
      </c>
    </row>
    <row r="2684" spans="1:24" x14ac:dyDescent="0.25">
      <c r="A2684" s="148">
        <v>45108</v>
      </c>
      <c r="B2684" s="46">
        <v>182</v>
      </c>
      <c r="C2684" s="149">
        <v>0.77400462962962957</v>
      </c>
      <c r="D2684" s="38" t="s">
        <v>6737</v>
      </c>
      <c r="E2684" s="7" t="s">
        <v>70</v>
      </c>
      <c r="F2684" s="38" t="s">
        <v>8759</v>
      </c>
      <c r="G2684" s="38" t="s">
        <v>1792</v>
      </c>
      <c r="H2684">
        <v>0.17799999999999999</v>
      </c>
      <c r="I2684" t="s">
        <v>21086</v>
      </c>
      <c r="J2684" t="s">
        <v>21087</v>
      </c>
      <c r="K2684" t="s">
        <v>21088</v>
      </c>
      <c r="L2684" t="s">
        <v>21089</v>
      </c>
      <c r="O2684" t="s">
        <v>21090</v>
      </c>
      <c r="P2684" t="s">
        <v>21091</v>
      </c>
      <c r="Q2684">
        <v>414149.98</v>
      </c>
      <c r="R2684">
        <v>6202091.9500000002</v>
      </c>
      <c r="S2684" t="s">
        <v>21092</v>
      </c>
      <c r="T2684" t="s">
        <v>21093</v>
      </c>
      <c r="U2684">
        <v>414166.91</v>
      </c>
      <c r="V2684">
        <v>6202068.7599999998</v>
      </c>
      <c r="W2684">
        <v>80.38</v>
      </c>
      <c r="X2684">
        <v>150.05000000000001</v>
      </c>
    </row>
    <row r="2685" spans="1:24" x14ac:dyDescent="0.25">
      <c r="A2685" s="148">
        <v>45108</v>
      </c>
      <c r="B2685" s="46">
        <v>182</v>
      </c>
      <c r="C2685" s="149">
        <v>0.77888888888888896</v>
      </c>
      <c r="D2685" s="38" t="s">
        <v>6737</v>
      </c>
      <c r="E2685" s="7" t="s">
        <v>65</v>
      </c>
      <c r="F2685" s="38" t="s">
        <v>8759</v>
      </c>
      <c r="G2685" s="38" t="s">
        <v>1793</v>
      </c>
      <c r="H2685">
        <v>0.17299999999999999</v>
      </c>
      <c r="I2685" t="s">
        <v>21098</v>
      </c>
      <c r="J2685" t="s">
        <v>21099</v>
      </c>
      <c r="K2685" t="s">
        <v>21100</v>
      </c>
      <c r="L2685" t="s">
        <v>21101</v>
      </c>
      <c r="O2685" t="s">
        <v>21094</v>
      </c>
      <c r="P2685" t="s">
        <v>21095</v>
      </c>
      <c r="Q2685">
        <v>414171.85</v>
      </c>
      <c r="R2685">
        <v>6202086.4000000004</v>
      </c>
      <c r="S2685" t="s">
        <v>21096</v>
      </c>
      <c r="T2685" t="s">
        <v>21097</v>
      </c>
      <c r="U2685">
        <v>414174.21</v>
      </c>
      <c r="V2685">
        <v>6202060.9100000001</v>
      </c>
      <c r="W2685">
        <v>258.88</v>
      </c>
      <c r="X2685">
        <v>150.05000000000001</v>
      </c>
    </row>
    <row r="2686" spans="1:24" x14ac:dyDescent="0.25">
      <c r="A2686" s="148">
        <v>45108</v>
      </c>
      <c r="B2686" s="46">
        <v>182</v>
      </c>
      <c r="C2686" s="149">
        <v>0.78245370370370371</v>
      </c>
      <c r="D2686" s="38" t="s">
        <v>6737</v>
      </c>
      <c r="E2686" s="7" t="s">
        <v>70</v>
      </c>
      <c r="F2686" s="38" t="s">
        <v>8759</v>
      </c>
      <c r="G2686" s="38" t="s">
        <v>1793</v>
      </c>
      <c r="H2686">
        <v>-2.4E-2</v>
      </c>
      <c r="I2686" t="s">
        <v>21098</v>
      </c>
      <c r="J2686" t="s">
        <v>21099</v>
      </c>
      <c r="K2686" t="s">
        <v>21100</v>
      </c>
      <c r="L2686" t="s">
        <v>21101</v>
      </c>
      <c r="O2686" t="s">
        <v>21102</v>
      </c>
      <c r="P2686" t="s">
        <v>21103</v>
      </c>
      <c r="Q2686">
        <v>413969.03</v>
      </c>
      <c r="R2686">
        <v>6202052.4400000004</v>
      </c>
      <c r="S2686" t="s">
        <v>21104</v>
      </c>
      <c r="T2686" t="s">
        <v>21105</v>
      </c>
      <c r="U2686">
        <v>413980.35</v>
      </c>
      <c r="V2686">
        <v>6202026.7599999998</v>
      </c>
      <c r="W2686">
        <v>259.70999999999998</v>
      </c>
      <c r="X2686">
        <v>150.05000000000001</v>
      </c>
    </row>
    <row r="2687" spans="1:24" x14ac:dyDescent="0.25">
      <c r="A2687" s="148">
        <v>45108</v>
      </c>
      <c r="B2687" s="46">
        <v>182</v>
      </c>
      <c r="C2687" s="149">
        <v>0.7853472222222222</v>
      </c>
      <c r="D2687" s="38" t="s">
        <v>6737</v>
      </c>
      <c r="E2687" s="7" t="s">
        <v>65</v>
      </c>
      <c r="F2687" s="38" t="s">
        <v>8759</v>
      </c>
      <c r="G2687" s="38" t="s">
        <v>1794</v>
      </c>
      <c r="H2687">
        <v>-0.02</v>
      </c>
      <c r="I2687" t="s">
        <v>21110</v>
      </c>
      <c r="J2687" t="s">
        <v>21111</v>
      </c>
      <c r="K2687" t="s">
        <v>21112</v>
      </c>
      <c r="L2687" t="s">
        <v>21101</v>
      </c>
      <c r="O2687" t="s">
        <v>21106</v>
      </c>
      <c r="P2687" t="s">
        <v>21107</v>
      </c>
      <c r="Q2687">
        <v>413958.13</v>
      </c>
      <c r="R2687">
        <v>6202040.4699999997</v>
      </c>
      <c r="S2687" t="s">
        <v>21108</v>
      </c>
      <c r="T2687" t="s">
        <v>21109</v>
      </c>
      <c r="U2687">
        <v>413975.06</v>
      </c>
      <c r="V2687">
        <v>6202016.6299999999</v>
      </c>
      <c r="W2687">
        <v>80.760000000000005</v>
      </c>
      <c r="X2687">
        <v>150.05000000000001</v>
      </c>
    </row>
    <row r="2688" spans="1:24" x14ac:dyDescent="0.25">
      <c r="A2688" s="148">
        <v>45108</v>
      </c>
      <c r="B2688" s="46">
        <v>182</v>
      </c>
      <c r="C2688" s="149">
        <v>0.7887615740740741</v>
      </c>
      <c r="D2688" s="38" t="s">
        <v>6737</v>
      </c>
      <c r="E2688" s="7" t="s">
        <v>70</v>
      </c>
      <c r="F2688" s="38" t="s">
        <v>8759</v>
      </c>
      <c r="G2688" s="38" t="s">
        <v>1794</v>
      </c>
      <c r="H2688">
        <v>0.17699999999999999</v>
      </c>
      <c r="I2688" t="s">
        <v>21110</v>
      </c>
      <c r="J2688" t="s">
        <v>21111</v>
      </c>
      <c r="K2688" t="s">
        <v>21112</v>
      </c>
      <c r="L2688" t="s">
        <v>21101</v>
      </c>
      <c r="O2688" t="s">
        <v>21113</v>
      </c>
      <c r="P2688" t="s">
        <v>21114</v>
      </c>
      <c r="Q2688">
        <v>414150.45</v>
      </c>
      <c r="R2688">
        <v>6202074.6100000003</v>
      </c>
      <c r="S2688" t="s">
        <v>21115</v>
      </c>
      <c r="T2688" t="s">
        <v>21116</v>
      </c>
      <c r="U2688">
        <v>414169.17</v>
      </c>
      <c r="V2688">
        <v>6202050.9000000004</v>
      </c>
      <c r="W2688">
        <v>81.5</v>
      </c>
      <c r="X2688">
        <v>150.05000000000001</v>
      </c>
    </row>
    <row r="2689" spans="1:24" x14ac:dyDescent="0.25">
      <c r="A2689" s="148">
        <v>45108</v>
      </c>
      <c r="B2689" s="46">
        <v>182</v>
      </c>
      <c r="C2689" s="149">
        <v>0.79201388888888891</v>
      </c>
      <c r="D2689" s="38" t="s">
        <v>6737</v>
      </c>
      <c r="E2689" s="7" t="s">
        <v>65</v>
      </c>
      <c r="F2689" s="38" t="s">
        <v>8759</v>
      </c>
      <c r="G2689" s="38" t="s">
        <v>1795</v>
      </c>
      <c r="H2689">
        <v>0.17299999999999999</v>
      </c>
      <c r="I2689" t="s">
        <v>21121</v>
      </c>
      <c r="J2689" t="s">
        <v>21122</v>
      </c>
      <c r="K2689" t="s">
        <v>21123</v>
      </c>
      <c r="L2689" t="s">
        <v>21124</v>
      </c>
      <c r="O2689" t="s">
        <v>21117</v>
      </c>
      <c r="P2689" t="s">
        <v>21118</v>
      </c>
      <c r="Q2689">
        <v>414158.2</v>
      </c>
      <c r="R2689">
        <v>6202065.5999999996</v>
      </c>
      <c r="S2689" t="s">
        <v>21119</v>
      </c>
      <c r="T2689" t="s">
        <v>21120</v>
      </c>
      <c r="U2689">
        <v>414177.1</v>
      </c>
      <c r="V2689">
        <v>6202043.0599999996</v>
      </c>
      <c r="W2689">
        <v>260.06</v>
      </c>
      <c r="X2689">
        <v>150.05000000000001</v>
      </c>
    </row>
    <row r="2690" spans="1:24" x14ac:dyDescent="0.25">
      <c r="A2690" s="148">
        <v>45108</v>
      </c>
      <c r="B2690" s="46">
        <v>182</v>
      </c>
      <c r="C2690" s="149">
        <v>0.79517361111111118</v>
      </c>
      <c r="D2690" s="38" t="s">
        <v>6737</v>
      </c>
      <c r="E2690" s="7" t="s">
        <v>70</v>
      </c>
      <c r="F2690" s="38" t="s">
        <v>8759</v>
      </c>
      <c r="G2690" s="38" t="s">
        <v>1795</v>
      </c>
      <c r="H2690">
        <v>-2.5000000000000001E-2</v>
      </c>
      <c r="I2690" t="s">
        <v>21121</v>
      </c>
      <c r="J2690" t="s">
        <v>21122</v>
      </c>
      <c r="K2690" t="s">
        <v>21123</v>
      </c>
      <c r="L2690" t="s">
        <v>21124</v>
      </c>
      <c r="O2690" t="s">
        <v>21125</v>
      </c>
      <c r="P2690" t="s">
        <v>21126</v>
      </c>
      <c r="Q2690">
        <v>413964.66</v>
      </c>
      <c r="R2690">
        <v>6202032.8799999999</v>
      </c>
      <c r="S2690" t="s">
        <v>21127</v>
      </c>
      <c r="T2690" t="s">
        <v>21128</v>
      </c>
      <c r="U2690">
        <v>413982.81</v>
      </c>
      <c r="V2690">
        <v>6202008.8700000001</v>
      </c>
      <c r="W2690">
        <v>259.93</v>
      </c>
      <c r="X2690">
        <v>150.05000000000001</v>
      </c>
    </row>
    <row r="2691" spans="1:24" x14ac:dyDescent="0.25">
      <c r="A2691" s="148">
        <v>45108</v>
      </c>
      <c r="B2691" s="46">
        <v>182</v>
      </c>
      <c r="C2691" s="149">
        <v>0.79827546296296292</v>
      </c>
      <c r="D2691" s="38" t="s">
        <v>6737</v>
      </c>
      <c r="E2691" s="7" t="s">
        <v>65</v>
      </c>
      <c r="F2691" s="38" t="s">
        <v>8759</v>
      </c>
      <c r="G2691" s="38" t="s">
        <v>1796</v>
      </c>
      <c r="H2691">
        <v>-2.1000000000000001E-2</v>
      </c>
      <c r="I2691" t="s">
        <v>21133</v>
      </c>
      <c r="J2691" t="s">
        <v>21134</v>
      </c>
      <c r="K2691" t="s">
        <v>21135</v>
      </c>
      <c r="L2691" t="s">
        <v>21124</v>
      </c>
      <c r="O2691" t="s">
        <v>21129</v>
      </c>
      <c r="P2691" t="s">
        <v>21130</v>
      </c>
      <c r="Q2691">
        <v>413960.21</v>
      </c>
      <c r="R2691">
        <v>6202022.6100000003</v>
      </c>
      <c r="S2691" t="s">
        <v>21131</v>
      </c>
      <c r="T2691" t="s">
        <v>21132</v>
      </c>
      <c r="U2691">
        <v>413977.51</v>
      </c>
      <c r="V2691">
        <v>6201999.0599999996</v>
      </c>
      <c r="W2691">
        <v>81.739999999999995</v>
      </c>
      <c r="X2691">
        <v>150.05000000000001</v>
      </c>
    </row>
    <row r="2692" spans="1:24" x14ac:dyDescent="0.25">
      <c r="A2692" s="148">
        <v>45108</v>
      </c>
      <c r="B2692" s="46">
        <v>182</v>
      </c>
      <c r="C2692" s="149">
        <v>0.8014930555555555</v>
      </c>
      <c r="D2692" s="38" t="s">
        <v>6737</v>
      </c>
      <c r="E2692" s="7" t="s">
        <v>70</v>
      </c>
      <c r="F2692" s="38" t="s">
        <v>8759</v>
      </c>
      <c r="G2692" s="38" t="s">
        <v>1796</v>
      </c>
      <c r="H2692">
        <v>0.17899999999999999</v>
      </c>
      <c r="I2692" t="s">
        <v>21133</v>
      </c>
      <c r="J2692" t="s">
        <v>21134</v>
      </c>
      <c r="K2692" t="s">
        <v>21135</v>
      </c>
      <c r="L2692" t="s">
        <v>21140</v>
      </c>
      <c r="O2692" t="s">
        <v>21136</v>
      </c>
      <c r="P2692" t="s">
        <v>21137</v>
      </c>
      <c r="Q2692">
        <v>414154.23</v>
      </c>
      <c r="R2692">
        <v>6202057.2699999996</v>
      </c>
      <c r="S2692" t="s">
        <v>21138</v>
      </c>
      <c r="T2692" t="s">
        <v>21139</v>
      </c>
      <c r="U2692">
        <v>414174.21</v>
      </c>
      <c r="V2692">
        <v>6202033.5700000003</v>
      </c>
      <c r="W2692">
        <v>80.209999999999994</v>
      </c>
      <c r="X2692">
        <v>150.05000000000001</v>
      </c>
    </row>
    <row r="2693" spans="1:24" x14ac:dyDescent="0.25">
      <c r="A2693" s="148">
        <v>45108</v>
      </c>
      <c r="B2693" s="46">
        <v>182</v>
      </c>
      <c r="C2693" s="149">
        <v>0.80586805555555552</v>
      </c>
      <c r="D2693" s="38" t="s">
        <v>6737</v>
      </c>
      <c r="E2693" s="7" t="s">
        <v>65</v>
      </c>
      <c r="F2693" s="38" t="s">
        <v>8759</v>
      </c>
      <c r="G2693" s="38" t="s">
        <v>21141</v>
      </c>
      <c r="H2693">
        <v>0.17399999999999999</v>
      </c>
      <c r="I2693" t="s">
        <v>21146</v>
      </c>
      <c r="J2693" t="s">
        <v>21147</v>
      </c>
      <c r="K2693" t="s">
        <v>21148</v>
      </c>
      <c r="L2693" t="s">
        <v>21140</v>
      </c>
      <c r="O2693" t="s">
        <v>21142</v>
      </c>
      <c r="P2693" t="s">
        <v>21143</v>
      </c>
      <c r="Q2693">
        <v>414174.42</v>
      </c>
      <c r="R2693">
        <v>6202066.1200000001</v>
      </c>
      <c r="S2693" t="s">
        <v>21144</v>
      </c>
      <c r="T2693" t="s">
        <v>21145</v>
      </c>
      <c r="U2693">
        <v>414178.66</v>
      </c>
      <c r="V2693">
        <v>6202043.3899999997</v>
      </c>
      <c r="W2693">
        <v>261.07</v>
      </c>
      <c r="X2693">
        <v>150.05000000000001</v>
      </c>
    </row>
    <row r="2694" spans="1:24" x14ac:dyDescent="0.25">
      <c r="A2694" s="148">
        <v>45108</v>
      </c>
      <c r="B2694" s="46">
        <v>182</v>
      </c>
      <c r="C2694" s="149">
        <v>0.80925925925925923</v>
      </c>
      <c r="D2694" s="38" t="s">
        <v>6737</v>
      </c>
      <c r="E2694" s="7" t="s">
        <v>70</v>
      </c>
      <c r="F2694" s="38" t="s">
        <v>8759</v>
      </c>
      <c r="G2694" s="38" t="s">
        <v>21141</v>
      </c>
      <c r="H2694">
        <v>-2.5999999999999999E-2</v>
      </c>
      <c r="I2694" t="s">
        <v>21146</v>
      </c>
      <c r="J2694" t="s">
        <v>21147</v>
      </c>
      <c r="K2694" t="s">
        <v>21148</v>
      </c>
      <c r="L2694" t="s">
        <v>21140</v>
      </c>
      <c r="O2694" t="s">
        <v>21149</v>
      </c>
      <c r="P2694" t="s">
        <v>21150</v>
      </c>
      <c r="Q2694">
        <v>413971.06</v>
      </c>
      <c r="R2694">
        <v>6202031.7699999996</v>
      </c>
      <c r="S2694" t="s">
        <v>21151</v>
      </c>
      <c r="T2694" t="s">
        <v>21152</v>
      </c>
      <c r="U2694">
        <v>413981.52</v>
      </c>
      <c r="V2694">
        <v>6202008.7599999998</v>
      </c>
      <c r="W2694">
        <v>259.48</v>
      </c>
      <c r="X2694">
        <v>150.05000000000001</v>
      </c>
    </row>
    <row r="2695" spans="1:24" s="175" customFormat="1" x14ac:dyDescent="0.25">
      <c r="A2695" s="102">
        <v>45108</v>
      </c>
      <c r="B2695" s="100">
        <v>182</v>
      </c>
      <c r="C2695" s="104">
        <v>0.81017361111111119</v>
      </c>
      <c r="D2695" s="96" t="s">
        <v>6737</v>
      </c>
      <c r="E2695" s="176" t="s">
        <v>21157</v>
      </c>
      <c r="F2695" s="96" t="s">
        <v>8759</v>
      </c>
      <c r="G2695" s="96" t="s">
        <v>21141</v>
      </c>
      <c r="H2695" s="175">
        <v>-5.0999999999999997E-2</v>
      </c>
      <c r="O2695" s="175" t="s">
        <v>21153</v>
      </c>
      <c r="P2695" s="175" t="s">
        <v>21154</v>
      </c>
      <c r="Q2695" s="175">
        <v>413939.6</v>
      </c>
      <c r="R2695" s="175">
        <v>6202028.1600000001</v>
      </c>
      <c r="S2695" s="175" t="s">
        <v>21155</v>
      </c>
      <c r="T2695" s="175" t="s">
        <v>21156</v>
      </c>
      <c r="U2695" s="175">
        <v>413949.35</v>
      </c>
      <c r="V2695" s="175">
        <v>6202001.6399999997</v>
      </c>
      <c r="W2695" s="175">
        <v>140.08000000000001</v>
      </c>
      <c r="X2695" s="175">
        <v>150.05000000000001</v>
      </c>
    </row>
    <row r="2696" spans="1:24" s="173" customFormat="1" x14ac:dyDescent="0.25">
      <c r="A2696" s="78">
        <v>45108</v>
      </c>
      <c r="B2696" s="108">
        <v>182</v>
      </c>
      <c r="C2696" s="80">
        <v>0.81678240740740737</v>
      </c>
      <c r="D2696" s="79" t="s">
        <v>6737</v>
      </c>
      <c r="E2696" s="174" t="s">
        <v>21162</v>
      </c>
      <c r="F2696" s="79" t="s">
        <v>8759</v>
      </c>
      <c r="G2696" s="79" t="s">
        <v>1459</v>
      </c>
      <c r="H2696" s="173">
        <v>-2.6749999999999998</v>
      </c>
      <c r="O2696" s="173" t="s">
        <v>21158</v>
      </c>
      <c r="P2696" s="173" t="s">
        <v>21159</v>
      </c>
      <c r="Q2696" s="173">
        <v>413942.19</v>
      </c>
      <c r="R2696" s="173">
        <v>6202027.1900000004</v>
      </c>
      <c r="S2696" s="173" t="s">
        <v>21160</v>
      </c>
      <c r="T2696" s="173" t="s">
        <v>21161</v>
      </c>
      <c r="U2696" s="173">
        <v>413942.06</v>
      </c>
      <c r="V2696" s="173">
        <v>6202015.4400000004</v>
      </c>
      <c r="W2696" s="173">
        <v>165.81</v>
      </c>
      <c r="X2696" s="173">
        <v>150.05000000000001</v>
      </c>
    </row>
    <row r="2697" spans="1:24" x14ac:dyDescent="0.25">
      <c r="A2697" s="148">
        <v>45108</v>
      </c>
      <c r="B2697" s="46">
        <v>182</v>
      </c>
      <c r="C2697" s="149">
        <v>0.82239583333333333</v>
      </c>
      <c r="D2697" s="38" t="s">
        <v>6737</v>
      </c>
      <c r="E2697" s="7" t="s">
        <v>21163</v>
      </c>
      <c r="F2697" s="38" t="s">
        <v>8759</v>
      </c>
      <c r="G2697" s="38" t="s">
        <v>1459</v>
      </c>
      <c r="H2697">
        <v>-2.633</v>
      </c>
      <c r="O2697" t="s">
        <v>21164</v>
      </c>
      <c r="P2697" t="s">
        <v>21165</v>
      </c>
      <c r="Q2697">
        <v>413996.7</v>
      </c>
      <c r="R2697">
        <v>6202000.0800000001</v>
      </c>
      <c r="S2697" t="s">
        <v>21166</v>
      </c>
      <c r="T2697" t="s">
        <v>21167</v>
      </c>
      <c r="U2697">
        <v>413995.91</v>
      </c>
      <c r="V2697">
        <v>6201989.5700000003</v>
      </c>
      <c r="W2697">
        <v>166.7</v>
      </c>
      <c r="X2697">
        <v>150.05000000000001</v>
      </c>
    </row>
    <row r="2698" spans="1:24" x14ac:dyDescent="0.25">
      <c r="A2698" s="148">
        <v>45108</v>
      </c>
      <c r="B2698" s="46">
        <v>182</v>
      </c>
      <c r="C2698" s="149">
        <v>0.88148148148148142</v>
      </c>
      <c r="D2698" s="38" t="s">
        <v>6737</v>
      </c>
      <c r="E2698" s="7" t="s">
        <v>21172</v>
      </c>
      <c r="F2698" s="38" t="s">
        <v>8759</v>
      </c>
      <c r="G2698" s="38" t="s">
        <v>17391</v>
      </c>
      <c r="O2698" t="s">
        <v>21170</v>
      </c>
      <c r="P2698" t="s">
        <v>21171</v>
      </c>
      <c r="Q2698">
        <v>409008.5</v>
      </c>
      <c r="R2698">
        <v>6187609.7800000003</v>
      </c>
    </row>
    <row r="2699" spans="1:24" s="165" customFormat="1" x14ac:dyDescent="0.25">
      <c r="A2699" s="139">
        <v>45109</v>
      </c>
      <c r="B2699" s="140">
        <v>183</v>
      </c>
      <c r="C2699" s="141">
        <v>0</v>
      </c>
      <c r="D2699" s="73" t="s">
        <v>6737</v>
      </c>
      <c r="E2699" s="166" t="s">
        <v>77</v>
      </c>
      <c r="F2699" s="73" t="s">
        <v>8759</v>
      </c>
      <c r="G2699" s="73" t="s">
        <v>17391</v>
      </c>
      <c r="O2699" s="165" t="s">
        <v>21173</v>
      </c>
      <c r="P2699" s="165" t="s">
        <v>21174</v>
      </c>
      <c r="Q2699" s="165">
        <v>400610.31</v>
      </c>
      <c r="R2699" s="165">
        <v>6158935.6200000001</v>
      </c>
    </row>
  </sheetData>
  <mergeCells count="2">
    <mergeCell ref="E1:I1"/>
    <mergeCell ref="E2:M2"/>
  </mergeCells>
  <pageMargins left="0.7" right="0.7" top="0.75" bottom="0.75" header="0.3" footer="0.3"/>
  <pageSetup orientation="portrait" verticalDpi="597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DE90F-939F-49B4-8217-29EC4984B876}">
  <sheetPr codeName="Sheet4"/>
  <dimension ref="A1:AE39"/>
  <sheetViews>
    <sheetView workbookViewId="0">
      <selection activeCell="J31" sqref="J31"/>
    </sheetView>
  </sheetViews>
  <sheetFormatPr defaultRowHeight="15" x14ac:dyDescent="0.25"/>
  <cols>
    <col min="1" max="1" width="10" style="51" bestFit="1" customWidth="1"/>
    <col min="2" max="2" width="14.5703125" bestFit="1" customWidth="1"/>
    <col min="3" max="3" width="10.85546875" bestFit="1" customWidth="1"/>
    <col min="4" max="4" width="12.42578125" bestFit="1" customWidth="1"/>
    <col min="5" max="5" width="10.85546875" bestFit="1" customWidth="1"/>
    <col min="6" max="6" width="14.7109375" bestFit="1" customWidth="1"/>
    <col min="7" max="7" width="10.85546875" bestFit="1" customWidth="1"/>
    <col min="8" max="8" width="12.42578125" bestFit="1" customWidth="1"/>
    <col min="9" max="9" width="10.85546875" bestFit="1" customWidth="1"/>
    <col min="10" max="10" width="12.42578125" bestFit="1" customWidth="1"/>
    <col min="11" max="11" width="10.85546875" bestFit="1" customWidth="1"/>
    <col min="12" max="12" width="14.7109375" bestFit="1" customWidth="1"/>
    <col min="13" max="13" width="10.85546875" bestFit="1" customWidth="1"/>
    <col min="14" max="14" width="12.42578125" bestFit="1" customWidth="1"/>
    <col min="15" max="15" width="10.85546875" bestFit="1" customWidth="1"/>
    <col min="16" max="16" width="12.42578125" bestFit="1" customWidth="1"/>
    <col min="17" max="17" width="10.85546875" bestFit="1" customWidth="1"/>
    <col min="18" max="18" width="12.42578125" bestFit="1" customWidth="1"/>
    <col min="19" max="19" width="10.85546875" bestFit="1" customWidth="1"/>
    <col min="20" max="20" width="12.42578125" bestFit="1" customWidth="1"/>
    <col min="21" max="21" width="10.85546875" bestFit="1" customWidth="1"/>
    <col min="22" max="22" width="12.42578125" bestFit="1" customWidth="1"/>
    <col min="23" max="23" width="10.85546875" bestFit="1" customWidth="1"/>
    <col min="24" max="24" width="12.42578125" bestFit="1" customWidth="1"/>
    <col min="25" max="25" width="10.85546875" bestFit="1" customWidth="1"/>
    <col min="26" max="26" width="12.42578125" bestFit="1" customWidth="1"/>
    <col min="27" max="27" width="10.85546875" bestFit="1" customWidth="1"/>
    <col min="28" max="28" width="12.42578125" bestFit="1" customWidth="1"/>
    <col min="29" max="29" width="10.85546875" bestFit="1" customWidth="1"/>
    <col min="30" max="30" width="12.42578125" bestFit="1" customWidth="1"/>
    <col min="31" max="31" width="10.85546875" bestFit="1" customWidth="1"/>
  </cols>
  <sheetData>
    <row r="1" spans="2:15" s="111" customFormat="1" x14ac:dyDescent="0.25">
      <c r="B1" s="111" t="s">
        <v>14577</v>
      </c>
      <c r="C1" s="111">
        <f>SUM(D3,D24)</f>
        <v>299</v>
      </c>
      <c r="D1" s="111" t="s">
        <v>301</v>
      </c>
      <c r="E1" s="111">
        <f>SUM(F3,F24)</f>
        <v>82</v>
      </c>
      <c r="F1" s="111" t="s">
        <v>14579</v>
      </c>
      <c r="G1" s="111">
        <f>SUM(H3,H24)</f>
        <v>217</v>
      </c>
      <c r="H1" s="111" t="s">
        <v>14578</v>
      </c>
      <c r="I1" s="131">
        <f>(E1/C1)</f>
        <v>0.27424749163879597</v>
      </c>
    </row>
    <row r="2" spans="2:15" s="111" customFormat="1" x14ac:dyDescent="0.25"/>
    <row r="3" spans="2:15" s="51" customFormat="1" x14ac:dyDescent="0.25">
      <c r="B3" s="51" t="s">
        <v>641</v>
      </c>
      <c r="C3" s="51" t="s">
        <v>302</v>
      </c>
      <c r="D3" s="51">
        <f>SUM(B22,D22,F22,H22,J22,L22,N22)</f>
        <v>119</v>
      </c>
      <c r="E3" s="51" t="s">
        <v>301</v>
      </c>
      <c r="F3" s="51">
        <f>SUM(C22,E22,G22,I22,K22,M22,O22)</f>
        <v>34</v>
      </c>
      <c r="G3" s="51" t="s">
        <v>305</v>
      </c>
      <c r="H3" s="51">
        <f>D3-F3</f>
        <v>85</v>
      </c>
    </row>
    <row r="4" spans="2:15" s="51" customFormat="1" x14ac:dyDescent="0.25">
      <c r="B4" s="51" t="str">
        <f>LEFT(B5,FIND("_C",B5)-1)</f>
        <v>BH_016</v>
      </c>
      <c r="C4" s="51" t="s">
        <v>301</v>
      </c>
      <c r="D4" s="51" t="str">
        <f>LEFT(D5,FIND("_C",D5)-1)</f>
        <v>BH_027</v>
      </c>
      <c r="E4" s="51" t="s">
        <v>301</v>
      </c>
      <c r="F4" s="51" t="str">
        <f>LEFT(F5,FIND("_C",F5)-1)</f>
        <v>BH_082</v>
      </c>
      <c r="G4" s="51" t="s">
        <v>301</v>
      </c>
      <c r="H4" s="51" t="str">
        <f>LEFT(H5,FIND("_C",H5)-1)</f>
        <v>BH_087</v>
      </c>
      <c r="I4" s="51" t="s">
        <v>301</v>
      </c>
      <c r="J4" s="51" t="str">
        <f t="shared" ref="J4" si="0">LEFT(J5,FIND("_C",J5)-1)</f>
        <v>BH_119</v>
      </c>
      <c r="K4" s="51" t="s">
        <v>301</v>
      </c>
      <c r="L4" s="51" t="str">
        <f t="shared" ref="L4" si="1">LEFT(L5,FIND("_C",L5)-1)</f>
        <v>BH_142</v>
      </c>
      <c r="M4" s="51" t="s">
        <v>301</v>
      </c>
      <c r="N4" s="51" t="str">
        <f t="shared" ref="N4" si="2">LEFT(N5,FIND("_C",N5)-1)</f>
        <v>BH_078</v>
      </c>
      <c r="O4" s="51" t="s">
        <v>301</v>
      </c>
    </row>
    <row r="5" spans="2:15" x14ac:dyDescent="0.25">
      <c r="B5" s="51" t="s">
        <v>235</v>
      </c>
      <c r="D5" s="51" t="s">
        <v>252</v>
      </c>
      <c r="F5" s="51" t="s">
        <v>269</v>
      </c>
      <c r="H5" s="51" t="s">
        <v>286</v>
      </c>
      <c r="I5" t="s">
        <v>304</v>
      </c>
      <c r="J5" s="51" t="s">
        <v>184</v>
      </c>
      <c r="L5" s="51" t="s">
        <v>201</v>
      </c>
      <c r="N5" s="51" t="s">
        <v>218</v>
      </c>
      <c r="O5" t="s">
        <v>304</v>
      </c>
    </row>
    <row r="6" spans="2:15" x14ac:dyDescent="0.25">
      <c r="B6" s="51" t="s">
        <v>236</v>
      </c>
      <c r="D6" s="51" t="s">
        <v>253</v>
      </c>
      <c r="F6" s="51" t="s">
        <v>270</v>
      </c>
      <c r="H6" s="51" t="s">
        <v>287</v>
      </c>
      <c r="I6" t="s">
        <v>304</v>
      </c>
      <c r="J6" s="51" t="s">
        <v>185</v>
      </c>
      <c r="L6" s="51" t="s">
        <v>202</v>
      </c>
      <c r="N6" s="51" t="s">
        <v>219</v>
      </c>
      <c r="O6" t="s">
        <v>304</v>
      </c>
    </row>
    <row r="7" spans="2:15" x14ac:dyDescent="0.25">
      <c r="B7" s="51" t="s">
        <v>237</v>
      </c>
      <c r="D7" s="51" t="s">
        <v>254</v>
      </c>
      <c r="F7" s="51" t="s">
        <v>271</v>
      </c>
      <c r="H7" s="51" t="s">
        <v>288</v>
      </c>
      <c r="I7" t="s">
        <v>7847</v>
      </c>
      <c r="J7" s="51" t="s">
        <v>186</v>
      </c>
      <c r="L7" s="51" t="s">
        <v>203</v>
      </c>
      <c r="N7" s="51" t="s">
        <v>220</v>
      </c>
      <c r="O7" t="s">
        <v>304</v>
      </c>
    </row>
    <row r="8" spans="2:15" x14ac:dyDescent="0.25">
      <c r="B8" s="51" t="s">
        <v>238</v>
      </c>
      <c r="D8" s="51" t="s">
        <v>255</v>
      </c>
      <c r="F8" s="51" t="s">
        <v>272</v>
      </c>
      <c r="H8" s="51" t="s">
        <v>289</v>
      </c>
      <c r="I8" t="s">
        <v>7847</v>
      </c>
      <c r="J8" s="51" t="s">
        <v>187</v>
      </c>
      <c r="L8" s="51" t="s">
        <v>204</v>
      </c>
      <c r="N8" s="51" t="s">
        <v>221</v>
      </c>
      <c r="O8" t="s">
        <v>304</v>
      </c>
    </row>
    <row r="9" spans="2:15" x14ac:dyDescent="0.25">
      <c r="B9" s="51" t="s">
        <v>239</v>
      </c>
      <c r="D9" s="51" t="s">
        <v>256</v>
      </c>
      <c r="F9" s="51" t="s">
        <v>273</v>
      </c>
      <c r="H9" s="51" t="s">
        <v>290</v>
      </c>
      <c r="I9" t="s">
        <v>7847</v>
      </c>
      <c r="J9" s="51" t="s">
        <v>188</v>
      </c>
      <c r="L9" s="51" t="s">
        <v>205</v>
      </c>
      <c r="N9" s="51" t="s">
        <v>222</v>
      </c>
      <c r="O9" t="s">
        <v>304</v>
      </c>
    </row>
    <row r="10" spans="2:15" x14ac:dyDescent="0.25">
      <c r="B10" s="51" t="s">
        <v>240</v>
      </c>
      <c r="D10" s="51" t="s">
        <v>257</v>
      </c>
      <c r="F10" s="51" t="s">
        <v>274</v>
      </c>
      <c r="H10" s="51" t="s">
        <v>291</v>
      </c>
      <c r="I10" t="s">
        <v>7847</v>
      </c>
      <c r="J10" s="51" t="s">
        <v>189</v>
      </c>
      <c r="L10" s="51" t="s">
        <v>206</v>
      </c>
      <c r="N10" s="51" t="s">
        <v>223</v>
      </c>
      <c r="O10" t="s">
        <v>304</v>
      </c>
    </row>
    <row r="11" spans="2:15" x14ac:dyDescent="0.25">
      <c r="B11" s="51" t="s">
        <v>241</v>
      </c>
      <c r="D11" s="51" t="s">
        <v>258</v>
      </c>
      <c r="F11" s="51" t="s">
        <v>275</v>
      </c>
      <c r="H11" s="51" t="s">
        <v>292</v>
      </c>
      <c r="I11" t="s">
        <v>7847</v>
      </c>
      <c r="J11" s="51" t="s">
        <v>190</v>
      </c>
      <c r="L11" s="51" t="s">
        <v>207</v>
      </c>
      <c r="N11" s="51" t="s">
        <v>224</v>
      </c>
      <c r="O11" t="s">
        <v>304</v>
      </c>
    </row>
    <row r="12" spans="2:15" x14ac:dyDescent="0.25">
      <c r="B12" s="51" t="s">
        <v>242</v>
      </c>
      <c r="D12" s="51" t="s">
        <v>259</v>
      </c>
      <c r="F12" s="51" t="s">
        <v>276</v>
      </c>
      <c r="H12" s="51" t="s">
        <v>293</v>
      </c>
      <c r="I12" t="s">
        <v>7847</v>
      </c>
      <c r="J12" s="51" t="s">
        <v>191</v>
      </c>
      <c r="L12" s="51" t="s">
        <v>208</v>
      </c>
      <c r="N12" s="51" t="s">
        <v>225</v>
      </c>
      <c r="O12" t="s">
        <v>304</v>
      </c>
    </row>
    <row r="13" spans="2:15" x14ac:dyDescent="0.25">
      <c r="B13" s="51" t="s">
        <v>243</v>
      </c>
      <c r="D13" s="51" t="s">
        <v>260</v>
      </c>
      <c r="F13" s="51" t="s">
        <v>277</v>
      </c>
      <c r="H13" s="51" t="s">
        <v>294</v>
      </c>
      <c r="I13" t="s">
        <v>7847</v>
      </c>
      <c r="J13" s="51" t="s">
        <v>192</v>
      </c>
      <c r="L13" s="51" t="s">
        <v>209</v>
      </c>
      <c r="N13" s="51" t="s">
        <v>226</v>
      </c>
      <c r="O13" t="s">
        <v>304</v>
      </c>
    </row>
    <row r="14" spans="2:15" x14ac:dyDescent="0.25">
      <c r="B14" s="51" t="s">
        <v>244</v>
      </c>
      <c r="D14" s="51" t="s">
        <v>261</v>
      </c>
      <c r="F14" s="51" t="s">
        <v>278</v>
      </c>
      <c r="H14" s="51" t="s">
        <v>295</v>
      </c>
      <c r="I14" t="s">
        <v>304</v>
      </c>
      <c r="J14" s="51" t="s">
        <v>193</v>
      </c>
      <c r="L14" s="51" t="s">
        <v>210</v>
      </c>
      <c r="N14" s="51" t="s">
        <v>227</v>
      </c>
      <c r="O14" t="s">
        <v>304</v>
      </c>
    </row>
    <row r="15" spans="2:15" x14ac:dyDescent="0.25">
      <c r="B15" s="51" t="s">
        <v>245</v>
      </c>
      <c r="D15" s="51" t="s">
        <v>262</v>
      </c>
      <c r="F15" s="51" t="s">
        <v>279</v>
      </c>
      <c r="H15" s="51" t="s">
        <v>296</v>
      </c>
      <c r="I15" t="s">
        <v>304</v>
      </c>
      <c r="J15" s="51" t="s">
        <v>194</v>
      </c>
      <c r="L15" s="51" t="s">
        <v>211</v>
      </c>
      <c r="N15" s="51" t="s">
        <v>228</v>
      </c>
      <c r="O15" t="s">
        <v>304</v>
      </c>
    </row>
    <row r="16" spans="2:15" x14ac:dyDescent="0.25">
      <c r="B16" s="51" t="s">
        <v>246</v>
      </c>
      <c r="D16" s="51" t="s">
        <v>263</v>
      </c>
      <c r="F16" s="51" t="s">
        <v>280</v>
      </c>
      <c r="H16" s="51" t="s">
        <v>297</v>
      </c>
      <c r="I16" t="s">
        <v>304</v>
      </c>
      <c r="J16" s="51" t="s">
        <v>195</v>
      </c>
      <c r="L16" s="51" t="s">
        <v>212</v>
      </c>
      <c r="N16" s="51" t="s">
        <v>229</v>
      </c>
      <c r="O16" t="s">
        <v>304</v>
      </c>
    </row>
    <row r="17" spans="1:31" x14ac:dyDescent="0.25">
      <c r="B17" s="51" t="s">
        <v>247</v>
      </c>
      <c r="D17" s="51" t="s">
        <v>264</v>
      </c>
      <c r="F17" s="51" t="s">
        <v>281</v>
      </c>
      <c r="H17" s="51" t="s">
        <v>298</v>
      </c>
      <c r="I17" t="s">
        <v>304</v>
      </c>
      <c r="J17" s="51" t="s">
        <v>196</v>
      </c>
      <c r="L17" s="51" t="s">
        <v>213</v>
      </c>
      <c r="N17" s="51" t="s">
        <v>230</v>
      </c>
      <c r="O17" t="s">
        <v>304</v>
      </c>
    </row>
    <row r="18" spans="1:31" x14ac:dyDescent="0.25">
      <c r="B18" s="51" t="s">
        <v>248</v>
      </c>
      <c r="D18" s="51" t="s">
        <v>265</v>
      </c>
      <c r="F18" s="51" t="s">
        <v>282</v>
      </c>
      <c r="H18" s="51" t="s">
        <v>299</v>
      </c>
      <c r="I18" t="s">
        <v>304</v>
      </c>
      <c r="J18" s="51" t="s">
        <v>197</v>
      </c>
      <c r="L18" s="51" t="s">
        <v>214</v>
      </c>
      <c r="N18" s="51" t="s">
        <v>231</v>
      </c>
      <c r="O18" t="s">
        <v>304</v>
      </c>
    </row>
    <row r="19" spans="1:31" x14ac:dyDescent="0.25">
      <c r="B19" s="51" t="s">
        <v>249</v>
      </c>
      <c r="D19" s="51" t="s">
        <v>266</v>
      </c>
      <c r="F19" s="51" t="s">
        <v>283</v>
      </c>
      <c r="H19" s="51" t="s">
        <v>300</v>
      </c>
      <c r="I19" t="s">
        <v>304</v>
      </c>
      <c r="J19" s="51" t="s">
        <v>198</v>
      </c>
      <c r="L19" s="51" t="s">
        <v>215</v>
      </c>
      <c r="N19" s="51" t="s">
        <v>232</v>
      </c>
      <c r="O19" t="s">
        <v>304</v>
      </c>
    </row>
    <row r="20" spans="1:31" x14ac:dyDescent="0.25">
      <c r="B20" s="51" t="s">
        <v>250</v>
      </c>
      <c r="D20" s="51" t="s">
        <v>267</v>
      </c>
      <c r="F20" s="51" t="s">
        <v>284</v>
      </c>
      <c r="H20" s="51" t="s">
        <v>181</v>
      </c>
      <c r="I20" t="s">
        <v>304</v>
      </c>
      <c r="J20" s="51" t="s">
        <v>199</v>
      </c>
      <c r="L20" s="51" t="s">
        <v>216</v>
      </c>
      <c r="N20" s="51" t="s">
        <v>233</v>
      </c>
      <c r="O20" t="s">
        <v>304</v>
      </c>
    </row>
    <row r="21" spans="1:31" x14ac:dyDescent="0.25">
      <c r="B21" s="51" t="s">
        <v>251</v>
      </c>
      <c r="D21" s="51" t="s">
        <v>268</v>
      </c>
      <c r="F21" s="51" t="s">
        <v>285</v>
      </c>
      <c r="H21" s="51" t="s">
        <v>183</v>
      </c>
      <c r="I21" t="s">
        <v>304</v>
      </c>
      <c r="J21" s="51" t="s">
        <v>200</v>
      </c>
      <c r="L21" s="51" t="s">
        <v>217</v>
      </c>
      <c r="N21" s="51" t="s">
        <v>234</v>
      </c>
      <c r="O21" t="s">
        <v>304</v>
      </c>
    </row>
    <row r="22" spans="1:31" x14ac:dyDescent="0.25">
      <c r="A22" s="51" t="s">
        <v>303</v>
      </c>
      <c r="B22">
        <f>COUNTIF(B5:B21,"&lt;&gt;")</f>
        <v>17</v>
      </c>
      <c r="C22" s="51">
        <f>COUNTIF(C5:C21,"&lt;&gt;")</f>
        <v>0</v>
      </c>
      <c r="D22" s="51">
        <f>COUNTIF(D5:D21,"&lt;&gt;")</f>
        <v>17</v>
      </c>
      <c r="E22" s="51">
        <f>COUNTIF(E5:E21,"&lt;&gt;")</f>
        <v>0</v>
      </c>
      <c r="F22" s="51">
        <f>COUNTIF(F5:F21,"&lt;&gt;")</f>
        <v>17</v>
      </c>
      <c r="G22" s="51">
        <f>COUNTIF(G5:G21,"&lt;&gt;")</f>
        <v>0</v>
      </c>
      <c r="H22" s="51">
        <f>COUNTIF(H5:H21,"&lt;&gt;")</f>
        <v>17</v>
      </c>
      <c r="I22" s="51">
        <f>COUNTIF(I5:I21,"&lt;&gt;")</f>
        <v>17</v>
      </c>
      <c r="J22" s="51">
        <f>COUNTIF(J5:J21,"&lt;&gt;")</f>
        <v>17</v>
      </c>
      <c r="K22" s="51">
        <f>COUNTIF(K5:K21,"&lt;&gt;")</f>
        <v>0</v>
      </c>
      <c r="L22" s="51">
        <f>COUNTIF(L5:L21,"&lt;&gt;")</f>
        <v>17</v>
      </c>
      <c r="M22" s="51">
        <f>COUNTIF(M5:M21,"&lt;&gt;")</f>
        <v>0</v>
      </c>
      <c r="N22" s="51">
        <f>COUNTIF(N5:N21,"&lt;&gt;")</f>
        <v>17</v>
      </c>
      <c r="O22" s="51">
        <f>COUNTIF(O5:O21,"&lt;&gt;")</f>
        <v>17</v>
      </c>
    </row>
    <row r="23" spans="1:31" s="111" customFormat="1" x14ac:dyDescent="0.25">
      <c r="H23" s="161" t="s">
        <v>19176</v>
      </c>
    </row>
    <row r="24" spans="1:31" s="51" customFormat="1" x14ac:dyDescent="0.25">
      <c r="B24" s="51" t="s">
        <v>643</v>
      </c>
      <c r="C24" s="51" t="s">
        <v>302</v>
      </c>
      <c r="D24" s="51">
        <f>SUM(B38,D38,F38,H38,J38,L38,N38,P38,R38,T38,V38,X38,Z38,AB38,AD38)</f>
        <v>180</v>
      </c>
      <c r="E24" s="51" t="s">
        <v>301</v>
      </c>
      <c r="F24" s="51">
        <f>SUM(C38,E38,G38,I38,K38,M38,O38,Q38,S38,U38,W38,Y38,AA38,AC38,AE38)</f>
        <v>48</v>
      </c>
      <c r="G24" s="51" t="s">
        <v>305</v>
      </c>
      <c r="H24" s="51">
        <f>D24-F24</f>
        <v>132</v>
      </c>
    </row>
    <row r="25" spans="1:31" s="51" customFormat="1" x14ac:dyDescent="0.25">
      <c r="B25" s="51" t="str">
        <f>LEFT(B26,FIND("_P",B26)-1)</f>
        <v>CPT_063</v>
      </c>
      <c r="C25" s="51" t="s">
        <v>301</v>
      </c>
      <c r="D25" s="51" t="str">
        <f t="shared" ref="D25" si="3">LEFT(D26,FIND("_P",D26)-1)</f>
        <v>CPT_104</v>
      </c>
      <c r="E25" s="51" t="s">
        <v>301</v>
      </c>
      <c r="F25" s="51" t="str">
        <f t="shared" ref="F25" si="4">LEFT(F26,FIND("_P",F26)-1)</f>
        <v>CPT_105</v>
      </c>
      <c r="G25" s="51" t="s">
        <v>301</v>
      </c>
      <c r="H25" s="51" t="str">
        <f t="shared" ref="H25" si="5">LEFT(H26,FIND("_P",H26)-1)</f>
        <v>CPT_113</v>
      </c>
      <c r="I25" s="51" t="s">
        <v>301</v>
      </c>
      <c r="J25" s="51" t="str">
        <f t="shared" ref="J25" si="6">LEFT(J26,FIND("_P",J26)-1)</f>
        <v>CPT_181</v>
      </c>
      <c r="K25" s="51" t="s">
        <v>301</v>
      </c>
      <c r="L25" s="51" t="str">
        <f t="shared" ref="L25" si="7">LEFT(L26,FIND("_P",L26)-1)</f>
        <v>CPT_198</v>
      </c>
      <c r="M25" s="51" t="s">
        <v>301</v>
      </c>
      <c r="N25" s="51" t="str">
        <f t="shared" ref="N25" si="8">LEFT(N26,FIND("_P",N26)-1)</f>
        <v>CPT_217</v>
      </c>
      <c r="O25" s="51" t="s">
        <v>301</v>
      </c>
      <c r="P25" s="51" t="str">
        <f t="shared" ref="P25" si="9">LEFT(P26,FIND("_P",P26)-1)</f>
        <v>CPT_219</v>
      </c>
      <c r="Q25" s="51" t="s">
        <v>301</v>
      </c>
      <c r="R25" s="51" t="str">
        <f t="shared" ref="R25" si="10">LEFT(R26,FIND("_P",R26)-1)</f>
        <v>CPT_222</v>
      </c>
      <c r="S25" s="51" t="s">
        <v>301</v>
      </c>
      <c r="T25" s="51" t="str">
        <f t="shared" ref="T25" si="11">LEFT(T26,FIND("_P",T26)-1)</f>
        <v>CPT_250</v>
      </c>
      <c r="U25" s="51" t="s">
        <v>301</v>
      </c>
      <c r="V25" s="51" t="str">
        <f t="shared" ref="V25" si="12">LEFT(V26,FIND("_P",V26)-1)</f>
        <v>CPT_257</v>
      </c>
      <c r="W25" s="51" t="s">
        <v>301</v>
      </c>
      <c r="X25" s="51" t="str">
        <f t="shared" ref="X25" si="13">LEFT(X26,FIND("_P",X26)-1)</f>
        <v>CPT_261</v>
      </c>
      <c r="Y25" s="51" t="s">
        <v>301</v>
      </c>
      <c r="Z25" s="51" t="str">
        <f t="shared" ref="Z25" si="14">LEFT(Z26,FIND("_P",Z26)-1)</f>
        <v>CPT_298</v>
      </c>
      <c r="AA25" s="51" t="s">
        <v>301</v>
      </c>
      <c r="AB25" s="51" t="str">
        <f t="shared" ref="AB25" si="15">LEFT(AB26,FIND("_P",AB26)-1)</f>
        <v>CPT_308</v>
      </c>
      <c r="AC25" s="51" t="s">
        <v>301</v>
      </c>
      <c r="AD25" s="51" t="str">
        <f t="shared" ref="AD25" si="16">LEFT(AD26,FIND("_P",AD26)-1)</f>
        <v>CPT_309</v>
      </c>
      <c r="AE25" s="51" t="s">
        <v>301</v>
      </c>
    </row>
    <row r="26" spans="1:31" x14ac:dyDescent="0.25">
      <c r="B26" s="51" t="s">
        <v>640</v>
      </c>
      <c r="C26" t="s">
        <v>304</v>
      </c>
      <c r="D26" s="51" t="s">
        <v>628</v>
      </c>
      <c r="F26" s="51" t="s">
        <v>616</v>
      </c>
      <c r="G26" t="s">
        <v>304</v>
      </c>
      <c r="H26" s="51" t="s">
        <v>604</v>
      </c>
      <c r="J26" s="51" t="s">
        <v>592</v>
      </c>
      <c r="L26" s="51" t="s">
        <v>580</v>
      </c>
      <c r="M26" t="s">
        <v>304</v>
      </c>
      <c r="N26" s="51" t="s">
        <v>568</v>
      </c>
      <c r="P26" s="51" t="s">
        <v>556</v>
      </c>
      <c r="R26" s="51" t="s">
        <v>544</v>
      </c>
      <c r="T26" s="51" t="s">
        <v>532</v>
      </c>
      <c r="U26" t="s">
        <v>304</v>
      </c>
      <c r="V26" s="51" t="s">
        <v>520</v>
      </c>
      <c r="X26" s="51" t="s">
        <v>508</v>
      </c>
      <c r="Z26" s="51" t="s">
        <v>496</v>
      </c>
      <c r="AB26" s="51" t="s">
        <v>484</v>
      </c>
      <c r="AD26" s="51" t="s">
        <v>472</v>
      </c>
    </row>
    <row r="27" spans="1:31" x14ac:dyDescent="0.25">
      <c r="B27" s="51" t="s">
        <v>639</v>
      </c>
      <c r="C27" t="s">
        <v>304</v>
      </c>
      <c r="D27" s="51" t="s">
        <v>627</v>
      </c>
      <c r="F27" s="51" t="s">
        <v>615</v>
      </c>
      <c r="G27" t="s">
        <v>304</v>
      </c>
      <c r="H27" s="51" t="s">
        <v>603</v>
      </c>
      <c r="J27" s="51" t="s">
        <v>591</v>
      </c>
      <c r="L27" s="51" t="s">
        <v>579</v>
      </c>
      <c r="M27" t="s">
        <v>304</v>
      </c>
      <c r="N27" s="51" t="s">
        <v>567</v>
      </c>
      <c r="P27" s="51" t="s">
        <v>555</v>
      </c>
      <c r="R27" s="51" t="s">
        <v>543</v>
      </c>
      <c r="T27" s="51" t="s">
        <v>531</v>
      </c>
      <c r="U27" t="s">
        <v>304</v>
      </c>
      <c r="V27" s="51" t="s">
        <v>519</v>
      </c>
      <c r="X27" s="51" t="s">
        <v>507</v>
      </c>
      <c r="Z27" s="51" t="s">
        <v>495</v>
      </c>
      <c r="AB27" s="51" t="s">
        <v>483</v>
      </c>
      <c r="AD27" s="51" t="s">
        <v>471</v>
      </c>
    </row>
    <row r="28" spans="1:31" x14ac:dyDescent="0.25">
      <c r="B28" s="51" t="s">
        <v>638</v>
      </c>
      <c r="C28" t="s">
        <v>304</v>
      </c>
      <c r="D28" s="51" t="s">
        <v>626</v>
      </c>
      <c r="F28" s="51" t="s">
        <v>614</v>
      </c>
      <c r="G28" t="s">
        <v>304</v>
      </c>
      <c r="H28" s="51" t="s">
        <v>602</v>
      </c>
      <c r="J28" s="51" t="s">
        <v>590</v>
      </c>
      <c r="L28" s="51" t="s">
        <v>578</v>
      </c>
      <c r="M28" t="s">
        <v>304</v>
      </c>
      <c r="N28" s="51" t="s">
        <v>566</v>
      </c>
      <c r="P28" s="51" t="s">
        <v>554</v>
      </c>
      <c r="R28" s="51" t="s">
        <v>542</v>
      </c>
      <c r="T28" s="51" t="s">
        <v>530</v>
      </c>
      <c r="U28" t="s">
        <v>304</v>
      </c>
      <c r="V28" s="51" t="s">
        <v>518</v>
      </c>
      <c r="X28" s="51" t="s">
        <v>506</v>
      </c>
      <c r="Z28" s="51" t="s">
        <v>494</v>
      </c>
      <c r="AB28" s="51" t="s">
        <v>482</v>
      </c>
      <c r="AD28" s="51" t="s">
        <v>470</v>
      </c>
    </row>
    <row r="29" spans="1:31" x14ac:dyDescent="0.25">
      <c r="B29" s="51" t="s">
        <v>637</v>
      </c>
      <c r="C29" t="s">
        <v>304</v>
      </c>
      <c r="D29" s="51" t="s">
        <v>625</v>
      </c>
      <c r="F29" s="51" t="s">
        <v>613</v>
      </c>
      <c r="G29" t="s">
        <v>304</v>
      </c>
      <c r="H29" s="51" t="s">
        <v>601</v>
      </c>
      <c r="J29" s="51" t="s">
        <v>589</v>
      </c>
      <c r="L29" s="51" t="s">
        <v>577</v>
      </c>
      <c r="M29" t="s">
        <v>304</v>
      </c>
      <c r="N29" s="51" t="s">
        <v>565</v>
      </c>
      <c r="P29" s="51" t="s">
        <v>553</v>
      </c>
      <c r="R29" s="51" t="s">
        <v>541</v>
      </c>
      <c r="T29" s="51" t="s">
        <v>529</v>
      </c>
      <c r="U29" t="s">
        <v>304</v>
      </c>
      <c r="V29" s="51" t="s">
        <v>517</v>
      </c>
      <c r="X29" s="51" t="s">
        <v>505</v>
      </c>
      <c r="Z29" s="51" t="s">
        <v>493</v>
      </c>
      <c r="AB29" s="51" t="s">
        <v>481</v>
      </c>
      <c r="AD29" s="51" t="s">
        <v>469</v>
      </c>
    </row>
    <row r="30" spans="1:31" x14ac:dyDescent="0.25">
      <c r="B30" s="51" t="s">
        <v>636</v>
      </c>
      <c r="C30" t="s">
        <v>304</v>
      </c>
      <c r="D30" s="51" t="s">
        <v>624</v>
      </c>
      <c r="F30" s="51" t="s">
        <v>612</v>
      </c>
      <c r="G30" t="s">
        <v>304</v>
      </c>
      <c r="H30" s="51" t="s">
        <v>600</v>
      </c>
      <c r="J30" s="51" t="s">
        <v>588</v>
      </c>
      <c r="L30" s="51" t="s">
        <v>576</v>
      </c>
      <c r="M30" t="s">
        <v>304</v>
      </c>
      <c r="N30" s="51" t="s">
        <v>564</v>
      </c>
      <c r="P30" s="51" t="s">
        <v>552</v>
      </c>
      <c r="R30" s="51" t="s">
        <v>540</v>
      </c>
      <c r="T30" s="51" t="s">
        <v>528</v>
      </c>
      <c r="U30" t="s">
        <v>304</v>
      </c>
      <c r="V30" s="51" t="s">
        <v>516</v>
      </c>
      <c r="X30" s="51" t="s">
        <v>504</v>
      </c>
      <c r="Z30" s="51" t="s">
        <v>492</v>
      </c>
      <c r="AB30" s="51" t="s">
        <v>480</v>
      </c>
      <c r="AD30" s="51" t="s">
        <v>468</v>
      </c>
    </row>
    <row r="31" spans="1:31" x14ac:dyDescent="0.25">
      <c r="B31" s="51" t="s">
        <v>635</v>
      </c>
      <c r="C31" t="s">
        <v>304</v>
      </c>
      <c r="D31" s="51" t="s">
        <v>623</v>
      </c>
      <c r="F31" s="51" t="s">
        <v>611</v>
      </c>
      <c r="G31" t="s">
        <v>304</v>
      </c>
      <c r="H31" s="51" t="s">
        <v>599</v>
      </c>
      <c r="J31" s="51" t="s">
        <v>587</v>
      </c>
      <c r="L31" s="51" t="s">
        <v>575</v>
      </c>
      <c r="M31" t="s">
        <v>304</v>
      </c>
      <c r="N31" s="51" t="s">
        <v>563</v>
      </c>
      <c r="P31" s="51" t="s">
        <v>551</v>
      </c>
      <c r="R31" s="51" t="s">
        <v>539</v>
      </c>
      <c r="T31" s="51" t="s">
        <v>527</v>
      </c>
      <c r="U31" t="s">
        <v>304</v>
      </c>
      <c r="V31" s="51" t="s">
        <v>515</v>
      </c>
      <c r="X31" s="51" t="s">
        <v>503</v>
      </c>
      <c r="Z31" s="51" t="s">
        <v>491</v>
      </c>
      <c r="AB31" s="51" t="s">
        <v>479</v>
      </c>
      <c r="AD31" s="51" t="s">
        <v>467</v>
      </c>
    </row>
    <row r="32" spans="1:31" x14ac:dyDescent="0.25">
      <c r="B32" s="51" t="s">
        <v>634</v>
      </c>
      <c r="C32" t="s">
        <v>304</v>
      </c>
      <c r="D32" s="51" t="s">
        <v>622</v>
      </c>
      <c r="F32" s="51" t="s">
        <v>610</v>
      </c>
      <c r="G32" t="s">
        <v>304</v>
      </c>
      <c r="H32" s="51" t="s">
        <v>598</v>
      </c>
      <c r="J32" s="51" t="s">
        <v>586</v>
      </c>
      <c r="L32" s="51" t="s">
        <v>574</v>
      </c>
      <c r="M32" t="s">
        <v>304</v>
      </c>
      <c r="N32" s="51" t="s">
        <v>562</v>
      </c>
      <c r="P32" s="51" t="s">
        <v>550</v>
      </c>
      <c r="R32" s="51" t="s">
        <v>538</v>
      </c>
      <c r="T32" s="51" t="s">
        <v>526</v>
      </c>
      <c r="U32" t="s">
        <v>304</v>
      </c>
      <c r="V32" s="51" t="s">
        <v>514</v>
      </c>
      <c r="X32" s="51" t="s">
        <v>502</v>
      </c>
      <c r="Z32" s="51" t="s">
        <v>490</v>
      </c>
      <c r="AB32" s="51" t="s">
        <v>478</v>
      </c>
      <c r="AD32" s="51" t="s">
        <v>466</v>
      </c>
    </row>
    <row r="33" spans="1:31" x14ac:dyDescent="0.25">
      <c r="B33" s="51" t="s">
        <v>633</v>
      </c>
      <c r="C33" t="s">
        <v>304</v>
      </c>
      <c r="D33" s="51" t="s">
        <v>621</v>
      </c>
      <c r="F33" s="51" t="s">
        <v>609</v>
      </c>
      <c r="G33" t="s">
        <v>304</v>
      </c>
      <c r="H33" s="51" t="s">
        <v>597</v>
      </c>
      <c r="J33" s="51" t="s">
        <v>585</v>
      </c>
      <c r="L33" s="51" t="s">
        <v>573</v>
      </c>
      <c r="M33" t="s">
        <v>304</v>
      </c>
      <c r="N33" s="51" t="s">
        <v>561</v>
      </c>
      <c r="P33" s="51" t="s">
        <v>549</v>
      </c>
      <c r="R33" s="51" t="s">
        <v>537</v>
      </c>
      <c r="T33" s="51" t="s">
        <v>525</v>
      </c>
      <c r="U33" t="s">
        <v>304</v>
      </c>
      <c r="V33" s="51" t="s">
        <v>513</v>
      </c>
      <c r="X33" s="51" t="s">
        <v>501</v>
      </c>
      <c r="Z33" s="51" t="s">
        <v>489</v>
      </c>
      <c r="AB33" s="51" t="s">
        <v>477</v>
      </c>
      <c r="AD33" s="51" t="s">
        <v>465</v>
      </c>
    </row>
    <row r="34" spans="1:31" x14ac:dyDescent="0.25">
      <c r="B34" s="51" t="s">
        <v>632</v>
      </c>
      <c r="C34" t="s">
        <v>304</v>
      </c>
      <c r="D34" s="51" t="s">
        <v>620</v>
      </c>
      <c r="F34" s="51" t="s">
        <v>608</v>
      </c>
      <c r="G34" t="s">
        <v>304</v>
      </c>
      <c r="H34" s="51" t="s">
        <v>596</v>
      </c>
      <c r="J34" s="51" t="s">
        <v>584</v>
      </c>
      <c r="L34" s="51" t="s">
        <v>572</v>
      </c>
      <c r="M34" t="s">
        <v>304</v>
      </c>
      <c r="N34" s="51" t="s">
        <v>560</v>
      </c>
      <c r="P34" s="51" t="s">
        <v>548</v>
      </c>
      <c r="R34" s="51" t="s">
        <v>536</v>
      </c>
      <c r="T34" s="51" t="s">
        <v>524</v>
      </c>
      <c r="U34" t="s">
        <v>304</v>
      </c>
      <c r="V34" s="51" t="s">
        <v>512</v>
      </c>
      <c r="X34" s="51" t="s">
        <v>500</v>
      </c>
      <c r="Z34" s="51" t="s">
        <v>488</v>
      </c>
      <c r="AB34" s="51" t="s">
        <v>476</v>
      </c>
      <c r="AD34" s="51" t="s">
        <v>464</v>
      </c>
    </row>
    <row r="35" spans="1:31" x14ac:dyDescent="0.25">
      <c r="B35" s="51" t="s">
        <v>631</v>
      </c>
      <c r="C35" t="s">
        <v>304</v>
      </c>
      <c r="D35" s="51" t="s">
        <v>619</v>
      </c>
      <c r="F35" s="51" t="s">
        <v>607</v>
      </c>
      <c r="G35" t="s">
        <v>304</v>
      </c>
      <c r="H35" s="51" t="s">
        <v>595</v>
      </c>
      <c r="J35" s="51" t="s">
        <v>583</v>
      </c>
      <c r="L35" s="51" t="s">
        <v>571</v>
      </c>
      <c r="M35" t="s">
        <v>304</v>
      </c>
      <c r="N35" s="51" t="s">
        <v>559</v>
      </c>
      <c r="P35" s="51" t="s">
        <v>547</v>
      </c>
      <c r="R35" s="51" t="s">
        <v>535</v>
      </c>
      <c r="T35" s="51" t="s">
        <v>523</v>
      </c>
      <c r="U35" t="s">
        <v>304</v>
      </c>
      <c r="V35" s="51" t="s">
        <v>511</v>
      </c>
      <c r="X35" s="51" t="s">
        <v>499</v>
      </c>
      <c r="Z35" s="51" t="s">
        <v>487</v>
      </c>
      <c r="AB35" s="51" t="s">
        <v>475</v>
      </c>
      <c r="AD35" s="51" t="s">
        <v>463</v>
      </c>
    </row>
    <row r="36" spans="1:31" x14ac:dyDescent="0.25">
      <c r="B36" s="51" t="s">
        <v>630</v>
      </c>
      <c r="C36" t="s">
        <v>304</v>
      </c>
      <c r="D36" s="51" t="s">
        <v>618</v>
      </c>
      <c r="F36" s="51" t="s">
        <v>606</v>
      </c>
      <c r="G36" t="s">
        <v>304</v>
      </c>
      <c r="H36" s="51" t="s">
        <v>594</v>
      </c>
      <c r="J36" s="51" t="s">
        <v>582</v>
      </c>
      <c r="L36" s="51" t="s">
        <v>570</v>
      </c>
      <c r="M36" t="s">
        <v>304</v>
      </c>
      <c r="N36" s="51" t="s">
        <v>558</v>
      </c>
      <c r="P36" s="51" t="s">
        <v>546</v>
      </c>
      <c r="R36" s="51" t="s">
        <v>534</v>
      </c>
      <c r="T36" s="51" t="s">
        <v>522</v>
      </c>
      <c r="U36" t="s">
        <v>304</v>
      </c>
      <c r="V36" s="51" t="s">
        <v>510</v>
      </c>
      <c r="X36" s="51" t="s">
        <v>498</v>
      </c>
      <c r="Z36" s="51" t="s">
        <v>486</v>
      </c>
      <c r="AB36" s="51" t="s">
        <v>474</v>
      </c>
      <c r="AD36" s="51" t="s">
        <v>462</v>
      </c>
    </row>
    <row r="37" spans="1:31" x14ac:dyDescent="0.25">
      <c r="B37" s="51" t="s">
        <v>629</v>
      </c>
      <c r="C37" t="s">
        <v>304</v>
      </c>
      <c r="D37" s="51" t="s">
        <v>617</v>
      </c>
      <c r="F37" s="51" t="s">
        <v>605</v>
      </c>
      <c r="G37" t="s">
        <v>304</v>
      </c>
      <c r="H37" s="51" t="s">
        <v>593</v>
      </c>
      <c r="J37" s="51" t="s">
        <v>581</v>
      </c>
      <c r="L37" s="51" t="s">
        <v>569</v>
      </c>
      <c r="M37" t="s">
        <v>304</v>
      </c>
      <c r="N37" s="51" t="s">
        <v>557</v>
      </c>
      <c r="P37" s="51" t="s">
        <v>545</v>
      </c>
      <c r="R37" s="51" t="s">
        <v>533</v>
      </c>
      <c r="T37" s="51" t="s">
        <v>521</v>
      </c>
      <c r="U37" t="s">
        <v>304</v>
      </c>
      <c r="V37" s="51" t="s">
        <v>509</v>
      </c>
      <c r="X37" s="51" t="s">
        <v>497</v>
      </c>
      <c r="Z37" s="51" t="s">
        <v>485</v>
      </c>
      <c r="AB37" s="51" t="s">
        <v>473</v>
      </c>
      <c r="AD37" s="51" t="s">
        <v>461</v>
      </c>
    </row>
    <row r="38" spans="1:31" x14ac:dyDescent="0.25">
      <c r="A38" s="51" t="s">
        <v>303</v>
      </c>
      <c r="B38" s="51">
        <f>COUNTIF(B26:B37,"&lt;&gt;")</f>
        <v>12</v>
      </c>
      <c r="C38" s="51">
        <f>COUNTIF(C26:C37,"&lt;&gt;")</f>
        <v>12</v>
      </c>
      <c r="D38" s="51">
        <f t="shared" ref="D38:AE38" si="17">COUNTIF(D26:D37,"&lt;&gt;")</f>
        <v>12</v>
      </c>
      <c r="E38" s="51">
        <f t="shared" si="17"/>
        <v>0</v>
      </c>
      <c r="F38" s="51">
        <f t="shared" si="17"/>
        <v>12</v>
      </c>
      <c r="G38" s="51">
        <f t="shared" si="17"/>
        <v>12</v>
      </c>
      <c r="H38" s="51">
        <f t="shared" si="17"/>
        <v>12</v>
      </c>
      <c r="I38" s="51">
        <f t="shared" si="17"/>
        <v>0</v>
      </c>
      <c r="J38" s="51">
        <f t="shared" si="17"/>
        <v>12</v>
      </c>
      <c r="K38" s="51">
        <f t="shared" si="17"/>
        <v>0</v>
      </c>
      <c r="L38" s="51">
        <f t="shared" si="17"/>
        <v>12</v>
      </c>
      <c r="M38" s="51">
        <f t="shared" si="17"/>
        <v>12</v>
      </c>
      <c r="N38" s="51">
        <f t="shared" si="17"/>
        <v>12</v>
      </c>
      <c r="O38" s="51">
        <f t="shared" si="17"/>
        <v>0</v>
      </c>
      <c r="P38" s="51">
        <f t="shared" si="17"/>
        <v>12</v>
      </c>
      <c r="Q38" s="51">
        <f t="shared" si="17"/>
        <v>0</v>
      </c>
      <c r="R38" s="51">
        <f t="shared" si="17"/>
        <v>12</v>
      </c>
      <c r="S38" s="51">
        <f t="shared" si="17"/>
        <v>0</v>
      </c>
      <c r="T38" s="51">
        <f t="shared" si="17"/>
        <v>12</v>
      </c>
      <c r="U38" s="51">
        <f t="shared" si="17"/>
        <v>12</v>
      </c>
      <c r="V38" s="51">
        <f t="shared" si="17"/>
        <v>12</v>
      </c>
      <c r="W38" s="51">
        <f t="shared" si="17"/>
        <v>0</v>
      </c>
      <c r="X38" s="51">
        <f t="shared" si="17"/>
        <v>12</v>
      </c>
      <c r="Y38" s="51">
        <f t="shared" si="17"/>
        <v>0</v>
      </c>
      <c r="Z38" s="51">
        <f t="shared" si="17"/>
        <v>12</v>
      </c>
      <c r="AA38" s="51">
        <f t="shared" si="17"/>
        <v>0</v>
      </c>
      <c r="AB38" s="51">
        <f t="shared" si="17"/>
        <v>12</v>
      </c>
      <c r="AC38" s="51">
        <f t="shared" si="17"/>
        <v>0</v>
      </c>
      <c r="AD38" s="51">
        <f t="shared" si="17"/>
        <v>12</v>
      </c>
      <c r="AE38" s="51">
        <f t="shared" si="17"/>
        <v>0</v>
      </c>
    </row>
    <row r="39" spans="1:31" x14ac:dyDescent="0.25">
      <c r="F39" s="161" t="s">
        <v>19176</v>
      </c>
      <c r="L39" s="161" t="s">
        <v>19176</v>
      </c>
      <c r="T39" s="161" t="s">
        <v>19835</v>
      </c>
    </row>
  </sheetData>
  <conditionalFormatting sqref="A3:AE22 L39 A24:AE38 A23:G23 I23:AE23 T39">
    <cfRule type="cellIs" dxfId="14" priority="3" operator="equal">
      <formula>"y"</formula>
    </cfRule>
  </conditionalFormatting>
  <conditionalFormatting sqref="F39">
    <cfRule type="cellIs" dxfId="13" priority="2" operator="equal">
      <formula>"y"</formula>
    </cfRule>
  </conditionalFormatting>
  <conditionalFormatting sqref="H23">
    <cfRule type="cellIs" dxfId="12" priority="1" operator="equal">
      <formula>"y"</formula>
    </cfRule>
  </conditionalFormatting>
  <pageMargins left="0.7" right="0.7" top="0.75" bottom="0.75" header="0.3" footer="0.3"/>
  <pageSetup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CEFC-D07F-437E-AB90-421B35BD8611}">
  <sheetPr codeName="Sheet6">
    <tabColor rgb="FF00B050"/>
  </sheetPr>
  <dimension ref="A1:I38"/>
  <sheetViews>
    <sheetView topLeftCell="A13" workbookViewId="0">
      <selection activeCell="E16" sqref="E16"/>
    </sheetView>
  </sheetViews>
  <sheetFormatPr defaultRowHeight="15" x14ac:dyDescent="0.25"/>
  <cols>
    <col min="2" max="2" width="14.5703125" bestFit="1" customWidth="1"/>
    <col min="3" max="3" width="10.85546875" bestFit="1" customWidth="1"/>
    <col min="4" max="4" width="12.42578125" bestFit="1" customWidth="1"/>
  </cols>
  <sheetData>
    <row r="1" spans="1:9" s="111" customFormat="1" x14ac:dyDescent="0.25">
      <c r="B1" s="111" t="s">
        <v>14577</v>
      </c>
      <c r="C1" s="111">
        <f>SUM(D3,D24)</f>
        <v>41</v>
      </c>
      <c r="D1" s="111" t="s">
        <v>301</v>
      </c>
      <c r="E1" s="111">
        <f>SUM(F3,F24)</f>
        <v>41</v>
      </c>
      <c r="F1" s="111" t="s">
        <v>14579</v>
      </c>
      <c r="G1" s="111">
        <f>SUM(H3,H24)</f>
        <v>0</v>
      </c>
      <c r="H1" s="111" t="s">
        <v>14578</v>
      </c>
      <c r="I1" s="131">
        <f>(E1/C1)</f>
        <v>1</v>
      </c>
    </row>
    <row r="2" spans="1:9" x14ac:dyDescent="0.25">
      <c r="A2" t="s">
        <v>323</v>
      </c>
      <c r="H2" s="51">
        <f>D3-F3</f>
        <v>0</v>
      </c>
    </row>
    <row r="3" spans="1:9" x14ac:dyDescent="0.25">
      <c r="A3" s="51"/>
      <c r="B3" s="51" t="s">
        <v>668</v>
      </c>
      <c r="C3" s="51" t="s">
        <v>302</v>
      </c>
      <c r="D3" s="51">
        <f>SUM(B22)</f>
        <v>17</v>
      </c>
      <c r="E3" s="51" t="s">
        <v>301</v>
      </c>
      <c r="F3" s="51">
        <f>SUM(C22,)</f>
        <v>17</v>
      </c>
      <c r="G3" s="51" t="s">
        <v>305</v>
      </c>
      <c r="H3" s="51"/>
    </row>
    <row r="4" spans="1:9" x14ac:dyDescent="0.25">
      <c r="A4" s="51"/>
      <c r="B4" s="51" t="str">
        <f>LEFT(B5,FIND("_C",B5)-1)</f>
        <v>BH_114</v>
      </c>
      <c r="C4" s="51" t="s">
        <v>301</v>
      </c>
      <c r="D4" s="51"/>
      <c r="E4" s="51"/>
      <c r="F4" s="51"/>
      <c r="G4" s="51"/>
    </row>
    <row r="5" spans="1:9" x14ac:dyDescent="0.25">
      <c r="A5" s="51"/>
      <c r="B5" s="51" t="s">
        <v>306</v>
      </c>
      <c r="C5" t="s">
        <v>304</v>
      </c>
    </row>
    <row r="6" spans="1:9" x14ac:dyDescent="0.25">
      <c r="A6" s="51"/>
      <c r="B6" s="51" t="s">
        <v>307</v>
      </c>
      <c r="C6" t="s">
        <v>304</v>
      </c>
    </row>
    <row r="7" spans="1:9" x14ac:dyDescent="0.25">
      <c r="A7" s="51"/>
      <c r="B7" s="51" t="s">
        <v>308</v>
      </c>
      <c r="C7" t="s">
        <v>304</v>
      </c>
    </row>
    <row r="8" spans="1:9" x14ac:dyDescent="0.25">
      <c r="A8" s="51"/>
      <c r="B8" s="51" t="s">
        <v>309</v>
      </c>
      <c r="C8" t="s">
        <v>304</v>
      </c>
    </row>
    <row r="9" spans="1:9" x14ac:dyDescent="0.25">
      <c r="A9" s="51"/>
      <c r="B9" s="51" t="s">
        <v>310</v>
      </c>
      <c r="C9" t="s">
        <v>304</v>
      </c>
    </row>
    <row r="10" spans="1:9" x14ac:dyDescent="0.25">
      <c r="A10" s="51"/>
      <c r="B10" s="51" t="s">
        <v>311</v>
      </c>
      <c r="C10" t="s">
        <v>304</v>
      </c>
    </row>
    <row r="11" spans="1:9" x14ac:dyDescent="0.25">
      <c r="A11" s="51"/>
      <c r="B11" s="51" t="s">
        <v>312</v>
      </c>
      <c r="C11" t="s">
        <v>304</v>
      </c>
    </row>
    <row r="12" spans="1:9" x14ac:dyDescent="0.25">
      <c r="A12" s="51"/>
      <c r="B12" s="51" t="s">
        <v>313</v>
      </c>
      <c r="C12" t="s">
        <v>304</v>
      </c>
    </row>
    <row r="13" spans="1:9" x14ac:dyDescent="0.25">
      <c r="A13" s="51"/>
      <c r="B13" s="51" t="s">
        <v>314</v>
      </c>
      <c r="C13" t="s">
        <v>304</v>
      </c>
    </row>
    <row r="14" spans="1:9" x14ac:dyDescent="0.25">
      <c r="A14" s="51"/>
      <c r="B14" s="51" t="s">
        <v>315</v>
      </c>
      <c r="C14" t="s">
        <v>304</v>
      </c>
    </row>
    <row r="15" spans="1:9" x14ac:dyDescent="0.25">
      <c r="A15" s="51"/>
      <c r="B15" s="51" t="s">
        <v>316</v>
      </c>
      <c r="C15" t="s">
        <v>304</v>
      </c>
    </row>
    <row r="16" spans="1:9" x14ac:dyDescent="0.25">
      <c r="A16" s="51"/>
      <c r="B16" s="51" t="s">
        <v>317</v>
      </c>
      <c r="C16" t="s">
        <v>304</v>
      </c>
    </row>
    <row r="17" spans="1:8" x14ac:dyDescent="0.25">
      <c r="A17" s="51"/>
      <c r="B17" s="51" t="s">
        <v>318</v>
      </c>
      <c r="C17" t="s">
        <v>304</v>
      </c>
    </row>
    <row r="18" spans="1:8" x14ac:dyDescent="0.25">
      <c r="A18" s="51"/>
      <c r="B18" s="51" t="s">
        <v>319</v>
      </c>
      <c r="C18" t="s">
        <v>304</v>
      </c>
    </row>
    <row r="19" spans="1:8" x14ac:dyDescent="0.25">
      <c r="A19" s="51"/>
      <c r="B19" s="51" t="s">
        <v>320</v>
      </c>
      <c r="C19" t="s">
        <v>304</v>
      </c>
    </row>
    <row r="20" spans="1:8" x14ac:dyDescent="0.25">
      <c r="A20" s="51"/>
      <c r="B20" s="51" t="s">
        <v>321</v>
      </c>
      <c r="C20" t="s">
        <v>304</v>
      </c>
    </row>
    <row r="21" spans="1:8" x14ac:dyDescent="0.25">
      <c r="A21" s="51"/>
      <c r="B21" s="51" t="s">
        <v>322</v>
      </c>
      <c r="C21" t="s">
        <v>304</v>
      </c>
    </row>
    <row r="22" spans="1:8" s="51" customFormat="1" x14ac:dyDescent="0.25">
      <c r="A22" s="51" t="s">
        <v>303</v>
      </c>
      <c r="B22" s="51">
        <f>COUNTIF(B5:B21,"&lt;&gt;")</f>
        <v>17</v>
      </c>
      <c r="C22" s="51">
        <f>COUNTIF(C5:C21,"&lt;&gt;")</f>
        <v>17</v>
      </c>
      <c r="D22"/>
      <c r="E22"/>
      <c r="F22"/>
      <c r="G22"/>
      <c r="H22" s="51">
        <f>D24-F24</f>
        <v>0</v>
      </c>
    </row>
    <row r="23" spans="1:8" s="111" customFormat="1" x14ac:dyDescent="0.25"/>
    <row r="24" spans="1:8" x14ac:dyDescent="0.25">
      <c r="A24" s="51"/>
      <c r="B24" s="51" t="s">
        <v>669</v>
      </c>
      <c r="C24" s="51" t="s">
        <v>302</v>
      </c>
      <c r="D24" s="51">
        <f>SUM(B38,D38)</f>
        <v>24</v>
      </c>
      <c r="E24" s="51" t="s">
        <v>301</v>
      </c>
      <c r="F24" s="51">
        <f>SUM(C38,E38,)</f>
        <v>24</v>
      </c>
      <c r="G24" s="51" t="s">
        <v>305</v>
      </c>
    </row>
    <row r="25" spans="1:8" x14ac:dyDescent="0.25">
      <c r="B25" s="51" t="str">
        <f>LEFT(B26,FIND("_P",B26)-1)</f>
        <v>CPT_043</v>
      </c>
      <c r="C25" s="51" t="s">
        <v>301</v>
      </c>
      <c r="D25" s="51" t="str">
        <f>LEFT(D26,FIND("_P",D26)-1)</f>
        <v>CPT_251</v>
      </c>
      <c r="E25" s="51" t="s">
        <v>301</v>
      </c>
    </row>
    <row r="26" spans="1:8" x14ac:dyDescent="0.25">
      <c r="B26" s="51" t="s">
        <v>644</v>
      </c>
      <c r="C26" s="109" t="s">
        <v>304</v>
      </c>
      <c r="D26" s="51" t="s">
        <v>656</v>
      </c>
      <c r="E26" s="109" t="s">
        <v>304</v>
      </c>
    </row>
    <row r="27" spans="1:8" x14ac:dyDescent="0.25">
      <c r="B27" s="51" t="s">
        <v>645</v>
      </c>
      <c r="C27" s="109" t="s">
        <v>304</v>
      </c>
      <c r="D27" s="51" t="s">
        <v>657</v>
      </c>
      <c r="E27" s="109" t="s">
        <v>304</v>
      </c>
    </row>
    <row r="28" spans="1:8" x14ac:dyDescent="0.25">
      <c r="B28" s="51" t="s">
        <v>646</v>
      </c>
      <c r="C28" s="109" t="s">
        <v>304</v>
      </c>
      <c r="D28" s="51" t="s">
        <v>658</v>
      </c>
      <c r="E28" s="109" t="s">
        <v>304</v>
      </c>
    </row>
    <row r="29" spans="1:8" x14ac:dyDescent="0.25">
      <c r="B29" s="51" t="s">
        <v>647</v>
      </c>
      <c r="C29" s="109" t="s">
        <v>304</v>
      </c>
      <c r="D29" s="51" t="s">
        <v>659</v>
      </c>
      <c r="E29" t="s">
        <v>304</v>
      </c>
    </row>
    <row r="30" spans="1:8" x14ac:dyDescent="0.25">
      <c r="B30" s="51" t="s">
        <v>648</v>
      </c>
      <c r="C30" s="109" t="s">
        <v>304</v>
      </c>
      <c r="D30" s="51" t="s">
        <v>660</v>
      </c>
      <c r="E30" t="s">
        <v>304</v>
      </c>
    </row>
    <row r="31" spans="1:8" x14ac:dyDescent="0.25">
      <c r="B31" s="51" t="s">
        <v>649</v>
      </c>
      <c r="C31" s="109" t="s">
        <v>304</v>
      </c>
      <c r="D31" s="51" t="s">
        <v>661</v>
      </c>
      <c r="E31" t="s">
        <v>304</v>
      </c>
    </row>
    <row r="32" spans="1:8" x14ac:dyDescent="0.25">
      <c r="B32" s="51" t="s">
        <v>650</v>
      </c>
      <c r="C32" s="109" t="s">
        <v>304</v>
      </c>
      <c r="D32" s="51" t="s">
        <v>662</v>
      </c>
      <c r="E32" t="s">
        <v>304</v>
      </c>
    </row>
    <row r="33" spans="1:6" x14ac:dyDescent="0.25">
      <c r="B33" s="51" t="s">
        <v>651</v>
      </c>
      <c r="C33" s="109" t="s">
        <v>304</v>
      </c>
      <c r="D33" s="51" t="s">
        <v>663</v>
      </c>
      <c r="E33" t="s">
        <v>304</v>
      </c>
    </row>
    <row r="34" spans="1:6" x14ac:dyDescent="0.25">
      <c r="B34" s="51" t="s">
        <v>652</v>
      </c>
      <c r="C34" t="s">
        <v>304</v>
      </c>
      <c r="D34" s="51" t="s">
        <v>664</v>
      </c>
      <c r="E34" s="109" t="s">
        <v>304</v>
      </c>
    </row>
    <row r="35" spans="1:6" x14ac:dyDescent="0.25">
      <c r="B35" s="51" t="s">
        <v>653</v>
      </c>
      <c r="C35" t="s">
        <v>304</v>
      </c>
      <c r="D35" s="51" t="s">
        <v>665</v>
      </c>
      <c r="E35" s="109" t="s">
        <v>304</v>
      </c>
    </row>
    <row r="36" spans="1:6" x14ac:dyDescent="0.25">
      <c r="B36" s="51" t="s">
        <v>654</v>
      </c>
      <c r="C36" t="s">
        <v>304</v>
      </c>
      <c r="D36" s="51" t="s">
        <v>666</v>
      </c>
      <c r="E36" s="109" t="s">
        <v>304</v>
      </c>
    </row>
    <row r="37" spans="1:6" x14ac:dyDescent="0.25">
      <c r="B37" s="51" t="s">
        <v>655</v>
      </c>
      <c r="C37" t="s">
        <v>304</v>
      </c>
      <c r="D37" s="51" t="s">
        <v>667</v>
      </c>
      <c r="E37" s="109" t="s">
        <v>304</v>
      </c>
    </row>
    <row r="38" spans="1:6" x14ac:dyDescent="0.25">
      <c r="A38" s="51" t="s">
        <v>303</v>
      </c>
      <c r="B38" s="51">
        <f>COUNTIF(B26:B37,"&lt;&gt;")</f>
        <v>12</v>
      </c>
      <c r="C38" s="51">
        <f>COUNTIF(C26:C37,"&lt;&gt;")</f>
        <v>12</v>
      </c>
      <c r="D38" s="51">
        <f t="shared" ref="D38:F38" si="0">COUNTIF(D26:D37,"&lt;&gt;")</f>
        <v>12</v>
      </c>
      <c r="E38" s="51">
        <f t="shared" si="0"/>
        <v>12</v>
      </c>
      <c r="F38" s="51"/>
    </row>
  </sheetData>
  <conditionalFormatting sqref="H2:H37 A2:G38">
    <cfRule type="cellIs" dxfId="11" priority="1" operator="equal">
      <formula>"y"</formula>
    </cfRule>
  </conditionalFormatting>
  <pageMargins left="0.7" right="0.7" top="0.75" bottom="0.75" header="0.3" footer="0.3"/>
  <pageSetup orientation="portrait" verticalDpi="597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2A60A-C427-4413-AC5A-BB959468DD97}">
  <sheetPr codeName="Sheet7"/>
  <dimension ref="A1:AG39"/>
  <sheetViews>
    <sheetView workbookViewId="0">
      <selection activeCell="E40" sqref="E40"/>
    </sheetView>
  </sheetViews>
  <sheetFormatPr defaultRowHeight="15" x14ac:dyDescent="0.25"/>
  <cols>
    <col min="1" max="1" width="10" bestFit="1" customWidth="1"/>
    <col min="2" max="2" width="14.5703125" bestFit="1" customWidth="1"/>
    <col min="3" max="3" width="10.85546875" bestFit="1" customWidth="1"/>
    <col min="4" max="4" width="12.42578125" bestFit="1" customWidth="1"/>
    <col min="5" max="5" width="10.85546875" bestFit="1" customWidth="1"/>
    <col min="6" max="6" width="12.42578125" bestFit="1" customWidth="1"/>
    <col min="7" max="7" width="10.85546875" bestFit="1" customWidth="1"/>
    <col min="8" max="8" width="12.42578125" bestFit="1" customWidth="1"/>
    <col min="9" max="9" width="10.85546875" bestFit="1" customWidth="1"/>
    <col min="10" max="10" width="12.42578125" bestFit="1" customWidth="1"/>
    <col min="11" max="11" width="10.85546875" bestFit="1" customWidth="1"/>
    <col min="12" max="12" width="12.42578125" bestFit="1" customWidth="1"/>
    <col min="13" max="13" width="10.85546875" bestFit="1" customWidth="1"/>
    <col min="14" max="14" width="12.42578125" bestFit="1" customWidth="1"/>
    <col min="15" max="15" width="10.85546875" bestFit="1" customWidth="1"/>
    <col min="16" max="16" width="12.42578125" bestFit="1" customWidth="1"/>
    <col min="17" max="17" width="10.85546875" bestFit="1" customWidth="1"/>
    <col min="18" max="18" width="12.42578125" bestFit="1" customWidth="1"/>
    <col min="19" max="19" width="10.85546875" bestFit="1" customWidth="1"/>
    <col min="20" max="20" width="12.42578125" bestFit="1" customWidth="1"/>
    <col min="21" max="21" width="10.85546875" bestFit="1" customWidth="1"/>
    <col min="22" max="22" width="12.42578125" bestFit="1" customWidth="1"/>
    <col min="23" max="23" width="10.85546875" bestFit="1" customWidth="1"/>
    <col min="24" max="24" width="12.42578125" bestFit="1" customWidth="1"/>
    <col min="25" max="25" width="10.85546875" bestFit="1" customWidth="1"/>
    <col min="26" max="26" width="12.42578125" bestFit="1" customWidth="1"/>
    <col min="27" max="27" width="10.85546875" bestFit="1" customWidth="1"/>
    <col min="28" max="28" width="12.42578125" bestFit="1" customWidth="1"/>
    <col min="29" max="29" width="10.85546875" bestFit="1" customWidth="1"/>
    <col min="30" max="30" width="12.42578125" bestFit="1" customWidth="1"/>
    <col min="31" max="31" width="10.85546875" bestFit="1" customWidth="1"/>
    <col min="32" max="32" width="12.42578125" bestFit="1" customWidth="1"/>
    <col min="33" max="33" width="10.85546875" bestFit="1" customWidth="1"/>
  </cols>
  <sheetData>
    <row r="1" spans="1:17" s="111" customFormat="1" x14ac:dyDescent="0.25">
      <c r="B1" s="111" t="s">
        <v>14577</v>
      </c>
      <c r="C1" s="111">
        <f>SUM(D3,D24)</f>
        <v>328</v>
      </c>
      <c r="D1" s="111" t="s">
        <v>301</v>
      </c>
      <c r="E1" s="111">
        <f>SUM(F3,F24)</f>
        <v>147</v>
      </c>
      <c r="F1" s="111" t="s">
        <v>14579</v>
      </c>
      <c r="G1" s="111">
        <f>SUM(H3,H24)</f>
        <v>181</v>
      </c>
      <c r="H1" s="111" t="s">
        <v>14578</v>
      </c>
      <c r="I1" s="131">
        <f>(E1/C1)</f>
        <v>0.44817073170731708</v>
      </c>
    </row>
    <row r="2" spans="1:17" s="111" customFormat="1" x14ac:dyDescent="0.25"/>
    <row r="3" spans="1:17" x14ac:dyDescent="0.25">
      <c r="A3" s="51"/>
      <c r="B3" s="51" t="s">
        <v>862</v>
      </c>
      <c r="C3" s="51" t="s">
        <v>302</v>
      </c>
      <c r="D3" s="51">
        <f>SUM(B22,D22,F22,H22,J22,L22,N22,P22)</f>
        <v>136</v>
      </c>
      <c r="E3" s="51" t="s">
        <v>301</v>
      </c>
      <c r="F3" s="51">
        <f>SUM(C22,E22,G22,I22,K22,M22,O22,Q22)</f>
        <v>51</v>
      </c>
      <c r="G3" s="51" t="s">
        <v>305</v>
      </c>
      <c r="H3" s="51">
        <f>D3-F3</f>
        <v>85</v>
      </c>
      <c r="I3" s="51"/>
      <c r="J3" s="51"/>
      <c r="K3" s="51"/>
      <c r="L3" s="51"/>
      <c r="M3" s="51"/>
      <c r="N3" s="51"/>
      <c r="O3" s="51"/>
      <c r="P3" s="51"/>
      <c r="Q3" s="51"/>
    </row>
    <row r="4" spans="1:17" x14ac:dyDescent="0.25">
      <c r="A4" s="51"/>
      <c r="B4" t="str">
        <f>LEFT(B5,FIND("_C",B5)-1)</f>
        <v>BH_018</v>
      </c>
      <c r="C4" s="51" t="s">
        <v>301</v>
      </c>
      <c r="D4" s="51" t="str">
        <f>LEFT(D5,FIND("_C",D5)-1)</f>
        <v>BH_053</v>
      </c>
      <c r="E4" s="51" t="s">
        <v>301</v>
      </c>
      <c r="F4" s="51" t="str">
        <f>LEFT(F5,FIND("_C",F5)-1)</f>
        <v>BH_057</v>
      </c>
      <c r="G4" s="51" t="s">
        <v>301</v>
      </c>
      <c r="H4" s="87" t="str">
        <f>LEFT(H5,FIND("_C",H5)-1)</f>
        <v>BH_086</v>
      </c>
      <c r="I4" s="51" t="s">
        <v>301</v>
      </c>
      <c r="J4" s="51" t="str">
        <f>LEFT(J5,FIND("_C",J5)-1)</f>
        <v>BH_098</v>
      </c>
      <c r="K4" s="51" t="s">
        <v>301</v>
      </c>
      <c r="L4" s="51" t="str">
        <f>LEFT(L5,FIND("_C",L5)-1)</f>
        <v>BH_108</v>
      </c>
      <c r="M4" s="51" t="s">
        <v>301</v>
      </c>
      <c r="N4" s="51" t="str">
        <f>LEFT(N5,FIND("_C",N5)-1)</f>
        <v>BH_131</v>
      </c>
      <c r="O4" s="51" t="s">
        <v>301</v>
      </c>
      <c r="P4" s="89" t="str">
        <f>LEFT(P5,FIND("_C",P5)-1)</f>
        <v>BH_143</v>
      </c>
      <c r="Q4" s="51" t="s">
        <v>301</v>
      </c>
    </row>
    <row r="5" spans="1:17" x14ac:dyDescent="0.25">
      <c r="A5" s="51"/>
      <c r="B5" s="51" t="s">
        <v>324</v>
      </c>
      <c r="D5" s="51" t="s">
        <v>341</v>
      </c>
      <c r="F5" s="51" t="s">
        <v>358</v>
      </c>
      <c r="H5" s="51" t="s">
        <v>375</v>
      </c>
      <c r="I5" s="109" t="s">
        <v>7847</v>
      </c>
      <c r="J5" s="51" t="s">
        <v>392</v>
      </c>
      <c r="L5" s="51" t="s">
        <v>409</v>
      </c>
      <c r="N5" s="51" t="s">
        <v>426</v>
      </c>
      <c r="O5" t="s">
        <v>304</v>
      </c>
      <c r="P5" s="51" t="s">
        <v>443</v>
      </c>
      <c r="Q5" s="109" t="s">
        <v>304</v>
      </c>
    </row>
    <row r="6" spans="1:17" x14ac:dyDescent="0.25">
      <c r="A6" s="51"/>
      <c r="B6" s="51" t="s">
        <v>325</v>
      </c>
      <c r="D6" s="51" t="s">
        <v>342</v>
      </c>
      <c r="F6" s="51" t="s">
        <v>359</v>
      </c>
      <c r="H6" s="51" t="s">
        <v>376</v>
      </c>
      <c r="I6" t="s">
        <v>7847</v>
      </c>
      <c r="J6" s="51" t="s">
        <v>393</v>
      </c>
      <c r="L6" s="51" t="s">
        <v>410</v>
      </c>
      <c r="N6" s="51" t="s">
        <v>427</v>
      </c>
      <c r="O6" t="s">
        <v>304</v>
      </c>
      <c r="P6" s="51" t="s">
        <v>444</v>
      </c>
      <c r="Q6" s="109" t="s">
        <v>304</v>
      </c>
    </row>
    <row r="7" spans="1:17" x14ac:dyDescent="0.25">
      <c r="A7" s="51"/>
      <c r="B7" s="51" t="s">
        <v>326</v>
      </c>
      <c r="D7" s="51" t="s">
        <v>343</v>
      </c>
      <c r="F7" s="51" t="s">
        <v>360</v>
      </c>
      <c r="H7" s="51" t="s">
        <v>377</v>
      </c>
      <c r="I7" s="109" t="s">
        <v>7847</v>
      </c>
      <c r="J7" s="51" t="s">
        <v>394</v>
      </c>
      <c r="L7" s="51" t="s">
        <v>411</v>
      </c>
      <c r="N7" s="51" t="s">
        <v>428</v>
      </c>
      <c r="O7" t="s">
        <v>304</v>
      </c>
      <c r="P7" s="51" t="s">
        <v>445</v>
      </c>
      <c r="Q7" s="109" t="s">
        <v>304</v>
      </c>
    </row>
    <row r="8" spans="1:17" x14ac:dyDescent="0.25">
      <c r="A8" s="51"/>
      <c r="B8" s="51" t="s">
        <v>327</v>
      </c>
      <c r="D8" s="51" t="s">
        <v>344</v>
      </c>
      <c r="F8" s="51" t="s">
        <v>361</v>
      </c>
      <c r="H8" s="51" t="s">
        <v>378</v>
      </c>
      <c r="I8" s="109" t="s">
        <v>7847</v>
      </c>
      <c r="J8" s="51" t="s">
        <v>395</v>
      </c>
      <c r="L8" s="51" t="s">
        <v>412</v>
      </c>
      <c r="N8" s="51" t="s">
        <v>429</v>
      </c>
      <c r="O8" t="s">
        <v>304</v>
      </c>
      <c r="P8" s="51" t="s">
        <v>446</v>
      </c>
      <c r="Q8" s="109" t="s">
        <v>304</v>
      </c>
    </row>
    <row r="9" spans="1:17" x14ac:dyDescent="0.25">
      <c r="A9" s="51"/>
      <c r="B9" s="51" t="s">
        <v>328</v>
      </c>
      <c r="D9" s="51" t="s">
        <v>345</v>
      </c>
      <c r="F9" s="51" t="s">
        <v>362</v>
      </c>
      <c r="H9" s="51" t="s">
        <v>379</v>
      </c>
      <c r="I9" s="109" t="s">
        <v>7847</v>
      </c>
      <c r="J9" s="51" t="s">
        <v>396</v>
      </c>
      <c r="L9" s="51" t="s">
        <v>413</v>
      </c>
      <c r="N9" s="51" t="s">
        <v>430</v>
      </c>
      <c r="O9" t="s">
        <v>304</v>
      </c>
      <c r="P9" s="51" t="s">
        <v>447</v>
      </c>
      <c r="Q9" s="109" t="s">
        <v>304</v>
      </c>
    </row>
    <row r="10" spans="1:17" x14ac:dyDescent="0.25">
      <c r="A10" s="51"/>
      <c r="B10" s="51" t="s">
        <v>329</v>
      </c>
      <c r="D10" s="51" t="s">
        <v>346</v>
      </c>
      <c r="F10" s="51" t="s">
        <v>363</v>
      </c>
      <c r="H10" s="51" t="s">
        <v>380</v>
      </c>
      <c r="I10" s="109" t="s">
        <v>7847</v>
      </c>
      <c r="J10" s="51" t="s">
        <v>397</v>
      </c>
      <c r="L10" s="51" t="s">
        <v>414</v>
      </c>
      <c r="N10" s="51" t="s">
        <v>431</v>
      </c>
      <c r="O10" t="s">
        <v>304</v>
      </c>
      <c r="P10" s="51" t="s">
        <v>448</v>
      </c>
      <c r="Q10" s="109" t="s">
        <v>304</v>
      </c>
    </row>
    <row r="11" spans="1:17" x14ac:dyDescent="0.25">
      <c r="A11" s="51"/>
      <c r="B11" s="51" t="s">
        <v>330</v>
      </c>
      <c r="D11" s="51" t="s">
        <v>347</v>
      </c>
      <c r="F11" s="51" t="s">
        <v>364</v>
      </c>
      <c r="H11" s="51" t="s">
        <v>381</v>
      </c>
      <c r="I11" s="109" t="s">
        <v>7847</v>
      </c>
      <c r="J11" s="51" t="s">
        <v>398</v>
      </c>
      <c r="L11" s="51" t="s">
        <v>415</v>
      </c>
      <c r="N11" s="51" t="s">
        <v>432</v>
      </c>
      <c r="O11" t="s">
        <v>304</v>
      </c>
      <c r="P11" s="51" t="s">
        <v>449</v>
      </c>
      <c r="Q11" s="109" t="s">
        <v>304</v>
      </c>
    </row>
    <row r="12" spans="1:17" x14ac:dyDescent="0.25">
      <c r="A12" s="51"/>
      <c r="B12" s="51" t="s">
        <v>331</v>
      </c>
      <c r="D12" s="51" t="s">
        <v>348</v>
      </c>
      <c r="F12" s="51" t="s">
        <v>365</v>
      </c>
      <c r="H12" s="51" t="s">
        <v>382</v>
      </c>
      <c r="I12" s="109" t="s">
        <v>7847</v>
      </c>
      <c r="J12" s="51" t="s">
        <v>399</v>
      </c>
      <c r="L12" s="51" t="s">
        <v>416</v>
      </c>
      <c r="N12" s="51" t="s">
        <v>433</v>
      </c>
      <c r="O12" t="s">
        <v>304</v>
      </c>
      <c r="P12" s="51" t="s">
        <v>450</v>
      </c>
      <c r="Q12" s="109" t="s">
        <v>304</v>
      </c>
    </row>
    <row r="13" spans="1:17" x14ac:dyDescent="0.25">
      <c r="A13" s="51"/>
      <c r="B13" s="51" t="s">
        <v>332</v>
      </c>
      <c r="D13" s="51" t="s">
        <v>349</v>
      </c>
      <c r="F13" s="51" t="s">
        <v>366</v>
      </c>
      <c r="H13" s="51" t="s">
        <v>383</v>
      </c>
      <c r="I13" s="109" t="s">
        <v>7847</v>
      </c>
      <c r="J13" s="51" t="s">
        <v>400</v>
      </c>
      <c r="L13" s="51" t="s">
        <v>417</v>
      </c>
      <c r="N13" s="51" t="s">
        <v>434</v>
      </c>
      <c r="O13" t="s">
        <v>304</v>
      </c>
      <c r="P13" s="51" t="s">
        <v>451</v>
      </c>
      <c r="Q13" s="109" t="s">
        <v>304</v>
      </c>
    </row>
    <row r="14" spans="1:17" x14ac:dyDescent="0.25">
      <c r="A14" s="51"/>
      <c r="B14" s="51" t="s">
        <v>333</v>
      </c>
      <c r="D14" s="51" t="s">
        <v>350</v>
      </c>
      <c r="F14" s="51" t="s">
        <v>367</v>
      </c>
      <c r="H14" s="51" t="s">
        <v>384</v>
      </c>
      <c r="I14" s="109" t="s">
        <v>7847</v>
      </c>
      <c r="J14" s="51" t="s">
        <v>401</v>
      </c>
      <c r="L14" s="51" t="s">
        <v>418</v>
      </c>
      <c r="N14" s="51" t="s">
        <v>435</v>
      </c>
      <c r="O14" t="s">
        <v>304</v>
      </c>
      <c r="P14" s="51" t="s">
        <v>452</v>
      </c>
      <c r="Q14" s="109" t="s">
        <v>304</v>
      </c>
    </row>
    <row r="15" spans="1:17" x14ac:dyDescent="0.25">
      <c r="A15" s="51"/>
      <c r="B15" s="51" t="s">
        <v>334</v>
      </c>
      <c r="D15" s="51" t="s">
        <v>351</v>
      </c>
      <c r="F15" s="51" t="s">
        <v>368</v>
      </c>
      <c r="H15" s="51" t="s">
        <v>385</v>
      </c>
      <c r="I15" s="109" t="s">
        <v>7847</v>
      </c>
      <c r="J15" s="51" t="s">
        <v>402</v>
      </c>
      <c r="L15" s="51" t="s">
        <v>419</v>
      </c>
      <c r="N15" s="51" t="s">
        <v>436</v>
      </c>
      <c r="O15" t="s">
        <v>304</v>
      </c>
      <c r="P15" s="51" t="s">
        <v>453</v>
      </c>
      <c r="Q15" s="109" t="s">
        <v>304</v>
      </c>
    </row>
    <row r="16" spans="1:17" x14ac:dyDescent="0.25">
      <c r="A16" s="51"/>
      <c r="B16" s="51" t="s">
        <v>335</v>
      </c>
      <c r="D16" s="51" t="s">
        <v>352</v>
      </c>
      <c r="F16" s="51" t="s">
        <v>369</v>
      </c>
      <c r="H16" s="51" t="s">
        <v>386</v>
      </c>
      <c r="I16" s="109" t="s">
        <v>7847</v>
      </c>
      <c r="J16" s="51" t="s">
        <v>403</v>
      </c>
      <c r="L16" s="51" t="s">
        <v>420</v>
      </c>
      <c r="N16" s="51" t="s">
        <v>437</v>
      </c>
      <c r="O16" t="s">
        <v>304</v>
      </c>
      <c r="P16" s="51" t="s">
        <v>454</v>
      </c>
      <c r="Q16" t="s">
        <v>304</v>
      </c>
    </row>
    <row r="17" spans="1:33" x14ac:dyDescent="0.25">
      <c r="A17" s="51"/>
      <c r="B17" s="51" t="s">
        <v>336</v>
      </c>
      <c r="D17" s="51" t="s">
        <v>353</v>
      </c>
      <c r="F17" s="51" t="s">
        <v>370</v>
      </c>
      <c r="H17" s="51" t="s">
        <v>387</v>
      </c>
      <c r="I17" s="109" t="s">
        <v>7847</v>
      </c>
      <c r="J17" s="51" t="s">
        <v>404</v>
      </c>
      <c r="L17" s="51" t="s">
        <v>421</v>
      </c>
      <c r="N17" s="51" t="s">
        <v>438</v>
      </c>
      <c r="O17" t="s">
        <v>304</v>
      </c>
      <c r="P17" s="51" t="s">
        <v>455</v>
      </c>
      <c r="Q17" t="s">
        <v>304</v>
      </c>
    </row>
    <row r="18" spans="1:33" x14ac:dyDescent="0.25">
      <c r="A18" s="51"/>
      <c r="B18" s="51" t="s">
        <v>337</v>
      </c>
      <c r="D18" s="51" t="s">
        <v>354</v>
      </c>
      <c r="F18" s="51" t="s">
        <v>371</v>
      </c>
      <c r="H18" s="51" t="s">
        <v>388</v>
      </c>
      <c r="I18" s="109" t="s">
        <v>7847</v>
      </c>
      <c r="J18" s="51" t="s">
        <v>405</v>
      </c>
      <c r="L18" s="51" t="s">
        <v>422</v>
      </c>
      <c r="N18" s="51" t="s">
        <v>439</v>
      </c>
      <c r="O18" t="s">
        <v>304</v>
      </c>
      <c r="P18" s="51" t="s">
        <v>456</v>
      </c>
      <c r="Q18" t="s">
        <v>304</v>
      </c>
    </row>
    <row r="19" spans="1:33" x14ac:dyDescent="0.25">
      <c r="A19" s="51"/>
      <c r="B19" s="51" t="s">
        <v>338</v>
      </c>
      <c r="D19" s="51" t="s">
        <v>355</v>
      </c>
      <c r="F19" s="51" t="s">
        <v>372</v>
      </c>
      <c r="H19" s="51" t="s">
        <v>389</v>
      </c>
      <c r="I19" s="109" t="s">
        <v>7847</v>
      </c>
      <c r="J19" s="51" t="s">
        <v>406</v>
      </c>
      <c r="L19" s="51" t="s">
        <v>423</v>
      </c>
      <c r="N19" s="51" t="s">
        <v>440</v>
      </c>
      <c r="O19" t="s">
        <v>304</v>
      </c>
      <c r="P19" s="51" t="s">
        <v>457</v>
      </c>
      <c r="Q19" s="109" t="s">
        <v>304</v>
      </c>
    </row>
    <row r="20" spans="1:33" x14ac:dyDescent="0.25">
      <c r="A20" s="51"/>
      <c r="B20" s="51" t="s">
        <v>339</v>
      </c>
      <c r="D20" s="51" t="s">
        <v>356</v>
      </c>
      <c r="F20" s="51" t="s">
        <v>373</v>
      </c>
      <c r="H20" s="51" t="s">
        <v>390</v>
      </c>
      <c r="I20" s="109" t="s">
        <v>7847</v>
      </c>
      <c r="J20" s="51" t="s">
        <v>407</v>
      </c>
      <c r="L20" s="51" t="s">
        <v>424</v>
      </c>
      <c r="N20" s="51" t="s">
        <v>441</v>
      </c>
      <c r="O20" t="s">
        <v>304</v>
      </c>
      <c r="P20" s="51" t="s">
        <v>458</v>
      </c>
      <c r="Q20" s="109" t="s">
        <v>304</v>
      </c>
    </row>
    <row r="21" spans="1:33" x14ac:dyDescent="0.25">
      <c r="A21" s="51"/>
      <c r="B21" s="51" t="s">
        <v>340</v>
      </c>
      <c r="D21" s="51" t="s">
        <v>357</v>
      </c>
      <c r="F21" s="51" t="s">
        <v>374</v>
      </c>
      <c r="H21" s="51" t="s">
        <v>391</v>
      </c>
      <c r="I21" s="109" t="s">
        <v>7847</v>
      </c>
      <c r="J21" s="51" t="s">
        <v>408</v>
      </c>
      <c r="L21" s="51" t="s">
        <v>425</v>
      </c>
      <c r="N21" s="51" t="s">
        <v>442</v>
      </c>
      <c r="O21" t="s">
        <v>304</v>
      </c>
      <c r="P21" s="51" t="s">
        <v>459</v>
      </c>
      <c r="Q21" s="109" t="s">
        <v>304</v>
      </c>
    </row>
    <row r="22" spans="1:33" x14ac:dyDescent="0.25">
      <c r="A22" s="51" t="s">
        <v>303</v>
      </c>
      <c r="B22" s="51">
        <f>COUNTIF(B5:B21,"&lt;&gt;")</f>
        <v>17</v>
      </c>
      <c r="C22" s="51">
        <f>COUNTIF(C5:C21,"Y")</f>
        <v>0</v>
      </c>
      <c r="D22" s="51">
        <f t="shared" ref="D22" si="0">COUNTIF(D5:D21,"&lt;&gt;")</f>
        <v>17</v>
      </c>
      <c r="E22" s="51">
        <f t="shared" ref="E22" si="1">COUNTIF(E5:E21,"Y")</f>
        <v>0</v>
      </c>
      <c r="F22" s="51">
        <f t="shared" ref="F22" si="2">COUNTIF(F5:F21,"&lt;&gt;")</f>
        <v>17</v>
      </c>
      <c r="G22" s="51">
        <f t="shared" ref="G22" si="3">COUNTIF(G5:G21,"Y")</f>
        <v>0</v>
      </c>
      <c r="H22" s="51">
        <f t="shared" ref="H22" si="4">COUNTIF(H5:H21,"&lt;&gt;")</f>
        <v>17</v>
      </c>
      <c r="I22" s="51">
        <f t="shared" ref="I22" si="5">COUNTIF(I5:I21,"Y")</f>
        <v>17</v>
      </c>
      <c r="J22" s="51">
        <f t="shared" ref="J22" si="6">COUNTIF(J5:J21,"&lt;&gt;")</f>
        <v>17</v>
      </c>
      <c r="K22" s="51">
        <f t="shared" ref="K22" si="7">COUNTIF(K5:K21,"Y")</f>
        <v>0</v>
      </c>
      <c r="L22" s="51">
        <f t="shared" ref="L22" si="8">COUNTIF(L5:L21,"&lt;&gt;")</f>
        <v>17</v>
      </c>
      <c r="M22" s="51">
        <f t="shared" ref="M22" si="9">COUNTIF(M5:M21,"Y")</f>
        <v>0</v>
      </c>
      <c r="N22" s="51">
        <f t="shared" ref="N22" si="10">COUNTIF(N5:N21,"&lt;&gt;")</f>
        <v>17</v>
      </c>
      <c r="O22" s="51">
        <f t="shared" ref="O22" si="11">COUNTIF(O5:O21,"Y")</f>
        <v>17</v>
      </c>
      <c r="P22" s="51">
        <f t="shared" ref="P22" si="12">COUNTIF(P5:P21,"&lt;&gt;")</f>
        <v>17</v>
      </c>
      <c r="Q22" s="51">
        <f t="shared" ref="Q22" si="13">COUNTIF(Q5:Q21,"Y")</f>
        <v>17</v>
      </c>
    </row>
    <row r="23" spans="1:33" x14ac:dyDescent="0.25">
      <c r="N23" s="161" t="s">
        <v>19176</v>
      </c>
    </row>
    <row r="24" spans="1:33" x14ac:dyDescent="0.25">
      <c r="B24" s="51" t="s">
        <v>862</v>
      </c>
      <c r="C24" s="51" t="s">
        <v>302</v>
      </c>
      <c r="D24" s="51">
        <f>SUM(B38,D38,F38,H38,J38,L38,N38,P38,R38,T38,V38,X38,Z38,AB38,AD38,AF38)</f>
        <v>192</v>
      </c>
      <c r="E24" s="51" t="s">
        <v>301</v>
      </c>
      <c r="F24" s="51">
        <f>SUM(C38,E38,G38,I38,K38,M38,O38,Q38,S38,U38,W38,Y38,AA38,AC38,AE38,AG38)</f>
        <v>96</v>
      </c>
      <c r="G24" s="51" t="s">
        <v>305</v>
      </c>
      <c r="H24" s="51">
        <f>D24-F24</f>
        <v>96</v>
      </c>
    </row>
    <row r="25" spans="1:33" s="51" customFormat="1" x14ac:dyDescent="0.25">
      <c r="B25" s="51" t="str">
        <f>LEFT(B26,FIND("_P",B26)-1)</f>
        <v>CPT_061</v>
      </c>
      <c r="C25" s="51" t="s">
        <v>301</v>
      </c>
      <c r="D25" s="51" t="str">
        <f t="shared" ref="D25" si="14">LEFT(D26,FIND("_P",D26)-1)</f>
        <v>CPT_064</v>
      </c>
      <c r="E25" s="51" t="s">
        <v>301</v>
      </c>
      <c r="F25" s="51" t="str">
        <f t="shared" ref="F25" si="15">LEFT(F26,FIND("_P",F26)-1)</f>
        <v>CPT_092</v>
      </c>
      <c r="G25" s="51" t="s">
        <v>301</v>
      </c>
      <c r="H25" s="51" t="str">
        <f t="shared" ref="H25" si="16">LEFT(H26,FIND("_P",H26)-1)</f>
        <v>CPT_116</v>
      </c>
      <c r="I25" s="51" t="s">
        <v>301</v>
      </c>
      <c r="J25" s="51" t="str">
        <f t="shared" ref="J25" si="17">LEFT(J26,FIND("_P",J26)-1)</f>
        <v>CPT_134</v>
      </c>
      <c r="K25" s="51" t="s">
        <v>301</v>
      </c>
      <c r="L25" s="51" t="str">
        <f t="shared" ref="L25" si="18">LEFT(L26,FIND("_P",L26)-1)</f>
        <v>CPT_167</v>
      </c>
      <c r="M25" s="51" t="s">
        <v>301</v>
      </c>
      <c r="N25" s="51" t="str">
        <f t="shared" ref="N25" si="19">LEFT(N26,FIND("_P",N26)-1)</f>
        <v>CPT_179</v>
      </c>
      <c r="O25" s="51" t="s">
        <v>301</v>
      </c>
      <c r="P25" s="51" t="str">
        <f t="shared" ref="P25" si="20">LEFT(P26,FIND("_P",P26)-1)</f>
        <v>CPT_199</v>
      </c>
      <c r="Q25" s="51" t="s">
        <v>301</v>
      </c>
      <c r="R25" s="51" t="str">
        <f t="shared" ref="R25" si="21">LEFT(R26,FIND("_P",R26)-1)</f>
        <v>CPT_210</v>
      </c>
      <c r="S25" s="51" t="s">
        <v>301</v>
      </c>
      <c r="T25" s="51" t="str">
        <f t="shared" ref="T25" si="22">LEFT(T26,FIND("_P",T26)-1)</f>
        <v>CPT_211</v>
      </c>
      <c r="U25" s="51" t="s">
        <v>301</v>
      </c>
      <c r="V25" s="51" t="str">
        <f t="shared" ref="V25" si="23">LEFT(V26,FIND("_P",V26)-1)</f>
        <v>CPT_225</v>
      </c>
      <c r="W25" s="51" t="s">
        <v>301</v>
      </c>
      <c r="X25" s="51" t="str">
        <f t="shared" ref="X25" si="24">LEFT(X26,FIND("_P",X26)-1)</f>
        <v>CPT_263</v>
      </c>
      <c r="Y25" s="51" t="s">
        <v>301</v>
      </c>
      <c r="Z25" s="51" t="str">
        <f t="shared" ref="Z25" si="25">LEFT(Z26,FIND("_P",Z26)-1)</f>
        <v>CPT_265</v>
      </c>
      <c r="AA25" s="51" t="s">
        <v>301</v>
      </c>
      <c r="AB25" s="51" t="str">
        <f t="shared" ref="AB25" si="26">LEFT(AB26,FIND("_P",AB26)-1)</f>
        <v>CPT_266</v>
      </c>
      <c r="AC25" s="51" t="s">
        <v>301</v>
      </c>
      <c r="AD25" s="51" t="str">
        <f t="shared" ref="AD25" si="27">LEFT(AD26,FIND("_P",AD26)-1)</f>
        <v>CPT_278</v>
      </c>
      <c r="AE25" s="51" t="s">
        <v>301</v>
      </c>
      <c r="AF25" s="51" t="str">
        <f t="shared" ref="AF25" si="28">LEFT(AF26,FIND("_P",AF26)-1)</f>
        <v>CPT_312</v>
      </c>
      <c r="AG25" s="51" t="s">
        <v>301</v>
      </c>
    </row>
    <row r="26" spans="1:33" x14ac:dyDescent="0.25">
      <c r="B26" s="51" t="s">
        <v>861</v>
      </c>
      <c r="D26" s="51" t="s">
        <v>849</v>
      </c>
      <c r="E26" t="s">
        <v>304</v>
      </c>
      <c r="F26" s="51" t="s">
        <v>837</v>
      </c>
      <c r="H26" s="51" t="s">
        <v>825</v>
      </c>
      <c r="I26" t="s">
        <v>304</v>
      </c>
      <c r="J26" s="51" t="s">
        <v>813</v>
      </c>
      <c r="L26" s="51" t="s">
        <v>801</v>
      </c>
      <c r="N26" s="51" t="s">
        <v>789</v>
      </c>
      <c r="P26" s="51" t="s">
        <v>777</v>
      </c>
      <c r="Q26" t="s">
        <v>304</v>
      </c>
      <c r="R26" s="51" t="s">
        <v>765</v>
      </c>
      <c r="T26" s="51" t="s">
        <v>753</v>
      </c>
      <c r="U26" t="s">
        <v>304</v>
      </c>
      <c r="V26" s="51" t="s">
        <v>741</v>
      </c>
      <c r="W26" t="s">
        <v>304</v>
      </c>
      <c r="X26" s="51" t="s">
        <v>729</v>
      </c>
      <c r="Z26" s="51" t="s">
        <v>717</v>
      </c>
      <c r="AA26" t="s">
        <v>304</v>
      </c>
      <c r="AB26" s="51" t="s">
        <v>705</v>
      </c>
      <c r="AC26" t="s">
        <v>304</v>
      </c>
      <c r="AD26" s="51" t="s">
        <v>693</v>
      </c>
      <c r="AF26" s="51" t="s">
        <v>681</v>
      </c>
      <c r="AG26" t="s">
        <v>304</v>
      </c>
    </row>
    <row r="27" spans="1:33" x14ac:dyDescent="0.25">
      <c r="B27" s="51" t="s">
        <v>860</v>
      </c>
      <c r="D27" s="51" t="s">
        <v>848</v>
      </c>
      <c r="E27" t="s">
        <v>304</v>
      </c>
      <c r="F27" s="51" t="s">
        <v>836</v>
      </c>
      <c r="H27" s="51" t="s">
        <v>824</v>
      </c>
      <c r="I27" t="s">
        <v>304</v>
      </c>
      <c r="J27" s="51" t="s">
        <v>812</v>
      </c>
      <c r="L27" s="51" t="s">
        <v>800</v>
      </c>
      <c r="N27" s="51" t="s">
        <v>788</v>
      </c>
      <c r="P27" s="51" t="s">
        <v>776</v>
      </c>
      <c r="Q27" t="s">
        <v>304</v>
      </c>
      <c r="R27" s="51" t="s">
        <v>764</v>
      </c>
      <c r="T27" s="51" t="s">
        <v>752</v>
      </c>
      <c r="U27" t="s">
        <v>304</v>
      </c>
      <c r="V27" s="51" t="s">
        <v>740</v>
      </c>
      <c r="W27" t="s">
        <v>304</v>
      </c>
      <c r="X27" s="51" t="s">
        <v>728</v>
      </c>
      <c r="Z27" s="51" t="s">
        <v>716</v>
      </c>
      <c r="AA27" t="s">
        <v>304</v>
      </c>
      <c r="AB27" s="51" t="s">
        <v>704</v>
      </c>
      <c r="AC27" t="s">
        <v>304</v>
      </c>
      <c r="AD27" s="51" t="s">
        <v>692</v>
      </c>
      <c r="AF27" s="51" t="s">
        <v>680</v>
      </c>
      <c r="AG27" t="s">
        <v>304</v>
      </c>
    </row>
    <row r="28" spans="1:33" x14ac:dyDescent="0.25">
      <c r="B28" s="51" t="s">
        <v>859</v>
      </c>
      <c r="D28" s="51" t="s">
        <v>847</v>
      </c>
      <c r="E28" t="s">
        <v>304</v>
      </c>
      <c r="F28" s="51" t="s">
        <v>835</v>
      </c>
      <c r="H28" s="51" t="s">
        <v>823</v>
      </c>
      <c r="I28" t="s">
        <v>304</v>
      </c>
      <c r="J28" s="51" t="s">
        <v>811</v>
      </c>
      <c r="L28" s="51" t="s">
        <v>799</v>
      </c>
      <c r="N28" s="51" t="s">
        <v>787</v>
      </c>
      <c r="P28" s="51" t="s">
        <v>775</v>
      </c>
      <c r="Q28" t="s">
        <v>304</v>
      </c>
      <c r="R28" s="51" t="s">
        <v>763</v>
      </c>
      <c r="T28" s="51" t="s">
        <v>751</v>
      </c>
      <c r="U28" t="s">
        <v>304</v>
      </c>
      <c r="V28" s="51" t="s">
        <v>739</v>
      </c>
      <c r="W28" t="s">
        <v>304</v>
      </c>
      <c r="X28" s="51" t="s">
        <v>727</v>
      </c>
      <c r="Z28" s="51" t="s">
        <v>715</v>
      </c>
      <c r="AA28" t="s">
        <v>304</v>
      </c>
      <c r="AB28" s="51" t="s">
        <v>703</v>
      </c>
      <c r="AC28" t="s">
        <v>304</v>
      </c>
      <c r="AD28" s="51" t="s">
        <v>691</v>
      </c>
      <c r="AF28" s="51" t="s">
        <v>679</v>
      </c>
      <c r="AG28" t="s">
        <v>304</v>
      </c>
    </row>
    <row r="29" spans="1:33" x14ac:dyDescent="0.25">
      <c r="B29" s="51" t="s">
        <v>858</v>
      </c>
      <c r="D29" s="51" t="s">
        <v>846</v>
      </c>
      <c r="E29" t="s">
        <v>304</v>
      </c>
      <c r="F29" s="51" t="s">
        <v>834</v>
      </c>
      <c r="H29" s="51" t="s">
        <v>822</v>
      </c>
      <c r="I29" t="s">
        <v>304</v>
      </c>
      <c r="J29" s="51" t="s">
        <v>810</v>
      </c>
      <c r="L29" s="51" t="s">
        <v>798</v>
      </c>
      <c r="N29" s="51" t="s">
        <v>786</v>
      </c>
      <c r="P29" s="51" t="s">
        <v>774</v>
      </c>
      <c r="Q29" t="s">
        <v>304</v>
      </c>
      <c r="R29" s="51" t="s">
        <v>762</v>
      </c>
      <c r="T29" s="51" t="s">
        <v>750</v>
      </c>
      <c r="U29" t="s">
        <v>304</v>
      </c>
      <c r="V29" s="51" t="s">
        <v>738</v>
      </c>
      <c r="W29" t="s">
        <v>304</v>
      </c>
      <c r="X29" s="51" t="s">
        <v>726</v>
      </c>
      <c r="Z29" s="51" t="s">
        <v>714</v>
      </c>
      <c r="AA29" t="s">
        <v>304</v>
      </c>
      <c r="AB29" s="51" t="s">
        <v>702</v>
      </c>
      <c r="AC29" t="s">
        <v>304</v>
      </c>
      <c r="AD29" s="51" t="s">
        <v>690</v>
      </c>
      <c r="AF29" s="51" t="s">
        <v>678</v>
      </c>
      <c r="AG29" t="s">
        <v>304</v>
      </c>
    </row>
    <row r="30" spans="1:33" x14ac:dyDescent="0.25">
      <c r="B30" s="51" t="s">
        <v>857</v>
      </c>
      <c r="D30" s="51" t="s">
        <v>845</v>
      </c>
      <c r="E30" t="s">
        <v>304</v>
      </c>
      <c r="F30" s="51" t="s">
        <v>833</v>
      </c>
      <c r="H30" s="51" t="s">
        <v>821</v>
      </c>
      <c r="I30" t="s">
        <v>304</v>
      </c>
      <c r="J30" s="51" t="s">
        <v>809</v>
      </c>
      <c r="L30" s="51" t="s">
        <v>797</v>
      </c>
      <c r="N30" s="51" t="s">
        <v>785</v>
      </c>
      <c r="P30" s="51" t="s">
        <v>773</v>
      </c>
      <c r="Q30" t="s">
        <v>304</v>
      </c>
      <c r="R30" s="51" t="s">
        <v>761</v>
      </c>
      <c r="T30" s="51" t="s">
        <v>749</v>
      </c>
      <c r="U30" t="s">
        <v>304</v>
      </c>
      <c r="V30" s="51" t="s">
        <v>737</v>
      </c>
      <c r="W30" t="s">
        <v>304</v>
      </c>
      <c r="X30" s="51" t="s">
        <v>725</v>
      </c>
      <c r="Z30" s="51" t="s">
        <v>713</v>
      </c>
      <c r="AA30" t="s">
        <v>304</v>
      </c>
      <c r="AB30" s="51" t="s">
        <v>701</v>
      </c>
      <c r="AC30" t="s">
        <v>304</v>
      </c>
      <c r="AD30" s="51" t="s">
        <v>689</v>
      </c>
      <c r="AF30" s="51" t="s">
        <v>677</v>
      </c>
      <c r="AG30" t="s">
        <v>304</v>
      </c>
    </row>
    <row r="31" spans="1:33" x14ac:dyDescent="0.25">
      <c r="B31" s="51" t="s">
        <v>856</v>
      </c>
      <c r="D31" s="51" t="s">
        <v>844</v>
      </c>
      <c r="E31" t="s">
        <v>304</v>
      </c>
      <c r="F31" s="51" t="s">
        <v>832</v>
      </c>
      <c r="H31" s="51" t="s">
        <v>820</v>
      </c>
      <c r="I31" t="s">
        <v>304</v>
      </c>
      <c r="J31" s="51" t="s">
        <v>808</v>
      </c>
      <c r="L31" s="51" t="s">
        <v>796</v>
      </c>
      <c r="N31" s="51" t="s">
        <v>784</v>
      </c>
      <c r="P31" s="51" t="s">
        <v>772</v>
      </c>
      <c r="Q31" t="s">
        <v>304</v>
      </c>
      <c r="R31" s="51" t="s">
        <v>760</v>
      </c>
      <c r="T31" s="51" t="s">
        <v>748</v>
      </c>
      <c r="U31" t="s">
        <v>304</v>
      </c>
      <c r="V31" s="51" t="s">
        <v>736</v>
      </c>
      <c r="W31" t="s">
        <v>304</v>
      </c>
      <c r="X31" s="51" t="s">
        <v>724</v>
      </c>
      <c r="Z31" s="51" t="s">
        <v>712</v>
      </c>
      <c r="AA31" t="s">
        <v>304</v>
      </c>
      <c r="AB31" s="51" t="s">
        <v>700</v>
      </c>
      <c r="AC31" t="s">
        <v>304</v>
      </c>
      <c r="AD31" s="51" t="s">
        <v>688</v>
      </c>
      <c r="AF31" s="51" t="s">
        <v>676</v>
      </c>
      <c r="AG31" t="s">
        <v>304</v>
      </c>
    </row>
    <row r="32" spans="1:33" x14ac:dyDescent="0.25">
      <c r="B32" s="51" t="s">
        <v>855</v>
      </c>
      <c r="D32" s="51" t="s">
        <v>843</v>
      </c>
      <c r="E32" t="s">
        <v>304</v>
      </c>
      <c r="F32" s="51" t="s">
        <v>831</v>
      </c>
      <c r="H32" s="51" t="s">
        <v>819</v>
      </c>
      <c r="I32" t="s">
        <v>304</v>
      </c>
      <c r="J32" s="51" t="s">
        <v>807</v>
      </c>
      <c r="L32" s="51" t="s">
        <v>795</v>
      </c>
      <c r="N32" s="51" t="s">
        <v>783</v>
      </c>
      <c r="P32" s="51" t="s">
        <v>771</v>
      </c>
      <c r="Q32" t="s">
        <v>304</v>
      </c>
      <c r="R32" s="51" t="s">
        <v>759</v>
      </c>
      <c r="T32" s="51" t="s">
        <v>747</v>
      </c>
      <c r="U32" t="s">
        <v>304</v>
      </c>
      <c r="V32" s="51" t="s">
        <v>735</v>
      </c>
      <c r="W32" t="s">
        <v>304</v>
      </c>
      <c r="X32" s="51" t="s">
        <v>723</v>
      </c>
      <c r="Z32" s="51" t="s">
        <v>711</v>
      </c>
      <c r="AA32" t="s">
        <v>304</v>
      </c>
      <c r="AB32" s="51" t="s">
        <v>699</v>
      </c>
      <c r="AC32" t="s">
        <v>304</v>
      </c>
      <c r="AD32" s="51" t="s">
        <v>687</v>
      </c>
      <c r="AF32" s="51" t="s">
        <v>675</v>
      </c>
      <c r="AG32" t="s">
        <v>304</v>
      </c>
    </row>
    <row r="33" spans="1:33" x14ac:dyDescent="0.25">
      <c r="B33" s="51" t="s">
        <v>854</v>
      </c>
      <c r="D33" s="51" t="s">
        <v>842</v>
      </c>
      <c r="E33" t="s">
        <v>304</v>
      </c>
      <c r="F33" s="51" t="s">
        <v>830</v>
      </c>
      <c r="H33" s="51" t="s">
        <v>818</v>
      </c>
      <c r="I33" t="s">
        <v>304</v>
      </c>
      <c r="J33" s="51" t="s">
        <v>806</v>
      </c>
      <c r="L33" s="51" t="s">
        <v>794</v>
      </c>
      <c r="N33" s="51" t="s">
        <v>782</v>
      </c>
      <c r="P33" s="51" t="s">
        <v>770</v>
      </c>
      <c r="Q33" t="s">
        <v>304</v>
      </c>
      <c r="R33" s="51" t="s">
        <v>758</v>
      </c>
      <c r="T33" s="51" t="s">
        <v>746</v>
      </c>
      <c r="U33" t="s">
        <v>304</v>
      </c>
      <c r="V33" s="51" t="s">
        <v>734</v>
      </c>
      <c r="W33" t="s">
        <v>304</v>
      </c>
      <c r="X33" s="51" t="s">
        <v>722</v>
      </c>
      <c r="Z33" s="51" t="s">
        <v>710</v>
      </c>
      <c r="AA33" t="s">
        <v>304</v>
      </c>
      <c r="AB33" s="51" t="s">
        <v>698</v>
      </c>
      <c r="AC33" t="s">
        <v>304</v>
      </c>
      <c r="AD33" s="51" t="s">
        <v>686</v>
      </c>
      <c r="AF33" s="51" t="s">
        <v>674</v>
      </c>
      <c r="AG33" t="s">
        <v>304</v>
      </c>
    </row>
    <row r="34" spans="1:33" x14ac:dyDescent="0.25">
      <c r="B34" s="51" t="s">
        <v>853</v>
      </c>
      <c r="D34" s="51" t="s">
        <v>841</v>
      </c>
      <c r="E34" t="s">
        <v>304</v>
      </c>
      <c r="F34" s="51" t="s">
        <v>829</v>
      </c>
      <c r="H34" s="51" t="s">
        <v>817</v>
      </c>
      <c r="I34" t="s">
        <v>304</v>
      </c>
      <c r="J34" s="51" t="s">
        <v>805</v>
      </c>
      <c r="L34" s="51" t="s">
        <v>793</v>
      </c>
      <c r="N34" s="51" t="s">
        <v>781</v>
      </c>
      <c r="P34" s="51" t="s">
        <v>769</v>
      </c>
      <c r="Q34" t="s">
        <v>304</v>
      </c>
      <c r="R34" s="51" t="s">
        <v>757</v>
      </c>
      <c r="T34" s="51" t="s">
        <v>745</v>
      </c>
      <c r="U34" t="s">
        <v>304</v>
      </c>
      <c r="V34" s="51" t="s">
        <v>733</v>
      </c>
      <c r="W34" t="s">
        <v>304</v>
      </c>
      <c r="X34" s="51" t="s">
        <v>721</v>
      </c>
      <c r="Z34" s="51" t="s">
        <v>709</v>
      </c>
      <c r="AA34" t="s">
        <v>304</v>
      </c>
      <c r="AB34" s="51" t="s">
        <v>697</v>
      </c>
      <c r="AC34" t="s">
        <v>304</v>
      </c>
      <c r="AD34" s="51" t="s">
        <v>685</v>
      </c>
      <c r="AF34" s="51" t="s">
        <v>673</v>
      </c>
      <c r="AG34" t="s">
        <v>304</v>
      </c>
    </row>
    <row r="35" spans="1:33" x14ac:dyDescent="0.25">
      <c r="B35" s="51" t="s">
        <v>852</v>
      </c>
      <c r="D35" s="51" t="s">
        <v>840</v>
      </c>
      <c r="E35" t="s">
        <v>304</v>
      </c>
      <c r="F35" s="51" t="s">
        <v>828</v>
      </c>
      <c r="H35" s="51" t="s">
        <v>816</v>
      </c>
      <c r="I35" t="s">
        <v>304</v>
      </c>
      <c r="J35" s="51" t="s">
        <v>804</v>
      </c>
      <c r="L35" s="51" t="s">
        <v>792</v>
      </c>
      <c r="N35" s="51" t="s">
        <v>780</v>
      </c>
      <c r="P35" s="51" t="s">
        <v>768</v>
      </c>
      <c r="Q35" t="s">
        <v>304</v>
      </c>
      <c r="R35" s="51" t="s">
        <v>756</v>
      </c>
      <c r="T35" s="51" t="s">
        <v>744</v>
      </c>
      <c r="U35" t="s">
        <v>304</v>
      </c>
      <c r="V35" s="51" t="s">
        <v>732</v>
      </c>
      <c r="W35" t="s">
        <v>304</v>
      </c>
      <c r="X35" s="51" t="s">
        <v>720</v>
      </c>
      <c r="Z35" s="51" t="s">
        <v>708</v>
      </c>
      <c r="AA35" t="s">
        <v>304</v>
      </c>
      <c r="AB35" s="51" t="s">
        <v>696</v>
      </c>
      <c r="AC35" t="s">
        <v>304</v>
      </c>
      <c r="AD35" s="51" t="s">
        <v>684</v>
      </c>
      <c r="AF35" s="51" t="s">
        <v>672</v>
      </c>
      <c r="AG35" t="s">
        <v>304</v>
      </c>
    </row>
    <row r="36" spans="1:33" x14ac:dyDescent="0.25">
      <c r="B36" s="51" t="s">
        <v>851</v>
      </c>
      <c r="D36" s="51" t="s">
        <v>839</v>
      </c>
      <c r="E36" t="s">
        <v>304</v>
      </c>
      <c r="F36" s="51" t="s">
        <v>827</v>
      </c>
      <c r="H36" s="51" t="s">
        <v>815</v>
      </c>
      <c r="I36" t="s">
        <v>304</v>
      </c>
      <c r="J36" s="51" t="s">
        <v>803</v>
      </c>
      <c r="L36" s="51" t="s">
        <v>791</v>
      </c>
      <c r="N36" s="51" t="s">
        <v>779</v>
      </c>
      <c r="P36" s="51" t="s">
        <v>767</v>
      </c>
      <c r="Q36" t="s">
        <v>304</v>
      </c>
      <c r="R36" s="51" t="s">
        <v>755</v>
      </c>
      <c r="T36" s="51" t="s">
        <v>743</v>
      </c>
      <c r="U36" t="s">
        <v>304</v>
      </c>
      <c r="V36" s="51" t="s">
        <v>731</v>
      </c>
      <c r="W36" t="s">
        <v>304</v>
      </c>
      <c r="X36" s="51" t="s">
        <v>719</v>
      </c>
      <c r="Z36" s="51" t="s">
        <v>707</v>
      </c>
      <c r="AA36" t="s">
        <v>304</v>
      </c>
      <c r="AB36" s="51" t="s">
        <v>695</v>
      </c>
      <c r="AC36" t="s">
        <v>304</v>
      </c>
      <c r="AD36" s="51" t="s">
        <v>683</v>
      </c>
      <c r="AF36" s="51" t="s">
        <v>671</v>
      </c>
      <c r="AG36" t="s">
        <v>304</v>
      </c>
    </row>
    <row r="37" spans="1:33" x14ac:dyDescent="0.25">
      <c r="B37" s="51" t="s">
        <v>850</v>
      </c>
      <c r="D37" s="51" t="s">
        <v>838</v>
      </c>
      <c r="E37" t="s">
        <v>304</v>
      </c>
      <c r="F37" s="51" t="s">
        <v>826</v>
      </c>
      <c r="H37" s="51" t="s">
        <v>814</v>
      </c>
      <c r="I37" t="s">
        <v>304</v>
      </c>
      <c r="J37" s="51" t="s">
        <v>802</v>
      </c>
      <c r="L37" s="51" t="s">
        <v>790</v>
      </c>
      <c r="N37" s="51" t="s">
        <v>778</v>
      </c>
      <c r="P37" s="51" t="s">
        <v>766</v>
      </c>
      <c r="Q37" t="s">
        <v>304</v>
      </c>
      <c r="R37" s="51" t="s">
        <v>754</v>
      </c>
      <c r="T37" s="51" t="s">
        <v>742</v>
      </c>
      <c r="U37" t="s">
        <v>304</v>
      </c>
      <c r="V37" s="51" t="s">
        <v>730</v>
      </c>
      <c r="W37" t="s">
        <v>304</v>
      </c>
      <c r="X37" s="51" t="s">
        <v>718</v>
      </c>
      <c r="Z37" s="51" t="s">
        <v>706</v>
      </c>
      <c r="AA37" t="s">
        <v>304</v>
      </c>
      <c r="AB37" s="51" t="s">
        <v>694</v>
      </c>
      <c r="AC37" t="s">
        <v>304</v>
      </c>
      <c r="AD37" s="51" t="s">
        <v>682</v>
      </c>
      <c r="AF37" s="51" t="s">
        <v>670</v>
      </c>
      <c r="AG37" t="s">
        <v>304</v>
      </c>
    </row>
    <row r="38" spans="1:33" x14ac:dyDescent="0.25">
      <c r="A38" s="51" t="s">
        <v>303</v>
      </c>
      <c r="B38" s="51">
        <f>COUNTIF(B26:B37,"&lt;&gt;")</f>
        <v>12</v>
      </c>
      <c r="C38" s="51">
        <f>COUNTIF(C26:C37,"Y")</f>
        <v>0</v>
      </c>
      <c r="D38" s="51">
        <f t="shared" ref="D38" si="29">COUNTIF(D26:D37,"&lt;&gt;")</f>
        <v>12</v>
      </c>
      <c r="E38" s="51">
        <f t="shared" ref="E38" si="30">COUNTIF(E26:E37,"Y")</f>
        <v>12</v>
      </c>
      <c r="F38" s="51">
        <f t="shared" ref="F38" si="31">COUNTIF(F26:F37,"&lt;&gt;")</f>
        <v>12</v>
      </c>
      <c r="G38" s="51">
        <f t="shared" ref="G38" si="32">COUNTIF(G26:G37,"Y")</f>
        <v>0</v>
      </c>
      <c r="H38" s="51">
        <f t="shared" ref="H38" si="33">COUNTIF(H26:H37,"&lt;&gt;")</f>
        <v>12</v>
      </c>
      <c r="I38" s="51">
        <f t="shared" ref="I38" si="34">COUNTIF(I26:I37,"Y")</f>
        <v>12</v>
      </c>
      <c r="J38" s="51">
        <f t="shared" ref="J38" si="35">COUNTIF(J26:J37,"&lt;&gt;")</f>
        <v>12</v>
      </c>
      <c r="K38" s="51">
        <f t="shared" ref="K38" si="36">COUNTIF(K26:K37,"Y")</f>
        <v>0</v>
      </c>
      <c r="L38" s="51">
        <f t="shared" ref="L38" si="37">COUNTIF(L26:L37,"&lt;&gt;")</f>
        <v>12</v>
      </c>
      <c r="M38" s="51">
        <f t="shared" ref="M38" si="38">COUNTIF(M26:M37,"Y")</f>
        <v>0</v>
      </c>
      <c r="N38" s="51">
        <f t="shared" ref="N38" si="39">COUNTIF(N26:N37,"&lt;&gt;")</f>
        <v>12</v>
      </c>
      <c r="O38" s="51">
        <f t="shared" ref="O38" si="40">COUNTIF(O26:O37,"Y")</f>
        <v>0</v>
      </c>
      <c r="P38" s="51">
        <f t="shared" ref="P38" si="41">COUNTIF(P26:P37,"&lt;&gt;")</f>
        <v>12</v>
      </c>
      <c r="Q38" s="51">
        <f t="shared" ref="Q38" si="42">COUNTIF(Q26:Q37,"Y")</f>
        <v>12</v>
      </c>
      <c r="R38" s="51">
        <f t="shared" ref="R38" si="43">COUNTIF(R26:R37,"&lt;&gt;")</f>
        <v>12</v>
      </c>
      <c r="S38" s="51">
        <f t="shared" ref="S38" si="44">COUNTIF(S26:S37,"Y")</f>
        <v>0</v>
      </c>
      <c r="T38" s="51">
        <f t="shared" ref="T38" si="45">COUNTIF(T26:T37,"&lt;&gt;")</f>
        <v>12</v>
      </c>
      <c r="U38" s="51">
        <f t="shared" ref="U38" si="46">COUNTIF(U26:U37,"Y")</f>
        <v>12</v>
      </c>
      <c r="V38" s="51">
        <f t="shared" ref="V38" si="47">COUNTIF(V26:V37,"&lt;&gt;")</f>
        <v>12</v>
      </c>
      <c r="W38" s="51">
        <f t="shared" ref="W38" si="48">COUNTIF(W26:W37,"Y")</f>
        <v>12</v>
      </c>
      <c r="X38" s="51">
        <f t="shared" ref="X38" si="49">COUNTIF(X26:X37,"&lt;&gt;")</f>
        <v>12</v>
      </c>
      <c r="Y38" s="51">
        <f t="shared" ref="Y38" si="50">COUNTIF(Y26:Y37,"Y")</f>
        <v>0</v>
      </c>
      <c r="Z38" s="51">
        <f t="shared" ref="Z38" si="51">COUNTIF(Z26:Z37,"&lt;&gt;")</f>
        <v>12</v>
      </c>
      <c r="AA38" s="51">
        <f t="shared" ref="AA38" si="52">COUNTIF(AA26:AA37,"Y")</f>
        <v>12</v>
      </c>
      <c r="AB38" s="51">
        <f t="shared" ref="AB38" si="53">COUNTIF(AB26:AB37,"&lt;&gt;")</f>
        <v>12</v>
      </c>
      <c r="AC38" s="51">
        <f t="shared" ref="AC38" si="54">COUNTIF(AC26:AC37,"Y")</f>
        <v>12</v>
      </c>
      <c r="AD38" s="51">
        <f t="shared" ref="AD38" si="55">COUNTIF(AD26:AD37,"&lt;&gt;")</f>
        <v>12</v>
      </c>
      <c r="AE38" s="51">
        <f t="shared" ref="AE38" si="56">COUNTIF(AE26:AE37,"Y")</f>
        <v>0</v>
      </c>
      <c r="AF38" s="51">
        <f t="shared" ref="AF38" si="57">COUNTIF(AF26:AF37,"&lt;&gt;")</f>
        <v>12</v>
      </c>
      <c r="AG38" s="51">
        <f t="shared" ref="AG38" si="58">COUNTIF(AG26:AG37,"Y")</f>
        <v>12</v>
      </c>
    </row>
    <row r="39" spans="1:33" x14ac:dyDescent="0.25">
      <c r="T39" s="161" t="s">
        <v>19176</v>
      </c>
      <c r="V39" s="161" t="s">
        <v>19176</v>
      </c>
    </row>
  </sheetData>
  <conditionalFormatting sqref="A3:AG22 A24:AG38 A23:M23 O23:AG23">
    <cfRule type="cellIs" dxfId="10" priority="4" operator="equal">
      <formula>"y"</formula>
    </cfRule>
  </conditionalFormatting>
  <conditionalFormatting sqref="V39">
    <cfRule type="cellIs" dxfId="9" priority="3" operator="equal">
      <formula>"y"</formula>
    </cfRule>
  </conditionalFormatting>
  <conditionalFormatting sqref="N23">
    <cfRule type="cellIs" dxfId="8" priority="2" operator="equal">
      <formula>"y"</formula>
    </cfRule>
  </conditionalFormatting>
  <conditionalFormatting sqref="T39">
    <cfRule type="cellIs" dxfId="7" priority="1" operator="equal">
      <formula>"y"</formula>
    </cfRule>
  </conditionalFormatting>
  <pageMargins left="0.7" right="0.7" top="0.75" bottom="0.75" header="0.3" footer="0.3"/>
  <pageSetup orientation="portrait" verticalDpi="597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09206-A13C-463A-B5EC-6FDBF50586B6}">
  <sheetPr codeName="Sheet8"/>
  <dimension ref="A1:AO38"/>
  <sheetViews>
    <sheetView topLeftCell="A7" workbookViewId="0">
      <selection activeCell="P32" sqref="P32"/>
    </sheetView>
  </sheetViews>
  <sheetFormatPr defaultRowHeight="15" x14ac:dyDescent="0.25"/>
  <cols>
    <col min="1" max="1" width="10" style="51" bestFit="1" customWidth="1"/>
    <col min="2" max="2" width="14.5703125" style="51" bestFit="1" customWidth="1"/>
    <col min="3" max="3" width="10.85546875" style="51" bestFit="1" customWidth="1"/>
    <col min="4" max="4" width="12.42578125" style="51" bestFit="1" customWidth="1"/>
    <col min="5" max="5" width="10.85546875" style="51" bestFit="1" customWidth="1"/>
    <col min="6" max="6" width="12.42578125" style="51" bestFit="1" customWidth="1"/>
    <col min="7" max="7" width="10.85546875" style="51" bestFit="1" customWidth="1"/>
    <col min="8" max="8" width="12.42578125" style="51" bestFit="1" customWidth="1"/>
    <col min="9" max="9" width="10.85546875" style="51" bestFit="1" customWidth="1"/>
    <col min="10" max="10" width="12.42578125" style="51" bestFit="1" customWidth="1"/>
    <col min="11" max="11" width="10.85546875" style="51" bestFit="1" customWidth="1"/>
    <col min="12" max="12" width="12.42578125" style="51" bestFit="1" customWidth="1"/>
    <col min="13" max="13" width="10.85546875" style="51" bestFit="1" customWidth="1"/>
    <col min="14" max="14" width="12.42578125" style="51" bestFit="1" customWidth="1"/>
    <col min="15" max="15" width="10.85546875" style="51" bestFit="1" customWidth="1"/>
    <col min="16" max="16" width="12.42578125" style="51" bestFit="1" customWidth="1"/>
    <col min="17" max="17" width="10.85546875" style="51" bestFit="1" customWidth="1"/>
    <col min="18" max="18" width="12.42578125" style="51" bestFit="1" customWidth="1"/>
    <col min="19" max="19" width="10.85546875" style="51" bestFit="1" customWidth="1"/>
    <col min="20" max="20" width="12.42578125" style="51" bestFit="1" customWidth="1"/>
    <col min="21" max="21" width="10.85546875" style="51" bestFit="1" customWidth="1"/>
    <col min="22" max="22" width="12.42578125" style="51" bestFit="1" customWidth="1"/>
    <col min="23" max="23" width="10.85546875" style="51" bestFit="1" customWidth="1"/>
    <col min="24" max="24" width="12.42578125" style="51" bestFit="1" customWidth="1"/>
    <col min="25" max="25" width="10.85546875" style="51" bestFit="1" customWidth="1"/>
    <col min="26" max="26" width="12.42578125" style="51" bestFit="1" customWidth="1"/>
    <col min="27" max="27" width="10.85546875" style="51" bestFit="1" customWidth="1"/>
    <col min="28" max="28" width="12.42578125" style="51" bestFit="1" customWidth="1"/>
    <col min="29" max="29" width="10.85546875" style="51" bestFit="1" customWidth="1"/>
    <col min="30" max="30" width="12.42578125" style="51" bestFit="1" customWidth="1"/>
    <col min="31" max="31" width="10.85546875" style="51" bestFit="1" customWidth="1"/>
    <col min="32" max="32" width="12.42578125" style="51" bestFit="1" customWidth="1"/>
    <col min="33" max="33" width="10.85546875" style="51" bestFit="1" customWidth="1"/>
    <col min="34" max="34" width="12.42578125" style="51" bestFit="1" customWidth="1"/>
    <col min="35" max="35" width="9.140625" style="51"/>
    <col min="36" max="36" width="12.42578125" style="51" bestFit="1" customWidth="1"/>
    <col min="37" max="37" width="10.85546875" style="51" bestFit="1" customWidth="1"/>
    <col min="38" max="38" width="12.42578125" style="51" bestFit="1" customWidth="1"/>
    <col min="39" max="39" width="10.85546875" style="51" bestFit="1" customWidth="1"/>
    <col min="40" max="40" width="12.42578125" style="51" bestFit="1" customWidth="1"/>
    <col min="41" max="41" width="10.85546875" style="51" bestFit="1" customWidth="1"/>
    <col min="42" max="16384" width="9.140625" style="51"/>
  </cols>
  <sheetData>
    <row r="1" spans="2:17" s="111" customFormat="1" x14ac:dyDescent="0.25">
      <c r="B1" s="111" t="s">
        <v>14577</v>
      </c>
      <c r="C1" s="111">
        <f>SUM(D3,D24)</f>
        <v>376</v>
      </c>
      <c r="D1" s="111" t="s">
        <v>301</v>
      </c>
      <c r="E1" s="111">
        <f>SUM(F3,F24)</f>
        <v>205</v>
      </c>
      <c r="F1" s="111" t="s">
        <v>14579</v>
      </c>
      <c r="G1" s="111">
        <f>SUM(H3,H24)</f>
        <v>171</v>
      </c>
      <c r="H1" s="111" t="s">
        <v>14578</v>
      </c>
      <c r="I1" s="131">
        <f>(E1/C1)</f>
        <v>0.54521276595744683</v>
      </c>
    </row>
    <row r="2" spans="2:17" s="111" customFormat="1" x14ac:dyDescent="0.25"/>
    <row r="3" spans="2:17" x14ac:dyDescent="0.25">
      <c r="B3" s="51" t="s">
        <v>863</v>
      </c>
      <c r="C3" s="51" t="s">
        <v>302</v>
      </c>
      <c r="D3" s="51">
        <f>SUM(B22,D22,F22,H22,J22,L22,N22,P22)</f>
        <v>136</v>
      </c>
      <c r="E3" s="51" t="s">
        <v>301</v>
      </c>
      <c r="F3" s="51">
        <f>SUM(C22,E22,G22,I22,K22,M22,O22,Q22)</f>
        <v>85</v>
      </c>
      <c r="G3" s="51" t="s">
        <v>305</v>
      </c>
      <c r="H3" s="51">
        <f>D3-F3</f>
        <v>51</v>
      </c>
    </row>
    <row r="4" spans="2:17" x14ac:dyDescent="0.25">
      <c r="B4" s="51" t="str">
        <f>LEFT(B5,FIND("_C",B5)-1)</f>
        <v>BH_028</v>
      </c>
      <c r="C4" s="51" t="s">
        <v>301</v>
      </c>
      <c r="D4" s="51" t="str">
        <f>LEFT(D5,FIND("_C",D5)-1)</f>
        <v>BH_045</v>
      </c>
      <c r="E4" s="51" t="s">
        <v>301</v>
      </c>
      <c r="F4" s="51" t="str">
        <f>LEFT(F5,FIND("_C",F5)-1)</f>
        <v>BH_054</v>
      </c>
      <c r="G4" s="51" t="s">
        <v>301</v>
      </c>
      <c r="H4" s="51" t="str">
        <f>LEFT(H5,FIND("_C",H5)-1)</f>
        <v>BH_060</v>
      </c>
      <c r="I4" s="51" t="s">
        <v>301</v>
      </c>
      <c r="J4" s="51" t="str">
        <f>LEFT(J5,FIND("_C",J5)-1)</f>
        <v>BH_113</v>
      </c>
      <c r="K4" s="51" t="s">
        <v>301</v>
      </c>
      <c r="L4" s="51" t="str">
        <f>LEFT(L5,FIND("_C",L5)-1)</f>
        <v>BH_120</v>
      </c>
      <c r="M4" s="51" t="s">
        <v>301</v>
      </c>
      <c r="N4" s="51" t="str">
        <f>LEFT(N5,FIND("_C",N5)-1)</f>
        <v>BH_126</v>
      </c>
      <c r="O4" s="51" t="s">
        <v>301</v>
      </c>
      <c r="P4" s="51" t="str">
        <f>LEFT(P5,FIND("_C",P5)-1)</f>
        <v>BH_141</v>
      </c>
      <c r="Q4" s="51" t="s">
        <v>301</v>
      </c>
    </row>
    <row r="5" spans="2:17" x14ac:dyDescent="0.25">
      <c r="B5" s="51" t="s">
        <v>880</v>
      </c>
      <c r="C5" s="51" t="s">
        <v>304</v>
      </c>
      <c r="D5" s="51" t="s">
        <v>897</v>
      </c>
      <c r="F5" s="51" t="s">
        <v>898</v>
      </c>
      <c r="G5" s="51" t="s">
        <v>304</v>
      </c>
      <c r="H5" s="51" t="s">
        <v>915</v>
      </c>
      <c r="J5" s="51" t="s">
        <v>932</v>
      </c>
      <c r="K5" s="51" t="s">
        <v>304</v>
      </c>
      <c r="L5" s="51" t="s">
        <v>949</v>
      </c>
      <c r="M5" s="51" t="s">
        <v>304</v>
      </c>
      <c r="N5" s="51" t="s">
        <v>966</v>
      </c>
      <c r="O5" s="51" t="s">
        <v>304</v>
      </c>
      <c r="P5" s="51" t="s">
        <v>983</v>
      </c>
    </row>
    <row r="6" spans="2:17" x14ac:dyDescent="0.25">
      <c r="B6" s="51" t="s">
        <v>879</v>
      </c>
      <c r="C6" s="51" t="s">
        <v>304</v>
      </c>
      <c r="D6" s="51" t="s">
        <v>881</v>
      </c>
      <c r="F6" s="51" t="s">
        <v>899</v>
      </c>
      <c r="G6" s="51" t="s">
        <v>304</v>
      </c>
      <c r="H6" s="51" t="s">
        <v>916</v>
      </c>
      <c r="J6" s="51" t="s">
        <v>933</v>
      </c>
      <c r="K6" s="51" t="s">
        <v>304</v>
      </c>
      <c r="L6" s="51" t="s">
        <v>950</v>
      </c>
      <c r="M6" s="51" t="s">
        <v>304</v>
      </c>
      <c r="N6" s="51" t="s">
        <v>967</v>
      </c>
      <c r="O6" s="51" t="s">
        <v>304</v>
      </c>
      <c r="P6" s="51" t="s">
        <v>984</v>
      </c>
    </row>
    <row r="7" spans="2:17" x14ac:dyDescent="0.25">
      <c r="B7" s="51" t="s">
        <v>878</v>
      </c>
      <c r="C7" s="51" t="s">
        <v>304</v>
      </c>
      <c r="D7" s="51" t="s">
        <v>882</v>
      </c>
      <c r="F7" s="51" t="s">
        <v>900</v>
      </c>
      <c r="G7" s="51" t="s">
        <v>304</v>
      </c>
      <c r="H7" s="51" t="s">
        <v>917</v>
      </c>
      <c r="J7" s="51" t="s">
        <v>934</v>
      </c>
      <c r="K7" s="51" t="s">
        <v>304</v>
      </c>
      <c r="L7" s="51" t="s">
        <v>951</v>
      </c>
      <c r="M7" s="51" t="s">
        <v>304</v>
      </c>
      <c r="N7" s="51" t="s">
        <v>968</v>
      </c>
      <c r="O7" s="51" t="s">
        <v>304</v>
      </c>
      <c r="P7" s="51" t="s">
        <v>985</v>
      </c>
    </row>
    <row r="8" spans="2:17" x14ac:dyDescent="0.25">
      <c r="B8" s="51" t="s">
        <v>877</v>
      </c>
      <c r="C8" s="51" t="s">
        <v>304</v>
      </c>
      <c r="D8" s="51" t="s">
        <v>883</v>
      </c>
      <c r="F8" s="51" t="s">
        <v>901</v>
      </c>
      <c r="G8" s="51" t="s">
        <v>304</v>
      </c>
      <c r="H8" s="51" t="s">
        <v>918</v>
      </c>
      <c r="J8" s="51" t="s">
        <v>935</v>
      </c>
      <c r="K8" s="51" t="s">
        <v>304</v>
      </c>
      <c r="L8" s="51" t="s">
        <v>952</v>
      </c>
      <c r="M8" s="51" t="s">
        <v>304</v>
      </c>
      <c r="N8" s="51" t="s">
        <v>969</v>
      </c>
      <c r="O8" s="109" t="s">
        <v>304</v>
      </c>
      <c r="P8" s="51" t="s">
        <v>986</v>
      </c>
    </row>
    <row r="9" spans="2:17" x14ac:dyDescent="0.25">
      <c r="B9" s="51" t="s">
        <v>876</v>
      </c>
      <c r="C9" s="51" t="s">
        <v>304</v>
      </c>
      <c r="D9" s="51" t="s">
        <v>884</v>
      </c>
      <c r="F9" s="51" t="s">
        <v>902</v>
      </c>
      <c r="G9" s="51" t="s">
        <v>304</v>
      </c>
      <c r="H9" s="51" t="s">
        <v>919</v>
      </c>
      <c r="J9" s="51" t="s">
        <v>936</v>
      </c>
      <c r="K9" s="51" t="s">
        <v>304</v>
      </c>
      <c r="L9" s="51" t="s">
        <v>953</v>
      </c>
      <c r="M9" s="51" t="s">
        <v>304</v>
      </c>
      <c r="N9" s="51" t="s">
        <v>970</v>
      </c>
      <c r="O9" s="109" t="s">
        <v>304</v>
      </c>
      <c r="P9" s="51" t="s">
        <v>987</v>
      </c>
    </row>
    <row r="10" spans="2:17" x14ac:dyDescent="0.25">
      <c r="B10" s="51" t="s">
        <v>875</v>
      </c>
      <c r="C10" s="51" t="s">
        <v>304</v>
      </c>
      <c r="D10" s="51" t="s">
        <v>885</v>
      </c>
      <c r="F10" s="51" t="s">
        <v>903</v>
      </c>
      <c r="G10" s="51" t="s">
        <v>304</v>
      </c>
      <c r="H10" s="51" t="s">
        <v>920</v>
      </c>
      <c r="J10" s="51" t="s">
        <v>937</v>
      </c>
      <c r="K10" s="51" t="s">
        <v>304</v>
      </c>
      <c r="L10" s="51" t="s">
        <v>954</v>
      </c>
      <c r="M10" s="51" t="s">
        <v>304</v>
      </c>
      <c r="N10" s="51" t="s">
        <v>971</v>
      </c>
      <c r="O10" s="109" t="s">
        <v>304</v>
      </c>
      <c r="P10" s="51" t="s">
        <v>988</v>
      </c>
    </row>
    <row r="11" spans="2:17" x14ac:dyDescent="0.25">
      <c r="B11" s="51" t="s">
        <v>874</v>
      </c>
      <c r="C11" s="51" t="s">
        <v>304</v>
      </c>
      <c r="D11" s="51" t="s">
        <v>886</v>
      </c>
      <c r="F11" s="51" t="s">
        <v>904</v>
      </c>
      <c r="G11" s="51" t="s">
        <v>304</v>
      </c>
      <c r="H11" s="51" t="s">
        <v>921</v>
      </c>
      <c r="J11" s="51" t="s">
        <v>938</v>
      </c>
      <c r="K11" s="51" t="s">
        <v>304</v>
      </c>
      <c r="L11" s="51" t="s">
        <v>955</v>
      </c>
      <c r="M11" s="109" t="s">
        <v>304</v>
      </c>
      <c r="N11" s="51" t="s">
        <v>972</v>
      </c>
      <c r="O11" s="109" t="s">
        <v>304</v>
      </c>
      <c r="P11" s="51" t="s">
        <v>989</v>
      </c>
    </row>
    <row r="12" spans="2:17" x14ac:dyDescent="0.25">
      <c r="B12" s="51" t="s">
        <v>873</v>
      </c>
      <c r="C12" s="51" t="s">
        <v>304</v>
      </c>
      <c r="D12" s="51" t="s">
        <v>887</v>
      </c>
      <c r="F12" s="51" t="s">
        <v>905</v>
      </c>
      <c r="G12" s="51" t="s">
        <v>304</v>
      </c>
      <c r="H12" s="51" t="s">
        <v>922</v>
      </c>
      <c r="J12" s="51" t="s">
        <v>939</v>
      </c>
      <c r="K12" s="51" t="s">
        <v>304</v>
      </c>
      <c r="L12" s="51" t="s">
        <v>956</v>
      </c>
      <c r="M12" s="109" t="s">
        <v>304</v>
      </c>
      <c r="N12" s="51" t="s">
        <v>973</v>
      </c>
      <c r="O12" s="109" t="s">
        <v>304</v>
      </c>
      <c r="P12" s="51" t="s">
        <v>990</v>
      </c>
    </row>
    <row r="13" spans="2:17" x14ac:dyDescent="0.25">
      <c r="B13" s="51" t="s">
        <v>872</v>
      </c>
      <c r="C13" s="51" t="s">
        <v>304</v>
      </c>
      <c r="D13" s="51" t="s">
        <v>888</v>
      </c>
      <c r="F13" s="51" t="s">
        <v>906</v>
      </c>
      <c r="G13" s="51" t="s">
        <v>304</v>
      </c>
      <c r="H13" s="51" t="s">
        <v>923</v>
      </c>
      <c r="J13" s="51" t="s">
        <v>940</v>
      </c>
      <c r="K13" s="51" t="s">
        <v>304</v>
      </c>
      <c r="L13" s="51" t="s">
        <v>957</v>
      </c>
      <c r="M13" s="51" t="s">
        <v>304</v>
      </c>
      <c r="N13" s="51" t="s">
        <v>974</v>
      </c>
      <c r="O13" s="51" t="s">
        <v>304</v>
      </c>
      <c r="P13" s="51" t="s">
        <v>991</v>
      </c>
    </row>
    <row r="14" spans="2:17" x14ac:dyDescent="0.25">
      <c r="B14" s="51" t="s">
        <v>871</v>
      </c>
      <c r="C14" s="51" t="s">
        <v>304</v>
      </c>
      <c r="D14" s="51" t="s">
        <v>889</v>
      </c>
      <c r="F14" s="51" t="s">
        <v>907</v>
      </c>
      <c r="G14" s="51" t="s">
        <v>304</v>
      </c>
      <c r="H14" s="51" t="s">
        <v>924</v>
      </c>
      <c r="J14" s="51" t="s">
        <v>941</v>
      </c>
      <c r="K14" s="51" t="s">
        <v>304</v>
      </c>
      <c r="L14" s="51" t="s">
        <v>958</v>
      </c>
      <c r="M14" s="51" t="s">
        <v>304</v>
      </c>
      <c r="N14" s="51" t="s">
        <v>975</v>
      </c>
      <c r="O14" s="109" t="s">
        <v>304</v>
      </c>
      <c r="P14" s="51" t="s">
        <v>992</v>
      </c>
    </row>
    <row r="15" spans="2:17" x14ac:dyDescent="0.25">
      <c r="B15" s="51" t="s">
        <v>870</v>
      </c>
      <c r="C15" s="51" t="s">
        <v>304</v>
      </c>
      <c r="D15" s="51" t="s">
        <v>890</v>
      </c>
      <c r="F15" s="51" t="s">
        <v>908</v>
      </c>
      <c r="G15" s="51" t="s">
        <v>304</v>
      </c>
      <c r="H15" s="51" t="s">
        <v>925</v>
      </c>
      <c r="J15" s="51" t="s">
        <v>942</v>
      </c>
      <c r="K15" s="51" t="s">
        <v>304</v>
      </c>
      <c r="L15" s="51" t="s">
        <v>959</v>
      </c>
      <c r="M15" s="51" t="s">
        <v>304</v>
      </c>
      <c r="N15" s="51" t="s">
        <v>976</v>
      </c>
      <c r="O15" s="109" t="s">
        <v>304</v>
      </c>
      <c r="P15" s="51" t="s">
        <v>993</v>
      </c>
    </row>
    <row r="16" spans="2:17" x14ac:dyDescent="0.25">
      <c r="B16" s="51" t="s">
        <v>869</v>
      </c>
      <c r="C16" s="51" t="s">
        <v>304</v>
      </c>
      <c r="D16" s="51" t="s">
        <v>891</v>
      </c>
      <c r="F16" s="51" t="s">
        <v>909</v>
      </c>
      <c r="G16" s="51" t="s">
        <v>304</v>
      </c>
      <c r="H16" s="51" t="s">
        <v>926</v>
      </c>
      <c r="J16" s="51" t="s">
        <v>943</v>
      </c>
      <c r="K16" s="51" t="s">
        <v>304</v>
      </c>
      <c r="L16" s="51" t="s">
        <v>960</v>
      </c>
      <c r="M16" s="51" t="s">
        <v>304</v>
      </c>
      <c r="N16" s="51" t="s">
        <v>977</v>
      </c>
      <c r="O16" s="109" t="s">
        <v>304</v>
      </c>
      <c r="P16" s="51" t="s">
        <v>994</v>
      </c>
    </row>
    <row r="17" spans="1:41" x14ac:dyDescent="0.25">
      <c r="B17" s="51" t="s">
        <v>868</v>
      </c>
      <c r="C17" s="51" t="s">
        <v>304</v>
      </c>
      <c r="D17" s="51" t="s">
        <v>892</v>
      </c>
      <c r="F17" s="51" t="s">
        <v>910</v>
      </c>
      <c r="G17" s="51" t="s">
        <v>304</v>
      </c>
      <c r="H17" s="51" t="s">
        <v>927</v>
      </c>
      <c r="J17" s="51" t="s">
        <v>944</v>
      </c>
      <c r="K17" s="51" t="s">
        <v>304</v>
      </c>
      <c r="L17" s="51" t="s">
        <v>961</v>
      </c>
      <c r="M17" s="51" t="s">
        <v>304</v>
      </c>
      <c r="N17" s="51" t="s">
        <v>978</v>
      </c>
      <c r="O17" s="109" t="s">
        <v>304</v>
      </c>
      <c r="P17" s="51" t="s">
        <v>995</v>
      </c>
    </row>
    <row r="18" spans="1:41" x14ac:dyDescent="0.25">
      <c r="B18" s="51" t="s">
        <v>867</v>
      </c>
      <c r="C18" s="51" t="s">
        <v>304</v>
      </c>
      <c r="D18" s="51" t="s">
        <v>893</v>
      </c>
      <c r="F18" s="51" t="s">
        <v>911</v>
      </c>
      <c r="G18" s="51" t="s">
        <v>304</v>
      </c>
      <c r="H18" s="51" t="s">
        <v>928</v>
      </c>
      <c r="J18" s="51" t="s">
        <v>945</v>
      </c>
      <c r="K18" s="51" t="s">
        <v>304</v>
      </c>
      <c r="L18" s="51" t="s">
        <v>962</v>
      </c>
      <c r="M18" s="51" t="s">
        <v>304</v>
      </c>
      <c r="N18" s="51" t="s">
        <v>979</v>
      </c>
      <c r="O18" s="51" t="s">
        <v>304</v>
      </c>
      <c r="P18" s="51" t="s">
        <v>996</v>
      </c>
    </row>
    <row r="19" spans="1:41" x14ac:dyDescent="0.25">
      <c r="B19" s="51" t="s">
        <v>866</v>
      </c>
      <c r="C19" s="51" t="s">
        <v>304</v>
      </c>
      <c r="D19" s="51" t="s">
        <v>894</v>
      </c>
      <c r="F19" s="51" t="s">
        <v>912</v>
      </c>
      <c r="G19" s="51" t="s">
        <v>304</v>
      </c>
      <c r="H19" s="51" t="s">
        <v>929</v>
      </c>
      <c r="J19" s="51" t="s">
        <v>946</v>
      </c>
      <c r="K19" s="51" t="s">
        <v>304</v>
      </c>
      <c r="L19" s="51" t="s">
        <v>963</v>
      </c>
      <c r="M19" s="51" t="s">
        <v>304</v>
      </c>
      <c r="N19" s="51" t="s">
        <v>980</v>
      </c>
      <c r="O19" s="109" t="s">
        <v>304</v>
      </c>
      <c r="P19" s="51" t="s">
        <v>997</v>
      </c>
    </row>
    <row r="20" spans="1:41" x14ac:dyDescent="0.25">
      <c r="B20" s="51" t="s">
        <v>865</v>
      </c>
      <c r="C20" s="51" t="s">
        <v>304</v>
      </c>
      <c r="D20" s="51" t="s">
        <v>895</v>
      </c>
      <c r="F20" s="51" t="s">
        <v>913</v>
      </c>
      <c r="G20" s="51" t="s">
        <v>304</v>
      </c>
      <c r="H20" s="51" t="s">
        <v>930</v>
      </c>
      <c r="J20" s="51" t="s">
        <v>947</v>
      </c>
      <c r="K20" s="51" t="s">
        <v>304</v>
      </c>
      <c r="L20" s="51" t="s">
        <v>964</v>
      </c>
      <c r="M20" s="51" t="s">
        <v>304</v>
      </c>
      <c r="N20" s="51" t="s">
        <v>981</v>
      </c>
      <c r="O20" s="109" t="s">
        <v>304</v>
      </c>
      <c r="P20" s="51" t="s">
        <v>998</v>
      </c>
    </row>
    <row r="21" spans="1:41" x14ac:dyDescent="0.25">
      <c r="B21" s="51" t="s">
        <v>864</v>
      </c>
      <c r="C21" s="51" t="s">
        <v>304</v>
      </c>
      <c r="D21" s="51" t="s">
        <v>896</v>
      </c>
      <c r="F21" s="51" t="s">
        <v>914</v>
      </c>
      <c r="G21" s="51" t="s">
        <v>304</v>
      </c>
      <c r="H21" s="51" t="s">
        <v>931</v>
      </c>
      <c r="J21" s="51" t="s">
        <v>948</v>
      </c>
      <c r="K21" s="51" t="s">
        <v>304</v>
      </c>
      <c r="L21" s="51" t="s">
        <v>965</v>
      </c>
      <c r="M21" s="51" t="s">
        <v>304</v>
      </c>
      <c r="N21" s="51" t="s">
        <v>982</v>
      </c>
      <c r="O21" s="109" t="s">
        <v>304</v>
      </c>
      <c r="P21" s="51" t="s">
        <v>999</v>
      </c>
    </row>
    <row r="22" spans="1:41" x14ac:dyDescent="0.25">
      <c r="A22" s="51" t="s">
        <v>303</v>
      </c>
      <c r="B22" s="51">
        <f>COUNTIF(B5:B21,"&lt;&gt;")</f>
        <v>17</v>
      </c>
      <c r="C22" s="51">
        <f>COUNTIF(C5:C21,"Y")</f>
        <v>17</v>
      </c>
      <c r="D22" s="51">
        <f>COUNTIF(D5:D21,"&lt;&gt;")</f>
        <v>17</v>
      </c>
      <c r="E22" s="51">
        <f t="shared" ref="E22" si="0">COUNTIF(E5:E21,"Y")</f>
        <v>0</v>
      </c>
      <c r="F22" s="51">
        <f t="shared" ref="F22" si="1">COUNTIF(F5:F21,"&lt;&gt;")</f>
        <v>17</v>
      </c>
      <c r="G22" s="51">
        <f t="shared" ref="G22" si="2">COUNTIF(G5:G21,"Y")</f>
        <v>17</v>
      </c>
      <c r="H22" s="51">
        <f t="shared" ref="H22" si="3">COUNTIF(H5:H21,"&lt;&gt;")</f>
        <v>17</v>
      </c>
      <c r="I22" s="51">
        <f t="shared" ref="I22" si="4">COUNTIF(I5:I21,"Y")</f>
        <v>0</v>
      </c>
      <c r="J22" s="51">
        <f t="shared" ref="J22" si="5">COUNTIF(J5:J21,"&lt;&gt;")</f>
        <v>17</v>
      </c>
      <c r="K22" s="51">
        <v>17</v>
      </c>
      <c r="L22" s="51">
        <f t="shared" ref="L22" si="6">COUNTIF(L5:L21,"&lt;&gt;")</f>
        <v>17</v>
      </c>
      <c r="M22" s="51">
        <f t="shared" ref="M22" si="7">COUNTIF(M5:M21,"Y")</f>
        <v>17</v>
      </c>
      <c r="N22" s="51">
        <f t="shared" ref="N22" si="8">COUNTIF(N5:N21,"&lt;&gt;")</f>
        <v>17</v>
      </c>
      <c r="O22" s="51">
        <f t="shared" ref="O22" si="9">COUNTIF(O5:O21,"Y")</f>
        <v>17</v>
      </c>
      <c r="P22" s="51">
        <f t="shared" ref="P22" si="10">COUNTIF(P5:P21,"&lt;&gt;")</f>
        <v>17</v>
      </c>
      <c r="Q22" s="51">
        <f t="shared" ref="Q22" si="11">COUNTIF(Q5:Q21,"Y")</f>
        <v>0</v>
      </c>
    </row>
    <row r="24" spans="1:41" x14ac:dyDescent="0.25">
      <c r="B24" s="51" t="s">
        <v>1000</v>
      </c>
      <c r="C24" s="51" t="s">
        <v>302</v>
      </c>
      <c r="D24" s="51">
        <f>SUM(B38,D38,F38,H38,J38,L38,N38,P38,R38,T38,V38,X38,Z38,AB38,AD38,AF38,AH38,AJ38,AL38,AN38)</f>
        <v>240</v>
      </c>
      <c r="E24" s="51" t="s">
        <v>301</v>
      </c>
      <c r="F24" s="51">
        <f>SUM(C38,E38,G38,I38,K38,M38,O38,Q38,S38,U38,W38,Y38,AA38,AC38,AE38,AG38,AI38,AK38,AM38,AO38)</f>
        <v>120</v>
      </c>
      <c r="G24" s="51" t="s">
        <v>305</v>
      </c>
      <c r="H24" s="51">
        <f>D24-F24</f>
        <v>120</v>
      </c>
    </row>
    <row r="25" spans="1:41" x14ac:dyDescent="0.25">
      <c r="B25" s="51" t="str">
        <f>LEFT(B26,FIND("_P",B26)-1)</f>
        <v>CPT_034</v>
      </c>
      <c r="C25" s="51" t="s">
        <v>301</v>
      </c>
      <c r="D25" s="51" t="str">
        <f t="shared" ref="D25" si="12">LEFT(D26,FIND("_P",D26)-1)</f>
        <v>CPT_054</v>
      </c>
      <c r="E25" s="51" t="s">
        <v>301</v>
      </c>
      <c r="F25" s="51" t="str">
        <f t="shared" ref="F25" si="13">LEFT(F26,FIND("_P",F26)-1)</f>
        <v>CPT_062</v>
      </c>
      <c r="G25" s="51" t="s">
        <v>301</v>
      </c>
      <c r="H25" s="51" t="str">
        <f t="shared" ref="H25" si="14">LEFT(H26,FIND("_P",H26)-1)</f>
        <v>CPT_065</v>
      </c>
      <c r="I25" s="51" t="s">
        <v>301</v>
      </c>
      <c r="J25" s="51" t="str">
        <f t="shared" ref="J25" si="15">LEFT(J26,FIND("_P",J26)-1)</f>
        <v>CPT_108</v>
      </c>
      <c r="K25" s="51" t="s">
        <v>301</v>
      </c>
      <c r="L25" s="51" t="str">
        <f t="shared" ref="L25" si="16">LEFT(L26,FIND("_P",L26)-1)</f>
        <v>CPT_136</v>
      </c>
      <c r="M25" s="51" t="s">
        <v>301</v>
      </c>
      <c r="N25" s="51" t="str">
        <f t="shared" ref="N25" si="17">LEFT(N26,FIND("_P",N26)-1)</f>
        <v>CPT_148</v>
      </c>
      <c r="O25" s="51" t="s">
        <v>301</v>
      </c>
      <c r="P25" s="51" t="str">
        <f t="shared" ref="P25" si="18">LEFT(P26,FIND("_P",P26)-1)</f>
        <v>CPT_184</v>
      </c>
      <c r="Q25" s="51" t="s">
        <v>301</v>
      </c>
      <c r="R25" s="51" t="str">
        <f t="shared" ref="R25" si="19">LEFT(R26,FIND("_P",R26)-1)</f>
        <v>CPT_215</v>
      </c>
      <c r="S25" s="51" t="s">
        <v>301</v>
      </c>
      <c r="T25" s="51" t="str">
        <f t="shared" ref="T25" si="20">LEFT(T26,FIND("_P",T26)-1)</f>
        <v>CPT_232</v>
      </c>
      <c r="U25" s="51" t="s">
        <v>301</v>
      </c>
      <c r="V25" s="51" t="str">
        <f t="shared" ref="V25" si="21">LEFT(V26,FIND("_P",V26)-1)</f>
        <v>CPT_233</v>
      </c>
      <c r="W25" s="51" t="s">
        <v>301</v>
      </c>
      <c r="X25" s="51" t="str">
        <f t="shared" ref="X25" si="22">LEFT(X26,FIND("_P",X26)-1)</f>
        <v>CPT_241</v>
      </c>
      <c r="Y25" s="51" t="s">
        <v>301</v>
      </c>
      <c r="Z25" s="51" t="str">
        <f t="shared" ref="Z25" si="23">LEFT(Z26,FIND("_P",Z26)-1)</f>
        <v>CPT_244</v>
      </c>
      <c r="AA25" s="51" t="s">
        <v>301</v>
      </c>
      <c r="AB25" s="51" t="str">
        <f t="shared" ref="AB25" si="24">LEFT(AB26,FIND("_P",AB26)-1)</f>
        <v>CPT_271</v>
      </c>
      <c r="AC25" s="51" t="s">
        <v>301</v>
      </c>
      <c r="AD25" s="51" t="str">
        <f t="shared" ref="AD25" si="25">LEFT(AD26,FIND("_P",AD26)-1)</f>
        <v>CPT_282</v>
      </c>
      <c r="AE25" s="51" t="s">
        <v>301</v>
      </c>
      <c r="AF25" s="51" t="str">
        <f t="shared" ref="AF25" si="26">LEFT(AF26,FIND("_P",AF26)-1)</f>
        <v>CPT_295</v>
      </c>
      <c r="AG25" s="51" t="s">
        <v>301</v>
      </c>
      <c r="AH25" s="51" t="str">
        <f t="shared" ref="AH25" si="27">LEFT(AH26,FIND("_P",AH26)-1)</f>
        <v>CPT_300</v>
      </c>
      <c r="AI25" s="51" t="s">
        <v>301</v>
      </c>
      <c r="AJ25" s="51" t="str">
        <f t="shared" ref="AJ25" si="28">LEFT(AJ26,FIND("_P",AJ26)-1)</f>
        <v>CPT_310</v>
      </c>
      <c r="AK25" s="51" t="s">
        <v>301</v>
      </c>
      <c r="AL25" s="51" t="str">
        <f t="shared" ref="AL25" si="29">LEFT(AL26,FIND("_P",AL26)-1)</f>
        <v>CPT_315</v>
      </c>
      <c r="AM25" s="51" t="s">
        <v>301</v>
      </c>
      <c r="AN25" s="51" t="str">
        <f t="shared" ref="AN25" si="30">LEFT(AN26,FIND("_P",AN26)-1)</f>
        <v>CPT_328</v>
      </c>
      <c r="AO25" s="51" t="s">
        <v>301</v>
      </c>
    </row>
    <row r="26" spans="1:41" x14ac:dyDescent="0.25">
      <c r="B26" s="51" t="s">
        <v>1001</v>
      </c>
      <c r="D26" s="51" t="s">
        <v>1013</v>
      </c>
      <c r="F26" s="51" t="s">
        <v>1025</v>
      </c>
      <c r="H26" s="51" t="s">
        <v>1037</v>
      </c>
      <c r="I26" s="51" t="s">
        <v>304</v>
      </c>
      <c r="J26" s="51" t="s">
        <v>1049</v>
      </c>
      <c r="L26" s="51" t="s">
        <v>1061</v>
      </c>
      <c r="M26" s="109" t="s">
        <v>304</v>
      </c>
      <c r="N26" s="51" t="s">
        <v>1073</v>
      </c>
      <c r="O26" s="51" t="s">
        <v>304</v>
      </c>
      <c r="P26" s="51" t="s">
        <v>1085</v>
      </c>
      <c r="Q26" s="51" t="s">
        <v>304</v>
      </c>
      <c r="R26" s="51" t="s">
        <v>1099</v>
      </c>
      <c r="T26" s="51" t="s">
        <v>1111</v>
      </c>
      <c r="V26" s="51" t="s">
        <v>1123</v>
      </c>
      <c r="X26" s="51" t="s">
        <v>1135</v>
      </c>
      <c r="Y26" s="51" t="s">
        <v>304</v>
      </c>
      <c r="Z26" s="51" t="s">
        <v>1147</v>
      </c>
      <c r="AA26" s="51" t="s">
        <v>304</v>
      </c>
      <c r="AB26" s="51" t="s">
        <v>1159</v>
      </c>
      <c r="AD26" s="51" t="s">
        <v>1171</v>
      </c>
      <c r="AE26" s="51" t="s">
        <v>304</v>
      </c>
      <c r="AF26" s="51" t="s">
        <v>1183</v>
      </c>
      <c r="AG26" s="51" t="s">
        <v>304</v>
      </c>
      <c r="AH26" s="51" t="s">
        <v>1195</v>
      </c>
      <c r="AJ26" s="51" t="s">
        <v>1207</v>
      </c>
      <c r="AK26" s="51" t="s">
        <v>304</v>
      </c>
      <c r="AL26" s="51" t="s">
        <v>1219</v>
      </c>
      <c r="AM26" s="51" t="s">
        <v>7847</v>
      </c>
      <c r="AN26" s="51" t="s">
        <v>1231</v>
      </c>
    </row>
    <row r="27" spans="1:41" x14ac:dyDescent="0.25">
      <c r="B27" s="51" t="s">
        <v>1002</v>
      </c>
      <c r="D27" s="51" t="s">
        <v>1014</v>
      </c>
      <c r="F27" s="51" t="s">
        <v>1026</v>
      </c>
      <c r="H27" s="51" t="s">
        <v>1038</v>
      </c>
      <c r="I27" s="51" t="s">
        <v>304</v>
      </c>
      <c r="J27" s="51" t="s">
        <v>1050</v>
      </c>
      <c r="L27" s="51" t="s">
        <v>1062</v>
      </c>
      <c r="M27" s="109" t="s">
        <v>304</v>
      </c>
      <c r="N27" s="51" t="s">
        <v>1074</v>
      </c>
      <c r="O27" s="51" t="s">
        <v>304</v>
      </c>
      <c r="P27" s="51" t="s">
        <v>1086</v>
      </c>
      <c r="Q27" s="51" t="s">
        <v>304</v>
      </c>
      <c r="R27" s="51" t="s">
        <v>1100</v>
      </c>
      <c r="T27" s="51" t="s">
        <v>1112</v>
      </c>
      <c r="V27" s="51" t="s">
        <v>1124</v>
      </c>
      <c r="X27" s="51" t="s">
        <v>1136</v>
      </c>
      <c r="Y27" s="51" t="s">
        <v>304</v>
      </c>
      <c r="Z27" s="51" t="s">
        <v>1148</v>
      </c>
      <c r="AA27" s="51" t="s">
        <v>304</v>
      </c>
      <c r="AB27" s="51" t="s">
        <v>1160</v>
      </c>
      <c r="AD27" s="51" t="s">
        <v>1172</v>
      </c>
      <c r="AE27" s="51" t="s">
        <v>304</v>
      </c>
      <c r="AF27" s="51" t="s">
        <v>1184</v>
      </c>
      <c r="AG27" s="51" t="s">
        <v>304</v>
      </c>
      <c r="AH27" s="51" t="s">
        <v>1196</v>
      </c>
      <c r="AJ27" s="51" t="s">
        <v>1208</v>
      </c>
      <c r="AK27" s="51" t="s">
        <v>304</v>
      </c>
      <c r="AL27" s="51" t="s">
        <v>1220</v>
      </c>
      <c r="AM27" s="51" t="s">
        <v>7847</v>
      </c>
      <c r="AN27" s="51" t="s">
        <v>1232</v>
      </c>
    </row>
    <row r="28" spans="1:41" x14ac:dyDescent="0.25">
      <c r="B28" s="51" t="s">
        <v>1003</v>
      </c>
      <c r="D28" s="51" t="s">
        <v>1015</v>
      </c>
      <c r="F28" s="51" t="s">
        <v>1027</v>
      </c>
      <c r="H28" s="51" t="s">
        <v>1039</v>
      </c>
      <c r="I28" s="51" t="s">
        <v>304</v>
      </c>
      <c r="J28" s="51" t="s">
        <v>1051</v>
      </c>
      <c r="L28" s="51" t="s">
        <v>1063</v>
      </c>
      <c r="M28" s="51" t="s">
        <v>304</v>
      </c>
      <c r="N28" s="51" t="s">
        <v>1075</v>
      </c>
      <c r="O28" s="51" t="s">
        <v>304</v>
      </c>
      <c r="P28" s="51" t="s">
        <v>1087</v>
      </c>
      <c r="Q28" s="51" t="s">
        <v>304</v>
      </c>
      <c r="R28" s="51" t="s">
        <v>1101</v>
      </c>
      <c r="T28" s="51" t="s">
        <v>1113</v>
      </c>
      <c r="V28" s="51" t="s">
        <v>1125</v>
      </c>
      <c r="X28" s="51" t="s">
        <v>1137</v>
      </c>
      <c r="Y28" s="51" t="s">
        <v>304</v>
      </c>
      <c r="Z28" s="51" t="s">
        <v>1149</v>
      </c>
      <c r="AA28" s="51" t="s">
        <v>304</v>
      </c>
      <c r="AB28" s="51" t="s">
        <v>1161</v>
      </c>
      <c r="AD28" s="51" t="s">
        <v>1173</v>
      </c>
      <c r="AE28" s="51" t="s">
        <v>304</v>
      </c>
      <c r="AF28" s="51" t="s">
        <v>1185</v>
      </c>
      <c r="AG28" s="51" t="s">
        <v>304</v>
      </c>
      <c r="AH28" s="51" t="s">
        <v>1197</v>
      </c>
      <c r="AJ28" s="51" t="s">
        <v>1209</v>
      </c>
      <c r="AK28" s="51" t="s">
        <v>304</v>
      </c>
      <c r="AL28" s="51" t="s">
        <v>1221</v>
      </c>
      <c r="AM28" s="51" t="s">
        <v>7847</v>
      </c>
      <c r="AN28" s="51" t="s">
        <v>1233</v>
      </c>
    </row>
    <row r="29" spans="1:41" x14ac:dyDescent="0.25">
      <c r="B29" s="51" t="s">
        <v>1004</v>
      </c>
      <c r="D29" s="51" t="s">
        <v>1016</v>
      </c>
      <c r="F29" s="51" t="s">
        <v>1028</v>
      </c>
      <c r="H29" s="51" t="s">
        <v>1040</v>
      </c>
      <c r="I29" s="51" t="s">
        <v>304</v>
      </c>
      <c r="J29" s="51" t="s">
        <v>1052</v>
      </c>
      <c r="L29" s="51" t="s">
        <v>1064</v>
      </c>
      <c r="M29" s="51" t="s">
        <v>304</v>
      </c>
      <c r="N29" s="51" t="s">
        <v>1076</v>
      </c>
      <c r="O29" s="51" t="s">
        <v>304</v>
      </c>
      <c r="P29" s="51" t="s">
        <v>1088</v>
      </c>
      <c r="Q29" s="51" t="s">
        <v>304</v>
      </c>
      <c r="R29" s="51" t="s">
        <v>1102</v>
      </c>
      <c r="T29" s="51" t="s">
        <v>1114</v>
      </c>
      <c r="V29" s="51" t="s">
        <v>1126</v>
      </c>
      <c r="X29" s="51" t="s">
        <v>1138</v>
      </c>
      <c r="Y29" s="51" t="s">
        <v>304</v>
      </c>
      <c r="Z29" s="51" t="s">
        <v>1150</v>
      </c>
      <c r="AA29" s="51" t="s">
        <v>304</v>
      </c>
      <c r="AB29" s="51" t="s">
        <v>1162</v>
      </c>
      <c r="AD29" s="51" t="s">
        <v>1174</v>
      </c>
      <c r="AE29" s="51" t="s">
        <v>304</v>
      </c>
      <c r="AF29" s="51" t="s">
        <v>1186</v>
      </c>
      <c r="AG29" s="51" t="s">
        <v>304</v>
      </c>
      <c r="AH29" s="51" t="s">
        <v>1198</v>
      </c>
      <c r="AJ29" s="51" t="s">
        <v>1210</v>
      </c>
      <c r="AK29" s="51" t="s">
        <v>304</v>
      </c>
      <c r="AL29" s="51" t="s">
        <v>1222</v>
      </c>
      <c r="AM29" s="51" t="s">
        <v>7847</v>
      </c>
      <c r="AN29" s="51" t="s">
        <v>1234</v>
      </c>
    </row>
    <row r="30" spans="1:41" x14ac:dyDescent="0.25">
      <c r="B30" s="51" t="s">
        <v>1005</v>
      </c>
      <c r="D30" s="51" t="s">
        <v>1017</v>
      </c>
      <c r="F30" s="51" t="s">
        <v>1029</v>
      </c>
      <c r="H30" s="51" t="s">
        <v>1041</v>
      </c>
      <c r="I30" s="51" t="s">
        <v>304</v>
      </c>
      <c r="J30" s="51" t="s">
        <v>1053</v>
      </c>
      <c r="L30" s="51" t="s">
        <v>1065</v>
      </c>
      <c r="M30" s="51" t="s">
        <v>304</v>
      </c>
      <c r="N30" s="51" t="s">
        <v>1077</v>
      </c>
      <c r="O30" s="109" t="s">
        <v>304</v>
      </c>
      <c r="P30" s="51" t="s">
        <v>1089</v>
      </c>
      <c r="Q30" s="51" t="s">
        <v>304</v>
      </c>
      <c r="R30" s="51" t="s">
        <v>1103</v>
      </c>
      <c r="T30" s="51" t="s">
        <v>1115</v>
      </c>
      <c r="V30" s="51" t="s">
        <v>1127</v>
      </c>
      <c r="X30" s="51" t="s">
        <v>1139</v>
      </c>
      <c r="Y30" s="51" t="s">
        <v>304</v>
      </c>
      <c r="Z30" s="51" t="s">
        <v>1151</v>
      </c>
      <c r="AA30" s="51" t="s">
        <v>304</v>
      </c>
      <c r="AB30" s="51" t="s">
        <v>1163</v>
      </c>
      <c r="AD30" s="51" t="s">
        <v>1175</v>
      </c>
      <c r="AE30" s="51" t="s">
        <v>304</v>
      </c>
      <c r="AF30" s="51" t="s">
        <v>1187</v>
      </c>
      <c r="AG30" s="51" t="s">
        <v>304</v>
      </c>
      <c r="AH30" s="51" t="s">
        <v>1199</v>
      </c>
      <c r="AJ30" s="51" t="s">
        <v>1211</v>
      </c>
      <c r="AK30" s="51" t="s">
        <v>304</v>
      </c>
      <c r="AL30" s="51" t="s">
        <v>1223</v>
      </c>
      <c r="AM30" s="51" t="s">
        <v>7847</v>
      </c>
      <c r="AN30" s="51" t="s">
        <v>1235</v>
      </c>
    </row>
    <row r="31" spans="1:41" x14ac:dyDescent="0.25">
      <c r="B31" s="51" t="s">
        <v>1006</v>
      </c>
      <c r="D31" s="51" t="s">
        <v>1018</v>
      </c>
      <c r="F31" s="51" t="s">
        <v>1030</v>
      </c>
      <c r="H31" s="51" t="s">
        <v>1042</v>
      </c>
      <c r="I31" s="51" t="s">
        <v>304</v>
      </c>
      <c r="J31" s="51" t="s">
        <v>1054</v>
      </c>
      <c r="L31" s="51" t="s">
        <v>1066</v>
      </c>
      <c r="M31" s="51" t="s">
        <v>304</v>
      </c>
      <c r="N31" s="51" t="s">
        <v>1078</v>
      </c>
      <c r="O31" s="109" t="s">
        <v>304</v>
      </c>
      <c r="P31" s="51" t="s">
        <v>1090</v>
      </c>
      <c r="Q31" s="51" t="s">
        <v>304</v>
      </c>
      <c r="R31" s="51" t="s">
        <v>1104</v>
      </c>
      <c r="T31" s="51" t="s">
        <v>1116</v>
      </c>
      <c r="V31" s="51" t="s">
        <v>1128</v>
      </c>
      <c r="X31" s="51" t="s">
        <v>1140</v>
      </c>
      <c r="Y31" s="51" t="s">
        <v>304</v>
      </c>
      <c r="Z31" s="51" t="s">
        <v>1152</v>
      </c>
      <c r="AA31" s="51" t="s">
        <v>304</v>
      </c>
      <c r="AB31" s="51" t="s">
        <v>1164</v>
      </c>
      <c r="AD31" s="51" t="s">
        <v>1176</v>
      </c>
      <c r="AE31" s="51" t="s">
        <v>304</v>
      </c>
      <c r="AF31" s="51" t="s">
        <v>1188</v>
      </c>
      <c r="AG31" s="51" t="s">
        <v>304</v>
      </c>
      <c r="AH31" s="51" t="s">
        <v>1200</v>
      </c>
      <c r="AJ31" s="51" t="s">
        <v>1212</v>
      </c>
      <c r="AK31" s="51" t="s">
        <v>304</v>
      </c>
      <c r="AL31" s="51" t="s">
        <v>1224</v>
      </c>
      <c r="AM31" s="51" t="s">
        <v>7847</v>
      </c>
      <c r="AN31" s="51" t="s">
        <v>1236</v>
      </c>
    </row>
    <row r="32" spans="1:41" x14ac:dyDescent="0.25">
      <c r="B32" s="51" t="s">
        <v>1007</v>
      </c>
      <c r="D32" s="51" t="s">
        <v>1019</v>
      </c>
      <c r="F32" s="51" t="s">
        <v>1031</v>
      </c>
      <c r="H32" s="51" t="s">
        <v>1043</v>
      </c>
      <c r="I32" s="51" t="s">
        <v>304</v>
      </c>
      <c r="J32" s="51" t="s">
        <v>1055</v>
      </c>
      <c r="L32" s="51" t="s">
        <v>1067</v>
      </c>
      <c r="M32" s="51" t="s">
        <v>304</v>
      </c>
      <c r="N32" s="51" t="s">
        <v>1079</v>
      </c>
      <c r="O32" s="51" t="s">
        <v>304</v>
      </c>
      <c r="P32" s="51" t="s">
        <v>1091</v>
      </c>
      <c r="Q32" s="51" t="s">
        <v>304</v>
      </c>
      <c r="R32" s="51" t="s">
        <v>1105</v>
      </c>
      <c r="T32" s="51" t="s">
        <v>1117</v>
      </c>
      <c r="V32" s="51" t="s">
        <v>1129</v>
      </c>
      <c r="X32" s="51" t="s">
        <v>1141</v>
      </c>
      <c r="Y32" s="51" t="s">
        <v>304</v>
      </c>
      <c r="Z32" s="51" t="s">
        <v>1153</v>
      </c>
      <c r="AA32" s="51" t="s">
        <v>304</v>
      </c>
      <c r="AB32" s="51" t="s">
        <v>1165</v>
      </c>
      <c r="AD32" s="51" t="s">
        <v>1177</v>
      </c>
      <c r="AE32" s="51" t="s">
        <v>304</v>
      </c>
      <c r="AF32" s="51" t="s">
        <v>1189</v>
      </c>
      <c r="AG32" s="51" t="s">
        <v>304</v>
      </c>
      <c r="AH32" s="51" t="s">
        <v>1201</v>
      </c>
      <c r="AJ32" s="51" t="s">
        <v>1213</v>
      </c>
      <c r="AK32" s="51" t="s">
        <v>304</v>
      </c>
      <c r="AL32" s="51" t="s">
        <v>1225</v>
      </c>
      <c r="AM32" s="51" t="s">
        <v>7847</v>
      </c>
      <c r="AN32" s="51" t="s">
        <v>1237</v>
      </c>
    </row>
    <row r="33" spans="1:41" x14ac:dyDescent="0.25">
      <c r="B33" s="51" t="s">
        <v>1008</v>
      </c>
      <c r="D33" s="51" t="s">
        <v>1020</v>
      </c>
      <c r="F33" s="51" t="s">
        <v>1032</v>
      </c>
      <c r="H33" s="51" t="s">
        <v>1044</v>
      </c>
      <c r="I33" s="51" t="s">
        <v>304</v>
      </c>
      <c r="J33" s="51" t="s">
        <v>1056</v>
      </c>
      <c r="L33" s="51" t="s">
        <v>1068</v>
      </c>
      <c r="M33" s="51" t="s">
        <v>304</v>
      </c>
      <c r="N33" s="51" t="s">
        <v>1080</v>
      </c>
      <c r="O33" s="51" t="s">
        <v>304</v>
      </c>
      <c r="P33" s="51" t="s">
        <v>1092</v>
      </c>
      <c r="Q33" s="51" t="s">
        <v>304</v>
      </c>
      <c r="R33" s="51" t="s">
        <v>1106</v>
      </c>
      <c r="T33" s="51" t="s">
        <v>1118</v>
      </c>
      <c r="V33" s="51" t="s">
        <v>1130</v>
      </c>
      <c r="X33" s="51" t="s">
        <v>1142</v>
      </c>
      <c r="Y33" s="51" t="s">
        <v>304</v>
      </c>
      <c r="Z33" s="51" t="s">
        <v>1154</v>
      </c>
      <c r="AA33" s="51" t="s">
        <v>304</v>
      </c>
      <c r="AB33" s="51" t="s">
        <v>1166</v>
      </c>
      <c r="AD33" s="51" t="s">
        <v>1178</v>
      </c>
      <c r="AE33" s="51" t="s">
        <v>304</v>
      </c>
      <c r="AF33" s="51" t="s">
        <v>1190</v>
      </c>
      <c r="AG33" s="51" t="s">
        <v>304</v>
      </c>
      <c r="AH33" s="51" t="s">
        <v>1202</v>
      </c>
      <c r="AJ33" s="51" t="s">
        <v>1214</v>
      </c>
      <c r="AK33" s="51" t="s">
        <v>304</v>
      </c>
      <c r="AL33" s="51" t="s">
        <v>1226</v>
      </c>
      <c r="AM33" s="51" t="s">
        <v>7847</v>
      </c>
      <c r="AN33" s="51" t="s">
        <v>1238</v>
      </c>
    </row>
    <row r="34" spans="1:41" x14ac:dyDescent="0.25">
      <c r="B34" s="51" t="s">
        <v>1009</v>
      </c>
      <c r="D34" s="51" t="s">
        <v>1021</v>
      </c>
      <c r="F34" s="51" t="s">
        <v>1033</v>
      </c>
      <c r="H34" s="51" t="s">
        <v>1045</v>
      </c>
      <c r="I34" s="51" t="s">
        <v>304</v>
      </c>
      <c r="J34" s="51" t="s">
        <v>1057</v>
      </c>
      <c r="L34" s="51" t="s">
        <v>1069</v>
      </c>
      <c r="M34" s="51" t="s">
        <v>304</v>
      </c>
      <c r="N34" s="51" t="s">
        <v>1081</v>
      </c>
      <c r="O34" s="51" t="s">
        <v>304</v>
      </c>
      <c r="P34" s="51" t="s">
        <v>1093</v>
      </c>
      <c r="Q34" s="51" t="s">
        <v>304</v>
      </c>
      <c r="R34" s="51" t="s">
        <v>1107</v>
      </c>
      <c r="T34" s="51" t="s">
        <v>1119</v>
      </c>
      <c r="V34" s="51" t="s">
        <v>1131</v>
      </c>
      <c r="X34" s="51" t="s">
        <v>1143</v>
      </c>
      <c r="Y34" s="51" t="s">
        <v>304</v>
      </c>
      <c r="Z34" s="51" t="s">
        <v>1155</v>
      </c>
      <c r="AA34" s="51" t="s">
        <v>304</v>
      </c>
      <c r="AB34" s="51" t="s">
        <v>1167</v>
      </c>
      <c r="AD34" s="51" t="s">
        <v>1179</v>
      </c>
      <c r="AE34" s="51" t="s">
        <v>304</v>
      </c>
      <c r="AF34" s="51" t="s">
        <v>1191</v>
      </c>
      <c r="AG34" s="51" t="s">
        <v>304</v>
      </c>
      <c r="AH34" s="51" t="s">
        <v>1203</v>
      </c>
      <c r="AJ34" s="51" t="s">
        <v>1215</v>
      </c>
      <c r="AK34" s="51" t="s">
        <v>304</v>
      </c>
      <c r="AL34" s="51" t="s">
        <v>1227</v>
      </c>
      <c r="AM34" s="51" t="s">
        <v>7847</v>
      </c>
      <c r="AN34" s="51" t="s">
        <v>1239</v>
      </c>
    </row>
    <row r="35" spans="1:41" x14ac:dyDescent="0.25">
      <c r="B35" s="51" t="s">
        <v>1010</v>
      </c>
      <c r="D35" s="51" t="s">
        <v>1022</v>
      </c>
      <c r="F35" s="51" t="s">
        <v>1034</v>
      </c>
      <c r="H35" s="51" t="s">
        <v>1046</v>
      </c>
      <c r="I35" s="51" t="s">
        <v>304</v>
      </c>
      <c r="J35" s="51" t="s">
        <v>1058</v>
      </c>
      <c r="L35" s="51" t="s">
        <v>1070</v>
      </c>
      <c r="M35" s="51" t="s">
        <v>304</v>
      </c>
      <c r="N35" s="51" t="s">
        <v>1082</v>
      </c>
      <c r="O35" s="51" t="s">
        <v>304</v>
      </c>
      <c r="P35" s="51" t="s">
        <v>1094</v>
      </c>
      <c r="Q35" s="51" t="s">
        <v>304</v>
      </c>
      <c r="R35" s="51" t="s">
        <v>1108</v>
      </c>
      <c r="T35" s="51" t="s">
        <v>1120</v>
      </c>
      <c r="V35" s="51" t="s">
        <v>1132</v>
      </c>
      <c r="X35" s="51" t="s">
        <v>1144</v>
      </c>
      <c r="Y35" s="51" t="s">
        <v>304</v>
      </c>
      <c r="Z35" s="51" t="s">
        <v>1156</v>
      </c>
      <c r="AA35" s="51" t="s">
        <v>304</v>
      </c>
      <c r="AB35" s="51" t="s">
        <v>1168</v>
      </c>
      <c r="AD35" s="51" t="s">
        <v>1180</v>
      </c>
      <c r="AE35" s="51" t="s">
        <v>304</v>
      </c>
      <c r="AF35" s="51" t="s">
        <v>1192</v>
      </c>
      <c r="AG35" s="51" t="s">
        <v>304</v>
      </c>
      <c r="AH35" s="51" t="s">
        <v>1204</v>
      </c>
      <c r="AJ35" s="51" t="s">
        <v>1216</v>
      </c>
      <c r="AK35" s="51" t="s">
        <v>304</v>
      </c>
      <c r="AL35" s="51" t="s">
        <v>1228</v>
      </c>
      <c r="AM35" s="51" t="s">
        <v>7847</v>
      </c>
      <c r="AN35" s="51" t="s">
        <v>1240</v>
      </c>
    </row>
    <row r="36" spans="1:41" x14ac:dyDescent="0.25">
      <c r="B36" s="51" t="s">
        <v>1011</v>
      </c>
      <c r="D36" s="51" t="s">
        <v>1023</v>
      </c>
      <c r="F36" s="51" t="s">
        <v>1035</v>
      </c>
      <c r="H36" s="51" t="s">
        <v>1047</v>
      </c>
      <c r="I36" s="51" t="s">
        <v>304</v>
      </c>
      <c r="J36" s="51" t="s">
        <v>1059</v>
      </c>
      <c r="L36" s="51" t="s">
        <v>1071</v>
      </c>
      <c r="M36" s="51" t="s">
        <v>304</v>
      </c>
      <c r="N36" s="51" t="s">
        <v>1083</v>
      </c>
      <c r="O36" s="51" t="s">
        <v>304</v>
      </c>
      <c r="P36" s="51" t="s">
        <v>1095</v>
      </c>
      <c r="Q36" s="51" t="s">
        <v>304</v>
      </c>
      <c r="R36" s="51" t="s">
        <v>1109</v>
      </c>
      <c r="T36" s="51" t="s">
        <v>1121</v>
      </c>
      <c r="V36" s="51" t="s">
        <v>1133</v>
      </c>
      <c r="X36" s="51" t="s">
        <v>1145</v>
      </c>
      <c r="Y36" s="51" t="s">
        <v>304</v>
      </c>
      <c r="Z36" s="51" t="s">
        <v>1157</v>
      </c>
      <c r="AA36" s="51" t="s">
        <v>304</v>
      </c>
      <c r="AB36" s="51" t="s">
        <v>1169</v>
      </c>
      <c r="AD36" s="51" t="s">
        <v>1181</v>
      </c>
      <c r="AE36" s="51" t="s">
        <v>304</v>
      </c>
      <c r="AF36" s="51" t="s">
        <v>1193</v>
      </c>
      <c r="AG36" s="51" t="s">
        <v>304</v>
      </c>
      <c r="AH36" s="51" t="s">
        <v>1205</v>
      </c>
      <c r="AJ36" s="51" t="s">
        <v>1217</v>
      </c>
      <c r="AK36" s="51" t="s">
        <v>304</v>
      </c>
      <c r="AL36" s="51" t="s">
        <v>1229</v>
      </c>
      <c r="AM36" s="51" t="s">
        <v>7847</v>
      </c>
      <c r="AN36" s="51" t="s">
        <v>1241</v>
      </c>
    </row>
    <row r="37" spans="1:41" x14ac:dyDescent="0.25">
      <c r="B37" s="51" t="s">
        <v>1012</v>
      </c>
      <c r="D37" s="51" t="s">
        <v>1024</v>
      </c>
      <c r="F37" s="51" t="s">
        <v>1036</v>
      </c>
      <c r="H37" s="51" t="s">
        <v>1048</v>
      </c>
      <c r="I37" s="51" t="s">
        <v>304</v>
      </c>
      <c r="J37" s="51" t="s">
        <v>1060</v>
      </c>
      <c r="L37" s="51" t="s">
        <v>1072</v>
      </c>
      <c r="M37" s="51" t="s">
        <v>304</v>
      </c>
      <c r="N37" s="51" t="s">
        <v>1084</v>
      </c>
      <c r="O37" s="51" t="s">
        <v>304</v>
      </c>
      <c r="P37" s="51" t="s">
        <v>1096</v>
      </c>
      <c r="Q37" s="51" t="s">
        <v>304</v>
      </c>
      <c r="R37" s="51" t="s">
        <v>1110</v>
      </c>
      <c r="T37" s="51" t="s">
        <v>1122</v>
      </c>
      <c r="V37" s="51" t="s">
        <v>1134</v>
      </c>
      <c r="X37" s="51" t="s">
        <v>1146</v>
      </c>
      <c r="Y37" s="51" t="s">
        <v>304</v>
      </c>
      <c r="Z37" s="51" t="s">
        <v>1158</v>
      </c>
      <c r="AA37" s="51" t="s">
        <v>304</v>
      </c>
      <c r="AB37" s="51" t="s">
        <v>1170</v>
      </c>
      <c r="AD37" s="51" t="s">
        <v>1182</v>
      </c>
      <c r="AE37" s="51" t="s">
        <v>304</v>
      </c>
      <c r="AF37" s="51" t="s">
        <v>1194</v>
      </c>
      <c r="AG37" s="51" t="s">
        <v>304</v>
      </c>
      <c r="AH37" s="51" t="s">
        <v>1206</v>
      </c>
      <c r="AJ37" s="51" t="s">
        <v>1218</v>
      </c>
      <c r="AK37" s="51" t="s">
        <v>304</v>
      </c>
      <c r="AL37" s="51" t="s">
        <v>1230</v>
      </c>
      <c r="AM37" s="51" t="s">
        <v>304</v>
      </c>
      <c r="AN37" s="51" t="s">
        <v>1242</v>
      </c>
    </row>
    <row r="38" spans="1:41" x14ac:dyDescent="0.25">
      <c r="A38" s="51" t="s">
        <v>303</v>
      </c>
      <c r="B38" s="51">
        <f>COUNTIF(B26:B37,"&lt;&gt;")</f>
        <v>12</v>
      </c>
      <c r="C38" s="51">
        <f>COUNTIF(C26:C37,"Y")</f>
        <v>0</v>
      </c>
      <c r="D38" s="51">
        <f t="shared" ref="D38" si="31">COUNTIF(D26:D37,"&lt;&gt;")</f>
        <v>12</v>
      </c>
      <c r="E38" s="51">
        <f t="shared" ref="E38" si="32">COUNTIF(E26:E37,"Y")</f>
        <v>0</v>
      </c>
      <c r="F38" s="51">
        <f t="shared" ref="F38" si="33">COUNTIF(F26:F37,"&lt;&gt;")</f>
        <v>12</v>
      </c>
      <c r="G38" s="51">
        <f t="shared" ref="G38" si="34">COUNTIF(G26:G37,"Y")</f>
        <v>0</v>
      </c>
      <c r="H38" s="51">
        <f t="shared" ref="H38" si="35">COUNTIF(H26:H37,"&lt;&gt;")</f>
        <v>12</v>
      </c>
      <c r="I38" s="51">
        <f t="shared" ref="I38" si="36">COUNTIF(I26:I37,"Y")</f>
        <v>12</v>
      </c>
      <c r="J38" s="51">
        <f t="shared" ref="J38" si="37">COUNTIF(J26:J37,"&lt;&gt;")</f>
        <v>12</v>
      </c>
      <c r="K38" s="51">
        <f t="shared" ref="K38" si="38">COUNTIF(K26:K37,"Y")</f>
        <v>0</v>
      </c>
      <c r="L38" s="51">
        <f t="shared" ref="L38" si="39">COUNTIF(L26:L37,"&lt;&gt;")</f>
        <v>12</v>
      </c>
      <c r="M38" s="51">
        <f t="shared" ref="M38" si="40">COUNTIF(M26:M37,"Y")</f>
        <v>12</v>
      </c>
      <c r="N38" s="51">
        <f t="shared" ref="N38" si="41">COUNTIF(N26:N37,"&lt;&gt;")</f>
        <v>12</v>
      </c>
      <c r="O38" s="51">
        <f t="shared" ref="O38" si="42">COUNTIF(O26:O37,"Y")</f>
        <v>12</v>
      </c>
      <c r="P38" s="51">
        <f t="shared" ref="P38" si="43">COUNTIF(P26:P37,"&lt;&gt;")</f>
        <v>12</v>
      </c>
      <c r="Q38" s="51">
        <f t="shared" ref="Q38" si="44">COUNTIF(Q26:Q37,"Y")</f>
        <v>12</v>
      </c>
      <c r="R38" s="51">
        <f t="shared" ref="R38" si="45">COUNTIF(R26:R37,"&lt;&gt;")</f>
        <v>12</v>
      </c>
      <c r="S38" s="51">
        <f t="shared" ref="S38" si="46">COUNTIF(S26:S37,"Y")</f>
        <v>0</v>
      </c>
      <c r="T38" s="51">
        <f t="shared" ref="T38" si="47">COUNTIF(T26:T37,"&lt;&gt;")</f>
        <v>12</v>
      </c>
      <c r="U38" s="51">
        <f t="shared" ref="U38" si="48">COUNTIF(U26:U37,"Y")</f>
        <v>0</v>
      </c>
      <c r="V38" s="51">
        <f t="shared" ref="V38" si="49">COUNTIF(V26:V37,"&lt;&gt;")</f>
        <v>12</v>
      </c>
      <c r="W38" s="51">
        <f t="shared" ref="W38" si="50">COUNTIF(W26:W37,"Y")</f>
        <v>0</v>
      </c>
      <c r="X38" s="51">
        <f t="shared" ref="X38" si="51">COUNTIF(X26:X37,"&lt;&gt;")</f>
        <v>12</v>
      </c>
      <c r="Y38" s="51">
        <f t="shared" ref="Y38" si="52">COUNTIF(Y26:Y37,"Y")</f>
        <v>12</v>
      </c>
      <c r="Z38" s="51">
        <f t="shared" ref="Z38" si="53">COUNTIF(Z26:Z37,"&lt;&gt;")</f>
        <v>12</v>
      </c>
      <c r="AA38" s="51">
        <f t="shared" ref="AA38" si="54">COUNTIF(AA26:AA37,"Y")</f>
        <v>12</v>
      </c>
      <c r="AB38" s="51">
        <f t="shared" ref="AB38" si="55">COUNTIF(AB26:AB37,"&lt;&gt;")</f>
        <v>12</v>
      </c>
      <c r="AC38" s="51">
        <f t="shared" ref="AC38" si="56">COUNTIF(AC26:AC37,"Y")</f>
        <v>0</v>
      </c>
      <c r="AD38" s="51">
        <f t="shared" ref="AD38" si="57">COUNTIF(AD26:AD37,"&lt;&gt;")</f>
        <v>12</v>
      </c>
      <c r="AE38" s="51">
        <f t="shared" ref="AE38" si="58">COUNTIF(AE26:AE37,"Y")</f>
        <v>12</v>
      </c>
      <c r="AF38" s="51">
        <f t="shared" ref="AF38" si="59">COUNTIF(AF26:AF37,"&lt;&gt;")</f>
        <v>12</v>
      </c>
      <c r="AG38" s="51">
        <f t="shared" ref="AG38" si="60">COUNTIF(AG26:AG37,"Y")</f>
        <v>12</v>
      </c>
      <c r="AH38" s="51">
        <f t="shared" ref="AH38" si="61">COUNTIF(AH26:AH37,"&lt;&gt;")</f>
        <v>12</v>
      </c>
      <c r="AI38" s="51">
        <f t="shared" ref="AI38" si="62">COUNTIF(AI26:AI37,"Y")</f>
        <v>0</v>
      </c>
      <c r="AJ38" s="51">
        <f t="shared" ref="AJ38" si="63">COUNTIF(AJ26:AJ37,"&lt;&gt;")</f>
        <v>12</v>
      </c>
      <c r="AK38" s="51">
        <f t="shared" ref="AK38" si="64">COUNTIF(AK26:AK37,"Y")</f>
        <v>12</v>
      </c>
      <c r="AL38" s="51">
        <f t="shared" ref="AL38" si="65">COUNTIF(AL26:AL37,"&lt;&gt;")</f>
        <v>12</v>
      </c>
      <c r="AM38" s="51">
        <f t="shared" ref="AM38" si="66">COUNTIF(AM26:AM37,"Y")</f>
        <v>12</v>
      </c>
      <c r="AN38" s="51">
        <f t="shared" ref="AN38" si="67">COUNTIF(AN26:AN37,"&lt;&gt;")</f>
        <v>12</v>
      </c>
      <c r="AO38" s="51">
        <f t="shared" ref="AO38" si="68">COUNTIF(AO26:AO37,"Y")</f>
        <v>0</v>
      </c>
    </row>
  </sheetData>
  <conditionalFormatting sqref="A3:XFD38">
    <cfRule type="cellIs" dxfId="6" priority="1" operator="equal">
      <formula>"y"</formula>
    </cfRule>
  </conditionalFormatting>
  <pageMargins left="0.7" right="0.7" top="0.75" bottom="0.75" header="0.3" footer="0.3"/>
  <pageSetup orientation="portrait" verticalDpi="597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E04CB-DE5A-49BF-BFD9-0C68ED99DC40}">
  <sheetPr codeName="Sheet9"/>
  <dimension ref="A1:AM39"/>
  <sheetViews>
    <sheetView workbookViewId="0">
      <selection activeCell="E18" sqref="E18"/>
    </sheetView>
  </sheetViews>
  <sheetFormatPr defaultRowHeight="15" x14ac:dyDescent="0.25"/>
  <cols>
    <col min="1" max="1" width="10" style="51" bestFit="1" customWidth="1"/>
    <col min="2" max="2" width="14.5703125" style="51" bestFit="1" customWidth="1"/>
    <col min="3" max="3" width="10.85546875" style="51" bestFit="1" customWidth="1"/>
    <col min="4" max="4" width="12.42578125" style="51" bestFit="1" customWidth="1"/>
    <col min="5" max="5" width="10.85546875" style="51" bestFit="1" customWidth="1"/>
    <col min="6" max="6" width="12.42578125" style="51" bestFit="1" customWidth="1"/>
    <col min="7" max="7" width="10.85546875" style="51" bestFit="1" customWidth="1"/>
    <col min="8" max="8" width="12.42578125" style="51" bestFit="1" customWidth="1"/>
    <col min="9" max="9" width="10.85546875" style="51" bestFit="1" customWidth="1"/>
    <col min="10" max="10" width="12.42578125" style="51" bestFit="1" customWidth="1"/>
    <col min="11" max="11" width="10.85546875" style="51" bestFit="1" customWidth="1"/>
    <col min="12" max="12" width="12.42578125" style="51" bestFit="1" customWidth="1"/>
    <col min="13" max="13" width="10.85546875" style="51" bestFit="1" customWidth="1"/>
    <col min="14" max="14" width="12.42578125" style="51" bestFit="1" customWidth="1"/>
    <col min="15" max="15" width="10.85546875" style="51" bestFit="1" customWidth="1"/>
    <col min="16" max="16" width="12.42578125" style="51" bestFit="1" customWidth="1"/>
    <col min="17" max="17" width="10.85546875" style="51" bestFit="1" customWidth="1"/>
    <col min="18" max="18" width="12.42578125" style="51" bestFit="1" customWidth="1"/>
    <col min="19" max="19" width="10.85546875" style="51" bestFit="1" customWidth="1"/>
    <col min="20" max="20" width="12.42578125" style="51" bestFit="1" customWidth="1"/>
    <col min="21" max="21" width="10.85546875" style="51" bestFit="1" customWidth="1"/>
    <col min="22" max="22" width="12.42578125" style="51" bestFit="1" customWidth="1"/>
    <col min="23" max="23" width="10.85546875" style="51" bestFit="1" customWidth="1"/>
    <col min="24" max="24" width="12.42578125" style="51" bestFit="1" customWidth="1"/>
    <col min="25" max="25" width="10.85546875" style="51" bestFit="1" customWidth="1"/>
    <col min="26" max="26" width="12.42578125" style="51" bestFit="1" customWidth="1"/>
    <col min="27" max="27" width="10.85546875" style="51" bestFit="1" customWidth="1"/>
    <col min="28" max="28" width="12.42578125" style="51" bestFit="1" customWidth="1"/>
    <col min="29" max="29" width="10.85546875" style="51" bestFit="1" customWidth="1"/>
    <col min="30" max="30" width="12.42578125" style="51" bestFit="1" customWidth="1"/>
    <col min="31" max="31" width="10.85546875" style="51" bestFit="1" customWidth="1"/>
    <col min="32" max="32" width="12.42578125" style="51" bestFit="1" customWidth="1"/>
    <col min="33" max="33" width="10.85546875" style="51" bestFit="1" customWidth="1"/>
    <col min="34" max="34" width="12.42578125" style="51" bestFit="1" customWidth="1"/>
    <col min="35" max="35" width="10.85546875" style="51" bestFit="1" customWidth="1"/>
    <col min="36" max="36" width="12.42578125" style="51" bestFit="1" customWidth="1"/>
    <col min="37" max="37" width="10.85546875" style="51" bestFit="1" customWidth="1"/>
    <col min="38" max="38" width="12.42578125" style="51" bestFit="1" customWidth="1"/>
    <col min="39" max="39" width="10.85546875" style="51" bestFit="1" customWidth="1"/>
    <col min="40" max="16384" width="9.140625" style="51"/>
  </cols>
  <sheetData>
    <row r="1" spans="2:15" s="111" customFormat="1" x14ac:dyDescent="0.25">
      <c r="B1" s="111" t="s">
        <v>14577</v>
      </c>
      <c r="C1" s="111">
        <f>SUM(D3,D24)</f>
        <v>347</v>
      </c>
      <c r="D1" s="111" t="s">
        <v>301</v>
      </c>
      <c r="E1" s="111">
        <f>SUM(F3,F24)</f>
        <v>147</v>
      </c>
      <c r="F1" s="111" t="s">
        <v>14579</v>
      </c>
      <c r="G1" s="111">
        <f>SUM(H3,H24)</f>
        <v>200</v>
      </c>
      <c r="H1" s="111" t="s">
        <v>14578</v>
      </c>
      <c r="I1" s="131">
        <f>(E1/C1)</f>
        <v>0.42363112391930835</v>
      </c>
    </row>
    <row r="2" spans="2:15" s="111" customFormat="1" x14ac:dyDescent="0.25"/>
    <row r="3" spans="2:15" x14ac:dyDescent="0.25">
      <c r="B3" s="51" t="s">
        <v>1243</v>
      </c>
      <c r="C3" s="51" t="s">
        <v>302</v>
      </c>
      <c r="D3" s="51">
        <f>SUM(B22,D22,F22,H22,J22,L22,N22,P22)</f>
        <v>119</v>
      </c>
      <c r="E3" s="51" t="s">
        <v>301</v>
      </c>
      <c r="F3" s="51">
        <f>SUM(C22,E22,G22,I22,K22,M22,O22,Q22)</f>
        <v>51</v>
      </c>
      <c r="G3" s="51" t="s">
        <v>305</v>
      </c>
      <c r="H3" s="51">
        <f>D3-F3</f>
        <v>68</v>
      </c>
    </row>
    <row r="4" spans="2:15" x14ac:dyDescent="0.25">
      <c r="B4" s="51" t="str">
        <f>LEFT(B5,FIND("_C",B5)-1)</f>
        <v>BH_032</v>
      </c>
      <c r="C4" s="51" t="s">
        <v>301</v>
      </c>
      <c r="D4" s="51" t="str">
        <f>LEFT(D5,FIND("_C",D5)-1)</f>
        <v>BH_037</v>
      </c>
      <c r="E4" s="51" t="s">
        <v>301</v>
      </c>
      <c r="F4" s="51" t="str">
        <f>LEFT(F5,FIND("_C",F5)-1)</f>
        <v>BH_046</v>
      </c>
      <c r="G4" s="51" t="s">
        <v>301</v>
      </c>
      <c r="H4" s="51" t="str">
        <f>LEFT(H5,FIND("_C",H5)-1)</f>
        <v>BH_055</v>
      </c>
      <c r="I4" s="51" t="s">
        <v>301</v>
      </c>
      <c r="J4" s="51" t="str">
        <f>LEFT(J5,FIND("_C",J5)-1)</f>
        <v>BH_067</v>
      </c>
      <c r="K4" s="51" t="s">
        <v>301</v>
      </c>
      <c r="L4" s="51" t="str">
        <f>LEFT(L5,FIND("_C",L5)-1)</f>
        <v>BH_099</v>
      </c>
      <c r="M4" s="51" t="s">
        <v>301</v>
      </c>
      <c r="N4" s="51" t="str">
        <f>LEFT(N5,FIND("_C",N5)-1)</f>
        <v>BH_122</v>
      </c>
      <c r="O4" s="51" t="s">
        <v>301</v>
      </c>
    </row>
    <row r="5" spans="2:15" x14ac:dyDescent="0.25">
      <c r="B5" s="51" t="s">
        <v>1261</v>
      </c>
      <c r="D5" s="51" t="s">
        <v>1262</v>
      </c>
      <c r="F5" s="51" t="s">
        <v>1279</v>
      </c>
      <c r="G5" s="51" t="s">
        <v>304</v>
      </c>
      <c r="H5" s="51" t="s">
        <v>1296</v>
      </c>
      <c r="I5" s="51" t="s">
        <v>304</v>
      </c>
      <c r="J5" s="51" t="s">
        <v>1313</v>
      </c>
      <c r="L5" s="51" t="s">
        <v>1330</v>
      </c>
      <c r="M5" s="51" t="s">
        <v>304</v>
      </c>
      <c r="N5" s="51" t="s">
        <v>1347</v>
      </c>
    </row>
    <row r="6" spans="2:15" x14ac:dyDescent="0.25">
      <c r="B6" s="51" t="s">
        <v>1260</v>
      </c>
      <c r="D6" s="51" t="s">
        <v>1263</v>
      </c>
      <c r="F6" s="51" t="s">
        <v>1280</v>
      </c>
      <c r="G6" s="51" t="s">
        <v>304</v>
      </c>
      <c r="H6" s="51" t="s">
        <v>1297</v>
      </c>
      <c r="I6" s="51" t="s">
        <v>304</v>
      </c>
      <c r="J6" s="51" t="s">
        <v>1314</v>
      </c>
      <c r="L6" s="51" t="s">
        <v>1331</v>
      </c>
      <c r="M6" s="51" t="s">
        <v>304</v>
      </c>
      <c r="N6" s="51" t="s">
        <v>1348</v>
      </c>
    </row>
    <row r="7" spans="2:15" x14ac:dyDescent="0.25">
      <c r="B7" s="51" t="s">
        <v>1259</v>
      </c>
      <c r="D7" s="51" t="s">
        <v>1264</v>
      </c>
      <c r="F7" s="51" t="s">
        <v>1281</v>
      </c>
      <c r="G7" s="51" t="s">
        <v>304</v>
      </c>
      <c r="H7" s="51" t="s">
        <v>1298</v>
      </c>
      <c r="I7" s="51" t="s">
        <v>304</v>
      </c>
      <c r="J7" s="51" t="s">
        <v>1315</v>
      </c>
      <c r="L7" s="51" t="s">
        <v>1332</v>
      </c>
      <c r="M7" s="51" t="s">
        <v>304</v>
      </c>
      <c r="N7" s="51" t="s">
        <v>1349</v>
      </c>
    </row>
    <row r="8" spans="2:15" x14ac:dyDescent="0.25">
      <c r="B8" s="51" t="s">
        <v>1258</v>
      </c>
      <c r="D8" s="51" t="s">
        <v>1265</v>
      </c>
      <c r="F8" s="51" t="s">
        <v>1282</v>
      </c>
      <c r="G8" s="51" t="s">
        <v>304</v>
      </c>
      <c r="H8" s="51" t="s">
        <v>1299</v>
      </c>
      <c r="I8" s="51" t="s">
        <v>304</v>
      </c>
      <c r="J8" s="51" t="s">
        <v>1316</v>
      </c>
      <c r="L8" s="51" t="s">
        <v>1333</v>
      </c>
      <c r="M8" s="51" t="s">
        <v>304</v>
      </c>
      <c r="N8" s="51" t="s">
        <v>1350</v>
      </c>
    </row>
    <row r="9" spans="2:15" x14ac:dyDescent="0.25">
      <c r="B9" s="51" t="s">
        <v>1257</v>
      </c>
      <c r="D9" s="51" t="s">
        <v>1266</v>
      </c>
      <c r="F9" s="51" t="s">
        <v>1283</v>
      </c>
      <c r="G9" s="51" t="s">
        <v>304</v>
      </c>
      <c r="H9" s="51" t="s">
        <v>1300</v>
      </c>
      <c r="I9" s="51" t="s">
        <v>304</v>
      </c>
      <c r="J9" s="51" t="s">
        <v>1317</v>
      </c>
      <c r="L9" s="51" t="s">
        <v>1334</v>
      </c>
      <c r="M9" s="51" t="s">
        <v>304</v>
      </c>
      <c r="N9" s="51" t="s">
        <v>1351</v>
      </c>
    </row>
    <row r="10" spans="2:15" x14ac:dyDescent="0.25">
      <c r="B10" s="51" t="s">
        <v>1256</v>
      </c>
      <c r="D10" s="51" t="s">
        <v>1267</v>
      </c>
      <c r="F10" s="51" t="s">
        <v>1284</v>
      </c>
      <c r="G10" s="51" t="s">
        <v>304</v>
      </c>
      <c r="H10" s="51" t="s">
        <v>1301</v>
      </c>
      <c r="I10" s="51" t="s">
        <v>304</v>
      </c>
      <c r="J10" s="51" t="s">
        <v>1318</v>
      </c>
      <c r="L10" s="51" t="s">
        <v>1335</v>
      </c>
      <c r="M10" s="51" t="s">
        <v>304</v>
      </c>
      <c r="N10" s="51" t="s">
        <v>1352</v>
      </c>
    </row>
    <row r="11" spans="2:15" x14ac:dyDescent="0.25">
      <c r="B11" s="51" t="s">
        <v>1255</v>
      </c>
      <c r="D11" s="51" t="s">
        <v>1268</v>
      </c>
      <c r="F11" s="51" t="s">
        <v>1285</v>
      </c>
      <c r="G11" s="51" t="s">
        <v>304</v>
      </c>
      <c r="H11" s="51" t="s">
        <v>1302</v>
      </c>
      <c r="I11" s="51" t="s">
        <v>304</v>
      </c>
      <c r="J11" s="51" t="s">
        <v>1319</v>
      </c>
      <c r="L11" s="51" t="s">
        <v>1336</v>
      </c>
      <c r="M11" s="51" t="s">
        <v>304</v>
      </c>
      <c r="N11" s="51" t="s">
        <v>1353</v>
      </c>
    </row>
    <row r="12" spans="2:15" x14ac:dyDescent="0.25">
      <c r="B12" s="51" t="s">
        <v>1254</v>
      </c>
      <c r="D12" s="51" t="s">
        <v>1269</v>
      </c>
      <c r="F12" s="51" t="s">
        <v>1286</v>
      </c>
      <c r="G12" s="51" t="s">
        <v>304</v>
      </c>
      <c r="H12" s="51" t="s">
        <v>1303</v>
      </c>
      <c r="I12" s="51" t="s">
        <v>304</v>
      </c>
      <c r="J12" s="51" t="s">
        <v>1320</v>
      </c>
      <c r="L12" s="51" t="s">
        <v>1337</v>
      </c>
      <c r="M12" s="51" t="s">
        <v>304</v>
      </c>
      <c r="N12" s="51" t="s">
        <v>1354</v>
      </c>
    </row>
    <row r="13" spans="2:15" x14ac:dyDescent="0.25">
      <c r="B13" s="51" t="s">
        <v>1253</v>
      </c>
      <c r="D13" s="51" t="s">
        <v>1270</v>
      </c>
      <c r="F13" s="51" t="s">
        <v>1287</v>
      </c>
      <c r="G13" s="51" t="s">
        <v>304</v>
      </c>
      <c r="H13" s="51" t="s">
        <v>1304</v>
      </c>
      <c r="I13" s="51" t="s">
        <v>304</v>
      </c>
      <c r="J13" s="51" t="s">
        <v>1321</v>
      </c>
      <c r="L13" s="51" t="s">
        <v>1338</v>
      </c>
      <c r="M13" s="51" t="s">
        <v>304</v>
      </c>
      <c r="N13" s="51" t="s">
        <v>1355</v>
      </c>
    </row>
    <row r="14" spans="2:15" x14ac:dyDescent="0.25">
      <c r="B14" s="51" t="s">
        <v>1252</v>
      </c>
      <c r="D14" s="51" t="s">
        <v>1271</v>
      </c>
      <c r="F14" s="51" t="s">
        <v>1288</v>
      </c>
      <c r="G14" s="51" t="s">
        <v>304</v>
      </c>
      <c r="H14" s="51" t="s">
        <v>1305</v>
      </c>
      <c r="I14" s="51" t="s">
        <v>304</v>
      </c>
      <c r="J14" s="51" t="s">
        <v>1322</v>
      </c>
      <c r="L14" s="51" t="s">
        <v>1339</v>
      </c>
      <c r="M14" s="51" t="s">
        <v>304</v>
      </c>
      <c r="N14" s="51" t="s">
        <v>1356</v>
      </c>
    </row>
    <row r="15" spans="2:15" x14ac:dyDescent="0.25">
      <c r="B15" s="51" t="s">
        <v>1251</v>
      </c>
      <c r="D15" s="51" t="s">
        <v>1272</v>
      </c>
      <c r="F15" s="51" t="s">
        <v>1289</v>
      </c>
      <c r="G15" s="51" t="s">
        <v>304</v>
      </c>
      <c r="H15" s="51" t="s">
        <v>1306</v>
      </c>
      <c r="I15" s="51" t="s">
        <v>304</v>
      </c>
      <c r="J15" s="51" t="s">
        <v>1323</v>
      </c>
      <c r="L15" s="51" t="s">
        <v>1340</v>
      </c>
      <c r="M15" s="51" t="s">
        <v>304</v>
      </c>
      <c r="N15" s="51" t="s">
        <v>1357</v>
      </c>
    </row>
    <row r="16" spans="2:15" x14ac:dyDescent="0.25">
      <c r="B16" s="51" t="s">
        <v>1250</v>
      </c>
      <c r="D16" s="51" t="s">
        <v>1273</v>
      </c>
      <c r="F16" s="51" t="s">
        <v>1290</v>
      </c>
      <c r="G16" s="51" t="s">
        <v>304</v>
      </c>
      <c r="H16" s="51" t="s">
        <v>1307</v>
      </c>
      <c r="I16" s="51" t="s">
        <v>304</v>
      </c>
      <c r="J16" s="51" t="s">
        <v>1324</v>
      </c>
      <c r="L16" s="51" t="s">
        <v>1341</v>
      </c>
      <c r="M16" s="51" t="s">
        <v>304</v>
      </c>
      <c r="N16" s="51" t="s">
        <v>1358</v>
      </c>
    </row>
    <row r="17" spans="1:39" x14ac:dyDescent="0.25">
      <c r="B17" s="51" t="s">
        <v>1249</v>
      </c>
      <c r="D17" s="51" t="s">
        <v>1274</v>
      </c>
      <c r="F17" s="51" t="s">
        <v>1291</v>
      </c>
      <c r="G17" s="51" t="s">
        <v>304</v>
      </c>
      <c r="H17" s="51" t="s">
        <v>1308</v>
      </c>
      <c r="I17" s="51" t="s">
        <v>304</v>
      </c>
      <c r="J17" s="51" t="s">
        <v>1325</v>
      </c>
      <c r="L17" s="51" t="s">
        <v>1342</v>
      </c>
      <c r="M17" s="51" t="s">
        <v>304</v>
      </c>
      <c r="N17" s="51" t="s">
        <v>1359</v>
      </c>
    </row>
    <row r="18" spans="1:39" x14ac:dyDescent="0.25">
      <c r="B18" s="51" t="s">
        <v>1248</v>
      </c>
      <c r="D18" s="51" t="s">
        <v>1275</v>
      </c>
      <c r="F18" s="51" t="s">
        <v>1292</v>
      </c>
      <c r="G18" s="51" t="s">
        <v>304</v>
      </c>
      <c r="H18" s="51" t="s">
        <v>1309</v>
      </c>
      <c r="I18" s="51" t="s">
        <v>304</v>
      </c>
      <c r="J18" s="51" t="s">
        <v>1326</v>
      </c>
      <c r="L18" s="51" t="s">
        <v>1343</v>
      </c>
      <c r="M18" s="51" t="s">
        <v>304</v>
      </c>
      <c r="N18" s="51" t="s">
        <v>1360</v>
      </c>
    </row>
    <row r="19" spans="1:39" x14ac:dyDescent="0.25">
      <c r="B19" s="51" t="s">
        <v>1247</v>
      </c>
      <c r="D19" s="51" t="s">
        <v>1276</v>
      </c>
      <c r="F19" s="51" t="s">
        <v>1293</v>
      </c>
      <c r="G19" s="51" t="s">
        <v>304</v>
      </c>
      <c r="H19" s="51" t="s">
        <v>1310</v>
      </c>
      <c r="I19" s="51" t="s">
        <v>304</v>
      </c>
      <c r="J19" s="51" t="s">
        <v>1327</v>
      </c>
      <c r="L19" s="51" t="s">
        <v>1344</v>
      </c>
      <c r="M19" s="51" t="s">
        <v>304</v>
      </c>
      <c r="N19" s="51" t="s">
        <v>1361</v>
      </c>
    </row>
    <row r="20" spans="1:39" x14ac:dyDescent="0.25">
      <c r="B20" s="51" t="s">
        <v>1246</v>
      </c>
      <c r="D20" s="51" t="s">
        <v>1277</v>
      </c>
      <c r="F20" s="51" t="s">
        <v>1294</v>
      </c>
      <c r="G20" s="51" t="s">
        <v>304</v>
      </c>
      <c r="H20" s="51" t="s">
        <v>1311</v>
      </c>
      <c r="I20" s="51" t="s">
        <v>304</v>
      </c>
      <c r="J20" s="51" t="s">
        <v>1328</v>
      </c>
      <c r="L20" s="51" t="s">
        <v>1345</v>
      </c>
      <c r="M20" s="51" t="s">
        <v>304</v>
      </c>
      <c r="N20" s="51" t="s">
        <v>1362</v>
      </c>
    </row>
    <row r="21" spans="1:39" x14ac:dyDescent="0.25">
      <c r="B21" s="51" t="s">
        <v>1245</v>
      </c>
      <c r="D21" s="51" t="s">
        <v>1278</v>
      </c>
      <c r="F21" s="51" t="s">
        <v>1295</v>
      </c>
      <c r="G21" s="51" t="s">
        <v>304</v>
      </c>
      <c r="H21" s="51" t="s">
        <v>1312</v>
      </c>
      <c r="I21" s="51" t="s">
        <v>304</v>
      </c>
      <c r="J21" s="51" t="s">
        <v>1329</v>
      </c>
      <c r="L21" s="51" t="s">
        <v>1346</v>
      </c>
      <c r="M21" s="51" t="s">
        <v>304</v>
      </c>
      <c r="N21" s="51" t="s">
        <v>1363</v>
      </c>
    </row>
    <row r="22" spans="1:39" x14ac:dyDescent="0.25">
      <c r="A22" s="51" t="s">
        <v>303</v>
      </c>
      <c r="B22" s="51">
        <f t="shared" ref="B22" si="0">COUNTIF(B5:B21,"&lt;&gt;")</f>
        <v>17</v>
      </c>
      <c r="C22" s="51">
        <f>COUNTIF(C5:C21,"Y")</f>
        <v>0</v>
      </c>
      <c r="D22" s="51">
        <f t="shared" ref="D22" si="1">COUNTIF(D5:D21,"&lt;&gt;")</f>
        <v>17</v>
      </c>
      <c r="E22" s="51">
        <f>COUNTIF(E5:E21,"Y")</f>
        <v>0</v>
      </c>
      <c r="F22" s="51">
        <f t="shared" ref="F22" si="2">COUNTIF(F5:F21,"&lt;&gt;")</f>
        <v>17</v>
      </c>
      <c r="G22" s="51">
        <f>COUNTIF(G5:G21,"Y")</f>
        <v>17</v>
      </c>
      <c r="H22" s="51">
        <f t="shared" ref="H22" si="3">COUNTIF(H5:H21,"&lt;&gt;")</f>
        <v>17</v>
      </c>
      <c r="I22" s="51">
        <f>COUNTIF(I5:I21,"Y")</f>
        <v>17</v>
      </c>
      <c r="J22" s="51">
        <f t="shared" ref="J22" si="4">COUNTIF(J5:J21,"&lt;&gt;")</f>
        <v>17</v>
      </c>
      <c r="K22" s="51">
        <f>COUNTIF(K5:K21,"Y")</f>
        <v>0</v>
      </c>
      <c r="L22" s="51">
        <f t="shared" ref="L22" si="5">COUNTIF(L5:L21,"&lt;&gt;")</f>
        <v>17</v>
      </c>
      <c r="M22" s="51">
        <f>COUNTIF(M5:M21,"Y")</f>
        <v>17</v>
      </c>
      <c r="N22" s="51">
        <f t="shared" ref="N22" si="6">COUNTIF(N5:N21,"&lt;&gt;")</f>
        <v>17</v>
      </c>
      <c r="O22" s="51">
        <f>COUNTIF(O5:O21,"Y")</f>
        <v>0</v>
      </c>
    </row>
    <row r="23" spans="1:39" x14ac:dyDescent="0.25">
      <c r="H23" s="161" t="s">
        <v>19297</v>
      </c>
    </row>
    <row r="24" spans="1:39" x14ac:dyDescent="0.25">
      <c r="B24" s="51" t="s">
        <v>1244</v>
      </c>
      <c r="C24" s="51" t="s">
        <v>302</v>
      </c>
      <c r="D24" s="51">
        <f>SUM(B38,D38,F38,H38,J38,L38,N38,P38,R38,T38,V38,X38,Z38,AB38,AD38,AF38,AH38,AJ38,AL38)</f>
        <v>228</v>
      </c>
      <c r="E24" s="51" t="s">
        <v>301</v>
      </c>
      <c r="F24" s="51">
        <f>SUM(C38,E38,G38,I38,K38,M38,O38,Q38,S38,U38,W38,Y38,AA38,AC38,AE38,AG38,AI38,AK38,AM38)</f>
        <v>96</v>
      </c>
      <c r="G24" s="51" t="s">
        <v>305</v>
      </c>
      <c r="H24" s="51">
        <f>D24-F24</f>
        <v>132</v>
      </c>
    </row>
    <row r="25" spans="1:39" x14ac:dyDescent="0.25">
      <c r="B25" s="51" t="str">
        <f t="shared" ref="B25:AL25" si="7">LEFT(B26,FIND("_P",B26)-1)</f>
        <v>CPT_060</v>
      </c>
      <c r="C25" s="51" t="s">
        <v>301</v>
      </c>
      <c r="D25" s="51" t="str">
        <f t="shared" si="7"/>
        <v>CPT_055</v>
      </c>
      <c r="E25" s="51" t="s">
        <v>301</v>
      </c>
      <c r="F25" s="51" t="str">
        <f t="shared" si="7"/>
        <v>CPT_056</v>
      </c>
      <c r="G25" s="51" t="s">
        <v>301</v>
      </c>
      <c r="H25" s="51" t="str">
        <f t="shared" si="7"/>
        <v>CPT_059</v>
      </c>
      <c r="I25" s="51" t="s">
        <v>301</v>
      </c>
      <c r="J25" s="51" t="str">
        <f t="shared" si="7"/>
        <v>CPT_096</v>
      </c>
      <c r="K25" s="51" t="s">
        <v>301</v>
      </c>
      <c r="L25" s="51" t="str">
        <f t="shared" si="7"/>
        <v>CPT_119</v>
      </c>
      <c r="M25" s="51" t="s">
        <v>301</v>
      </c>
      <c r="N25" s="51" t="str">
        <f t="shared" si="7"/>
        <v>CPT_127</v>
      </c>
      <c r="O25" s="51" t="s">
        <v>301</v>
      </c>
      <c r="P25" s="51" t="str">
        <f t="shared" si="7"/>
        <v>CPT_143</v>
      </c>
      <c r="Q25" s="51" t="s">
        <v>301</v>
      </c>
      <c r="R25" s="51" t="str">
        <f t="shared" si="7"/>
        <v>CPT_163</v>
      </c>
      <c r="S25" s="51" t="s">
        <v>301</v>
      </c>
      <c r="T25" s="51" t="str">
        <f t="shared" si="7"/>
        <v>CPT_168</v>
      </c>
      <c r="U25" s="51" t="s">
        <v>301</v>
      </c>
      <c r="V25" s="51" t="str">
        <f t="shared" si="7"/>
        <v>CPT_172</v>
      </c>
      <c r="W25" s="51" t="s">
        <v>301</v>
      </c>
      <c r="X25" s="51" t="str">
        <f t="shared" si="7"/>
        <v>CPT_177</v>
      </c>
      <c r="Y25" s="51" t="s">
        <v>301</v>
      </c>
      <c r="Z25" s="51" t="str">
        <f t="shared" si="7"/>
        <v>CPT_180</v>
      </c>
      <c r="AA25" s="51" t="s">
        <v>301</v>
      </c>
      <c r="AB25" s="51" t="str">
        <f t="shared" si="7"/>
        <v>CPT_196</v>
      </c>
      <c r="AC25" s="51" t="s">
        <v>301</v>
      </c>
      <c r="AD25" s="51" t="str">
        <f t="shared" si="7"/>
        <v>CPT_200</v>
      </c>
      <c r="AE25" s="51" t="s">
        <v>301</v>
      </c>
      <c r="AF25" s="51" t="str">
        <f t="shared" si="7"/>
        <v>CPT_247</v>
      </c>
      <c r="AG25" s="51" t="s">
        <v>301</v>
      </c>
      <c r="AH25" s="51" t="str">
        <f t="shared" si="7"/>
        <v>CPT_249</v>
      </c>
      <c r="AI25" s="51" t="s">
        <v>301</v>
      </c>
      <c r="AJ25" s="51" t="str">
        <f t="shared" si="7"/>
        <v>CPT_270</v>
      </c>
      <c r="AK25" s="51" t="s">
        <v>301</v>
      </c>
      <c r="AL25" s="51" t="str">
        <f t="shared" si="7"/>
        <v>CPT_333</v>
      </c>
      <c r="AM25" s="51" t="s">
        <v>301</v>
      </c>
    </row>
    <row r="26" spans="1:39" x14ac:dyDescent="0.25">
      <c r="B26" s="51" t="s">
        <v>1375</v>
      </c>
      <c r="D26" s="51" t="s">
        <v>1387</v>
      </c>
      <c r="F26" s="51" t="s">
        <v>1388</v>
      </c>
      <c r="H26" s="51" t="s">
        <v>1400</v>
      </c>
      <c r="J26" s="51" t="s">
        <v>1412</v>
      </c>
      <c r="K26" s="51" t="s">
        <v>304</v>
      </c>
      <c r="L26" s="51" t="s">
        <v>1424</v>
      </c>
      <c r="N26" s="51" t="s">
        <v>1436</v>
      </c>
      <c r="P26" s="51" t="s">
        <v>1448</v>
      </c>
      <c r="R26" s="51" t="s">
        <v>1460</v>
      </c>
      <c r="S26" s="51" t="s">
        <v>304</v>
      </c>
      <c r="T26" s="51" t="s">
        <v>1472</v>
      </c>
      <c r="V26" s="51" t="s">
        <v>1484</v>
      </c>
      <c r="W26" s="51" t="s">
        <v>7847</v>
      </c>
      <c r="X26" s="51" t="s">
        <v>1496</v>
      </c>
      <c r="Y26" s="51" t="s">
        <v>7847</v>
      </c>
      <c r="Z26" s="51" t="s">
        <v>1508</v>
      </c>
      <c r="AA26" s="109" t="s">
        <v>304</v>
      </c>
      <c r="AB26" s="51" t="s">
        <v>1520</v>
      </c>
      <c r="AC26" s="51" t="s">
        <v>304</v>
      </c>
      <c r="AD26" s="51" t="s">
        <v>1531</v>
      </c>
      <c r="AF26" s="51" t="s">
        <v>1543</v>
      </c>
      <c r="AG26" s="51" t="s">
        <v>304</v>
      </c>
      <c r="AH26" s="51" t="s">
        <v>1555</v>
      </c>
      <c r="AI26" s="51" t="s">
        <v>304</v>
      </c>
      <c r="AJ26" s="51" t="s">
        <v>1567</v>
      </c>
      <c r="AL26" s="51" t="s">
        <v>1579</v>
      </c>
    </row>
    <row r="27" spans="1:39" x14ac:dyDescent="0.25">
      <c r="B27" s="51" t="s">
        <v>1374</v>
      </c>
      <c r="D27" s="51" t="s">
        <v>1386</v>
      </c>
      <c r="F27" s="51" t="s">
        <v>1389</v>
      </c>
      <c r="H27" s="51" t="s">
        <v>1401</v>
      </c>
      <c r="J27" s="51" t="s">
        <v>1413</v>
      </c>
      <c r="K27" s="94" t="s">
        <v>304</v>
      </c>
      <c r="L27" s="51" t="s">
        <v>1425</v>
      </c>
      <c r="N27" s="51" t="s">
        <v>1437</v>
      </c>
      <c r="P27" s="51" t="s">
        <v>1449</v>
      </c>
      <c r="R27" s="51" t="s">
        <v>1461</v>
      </c>
      <c r="S27" s="51" t="s">
        <v>304</v>
      </c>
      <c r="T27" s="51" t="s">
        <v>1473</v>
      </c>
      <c r="V27" s="51" t="s">
        <v>1485</v>
      </c>
      <c r="W27" s="51" t="s">
        <v>7847</v>
      </c>
      <c r="X27" s="51" t="s">
        <v>1497</v>
      </c>
      <c r="Y27" s="51" t="s">
        <v>7847</v>
      </c>
      <c r="Z27" s="51" t="s">
        <v>1509</v>
      </c>
      <c r="AA27" s="109" t="s">
        <v>304</v>
      </c>
      <c r="AB27" s="51" t="s">
        <v>1521</v>
      </c>
      <c r="AC27" s="51" t="s">
        <v>304</v>
      </c>
      <c r="AD27" s="51" t="s">
        <v>1532</v>
      </c>
      <c r="AF27" s="51" t="s">
        <v>1544</v>
      </c>
      <c r="AG27" s="51" t="s">
        <v>304</v>
      </c>
      <c r="AH27" s="51" t="s">
        <v>1556</v>
      </c>
      <c r="AI27" s="51" t="s">
        <v>304</v>
      </c>
      <c r="AJ27" s="51" t="s">
        <v>1568</v>
      </c>
      <c r="AL27" s="51" t="s">
        <v>1580</v>
      </c>
    </row>
    <row r="28" spans="1:39" x14ac:dyDescent="0.25">
      <c r="B28" s="51" t="s">
        <v>1373</v>
      </c>
      <c r="D28" s="51" t="s">
        <v>1385</v>
      </c>
      <c r="F28" s="51" t="s">
        <v>1390</v>
      </c>
      <c r="H28" s="51" t="s">
        <v>1402</v>
      </c>
      <c r="J28" s="51" t="s">
        <v>1414</v>
      </c>
      <c r="K28" s="51" t="s">
        <v>304</v>
      </c>
      <c r="L28" s="51" t="s">
        <v>1426</v>
      </c>
      <c r="N28" s="51" t="s">
        <v>1438</v>
      </c>
      <c r="P28" s="51" t="s">
        <v>1450</v>
      </c>
      <c r="R28" s="51" t="s">
        <v>1462</v>
      </c>
      <c r="S28" s="51" t="s">
        <v>304</v>
      </c>
      <c r="T28" s="51" t="s">
        <v>1474</v>
      </c>
      <c r="V28" s="51" t="s">
        <v>1486</v>
      </c>
      <c r="W28" s="51" t="s">
        <v>304</v>
      </c>
      <c r="X28" s="51" t="s">
        <v>1498</v>
      </c>
      <c r="Y28" s="51" t="s">
        <v>7847</v>
      </c>
      <c r="Z28" s="51" t="s">
        <v>1510</v>
      </c>
      <c r="AA28" s="109" t="s">
        <v>304</v>
      </c>
      <c r="AB28" s="51" t="s">
        <v>1522</v>
      </c>
      <c r="AC28" s="51" t="s">
        <v>7847</v>
      </c>
      <c r="AD28" s="51" t="s">
        <v>1533</v>
      </c>
      <c r="AF28" s="51" t="s">
        <v>1545</v>
      </c>
      <c r="AG28" s="51" t="s">
        <v>304</v>
      </c>
      <c r="AH28" s="51" t="s">
        <v>1557</v>
      </c>
      <c r="AI28" s="51" t="s">
        <v>304</v>
      </c>
      <c r="AJ28" s="51" t="s">
        <v>1569</v>
      </c>
      <c r="AL28" s="51" t="s">
        <v>1581</v>
      </c>
    </row>
    <row r="29" spans="1:39" x14ac:dyDescent="0.25">
      <c r="B29" s="51" t="s">
        <v>1372</v>
      </c>
      <c r="D29" s="51" t="s">
        <v>1384</v>
      </c>
      <c r="F29" s="51" t="s">
        <v>1391</v>
      </c>
      <c r="H29" s="51" t="s">
        <v>1403</v>
      </c>
      <c r="J29" s="51" t="s">
        <v>1415</v>
      </c>
      <c r="K29" s="51" t="s">
        <v>304</v>
      </c>
      <c r="L29" s="51" t="s">
        <v>1427</v>
      </c>
      <c r="N29" s="51" t="s">
        <v>1439</v>
      </c>
      <c r="P29" s="51" t="s">
        <v>1451</v>
      </c>
      <c r="R29" s="51" t="s">
        <v>1463</v>
      </c>
      <c r="S29" s="51" t="s">
        <v>304</v>
      </c>
      <c r="T29" s="51" t="s">
        <v>1475</v>
      </c>
      <c r="V29" s="51" t="s">
        <v>1487</v>
      </c>
      <c r="W29" s="51" t="s">
        <v>304</v>
      </c>
      <c r="X29" s="51" t="s">
        <v>1499</v>
      </c>
      <c r="Y29" s="51" t="s">
        <v>304</v>
      </c>
      <c r="Z29" s="51" t="s">
        <v>1511</v>
      </c>
      <c r="AA29" s="51" t="s">
        <v>304</v>
      </c>
      <c r="AB29" s="51" t="s">
        <v>1523</v>
      </c>
      <c r="AC29" s="51" t="s">
        <v>7847</v>
      </c>
      <c r="AD29" s="51" t="s">
        <v>1534</v>
      </c>
      <c r="AF29" s="51" t="s">
        <v>1546</v>
      </c>
      <c r="AG29" s="51" t="s">
        <v>304</v>
      </c>
      <c r="AH29" s="51" t="s">
        <v>1558</v>
      </c>
      <c r="AI29" s="51" t="s">
        <v>304</v>
      </c>
      <c r="AJ29" s="51" t="s">
        <v>1570</v>
      </c>
      <c r="AL29" s="51" t="s">
        <v>1582</v>
      </c>
    </row>
    <row r="30" spans="1:39" x14ac:dyDescent="0.25">
      <c r="B30" s="51" t="s">
        <v>1371</v>
      </c>
      <c r="D30" s="51" t="s">
        <v>1383</v>
      </c>
      <c r="F30" s="51" t="s">
        <v>1392</v>
      </c>
      <c r="H30" s="51" t="s">
        <v>1404</v>
      </c>
      <c r="J30" s="51" t="s">
        <v>1416</v>
      </c>
      <c r="K30" s="51" t="s">
        <v>304</v>
      </c>
      <c r="L30" s="51" t="s">
        <v>1428</v>
      </c>
      <c r="N30" s="51" t="s">
        <v>1440</v>
      </c>
      <c r="P30" s="51" t="s">
        <v>1452</v>
      </c>
      <c r="R30" s="51" t="s">
        <v>1464</v>
      </c>
      <c r="S30" s="51" t="s">
        <v>304</v>
      </c>
      <c r="T30" s="51" t="s">
        <v>1476</v>
      </c>
      <c r="V30" s="51" t="s">
        <v>1488</v>
      </c>
      <c r="W30" s="51" t="s">
        <v>304</v>
      </c>
      <c r="X30" s="51" t="s">
        <v>1500</v>
      </c>
      <c r="Y30" s="51" t="s">
        <v>304</v>
      </c>
      <c r="Z30" s="51" t="s">
        <v>1512</v>
      </c>
      <c r="AA30" s="51" t="s">
        <v>304</v>
      </c>
      <c r="AB30" s="51" t="s">
        <v>1524</v>
      </c>
      <c r="AC30" s="51" t="s">
        <v>7847</v>
      </c>
      <c r="AD30" s="51" t="s">
        <v>1535</v>
      </c>
      <c r="AF30" s="51" t="s">
        <v>1547</v>
      </c>
      <c r="AG30" s="51" t="s">
        <v>304</v>
      </c>
      <c r="AH30" s="51" t="s">
        <v>1559</v>
      </c>
      <c r="AI30" s="51" t="s">
        <v>304</v>
      </c>
      <c r="AJ30" s="51" t="s">
        <v>1571</v>
      </c>
      <c r="AL30" s="51" t="s">
        <v>1583</v>
      </c>
    </row>
    <row r="31" spans="1:39" x14ac:dyDescent="0.25">
      <c r="B31" s="51" t="s">
        <v>1370</v>
      </c>
      <c r="D31" s="51" t="s">
        <v>1382</v>
      </c>
      <c r="F31" s="51" t="s">
        <v>1393</v>
      </c>
      <c r="H31" s="51" t="s">
        <v>1405</v>
      </c>
      <c r="J31" s="51" t="s">
        <v>1417</v>
      </c>
      <c r="K31" s="51" t="s">
        <v>304</v>
      </c>
      <c r="L31" s="51" t="s">
        <v>1429</v>
      </c>
      <c r="N31" s="51" t="s">
        <v>1441</v>
      </c>
      <c r="P31" s="51" t="s">
        <v>1453</v>
      </c>
      <c r="R31" s="51" t="s">
        <v>1465</v>
      </c>
      <c r="S31" s="51" t="s">
        <v>304</v>
      </c>
      <c r="T31" s="51" t="s">
        <v>1477</v>
      </c>
      <c r="V31" s="51" t="s">
        <v>1489</v>
      </c>
      <c r="W31" s="51" t="s">
        <v>7847</v>
      </c>
      <c r="X31" s="51" t="s">
        <v>1501</v>
      </c>
      <c r="Y31" s="51" t="s">
        <v>304</v>
      </c>
      <c r="Z31" s="51" t="s">
        <v>1513</v>
      </c>
      <c r="AA31" s="51" t="s">
        <v>304</v>
      </c>
      <c r="AB31" s="51" t="s">
        <v>1525</v>
      </c>
      <c r="AC31" s="51" t="s">
        <v>304</v>
      </c>
      <c r="AD31" s="51" t="s">
        <v>1536</v>
      </c>
      <c r="AF31" s="51" t="s">
        <v>1548</v>
      </c>
      <c r="AG31" s="51" t="s">
        <v>304</v>
      </c>
      <c r="AH31" s="51" t="s">
        <v>1560</v>
      </c>
      <c r="AI31" s="51" t="s">
        <v>7847</v>
      </c>
      <c r="AJ31" s="51" t="s">
        <v>1572</v>
      </c>
      <c r="AL31" s="51" t="s">
        <v>1584</v>
      </c>
    </row>
    <row r="32" spans="1:39" x14ac:dyDescent="0.25">
      <c r="B32" s="51" t="s">
        <v>1369</v>
      </c>
      <c r="D32" s="51" t="s">
        <v>1381</v>
      </c>
      <c r="F32" s="51" t="s">
        <v>1394</v>
      </c>
      <c r="H32" s="51" t="s">
        <v>1406</v>
      </c>
      <c r="J32" s="51" t="s">
        <v>1418</v>
      </c>
      <c r="K32" s="51" t="s">
        <v>304</v>
      </c>
      <c r="L32" s="51" t="s">
        <v>1430</v>
      </c>
      <c r="N32" s="51" t="s">
        <v>1442</v>
      </c>
      <c r="P32" s="51" t="s">
        <v>1454</v>
      </c>
      <c r="R32" s="51" t="s">
        <v>1466</v>
      </c>
      <c r="S32" s="51" t="s">
        <v>304</v>
      </c>
      <c r="T32" s="51" t="s">
        <v>1478</v>
      </c>
      <c r="V32" s="51" t="s">
        <v>1490</v>
      </c>
      <c r="W32" s="51" t="s">
        <v>304</v>
      </c>
      <c r="X32" s="51" t="s">
        <v>1502</v>
      </c>
      <c r="Y32" s="51" t="s">
        <v>7847</v>
      </c>
      <c r="Z32" s="51" t="s">
        <v>1514</v>
      </c>
      <c r="AA32" s="51" t="s">
        <v>304</v>
      </c>
      <c r="AB32" s="51" t="s">
        <v>1526</v>
      </c>
      <c r="AC32" s="51" t="s">
        <v>304</v>
      </c>
      <c r="AD32" s="51" t="s">
        <v>1537</v>
      </c>
      <c r="AF32" s="51" t="s">
        <v>1549</v>
      </c>
      <c r="AG32" s="51" t="s">
        <v>304</v>
      </c>
      <c r="AH32" s="51" t="s">
        <v>1561</v>
      </c>
      <c r="AI32" s="51" t="s">
        <v>304</v>
      </c>
      <c r="AJ32" s="51" t="s">
        <v>1573</v>
      </c>
      <c r="AL32" s="51" t="s">
        <v>1585</v>
      </c>
    </row>
    <row r="33" spans="1:39" x14ac:dyDescent="0.25">
      <c r="B33" s="51" t="s">
        <v>1368</v>
      </c>
      <c r="D33" s="51" t="s">
        <v>1380</v>
      </c>
      <c r="F33" s="51" t="s">
        <v>1395</v>
      </c>
      <c r="H33" s="51" t="s">
        <v>1407</v>
      </c>
      <c r="J33" s="51" t="s">
        <v>1419</v>
      </c>
      <c r="K33" s="94" t="s">
        <v>304</v>
      </c>
      <c r="L33" s="51" t="s">
        <v>1431</v>
      </c>
      <c r="N33" s="51" t="s">
        <v>1443</v>
      </c>
      <c r="P33" s="51" t="s">
        <v>1455</v>
      </c>
      <c r="R33" s="51" t="s">
        <v>1467</v>
      </c>
      <c r="S33" s="51" t="s">
        <v>304</v>
      </c>
      <c r="T33" s="51" t="s">
        <v>1479</v>
      </c>
      <c r="V33" s="51" t="s">
        <v>1491</v>
      </c>
      <c r="W33" s="51" t="s">
        <v>304</v>
      </c>
      <c r="X33" s="51" t="s">
        <v>1503</v>
      </c>
      <c r="Y33" s="51" t="s">
        <v>7847</v>
      </c>
      <c r="Z33" s="51" t="s">
        <v>1515</v>
      </c>
      <c r="AA33" s="51" t="s">
        <v>304</v>
      </c>
      <c r="AB33" s="51" t="s">
        <v>1527</v>
      </c>
      <c r="AC33" s="51" t="s">
        <v>304</v>
      </c>
      <c r="AD33" s="51" t="s">
        <v>1538</v>
      </c>
      <c r="AF33" s="51" t="s">
        <v>1550</v>
      </c>
      <c r="AG33" s="51" t="s">
        <v>304</v>
      </c>
      <c r="AH33" s="51" t="s">
        <v>1562</v>
      </c>
      <c r="AI33" s="51" t="s">
        <v>304</v>
      </c>
      <c r="AJ33" s="51" t="s">
        <v>1574</v>
      </c>
      <c r="AL33" s="51" t="s">
        <v>1586</v>
      </c>
    </row>
    <row r="34" spans="1:39" x14ac:dyDescent="0.25">
      <c r="B34" s="51" t="s">
        <v>1367</v>
      </c>
      <c r="D34" s="51" t="s">
        <v>1379</v>
      </c>
      <c r="F34" s="51" t="s">
        <v>1396</v>
      </c>
      <c r="H34" s="51" t="s">
        <v>1408</v>
      </c>
      <c r="J34" s="51" t="s">
        <v>1420</v>
      </c>
      <c r="K34" s="51" t="s">
        <v>304</v>
      </c>
      <c r="L34" s="51" t="s">
        <v>1432</v>
      </c>
      <c r="N34" s="51" t="s">
        <v>1444</v>
      </c>
      <c r="P34" s="51" t="s">
        <v>1456</v>
      </c>
      <c r="R34" s="51" t="s">
        <v>1468</v>
      </c>
      <c r="S34" s="51" t="s">
        <v>304</v>
      </c>
      <c r="T34" s="51" t="s">
        <v>1480</v>
      </c>
      <c r="V34" s="51" t="s">
        <v>1492</v>
      </c>
      <c r="W34" s="51" t="s">
        <v>304</v>
      </c>
      <c r="X34" s="51" t="s">
        <v>1504</v>
      </c>
      <c r="Y34" s="51" t="s">
        <v>7847</v>
      </c>
      <c r="Z34" s="51" t="s">
        <v>1516</v>
      </c>
      <c r="AA34" s="51" t="s">
        <v>304</v>
      </c>
      <c r="AB34" s="51" t="s">
        <v>1528</v>
      </c>
      <c r="AC34" s="51" t="s">
        <v>304</v>
      </c>
      <c r="AD34" s="51" t="s">
        <v>1539</v>
      </c>
      <c r="AF34" s="51" t="s">
        <v>1551</v>
      </c>
      <c r="AG34" s="51" t="s">
        <v>304</v>
      </c>
      <c r="AH34" s="51" t="s">
        <v>1563</v>
      </c>
      <c r="AI34" s="51" t="s">
        <v>304</v>
      </c>
      <c r="AJ34" s="51" t="s">
        <v>1575</v>
      </c>
      <c r="AL34" s="51" t="s">
        <v>1587</v>
      </c>
    </row>
    <row r="35" spans="1:39" x14ac:dyDescent="0.25">
      <c r="B35" s="51" t="s">
        <v>1366</v>
      </c>
      <c r="D35" s="51" t="s">
        <v>1378</v>
      </c>
      <c r="F35" s="51" t="s">
        <v>1397</v>
      </c>
      <c r="H35" s="51" t="s">
        <v>1409</v>
      </c>
      <c r="J35" s="51" t="s">
        <v>1421</v>
      </c>
      <c r="K35" s="94" t="s">
        <v>304</v>
      </c>
      <c r="L35" s="51" t="s">
        <v>1433</v>
      </c>
      <c r="N35" s="51" t="s">
        <v>1445</v>
      </c>
      <c r="P35" s="51" t="s">
        <v>1457</v>
      </c>
      <c r="R35" s="51" t="s">
        <v>1469</v>
      </c>
      <c r="S35" s="51" t="s">
        <v>304</v>
      </c>
      <c r="T35" s="51" t="s">
        <v>1481</v>
      </c>
      <c r="V35" s="51" t="s">
        <v>1493</v>
      </c>
      <c r="W35" s="51" t="s">
        <v>304</v>
      </c>
      <c r="X35" s="51" t="s">
        <v>1505</v>
      </c>
      <c r="Y35" s="51" t="s">
        <v>7847</v>
      </c>
      <c r="Z35" s="51" t="s">
        <v>1517</v>
      </c>
      <c r="AA35" s="51" t="s">
        <v>304</v>
      </c>
      <c r="AB35" s="51" t="s">
        <v>1529</v>
      </c>
      <c r="AC35" s="51" t="s">
        <v>304</v>
      </c>
      <c r="AD35" s="51" t="s">
        <v>1540</v>
      </c>
      <c r="AF35" s="51" t="s">
        <v>1552</v>
      </c>
      <c r="AG35" s="51" t="s">
        <v>304</v>
      </c>
      <c r="AH35" s="51" t="s">
        <v>1564</v>
      </c>
      <c r="AI35" s="51" t="s">
        <v>304</v>
      </c>
      <c r="AJ35" s="51" t="s">
        <v>1576</v>
      </c>
      <c r="AL35" s="51" t="s">
        <v>1588</v>
      </c>
    </row>
    <row r="36" spans="1:39" x14ac:dyDescent="0.25">
      <c r="B36" s="51" t="s">
        <v>1365</v>
      </c>
      <c r="D36" s="51" t="s">
        <v>1377</v>
      </c>
      <c r="F36" s="51" t="s">
        <v>1398</v>
      </c>
      <c r="H36" s="51" t="s">
        <v>1410</v>
      </c>
      <c r="J36" s="51" t="s">
        <v>1422</v>
      </c>
      <c r="K36" s="51" t="s">
        <v>304</v>
      </c>
      <c r="L36" s="51" t="s">
        <v>1434</v>
      </c>
      <c r="N36" s="51" t="s">
        <v>1446</v>
      </c>
      <c r="P36" s="51" t="s">
        <v>1458</v>
      </c>
      <c r="R36" s="51" t="s">
        <v>1470</v>
      </c>
      <c r="S36" s="51" t="s">
        <v>304</v>
      </c>
      <c r="T36" s="51" t="s">
        <v>1482</v>
      </c>
      <c r="V36" s="51" t="s">
        <v>1494</v>
      </c>
      <c r="W36" s="51" t="s">
        <v>304</v>
      </c>
      <c r="X36" s="51" t="s">
        <v>1506</v>
      </c>
      <c r="Y36" s="51" t="s">
        <v>7847</v>
      </c>
      <c r="Z36" s="51" t="s">
        <v>1518</v>
      </c>
      <c r="AA36" s="94" t="s">
        <v>304</v>
      </c>
      <c r="AB36" s="51" t="s">
        <v>1530</v>
      </c>
      <c r="AC36" s="51" t="s">
        <v>304</v>
      </c>
      <c r="AD36" s="51" t="s">
        <v>1541</v>
      </c>
      <c r="AF36" s="51" t="s">
        <v>1553</v>
      </c>
      <c r="AG36" s="51" t="s">
        <v>304</v>
      </c>
      <c r="AH36" s="51" t="s">
        <v>1565</v>
      </c>
      <c r="AI36" s="51" t="s">
        <v>304</v>
      </c>
      <c r="AJ36" s="51" t="s">
        <v>1577</v>
      </c>
      <c r="AL36" s="51" t="s">
        <v>1589</v>
      </c>
    </row>
    <row r="37" spans="1:39" x14ac:dyDescent="0.25">
      <c r="B37" s="51" t="s">
        <v>1364</v>
      </c>
      <c r="D37" s="51" t="s">
        <v>1376</v>
      </c>
      <c r="F37" s="51" t="s">
        <v>1399</v>
      </c>
      <c r="H37" s="51" t="s">
        <v>1411</v>
      </c>
      <c r="J37" s="51" t="s">
        <v>1423</v>
      </c>
      <c r="K37" s="51" t="s">
        <v>304</v>
      </c>
      <c r="L37" s="51" t="s">
        <v>1435</v>
      </c>
      <c r="N37" s="51" t="s">
        <v>1447</v>
      </c>
      <c r="P37" s="51" t="s">
        <v>1459</v>
      </c>
      <c r="R37" s="51" t="s">
        <v>1471</v>
      </c>
      <c r="S37" s="51" t="s">
        <v>304</v>
      </c>
      <c r="T37" s="51" t="s">
        <v>1483</v>
      </c>
      <c r="V37" s="51" t="s">
        <v>1495</v>
      </c>
      <c r="W37" s="51" t="s">
        <v>304</v>
      </c>
      <c r="X37" s="51" t="s">
        <v>1507</v>
      </c>
      <c r="Y37" s="51" t="s">
        <v>7847</v>
      </c>
      <c r="Z37" s="51" t="s">
        <v>1519</v>
      </c>
      <c r="AA37" s="51" t="s">
        <v>304</v>
      </c>
      <c r="AB37" s="51" t="s">
        <v>1097</v>
      </c>
      <c r="AC37" s="51" t="s">
        <v>304</v>
      </c>
      <c r="AD37" s="51" t="s">
        <v>1542</v>
      </c>
      <c r="AF37" s="51" t="s">
        <v>1554</v>
      </c>
      <c r="AG37" s="51" t="s">
        <v>304</v>
      </c>
      <c r="AH37" s="51" t="s">
        <v>1566</v>
      </c>
      <c r="AI37" s="51" t="s">
        <v>304</v>
      </c>
      <c r="AJ37" s="51" t="s">
        <v>1578</v>
      </c>
      <c r="AL37" s="51" t="s">
        <v>1590</v>
      </c>
    </row>
    <row r="38" spans="1:39" x14ac:dyDescent="0.25">
      <c r="A38" s="51" t="s">
        <v>303</v>
      </c>
      <c r="B38" s="51">
        <f t="shared" ref="B38" si="8">COUNTIF(B26:B37,"&lt;&gt;")</f>
        <v>12</v>
      </c>
      <c r="C38" s="51">
        <f t="shared" ref="C38" si="9">COUNTIF(C26:C37,"Y")</f>
        <v>0</v>
      </c>
      <c r="D38" s="51">
        <f t="shared" ref="D38" si="10">COUNTIF(D26:D37,"&lt;&gt;")</f>
        <v>12</v>
      </c>
      <c r="E38" s="51">
        <f t="shared" ref="E38" si="11">COUNTIF(E26:E37,"Y")</f>
        <v>0</v>
      </c>
      <c r="F38" s="51">
        <f t="shared" ref="F38" si="12">COUNTIF(F26:F37,"&lt;&gt;")</f>
        <v>12</v>
      </c>
      <c r="G38" s="51">
        <f t="shared" ref="G38" si="13">COUNTIF(G26:G37,"Y")</f>
        <v>0</v>
      </c>
      <c r="H38" s="51">
        <f t="shared" ref="H38" si="14">COUNTIF(H26:H37,"&lt;&gt;")</f>
        <v>12</v>
      </c>
      <c r="I38" s="51">
        <f t="shared" ref="I38" si="15">COUNTIF(I26:I37,"Y")</f>
        <v>0</v>
      </c>
      <c r="J38" s="51">
        <f t="shared" ref="J38" si="16">COUNTIF(J26:J37,"&lt;&gt;")</f>
        <v>12</v>
      </c>
      <c r="K38" s="51">
        <f t="shared" ref="K38" si="17">COUNTIF(K26:K37,"Y")</f>
        <v>12</v>
      </c>
      <c r="L38" s="51">
        <f t="shared" ref="L38" si="18">COUNTIF(L26:L37,"&lt;&gt;")</f>
        <v>12</v>
      </c>
      <c r="M38" s="51">
        <f t="shared" ref="M38" si="19">COUNTIF(M26:M37,"Y")</f>
        <v>0</v>
      </c>
      <c r="N38" s="51">
        <f t="shared" ref="N38" si="20">COUNTIF(N26:N37,"&lt;&gt;")</f>
        <v>12</v>
      </c>
      <c r="O38" s="51">
        <f t="shared" ref="O38" si="21">COUNTIF(O26:O37,"Y")</f>
        <v>0</v>
      </c>
      <c r="P38" s="51">
        <f t="shared" ref="P38" si="22">COUNTIF(P26:P37,"&lt;&gt;")</f>
        <v>12</v>
      </c>
      <c r="Q38" s="51">
        <f t="shared" ref="Q38" si="23">COUNTIF(Q26:Q37,"Y")</f>
        <v>0</v>
      </c>
      <c r="R38" s="51">
        <f t="shared" ref="R38" si="24">COUNTIF(R26:R37,"&lt;&gt;")</f>
        <v>12</v>
      </c>
      <c r="S38" s="51">
        <f t="shared" ref="S38" si="25">COUNTIF(S26:S37,"Y")</f>
        <v>12</v>
      </c>
      <c r="T38" s="51">
        <f t="shared" ref="T38" si="26">COUNTIF(T26:T37,"&lt;&gt;")</f>
        <v>12</v>
      </c>
      <c r="U38" s="51">
        <f t="shared" ref="U38" si="27">COUNTIF(U26:U37,"Y")</f>
        <v>0</v>
      </c>
      <c r="V38" s="51">
        <f t="shared" ref="V38" si="28">COUNTIF(V26:V37,"&lt;&gt;")</f>
        <v>12</v>
      </c>
      <c r="W38" s="51">
        <f t="shared" ref="W38" si="29">COUNTIF(W26:W37,"Y")</f>
        <v>12</v>
      </c>
      <c r="X38" s="51">
        <f t="shared" ref="X38" si="30">COUNTIF(X26:X37,"&lt;&gt;")</f>
        <v>12</v>
      </c>
      <c r="Y38" s="51">
        <f t="shared" ref="Y38" si="31">COUNTIF(Y26:Y37,"Y")</f>
        <v>12</v>
      </c>
      <c r="Z38" s="51">
        <f t="shared" ref="Z38" si="32">COUNTIF(Z26:Z37,"&lt;&gt;")</f>
        <v>12</v>
      </c>
      <c r="AA38" s="51">
        <f t="shared" ref="AA38" si="33">COUNTIF(AA26:AA37,"Y")</f>
        <v>12</v>
      </c>
      <c r="AB38" s="51">
        <f t="shared" ref="AB38" si="34">COUNTIF(AB26:AB37,"&lt;&gt;")</f>
        <v>12</v>
      </c>
      <c r="AC38" s="51">
        <f t="shared" ref="AC38" si="35">COUNTIF(AC26:AC37,"Y")</f>
        <v>12</v>
      </c>
      <c r="AD38" s="51">
        <f t="shared" ref="AD38" si="36">COUNTIF(AD26:AD37,"&lt;&gt;")</f>
        <v>12</v>
      </c>
      <c r="AE38" s="51">
        <f t="shared" ref="AE38" si="37">COUNTIF(AE26:AE37,"Y")</f>
        <v>0</v>
      </c>
      <c r="AF38" s="51">
        <f t="shared" ref="AF38" si="38">COUNTIF(AF26:AF37,"&lt;&gt;")</f>
        <v>12</v>
      </c>
      <c r="AG38" s="51">
        <f t="shared" ref="AG38" si="39">COUNTIF(AG26:AG37,"Y")</f>
        <v>12</v>
      </c>
      <c r="AH38" s="51">
        <f t="shared" ref="AH38" si="40">COUNTIF(AH26:AH37,"&lt;&gt;")</f>
        <v>12</v>
      </c>
      <c r="AI38" s="51">
        <f t="shared" ref="AI38" si="41">COUNTIF(AI26:AI37,"Y")</f>
        <v>12</v>
      </c>
      <c r="AJ38" s="51">
        <f t="shared" ref="AJ38" si="42">COUNTIF(AJ26:AJ37,"&lt;&gt;")</f>
        <v>12</v>
      </c>
      <c r="AK38" s="51">
        <f t="shared" ref="AK38" si="43">COUNTIF(AK26:AK37,"Y")</f>
        <v>0</v>
      </c>
      <c r="AL38" s="51">
        <f t="shared" ref="AL38" si="44">COUNTIF(AL26:AL37,"&lt;&gt;")</f>
        <v>12</v>
      </c>
      <c r="AM38" s="51">
        <f t="shared" ref="AM38" si="45">COUNTIF(AM26:AM37,"Y")</f>
        <v>0</v>
      </c>
    </row>
    <row r="39" spans="1:39" x14ac:dyDescent="0.25">
      <c r="P39" s="51" t="s">
        <v>20752</v>
      </c>
    </row>
  </sheetData>
  <conditionalFormatting sqref="A3:XFD38 P39">
    <cfRule type="cellIs" dxfId="5" priority="1" operator="equal">
      <formula>"y"</formula>
    </cfRule>
  </conditionalFormatting>
  <pageMargins left="0.7" right="0.7" top="0.75" bottom="0.75" header="0.3" footer="0.3"/>
  <pageSetup orientation="portrait" verticalDpi="597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3A3E-5921-4AF9-A2E6-0D4764775B11}">
  <sheetPr codeName="Sheet10"/>
  <dimension ref="A1:AQ256"/>
  <sheetViews>
    <sheetView topLeftCell="A13" workbookViewId="0">
      <selection activeCell="F32" sqref="F32"/>
    </sheetView>
  </sheetViews>
  <sheetFormatPr defaultRowHeight="15" x14ac:dyDescent="0.25"/>
  <cols>
    <col min="1" max="1" width="10" style="51" bestFit="1" customWidth="1"/>
    <col min="2" max="2" width="14.5703125" style="51" bestFit="1" customWidth="1"/>
    <col min="3" max="3" width="10.85546875" style="51" bestFit="1" customWidth="1"/>
    <col min="4" max="4" width="12.42578125" style="51" bestFit="1" customWidth="1"/>
    <col min="5" max="5" width="10.85546875" style="51" bestFit="1" customWidth="1"/>
    <col min="6" max="6" width="12.42578125" style="51" bestFit="1" customWidth="1"/>
    <col min="7" max="7" width="10.85546875" style="51" bestFit="1" customWidth="1"/>
    <col min="8" max="8" width="12.42578125" style="51" bestFit="1" customWidth="1"/>
    <col min="9" max="9" width="10.85546875" style="51" bestFit="1" customWidth="1"/>
    <col min="10" max="10" width="12.42578125" style="51" bestFit="1" customWidth="1"/>
    <col min="11" max="11" width="10.85546875" style="51" bestFit="1" customWidth="1"/>
    <col min="12" max="12" width="12.42578125" style="51" bestFit="1" customWidth="1"/>
    <col min="13" max="13" width="10.85546875" style="51" bestFit="1" customWidth="1"/>
    <col min="14" max="14" width="12.42578125" style="51" bestFit="1" customWidth="1"/>
    <col min="15" max="15" width="10.85546875" style="51" bestFit="1" customWidth="1"/>
    <col min="16" max="16" width="12.42578125" style="51" bestFit="1" customWidth="1"/>
    <col min="17" max="17" width="10.85546875" style="51" bestFit="1" customWidth="1"/>
    <col min="18" max="18" width="12.42578125" style="51" bestFit="1" customWidth="1"/>
    <col min="19" max="19" width="10.85546875" style="51" bestFit="1" customWidth="1"/>
    <col min="20" max="20" width="12.42578125" style="51" bestFit="1" customWidth="1"/>
    <col min="21" max="21" width="10.85546875" style="51" bestFit="1" customWidth="1"/>
    <col min="22" max="22" width="12.42578125" style="51" bestFit="1" customWidth="1"/>
    <col min="23" max="23" width="10.85546875" style="51" bestFit="1" customWidth="1"/>
    <col min="24" max="24" width="12.42578125" style="51" bestFit="1" customWidth="1"/>
    <col min="25" max="25" width="10.85546875" style="51" bestFit="1" customWidth="1"/>
    <col min="26" max="26" width="12.42578125" style="51" bestFit="1" customWidth="1"/>
    <col min="27" max="27" width="10.85546875" style="51" bestFit="1" customWidth="1"/>
    <col min="28" max="28" width="12.42578125" style="51" bestFit="1" customWidth="1"/>
    <col min="29" max="29" width="10.85546875" style="51" bestFit="1" customWidth="1"/>
    <col min="30" max="30" width="12.42578125" style="51" bestFit="1" customWidth="1"/>
    <col min="31" max="31" width="10.85546875" style="51" bestFit="1" customWidth="1"/>
    <col min="32" max="32" width="12.42578125" style="51" bestFit="1" customWidth="1"/>
    <col min="33" max="33" width="10.85546875" style="51" bestFit="1" customWidth="1"/>
    <col min="34" max="34" width="12.42578125" style="51" bestFit="1" customWidth="1"/>
    <col min="35" max="35" width="9.140625" style="51"/>
    <col min="36" max="36" width="12.42578125" style="51" bestFit="1" customWidth="1"/>
    <col min="37" max="37" width="10.85546875" style="51" bestFit="1" customWidth="1"/>
    <col min="38" max="38" width="12.42578125" style="51" bestFit="1" customWidth="1"/>
    <col min="39" max="39" width="10.85546875" style="51" bestFit="1" customWidth="1"/>
    <col min="40" max="41" width="9.140625" style="51"/>
    <col min="42" max="42" width="12.42578125" style="51" bestFit="1" customWidth="1"/>
    <col min="43" max="16384" width="9.140625" style="51"/>
  </cols>
  <sheetData>
    <row r="1" spans="2:29" s="111" customFormat="1" x14ac:dyDescent="0.25">
      <c r="B1" s="111" t="s">
        <v>14577</v>
      </c>
      <c r="C1" s="111">
        <f>SUM(D3,D24)</f>
        <v>439</v>
      </c>
      <c r="D1" s="111" t="s">
        <v>301</v>
      </c>
      <c r="E1" s="111">
        <f>SUM(F3,F24)</f>
        <v>174</v>
      </c>
      <c r="F1" s="111" t="s">
        <v>14579</v>
      </c>
      <c r="G1" s="111">
        <f>SUM(H3,H24)</f>
        <v>265</v>
      </c>
      <c r="H1" s="111" t="s">
        <v>14578</v>
      </c>
      <c r="I1" s="131">
        <f>(E1/C1)</f>
        <v>0.39635535307517084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s="111" customFormat="1" x14ac:dyDescent="0.25">
      <c r="B3" s="111" t="s">
        <v>1243</v>
      </c>
      <c r="C3" s="111" t="s">
        <v>302</v>
      </c>
      <c r="D3" s="111">
        <f>SUM(B22,D22,F22,H22,J22,L22,N22,P22,R22,T22,V22)</f>
        <v>187</v>
      </c>
      <c r="E3" s="111" t="s">
        <v>301</v>
      </c>
      <c r="F3" s="111">
        <f>SUM(C22,E22,G22,I22,K22,M22,O22,Q22,S22,U22,W22)</f>
        <v>66</v>
      </c>
      <c r="G3" s="111" t="s">
        <v>305</v>
      </c>
      <c r="H3" s="111">
        <f>D3-F3</f>
        <v>121</v>
      </c>
    </row>
    <row r="4" spans="2:29" x14ac:dyDescent="0.25">
      <c r="B4" s="51" t="str">
        <f>LEFT(B5,FIND("_C",B5)-1)</f>
        <v>BH_033</v>
      </c>
      <c r="C4" s="51" t="s">
        <v>301</v>
      </c>
      <c r="D4" s="51" t="str">
        <f>LEFT(D5,FIND("_C",D5)-1)</f>
        <v>BH_040</v>
      </c>
      <c r="E4" s="51" t="s">
        <v>301</v>
      </c>
      <c r="F4" s="51" t="str">
        <f>LEFT(F5,FIND("_C",F5)-1)</f>
        <v>BH_051</v>
      </c>
      <c r="G4" s="51" t="s">
        <v>301</v>
      </c>
      <c r="H4" s="51" t="str">
        <f>LEFT(H5,FIND("_C",H5)-1)</f>
        <v>BH_064</v>
      </c>
      <c r="I4" s="51" t="s">
        <v>301</v>
      </c>
      <c r="J4" s="51" t="str">
        <f>LEFT(J5,FIND("_C",J5)-1)</f>
        <v>BH_065</v>
      </c>
      <c r="K4" s="51" t="s">
        <v>301</v>
      </c>
      <c r="L4" s="51" t="str">
        <f>LEFT(L5,FIND("_C",L5)-1)</f>
        <v>BH_068</v>
      </c>
      <c r="M4" s="51" t="s">
        <v>301</v>
      </c>
      <c r="N4" s="51" t="str">
        <f>LEFT(N5,FIND("_C",N5)-1)</f>
        <v>BH_073</v>
      </c>
      <c r="O4" s="51" t="s">
        <v>301</v>
      </c>
      <c r="P4" s="109" t="str">
        <f>LEFT(P5,FIND("_C",P5)-1)</f>
        <v>BH_096</v>
      </c>
      <c r="Q4" s="109" t="s">
        <v>301</v>
      </c>
      <c r="R4" s="109" t="str">
        <f>LEFT(R5,FIND("_C",R5)-1)</f>
        <v>BH_100</v>
      </c>
      <c r="S4" s="109" t="s">
        <v>301</v>
      </c>
      <c r="T4" s="109" t="str">
        <f>LEFT(T5,FIND("_C",T5)-1)</f>
        <v>BH_127</v>
      </c>
      <c r="U4" s="109" t="s">
        <v>301</v>
      </c>
      <c r="V4" s="109" t="str">
        <f>LEFT(V5,FIND("_C",V5)-1)</f>
        <v>BH_138</v>
      </c>
      <c r="W4" s="109" t="s">
        <v>301</v>
      </c>
    </row>
    <row r="5" spans="2:29" x14ac:dyDescent="0.25">
      <c r="B5" s="51" t="s">
        <v>1592</v>
      </c>
      <c r="D5" s="109" t="s">
        <v>1626</v>
      </c>
      <c r="E5" s="51" t="s">
        <v>304</v>
      </c>
      <c r="F5" s="109" t="s">
        <v>1643</v>
      </c>
      <c r="H5" s="109" t="s">
        <v>1620</v>
      </c>
      <c r="J5" s="109" t="s">
        <v>1660</v>
      </c>
      <c r="K5" s="51" t="s">
        <v>304</v>
      </c>
      <c r="L5" s="109" t="s">
        <v>1677</v>
      </c>
      <c r="N5" s="109" t="s">
        <v>1694</v>
      </c>
      <c r="O5" s="111" t="s">
        <v>7847</v>
      </c>
      <c r="P5" s="109" t="s">
        <v>1711</v>
      </c>
      <c r="R5" s="109" t="s">
        <v>1726</v>
      </c>
      <c r="S5" s="51" t="s">
        <v>304</v>
      </c>
      <c r="T5" s="109" t="s">
        <v>1745</v>
      </c>
      <c r="V5" s="109" t="s">
        <v>1762</v>
      </c>
    </row>
    <row r="6" spans="2:29" x14ac:dyDescent="0.25">
      <c r="B6" s="51" t="s">
        <v>1593</v>
      </c>
      <c r="D6" s="109" t="s">
        <v>1627</v>
      </c>
      <c r="E6" s="51" t="s">
        <v>304</v>
      </c>
      <c r="F6" s="109" t="s">
        <v>1644</v>
      </c>
      <c r="H6" s="109" t="s">
        <v>1621</v>
      </c>
      <c r="J6" s="109" t="s">
        <v>1661</v>
      </c>
      <c r="K6" s="51" t="s">
        <v>304</v>
      </c>
      <c r="L6" s="109" t="s">
        <v>1678</v>
      </c>
      <c r="N6" s="109" t="s">
        <v>1695</v>
      </c>
      <c r="O6" s="111" t="s">
        <v>7847</v>
      </c>
      <c r="P6" s="109" t="s">
        <v>1712</v>
      </c>
      <c r="R6" s="109" t="s">
        <v>1727</v>
      </c>
      <c r="S6" s="51" t="s">
        <v>304</v>
      </c>
      <c r="T6" s="109" t="s">
        <v>1746</v>
      </c>
      <c r="V6" s="109" t="s">
        <v>1763</v>
      </c>
    </row>
    <row r="7" spans="2:29" x14ac:dyDescent="0.25">
      <c r="B7" s="51" t="s">
        <v>1594</v>
      </c>
      <c r="D7" s="109" t="s">
        <v>1628</v>
      </c>
      <c r="E7" s="51" t="s">
        <v>304</v>
      </c>
      <c r="F7" s="109" t="s">
        <v>1645</v>
      </c>
      <c r="H7" s="109" t="s">
        <v>1622</v>
      </c>
      <c r="J7" s="109" t="s">
        <v>1662</v>
      </c>
      <c r="K7" s="51" t="s">
        <v>304</v>
      </c>
      <c r="L7" s="109" t="s">
        <v>1679</v>
      </c>
      <c r="N7" s="109" t="s">
        <v>1696</v>
      </c>
      <c r="O7" s="111" t="s">
        <v>7847</v>
      </c>
      <c r="P7" s="109" t="s">
        <v>1713</v>
      </c>
      <c r="R7" s="109" t="s">
        <v>1730</v>
      </c>
      <c r="S7" s="51" t="s">
        <v>304</v>
      </c>
      <c r="T7" s="109" t="s">
        <v>1747</v>
      </c>
      <c r="V7" s="109" t="s">
        <v>1764</v>
      </c>
    </row>
    <row r="8" spans="2:29" x14ac:dyDescent="0.25">
      <c r="B8" s="51" t="s">
        <v>1595</v>
      </c>
      <c r="D8" s="109" t="s">
        <v>1629</v>
      </c>
      <c r="E8" s="51" t="s">
        <v>304</v>
      </c>
      <c r="F8" s="109" t="s">
        <v>1646</v>
      </c>
      <c r="H8" s="109" t="s">
        <v>1623</v>
      </c>
      <c r="J8" s="109" t="s">
        <v>1663</v>
      </c>
      <c r="K8" s="51" t="s">
        <v>304</v>
      </c>
      <c r="L8" s="109" t="s">
        <v>1680</v>
      </c>
      <c r="N8" s="109" t="s">
        <v>1697</v>
      </c>
      <c r="O8" s="111" t="s">
        <v>7847</v>
      </c>
      <c r="P8" s="109" t="s">
        <v>1714</v>
      </c>
      <c r="R8" s="109" t="s">
        <v>1731</v>
      </c>
      <c r="S8" s="51" t="s">
        <v>304</v>
      </c>
      <c r="T8" s="109" t="s">
        <v>1748</v>
      </c>
      <c r="V8" s="109" t="s">
        <v>1765</v>
      </c>
    </row>
    <row r="9" spans="2:29" x14ac:dyDescent="0.25">
      <c r="B9" s="51" t="s">
        <v>1596</v>
      </c>
      <c r="D9" s="109" t="s">
        <v>1630</v>
      </c>
      <c r="E9" s="51" t="s">
        <v>304</v>
      </c>
      <c r="F9" s="109" t="s">
        <v>1647</v>
      </c>
      <c r="H9" s="109" t="s">
        <v>1624</v>
      </c>
      <c r="J9" s="109" t="s">
        <v>1664</v>
      </c>
      <c r="K9" s="51" t="s">
        <v>304</v>
      </c>
      <c r="L9" s="109" t="s">
        <v>1681</v>
      </c>
      <c r="N9" s="109" t="s">
        <v>1698</v>
      </c>
      <c r="O9" s="111" t="s">
        <v>7847</v>
      </c>
      <c r="P9" s="109" t="s">
        <v>1715</v>
      </c>
      <c r="R9" s="109" t="s">
        <v>1732</v>
      </c>
      <c r="S9" s="51" t="s">
        <v>304</v>
      </c>
      <c r="T9" s="109" t="s">
        <v>1749</v>
      </c>
      <c r="V9" s="109" t="s">
        <v>1766</v>
      </c>
    </row>
    <row r="10" spans="2:29" x14ac:dyDescent="0.25">
      <c r="B10" s="51" t="s">
        <v>1597</v>
      </c>
      <c r="D10" s="109" t="s">
        <v>1631</v>
      </c>
      <c r="E10" s="51" t="s">
        <v>304</v>
      </c>
      <c r="F10" s="109" t="s">
        <v>1648</v>
      </c>
      <c r="H10" s="109" t="s">
        <v>1625</v>
      </c>
      <c r="J10" s="109" t="s">
        <v>1665</v>
      </c>
      <c r="K10" s="51" t="s">
        <v>304</v>
      </c>
      <c r="L10" s="109" t="s">
        <v>1682</v>
      </c>
      <c r="N10" s="109" t="s">
        <v>1699</v>
      </c>
      <c r="O10" s="111" t="s">
        <v>7847</v>
      </c>
      <c r="P10" s="109" t="s">
        <v>1716</v>
      </c>
      <c r="R10" s="109" t="s">
        <v>1733</v>
      </c>
      <c r="S10" s="51" t="s">
        <v>304</v>
      </c>
      <c r="T10" s="109" t="s">
        <v>1750</v>
      </c>
      <c r="V10" s="109" t="s">
        <v>1767</v>
      </c>
    </row>
    <row r="11" spans="2:29" x14ac:dyDescent="0.25">
      <c r="B11" s="51" t="s">
        <v>1598</v>
      </c>
      <c r="D11" s="109" t="s">
        <v>1632</v>
      </c>
      <c r="E11" s="51" t="s">
        <v>304</v>
      </c>
      <c r="F11" s="109" t="s">
        <v>1609</v>
      </c>
      <c r="H11" s="109" t="s">
        <v>1649</v>
      </c>
      <c r="J11" s="109" t="s">
        <v>1666</v>
      </c>
      <c r="K11" s="51" t="s">
        <v>304</v>
      </c>
      <c r="L11" s="109" t="s">
        <v>1683</v>
      </c>
      <c r="N11" s="109" t="s">
        <v>1700</v>
      </c>
      <c r="O11" s="111" t="s">
        <v>7847</v>
      </c>
      <c r="P11" s="109" t="s">
        <v>1717</v>
      </c>
      <c r="R11" s="109" t="s">
        <v>1734</v>
      </c>
      <c r="S11" s="51" t="s">
        <v>304</v>
      </c>
      <c r="T11" s="109" t="s">
        <v>1751</v>
      </c>
      <c r="V11" s="109" t="s">
        <v>1768</v>
      </c>
    </row>
    <row r="12" spans="2:29" x14ac:dyDescent="0.25">
      <c r="B12" s="51" t="s">
        <v>1599</v>
      </c>
      <c r="D12" s="109" t="s">
        <v>1633</v>
      </c>
      <c r="E12" s="51" t="s">
        <v>304</v>
      </c>
      <c r="F12" s="109" t="s">
        <v>1610</v>
      </c>
      <c r="H12" s="109" t="s">
        <v>1650</v>
      </c>
      <c r="J12" s="109" t="s">
        <v>1667</v>
      </c>
      <c r="K12" s="51" t="s">
        <v>304</v>
      </c>
      <c r="L12" s="109" t="s">
        <v>1684</v>
      </c>
      <c r="N12" s="109" t="s">
        <v>1701</v>
      </c>
      <c r="O12" s="111" t="s">
        <v>7847</v>
      </c>
      <c r="P12" s="109" t="s">
        <v>1718</v>
      </c>
      <c r="R12" s="109" t="s">
        <v>1735</v>
      </c>
      <c r="S12" s="51" t="s">
        <v>304</v>
      </c>
      <c r="T12" s="109" t="s">
        <v>1752</v>
      </c>
      <c r="V12" s="109" t="s">
        <v>1769</v>
      </c>
    </row>
    <row r="13" spans="2:29" x14ac:dyDescent="0.25">
      <c r="B13" s="51" t="s">
        <v>1600</v>
      </c>
      <c r="D13" s="109" t="s">
        <v>1634</v>
      </c>
      <c r="E13" s="51" t="s">
        <v>304</v>
      </c>
      <c r="F13" s="109" t="s">
        <v>1611</v>
      </c>
      <c r="H13" s="109" t="s">
        <v>1651</v>
      </c>
      <c r="J13" s="109" t="s">
        <v>1668</v>
      </c>
      <c r="K13" s="51" t="s">
        <v>304</v>
      </c>
      <c r="L13" s="109" t="s">
        <v>1685</v>
      </c>
      <c r="N13" s="109" t="s">
        <v>1702</v>
      </c>
      <c r="O13" s="111" t="s">
        <v>7847</v>
      </c>
      <c r="P13" s="109" t="s">
        <v>1719</v>
      </c>
      <c r="R13" s="109" t="s">
        <v>1736</v>
      </c>
      <c r="S13" s="51" t="s">
        <v>304</v>
      </c>
      <c r="T13" s="109" t="s">
        <v>1753</v>
      </c>
      <c r="V13" s="109" t="s">
        <v>1770</v>
      </c>
    </row>
    <row r="14" spans="2:29" x14ac:dyDescent="0.25">
      <c r="B14" s="51" t="s">
        <v>1601</v>
      </c>
      <c r="D14" s="109" t="s">
        <v>1635</v>
      </c>
      <c r="E14" s="51" t="s">
        <v>304</v>
      </c>
      <c r="F14" s="109" t="s">
        <v>1612</v>
      </c>
      <c r="H14" s="109" t="s">
        <v>1652</v>
      </c>
      <c r="J14" s="109" t="s">
        <v>1669</v>
      </c>
      <c r="K14" s="51" t="s">
        <v>304</v>
      </c>
      <c r="L14" s="109" t="s">
        <v>1686</v>
      </c>
      <c r="N14" s="109" t="s">
        <v>1703</v>
      </c>
      <c r="O14" s="111" t="s">
        <v>7847</v>
      </c>
      <c r="P14" s="109" t="s">
        <v>1720</v>
      </c>
      <c r="R14" s="109" t="s">
        <v>1737</v>
      </c>
      <c r="S14" s="51" t="s">
        <v>304</v>
      </c>
      <c r="T14" s="109" t="s">
        <v>1754</v>
      </c>
      <c r="V14" s="109" t="s">
        <v>1771</v>
      </c>
    </row>
    <row r="15" spans="2:29" x14ac:dyDescent="0.25">
      <c r="B15" s="51" t="s">
        <v>1602</v>
      </c>
      <c r="D15" s="109" t="s">
        <v>1636</v>
      </c>
      <c r="E15" s="51" t="s">
        <v>304</v>
      </c>
      <c r="F15" s="109" t="s">
        <v>1613</v>
      </c>
      <c r="H15" s="109" t="s">
        <v>1653</v>
      </c>
      <c r="J15" s="109" t="s">
        <v>1670</v>
      </c>
      <c r="K15" s="51" t="s">
        <v>304</v>
      </c>
      <c r="L15" s="109" t="s">
        <v>1687</v>
      </c>
      <c r="N15" s="109" t="s">
        <v>1704</v>
      </c>
      <c r="O15" s="111" t="s">
        <v>7847</v>
      </c>
      <c r="P15" s="109" t="s">
        <v>1721</v>
      </c>
      <c r="R15" s="109" t="s">
        <v>1738</v>
      </c>
      <c r="S15" s="51" t="s">
        <v>304</v>
      </c>
      <c r="T15" s="109" t="s">
        <v>1755</v>
      </c>
      <c r="V15" s="109" t="s">
        <v>1772</v>
      </c>
    </row>
    <row r="16" spans="2:29" x14ac:dyDescent="0.25">
      <c r="B16" s="51" t="s">
        <v>1603</v>
      </c>
      <c r="D16" s="109" t="s">
        <v>1637</v>
      </c>
      <c r="E16" s="51" t="s">
        <v>304</v>
      </c>
      <c r="F16" s="109" t="s">
        <v>1614</v>
      </c>
      <c r="H16" s="109" t="s">
        <v>1654</v>
      </c>
      <c r="J16" s="109" t="s">
        <v>1671</v>
      </c>
      <c r="K16" s="51" t="s">
        <v>304</v>
      </c>
      <c r="L16" s="109" t="s">
        <v>1688</v>
      </c>
      <c r="N16" s="109" t="s">
        <v>1705</v>
      </c>
      <c r="O16" s="111" t="s">
        <v>7847</v>
      </c>
      <c r="P16" s="109" t="s">
        <v>1722</v>
      </c>
      <c r="R16" s="109" t="s">
        <v>1739</v>
      </c>
      <c r="S16" s="51" t="s">
        <v>304</v>
      </c>
      <c r="T16" s="109" t="s">
        <v>1756</v>
      </c>
      <c r="V16" s="109" t="s">
        <v>1773</v>
      </c>
    </row>
    <row r="17" spans="1:43" x14ac:dyDescent="0.25">
      <c r="B17" s="51" t="s">
        <v>1604</v>
      </c>
      <c r="D17" s="109" t="s">
        <v>1638</v>
      </c>
      <c r="E17" s="51" t="s">
        <v>304</v>
      </c>
      <c r="F17" s="109" t="s">
        <v>1615</v>
      </c>
      <c r="H17" s="109" t="s">
        <v>1655</v>
      </c>
      <c r="J17" s="109" t="s">
        <v>1672</v>
      </c>
      <c r="K17" s="51" t="s">
        <v>304</v>
      </c>
      <c r="L17" s="109" t="s">
        <v>1689</v>
      </c>
      <c r="N17" s="109" t="s">
        <v>1706</v>
      </c>
      <c r="O17" s="111" t="s">
        <v>7847</v>
      </c>
      <c r="P17" s="109" t="s">
        <v>1723</v>
      </c>
      <c r="R17" s="109" t="s">
        <v>1740</v>
      </c>
      <c r="S17" s="51" t="s">
        <v>304</v>
      </c>
      <c r="T17" s="109" t="s">
        <v>1757</v>
      </c>
      <c r="V17" s="109" t="s">
        <v>1774</v>
      </c>
    </row>
    <row r="18" spans="1:43" x14ac:dyDescent="0.25">
      <c r="B18" s="51" t="s">
        <v>1605</v>
      </c>
      <c r="D18" s="109" t="s">
        <v>1639</v>
      </c>
      <c r="E18" s="51" t="s">
        <v>304</v>
      </c>
      <c r="F18" s="109" t="s">
        <v>1616</v>
      </c>
      <c r="H18" s="109" t="s">
        <v>1656</v>
      </c>
      <c r="J18" s="109" t="s">
        <v>1673</v>
      </c>
      <c r="K18" s="51" t="s">
        <v>304</v>
      </c>
      <c r="L18" s="109" t="s">
        <v>1690</v>
      </c>
      <c r="N18" s="109" t="s">
        <v>1707</v>
      </c>
      <c r="O18" s="51" t="s">
        <v>7847</v>
      </c>
      <c r="P18" s="109" t="s">
        <v>1724</v>
      </c>
      <c r="R18" s="109" t="s">
        <v>1741</v>
      </c>
      <c r="S18" s="51" t="s">
        <v>304</v>
      </c>
      <c r="T18" s="109" t="s">
        <v>1758</v>
      </c>
      <c r="V18" s="109" t="s">
        <v>1775</v>
      </c>
    </row>
    <row r="19" spans="1:43" x14ac:dyDescent="0.25">
      <c r="A19" s="109"/>
      <c r="B19" s="51" t="s">
        <v>1606</v>
      </c>
      <c r="D19" s="109" t="s">
        <v>1640</v>
      </c>
      <c r="E19" s="51" t="s">
        <v>304</v>
      </c>
      <c r="F19" s="109" t="s">
        <v>1617</v>
      </c>
      <c r="H19" s="109" t="s">
        <v>1657</v>
      </c>
      <c r="J19" s="109" t="s">
        <v>1674</v>
      </c>
      <c r="K19" s="51" t="s">
        <v>304</v>
      </c>
      <c r="L19" s="109" t="s">
        <v>1691</v>
      </c>
      <c r="N19" s="109" t="s">
        <v>1708</v>
      </c>
      <c r="O19" s="51" t="s">
        <v>7847</v>
      </c>
      <c r="P19" s="109" t="s">
        <v>1725</v>
      </c>
      <c r="R19" s="109" t="s">
        <v>1742</v>
      </c>
      <c r="S19" s="51" t="s">
        <v>304</v>
      </c>
      <c r="T19" s="109" t="s">
        <v>1759</v>
      </c>
      <c r="V19" s="109" t="s">
        <v>1776</v>
      </c>
    </row>
    <row r="20" spans="1:43" x14ac:dyDescent="0.25">
      <c r="A20" s="109"/>
      <c r="B20" s="51" t="s">
        <v>1607</v>
      </c>
      <c r="D20" s="109" t="s">
        <v>1641</v>
      </c>
      <c r="E20" s="51" t="s">
        <v>304</v>
      </c>
      <c r="F20" s="109" t="s">
        <v>1618</v>
      </c>
      <c r="H20" s="109" t="s">
        <v>1658</v>
      </c>
      <c r="J20" s="109" t="s">
        <v>1675</v>
      </c>
      <c r="K20" s="51" t="s">
        <v>304</v>
      </c>
      <c r="L20" s="109" t="s">
        <v>1692</v>
      </c>
      <c r="N20" s="109" t="s">
        <v>1709</v>
      </c>
      <c r="P20" s="109" t="s">
        <v>1728</v>
      </c>
      <c r="R20" s="109" t="s">
        <v>1743</v>
      </c>
      <c r="S20" s="51" t="s">
        <v>304</v>
      </c>
      <c r="T20" s="109" t="s">
        <v>1760</v>
      </c>
      <c r="V20" s="109" t="s">
        <v>1777</v>
      </c>
    </row>
    <row r="21" spans="1:43" x14ac:dyDescent="0.25">
      <c r="A21" s="109"/>
      <c r="B21" s="51" t="s">
        <v>1608</v>
      </c>
      <c r="D21" s="109" t="s">
        <v>1642</v>
      </c>
      <c r="E21" s="51" t="s">
        <v>304</v>
      </c>
      <c r="F21" s="109" t="s">
        <v>1619</v>
      </c>
      <c r="H21" s="109" t="s">
        <v>1659</v>
      </c>
      <c r="J21" s="109" t="s">
        <v>1676</v>
      </c>
      <c r="K21" s="51" t="s">
        <v>304</v>
      </c>
      <c r="L21" s="109" t="s">
        <v>1693</v>
      </c>
      <c r="N21" s="109" t="s">
        <v>1710</v>
      </c>
      <c r="P21" s="109" t="s">
        <v>1729</v>
      </c>
      <c r="R21" s="109" t="s">
        <v>1744</v>
      </c>
      <c r="S21" s="51" t="s">
        <v>304</v>
      </c>
      <c r="T21" s="109" t="s">
        <v>1761</v>
      </c>
      <c r="V21" s="109" t="s">
        <v>1778</v>
      </c>
    </row>
    <row r="22" spans="1:43" x14ac:dyDescent="0.25">
      <c r="A22" s="109" t="s">
        <v>303</v>
      </c>
      <c r="B22" s="51">
        <f t="shared" ref="B22" si="0">COUNTIF(B5:B21,"&lt;&gt;")</f>
        <v>17</v>
      </c>
      <c r="C22" s="51">
        <f>COUNTIF(C5:C21,"Y")</f>
        <v>0</v>
      </c>
      <c r="D22" s="51">
        <f t="shared" ref="D22" si="1">COUNTIF(D5:D21,"&lt;&gt;")</f>
        <v>17</v>
      </c>
      <c r="E22" s="51">
        <f>COUNTIF(E5:E21,"Y")</f>
        <v>17</v>
      </c>
      <c r="F22" s="51">
        <f t="shared" ref="F22" si="2">COUNTIF(F5:F21,"&lt;&gt;")</f>
        <v>17</v>
      </c>
      <c r="G22" s="51">
        <f>COUNTIF(G5:G21,"Y")</f>
        <v>0</v>
      </c>
      <c r="H22" s="51">
        <f t="shared" ref="H22" si="3">COUNTIF(H5:H21,"&lt;&gt;")</f>
        <v>17</v>
      </c>
      <c r="I22" s="51">
        <f>COUNTIF(I5:I21,"Y")</f>
        <v>0</v>
      </c>
      <c r="J22" s="51">
        <f t="shared" ref="J22" si="4">COUNTIF(J5:J21,"&lt;&gt;")</f>
        <v>17</v>
      </c>
      <c r="K22" s="51">
        <f>COUNTIF(K5:K21,"Y")</f>
        <v>17</v>
      </c>
      <c r="L22" s="51">
        <f t="shared" ref="L22" si="5">COUNTIF(L5:L21,"&lt;&gt;")</f>
        <v>17</v>
      </c>
      <c r="M22" s="51">
        <f>COUNTIF(M5:M21,"Y")</f>
        <v>0</v>
      </c>
      <c r="N22" s="51">
        <f t="shared" ref="N22" si="6">COUNTIF(N5:N21,"&lt;&gt;")</f>
        <v>17</v>
      </c>
      <c r="O22" s="51">
        <f>COUNTIF(O5:O21,"Y")</f>
        <v>15</v>
      </c>
      <c r="P22" s="109">
        <f t="shared" ref="P22" si="7">COUNTIF(P5:P21,"&lt;&gt;")</f>
        <v>17</v>
      </c>
      <c r="Q22" s="109">
        <f>COUNTIF(Q5:Q21,"Y")</f>
        <v>0</v>
      </c>
      <c r="R22" s="109">
        <f t="shared" ref="R22" si="8">COUNTIF(R5:R21,"&lt;&gt;")</f>
        <v>17</v>
      </c>
      <c r="S22" s="109">
        <f>COUNTIF(S5:S21,"Y")</f>
        <v>17</v>
      </c>
      <c r="T22" s="109">
        <f t="shared" ref="T22" si="9">COUNTIF(T5:T21,"&lt;&gt;")</f>
        <v>17</v>
      </c>
      <c r="U22" s="109">
        <f>COUNTIF(U5:U21,"Y")</f>
        <v>0</v>
      </c>
      <c r="V22" s="109">
        <f t="shared" ref="V22" si="10">COUNTIF(V5:V21,"&lt;&gt;")</f>
        <v>17</v>
      </c>
      <c r="W22" s="109">
        <f>COUNTIF(W5:W21,"Y")</f>
        <v>0</v>
      </c>
    </row>
    <row r="23" spans="1:43" x14ac:dyDescent="0.25">
      <c r="A23" s="109"/>
    </row>
    <row r="24" spans="1:43" x14ac:dyDescent="0.25">
      <c r="A24" s="109"/>
      <c r="B24" s="51" t="s">
        <v>1591</v>
      </c>
      <c r="C24" s="51" t="s">
        <v>302</v>
      </c>
      <c r="D24" s="51">
        <f>SUM(B38,D38,F38,H38,J38,L38,N38,P38,R38,T38,V38,X38,Z38,AB38,AD38,AF38,AH38,AJ38,AL38,AN38,AP38)</f>
        <v>252</v>
      </c>
      <c r="E24" s="51" t="s">
        <v>301</v>
      </c>
      <c r="F24" s="51">
        <f>SUM(C38,E38,G38,I38,K38,M38,O38,Q38,S38,U38,W38,Y38,AA38,AC38,AE38,AG38,AI38,AK38,AM38,AO38,AQ38)</f>
        <v>108</v>
      </c>
      <c r="G24" s="51" t="s">
        <v>305</v>
      </c>
      <c r="H24" s="51">
        <f>D24-F24</f>
        <v>144</v>
      </c>
    </row>
    <row r="25" spans="1:43" x14ac:dyDescent="0.25">
      <c r="A25" s="109"/>
      <c r="B25" s="109" t="str">
        <f>LEFT(B26,FIND("_P",B26)-1)</f>
        <v>CPT_035</v>
      </c>
      <c r="C25" s="51" t="s">
        <v>301</v>
      </c>
      <c r="D25" s="109" t="str">
        <f t="shared" ref="D25" si="11">LEFT(D26,FIND("_P",D26)-1)</f>
        <v>CPT_037</v>
      </c>
      <c r="E25" s="109" t="s">
        <v>301</v>
      </c>
      <c r="F25" s="109" t="str">
        <f t="shared" ref="F25" si="12">LEFT(F26,FIND("_P",F26)-1)</f>
        <v>CPT_058</v>
      </c>
      <c r="G25" s="109" t="s">
        <v>301</v>
      </c>
      <c r="H25" s="109" t="str">
        <f t="shared" ref="H25" si="13">LEFT(H26,FIND("_P",H26)-1)</f>
        <v>CPT_114</v>
      </c>
      <c r="I25" s="109" t="s">
        <v>301</v>
      </c>
      <c r="J25" s="109" t="str">
        <f t="shared" ref="J25" si="14">LEFT(J26,FIND("_P",J26)-1)</f>
        <v>CPT_124</v>
      </c>
      <c r="K25" s="109" t="s">
        <v>301</v>
      </c>
      <c r="L25" s="109" t="str">
        <f t="shared" ref="L25" si="15">LEFT(L26,FIND("_P",L26)-1)</f>
        <v>CPT_125</v>
      </c>
      <c r="M25" s="109" t="s">
        <v>301</v>
      </c>
      <c r="N25" s="109" t="str">
        <f t="shared" ref="N25" si="16">LEFT(N26,FIND("_P",N26)-1)</f>
        <v>CPT_149</v>
      </c>
      <c r="O25" s="109" t="s">
        <v>301</v>
      </c>
      <c r="P25" s="109" t="str">
        <f t="shared" ref="P25" si="17">LEFT(P26,FIND("_P",P26)-1)</f>
        <v>CPT_169</v>
      </c>
      <c r="Q25" s="109" t="s">
        <v>301</v>
      </c>
      <c r="R25" s="109" t="str">
        <f t="shared" ref="R25" si="18">LEFT(R26,FIND("_P",R26)-1)</f>
        <v>CPT_193</v>
      </c>
      <c r="S25" s="109" t="s">
        <v>301</v>
      </c>
      <c r="T25" s="109" t="str">
        <f t="shared" ref="T25" si="19">LEFT(T26,FIND("_P",T26)-1)</f>
        <v>CPT_202</v>
      </c>
      <c r="U25" s="109" t="s">
        <v>301</v>
      </c>
      <c r="V25" s="109" t="str">
        <f t="shared" ref="V25" si="20">LEFT(V26,FIND("_P",V26)-1)</f>
        <v>CPT_206</v>
      </c>
      <c r="W25" s="109" t="s">
        <v>301</v>
      </c>
      <c r="X25" s="109" t="str">
        <f t="shared" ref="X25" si="21">LEFT(X26,FIND("_P",X26)-1)</f>
        <v>CPT_214</v>
      </c>
      <c r="Y25" s="109" t="s">
        <v>301</v>
      </c>
      <c r="Z25" s="109" t="str">
        <f t="shared" ref="Z25" si="22">LEFT(Z26,FIND("_P",Z26)-1)</f>
        <v>CPT_221</v>
      </c>
      <c r="AA25" s="109" t="s">
        <v>301</v>
      </c>
      <c r="AB25" s="109" t="str">
        <f t="shared" ref="AB25" si="23">LEFT(AB26,FIND("_P",AB26)-1)</f>
        <v>CPT_224</v>
      </c>
      <c r="AC25" s="109" t="s">
        <v>301</v>
      </c>
      <c r="AD25" s="109" t="str">
        <f t="shared" ref="AD25" si="24">LEFT(AD26,FIND("_P",AD26)-1)</f>
        <v>CPT_229</v>
      </c>
      <c r="AE25" s="109" t="s">
        <v>301</v>
      </c>
      <c r="AF25" s="109" t="str">
        <f t="shared" ref="AF25" si="25">LEFT(AF26,FIND("_P",AF26)-1)</f>
        <v>CPT_254</v>
      </c>
      <c r="AG25" s="109" t="s">
        <v>301</v>
      </c>
      <c r="AH25" s="109" t="str">
        <f t="shared" ref="AH25" si="26">LEFT(AH26,FIND("_P",AH26)-1)</f>
        <v>CPT_255</v>
      </c>
      <c r="AI25" s="109" t="s">
        <v>301</v>
      </c>
      <c r="AJ25" s="109" t="str">
        <f t="shared" ref="AJ25" si="27">LEFT(AJ26,FIND("_P",AJ26)-1)</f>
        <v>CPT_259</v>
      </c>
      <c r="AK25" s="109" t="s">
        <v>301</v>
      </c>
      <c r="AL25" s="109" t="str">
        <f t="shared" ref="AL25" si="28">LEFT(AL26,FIND("_P",AL26)-1)</f>
        <v>CPT_321</v>
      </c>
      <c r="AM25" s="109" t="s">
        <v>301</v>
      </c>
      <c r="AN25" s="109" t="str">
        <f t="shared" ref="AN25" si="29">LEFT(AN26,FIND("_P",AN26)-1)</f>
        <v>CPT_329</v>
      </c>
      <c r="AO25" s="109" t="s">
        <v>301</v>
      </c>
      <c r="AP25" s="109" t="str">
        <f t="shared" ref="AP25:AQ25" si="30">LEFT(AP26,FIND("_P",AP26)-1)</f>
        <v>CPT_336</v>
      </c>
      <c r="AQ25" s="109" t="s">
        <v>301</v>
      </c>
    </row>
    <row r="26" spans="1:43" x14ac:dyDescent="0.25">
      <c r="A26" s="109"/>
      <c r="B26" s="109" t="s">
        <v>1779</v>
      </c>
      <c r="D26" s="109" t="s">
        <v>1791</v>
      </c>
      <c r="E26" s="51" t="s">
        <v>304</v>
      </c>
      <c r="F26" s="109" t="s">
        <v>1803</v>
      </c>
      <c r="H26" s="109" t="s">
        <v>1815</v>
      </c>
      <c r="I26" s="51" t="s">
        <v>7847</v>
      </c>
      <c r="J26" s="109" t="s">
        <v>1827</v>
      </c>
      <c r="L26" s="109" t="s">
        <v>1839</v>
      </c>
      <c r="N26" s="109" t="s">
        <v>1851</v>
      </c>
      <c r="P26" s="109" t="s">
        <v>1863</v>
      </c>
      <c r="R26" s="109" t="s">
        <v>1875</v>
      </c>
      <c r="T26" s="109" t="s">
        <v>1883</v>
      </c>
      <c r="V26" s="109" t="s">
        <v>1895</v>
      </c>
      <c r="W26" s="51" t="s">
        <v>304</v>
      </c>
      <c r="X26" s="109" t="s">
        <v>1907</v>
      </c>
      <c r="Y26" s="51" t="s">
        <v>304</v>
      </c>
      <c r="Z26" s="109" t="s">
        <v>1919</v>
      </c>
      <c r="AB26" s="109" t="s">
        <v>1931</v>
      </c>
      <c r="AC26" s="51" t="s">
        <v>304</v>
      </c>
      <c r="AD26" s="109" t="s">
        <v>1943</v>
      </c>
      <c r="AF26" s="109" t="s">
        <v>1955</v>
      </c>
      <c r="AH26" s="109" t="s">
        <v>1967</v>
      </c>
      <c r="AI26" s="51" t="s">
        <v>304</v>
      </c>
      <c r="AJ26" s="109" t="s">
        <v>1979</v>
      </c>
      <c r="AK26" s="51" t="s">
        <v>7847</v>
      </c>
      <c r="AL26" s="109" t="s">
        <v>1991</v>
      </c>
      <c r="AM26" s="51" t="s">
        <v>304</v>
      </c>
      <c r="AN26" s="109" t="s">
        <v>2003</v>
      </c>
      <c r="AP26" s="109" t="s">
        <v>2015</v>
      </c>
      <c r="AQ26" s="51" t="s">
        <v>7847</v>
      </c>
    </row>
    <row r="27" spans="1:43" x14ac:dyDescent="0.25">
      <c r="A27" s="109"/>
      <c r="B27" s="109" t="s">
        <v>1780</v>
      </c>
      <c r="D27" s="109" t="s">
        <v>1792</v>
      </c>
      <c r="E27" s="51" t="s">
        <v>304</v>
      </c>
      <c r="F27" s="109" t="s">
        <v>1804</v>
      </c>
      <c r="H27" s="109" t="s">
        <v>1816</v>
      </c>
      <c r="I27" s="51" t="s">
        <v>7847</v>
      </c>
      <c r="J27" s="109" t="s">
        <v>1828</v>
      </c>
      <c r="L27" s="109" t="s">
        <v>1840</v>
      </c>
      <c r="N27" s="109" t="s">
        <v>1852</v>
      </c>
      <c r="P27" s="109" t="s">
        <v>1864</v>
      </c>
      <c r="R27" s="109" t="s">
        <v>1876</v>
      </c>
      <c r="T27" s="109" t="s">
        <v>1884</v>
      </c>
      <c r="V27" s="109" t="s">
        <v>1896</v>
      </c>
      <c r="W27" s="51" t="s">
        <v>304</v>
      </c>
      <c r="X27" s="109" t="s">
        <v>1908</v>
      </c>
      <c r="Y27" s="51" t="s">
        <v>304</v>
      </c>
      <c r="Z27" s="109" t="s">
        <v>1920</v>
      </c>
      <c r="AB27" s="109" t="s">
        <v>1932</v>
      </c>
      <c r="AC27" s="94" t="s">
        <v>304</v>
      </c>
      <c r="AD27" s="109" t="s">
        <v>1944</v>
      </c>
      <c r="AF27" s="109" t="s">
        <v>1956</v>
      </c>
      <c r="AH27" s="109" t="s">
        <v>1968</v>
      </c>
      <c r="AI27" s="51" t="s">
        <v>304</v>
      </c>
      <c r="AJ27" s="109" t="s">
        <v>1980</v>
      </c>
      <c r="AK27" s="51" t="s">
        <v>7847</v>
      </c>
      <c r="AL27" s="109" t="s">
        <v>1992</v>
      </c>
      <c r="AM27" s="51" t="s">
        <v>304</v>
      </c>
      <c r="AN27" s="109" t="s">
        <v>2004</v>
      </c>
      <c r="AP27" s="109" t="s">
        <v>2016</v>
      </c>
      <c r="AQ27" s="111" t="s">
        <v>7847</v>
      </c>
    </row>
    <row r="28" spans="1:43" x14ac:dyDescent="0.25">
      <c r="A28" s="109"/>
      <c r="B28" s="109" t="s">
        <v>1781</v>
      </c>
      <c r="D28" s="109" t="s">
        <v>1793</v>
      </c>
      <c r="E28" s="51" t="s">
        <v>304</v>
      </c>
      <c r="F28" s="109" t="s">
        <v>1805</v>
      </c>
      <c r="H28" s="109" t="s">
        <v>1817</v>
      </c>
      <c r="I28" s="51" t="s">
        <v>7847</v>
      </c>
      <c r="J28" s="109" t="s">
        <v>1829</v>
      </c>
      <c r="L28" s="109" t="s">
        <v>1841</v>
      </c>
      <c r="N28" s="109" t="s">
        <v>1853</v>
      </c>
      <c r="P28" s="109" t="s">
        <v>1865</v>
      </c>
      <c r="R28" s="109" t="s">
        <v>2027</v>
      </c>
      <c r="T28" s="109" t="s">
        <v>1885</v>
      </c>
      <c r="V28" s="109" t="s">
        <v>1897</v>
      </c>
      <c r="W28" s="51" t="s">
        <v>304</v>
      </c>
      <c r="X28" s="109" t="s">
        <v>1909</v>
      </c>
      <c r="Y28" s="51" t="s">
        <v>304</v>
      </c>
      <c r="Z28" s="109" t="s">
        <v>1921</v>
      </c>
      <c r="AB28" s="109" t="s">
        <v>1933</v>
      </c>
      <c r="AC28" s="51" t="s">
        <v>304</v>
      </c>
      <c r="AD28" s="109" t="s">
        <v>1945</v>
      </c>
      <c r="AF28" s="109" t="s">
        <v>1957</v>
      </c>
      <c r="AH28" s="109" t="s">
        <v>1969</v>
      </c>
      <c r="AI28" s="51" t="s">
        <v>304</v>
      </c>
      <c r="AJ28" s="109" t="s">
        <v>1981</v>
      </c>
      <c r="AK28" s="51" t="s">
        <v>304</v>
      </c>
      <c r="AL28" s="109" t="s">
        <v>1993</v>
      </c>
      <c r="AM28" s="51" t="s">
        <v>304</v>
      </c>
      <c r="AN28" s="109" t="s">
        <v>2005</v>
      </c>
      <c r="AP28" s="109" t="s">
        <v>2017</v>
      </c>
      <c r="AQ28" s="111" t="s">
        <v>7847</v>
      </c>
    </row>
    <row r="29" spans="1:43" x14ac:dyDescent="0.25">
      <c r="A29" s="109"/>
      <c r="B29" s="109" t="s">
        <v>1782</v>
      </c>
      <c r="D29" s="109" t="s">
        <v>1794</v>
      </c>
      <c r="E29" s="51" t="s">
        <v>304</v>
      </c>
      <c r="F29" s="109" t="s">
        <v>1806</v>
      </c>
      <c r="H29" s="109" t="s">
        <v>1818</v>
      </c>
      <c r="I29" s="51" t="s">
        <v>7847</v>
      </c>
      <c r="J29" s="109" t="s">
        <v>1830</v>
      </c>
      <c r="L29" s="109" t="s">
        <v>1842</v>
      </c>
      <c r="N29" s="109" t="s">
        <v>1854</v>
      </c>
      <c r="P29" s="109" t="s">
        <v>1866</v>
      </c>
      <c r="R29" s="109" t="s">
        <v>2028</v>
      </c>
      <c r="T29" s="109" t="s">
        <v>1886</v>
      </c>
      <c r="V29" s="109" t="s">
        <v>1898</v>
      </c>
      <c r="W29" s="51" t="s">
        <v>304</v>
      </c>
      <c r="X29" s="109" t="s">
        <v>1910</v>
      </c>
      <c r="Y29" s="51" t="s">
        <v>304</v>
      </c>
      <c r="Z29" s="109" t="s">
        <v>1922</v>
      </c>
      <c r="AB29" s="109" t="s">
        <v>1934</v>
      </c>
      <c r="AC29" s="94" t="s">
        <v>304</v>
      </c>
      <c r="AD29" s="109" t="s">
        <v>1946</v>
      </c>
      <c r="AF29" s="109" t="s">
        <v>1958</v>
      </c>
      <c r="AH29" s="109" t="s">
        <v>1970</v>
      </c>
      <c r="AI29" s="51" t="s">
        <v>304</v>
      </c>
      <c r="AJ29" s="109" t="s">
        <v>1982</v>
      </c>
      <c r="AK29" s="51" t="s">
        <v>304</v>
      </c>
      <c r="AL29" s="109" t="s">
        <v>1994</v>
      </c>
      <c r="AM29" s="51" t="s">
        <v>304</v>
      </c>
      <c r="AN29" s="109" t="s">
        <v>2006</v>
      </c>
      <c r="AP29" s="109" t="s">
        <v>2018</v>
      </c>
      <c r="AQ29" s="111" t="s">
        <v>7847</v>
      </c>
    </row>
    <row r="30" spans="1:43" x14ac:dyDescent="0.25">
      <c r="A30" s="109"/>
      <c r="B30" s="109" t="s">
        <v>1783</v>
      </c>
      <c r="D30" s="109" t="s">
        <v>1795</v>
      </c>
      <c r="E30" s="51" t="s">
        <v>304</v>
      </c>
      <c r="F30" s="109" t="s">
        <v>1807</v>
      </c>
      <c r="H30" s="109" t="s">
        <v>1819</v>
      </c>
      <c r="I30" s="51" t="s">
        <v>7847</v>
      </c>
      <c r="J30" s="109" t="s">
        <v>1831</v>
      </c>
      <c r="L30" s="109" t="s">
        <v>1843</v>
      </c>
      <c r="N30" s="109" t="s">
        <v>1855</v>
      </c>
      <c r="P30" s="109" t="s">
        <v>1867</v>
      </c>
      <c r="R30" s="109" t="s">
        <v>2029</v>
      </c>
      <c r="T30" s="109" t="s">
        <v>1887</v>
      </c>
      <c r="V30" s="109" t="s">
        <v>1899</v>
      </c>
      <c r="W30" s="51" t="s">
        <v>304</v>
      </c>
      <c r="X30" s="109" t="s">
        <v>1911</v>
      </c>
      <c r="Y30" s="51" t="s">
        <v>304</v>
      </c>
      <c r="Z30" s="109" t="s">
        <v>1923</v>
      </c>
      <c r="AB30" s="109" t="s">
        <v>1935</v>
      </c>
      <c r="AC30" s="51" t="s">
        <v>304</v>
      </c>
      <c r="AD30" s="109" t="s">
        <v>1947</v>
      </c>
      <c r="AF30" s="109" t="s">
        <v>1959</v>
      </c>
      <c r="AH30" s="109" t="s">
        <v>1971</v>
      </c>
      <c r="AI30" s="51" t="s">
        <v>304</v>
      </c>
      <c r="AJ30" s="109" t="s">
        <v>1983</v>
      </c>
      <c r="AK30" s="51" t="s">
        <v>304</v>
      </c>
      <c r="AL30" s="109" t="s">
        <v>1995</v>
      </c>
      <c r="AM30" s="51" t="s">
        <v>304</v>
      </c>
      <c r="AN30" s="109" t="s">
        <v>2007</v>
      </c>
      <c r="AP30" s="109" t="s">
        <v>2019</v>
      </c>
      <c r="AQ30" s="111" t="s">
        <v>7847</v>
      </c>
    </row>
    <row r="31" spans="1:43" x14ac:dyDescent="0.25">
      <c r="B31" s="109" t="s">
        <v>1784</v>
      </c>
      <c r="D31" s="109" t="s">
        <v>1796</v>
      </c>
      <c r="E31" s="51" t="s">
        <v>304</v>
      </c>
      <c r="F31" s="109" t="s">
        <v>1808</v>
      </c>
      <c r="H31" s="109" t="s">
        <v>1820</v>
      </c>
      <c r="I31" s="51" t="s">
        <v>7847</v>
      </c>
      <c r="J31" s="109" t="s">
        <v>1832</v>
      </c>
      <c r="L31" s="109" t="s">
        <v>1844</v>
      </c>
      <c r="N31" s="109" t="s">
        <v>1856</v>
      </c>
      <c r="P31" s="109" t="s">
        <v>1868</v>
      </c>
      <c r="R31" s="109" t="s">
        <v>2030</v>
      </c>
      <c r="T31" s="109" t="s">
        <v>1888</v>
      </c>
      <c r="V31" s="109" t="s">
        <v>1900</v>
      </c>
      <c r="W31" s="51" t="s">
        <v>304</v>
      </c>
      <c r="X31" s="109" t="s">
        <v>1912</v>
      </c>
      <c r="Y31" s="51" t="s">
        <v>304</v>
      </c>
      <c r="Z31" s="109" t="s">
        <v>1924</v>
      </c>
      <c r="AB31" s="109" t="s">
        <v>1936</v>
      </c>
      <c r="AC31" s="51" t="s">
        <v>304</v>
      </c>
      <c r="AD31" s="109" t="s">
        <v>1948</v>
      </c>
      <c r="AF31" s="109" t="s">
        <v>1960</v>
      </c>
      <c r="AH31" s="109" t="s">
        <v>1972</v>
      </c>
      <c r="AI31" s="51" t="s">
        <v>304</v>
      </c>
      <c r="AJ31" s="109" t="s">
        <v>1984</v>
      </c>
      <c r="AK31" s="51" t="s">
        <v>304</v>
      </c>
      <c r="AL31" s="109" t="s">
        <v>1996</v>
      </c>
      <c r="AM31" s="51" t="s">
        <v>304</v>
      </c>
      <c r="AN31" s="109" t="s">
        <v>2008</v>
      </c>
      <c r="AP31" s="109" t="s">
        <v>2020</v>
      </c>
      <c r="AQ31" s="111" t="s">
        <v>7847</v>
      </c>
    </row>
    <row r="32" spans="1:43" x14ac:dyDescent="0.25">
      <c r="B32" s="109" t="s">
        <v>1785</v>
      </c>
      <c r="D32" s="109" t="s">
        <v>1797</v>
      </c>
      <c r="E32" s="51" t="s">
        <v>304</v>
      </c>
      <c r="F32" s="109" t="s">
        <v>1809</v>
      </c>
      <c r="H32" s="109" t="s">
        <v>1821</v>
      </c>
      <c r="I32" s="51" t="s">
        <v>7847</v>
      </c>
      <c r="J32" s="109" t="s">
        <v>1833</v>
      </c>
      <c r="L32" s="109" t="s">
        <v>1845</v>
      </c>
      <c r="N32" s="109" t="s">
        <v>1857</v>
      </c>
      <c r="P32" s="109" t="s">
        <v>1869</v>
      </c>
      <c r="R32" s="109" t="s">
        <v>1877</v>
      </c>
      <c r="T32" s="109" t="s">
        <v>1889</v>
      </c>
      <c r="V32" s="109" t="s">
        <v>1901</v>
      </c>
      <c r="W32" s="51" t="s">
        <v>7847</v>
      </c>
      <c r="X32" s="109" t="s">
        <v>1913</v>
      </c>
      <c r="Y32" s="51" t="s">
        <v>304</v>
      </c>
      <c r="Z32" s="109" t="s">
        <v>1925</v>
      </c>
      <c r="AB32" s="109" t="s">
        <v>1937</v>
      </c>
      <c r="AC32" s="94" t="s">
        <v>304</v>
      </c>
      <c r="AD32" s="109" t="s">
        <v>1949</v>
      </c>
      <c r="AF32" s="109" t="s">
        <v>1961</v>
      </c>
      <c r="AH32" s="109" t="s">
        <v>1973</v>
      </c>
      <c r="AI32" s="51" t="s">
        <v>304</v>
      </c>
      <c r="AJ32" s="109" t="s">
        <v>1985</v>
      </c>
      <c r="AK32" s="51" t="s">
        <v>304</v>
      </c>
      <c r="AL32" s="109" t="s">
        <v>1997</v>
      </c>
      <c r="AM32" s="51" t="s">
        <v>304</v>
      </c>
      <c r="AN32" s="109" t="s">
        <v>2009</v>
      </c>
      <c r="AP32" s="109" t="s">
        <v>2021</v>
      </c>
      <c r="AQ32" s="111" t="s">
        <v>7847</v>
      </c>
    </row>
    <row r="33" spans="1:43" x14ac:dyDescent="0.25">
      <c r="B33" s="109" t="s">
        <v>1786</v>
      </c>
      <c r="D33" s="109" t="s">
        <v>1798</v>
      </c>
      <c r="E33" s="51" t="s">
        <v>304</v>
      </c>
      <c r="F33" s="109" t="s">
        <v>1810</v>
      </c>
      <c r="H33" s="109" t="s">
        <v>1822</v>
      </c>
      <c r="I33" s="51" t="s">
        <v>7847</v>
      </c>
      <c r="J33" s="109" t="s">
        <v>1834</v>
      </c>
      <c r="L33" s="109" t="s">
        <v>1846</v>
      </c>
      <c r="N33" s="109" t="s">
        <v>1858</v>
      </c>
      <c r="P33" s="109" t="s">
        <v>1870</v>
      </c>
      <c r="R33" s="109" t="s">
        <v>1878</v>
      </c>
      <c r="T33" s="109" t="s">
        <v>1890</v>
      </c>
      <c r="V33" s="109" t="s">
        <v>1902</v>
      </c>
      <c r="W33" s="51" t="s">
        <v>7847</v>
      </c>
      <c r="X33" s="109" t="s">
        <v>1914</v>
      </c>
      <c r="Y33" s="51" t="s">
        <v>304</v>
      </c>
      <c r="Z33" s="109" t="s">
        <v>1926</v>
      </c>
      <c r="AB33" s="109" t="s">
        <v>1938</v>
      </c>
      <c r="AC33" s="51" t="s">
        <v>304</v>
      </c>
      <c r="AD33" s="109" t="s">
        <v>1950</v>
      </c>
      <c r="AF33" s="109" t="s">
        <v>1962</v>
      </c>
      <c r="AH33" s="109" t="s">
        <v>1974</v>
      </c>
      <c r="AI33" s="51" t="s">
        <v>304</v>
      </c>
      <c r="AJ33" s="109" t="s">
        <v>1986</v>
      </c>
      <c r="AK33" s="51" t="s">
        <v>7847</v>
      </c>
      <c r="AL33" s="109" t="s">
        <v>1998</v>
      </c>
      <c r="AM33" s="51" t="s">
        <v>304</v>
      </c>
      <c r="AN33" s="109" t="s">
        <v>2010</v>
      </c>
      <c r="AP33" s="109" t="s">
        <v>2022</v>
      </c>
      <c r="AQ33" s="111" t="s">
        <v>7847</v>
      </c>
    </row>
    <row r="34" spans="1:43" x14ac:dyDescent="0.25">
      <c r="B34" s="109" t="s">
        <v>1787</v>
      </c>
      <c r="D34" s="109" t="s">
        <v>1799</v>
      </c>
      <c r="E34" s="51" t="s">
        <v>304</v>
      </c>
      <c r="F34" s="109" t="s">
        <v>1811</v>
      </c>
      <c r="H34" s="109" t="s">
        <v>1823</v>
      </c>
      <c r="I34" s="51" t="s">
        <v>7847</v>
      </c>
      <c r="J34" s="109" t="s">
        <v>1835</v>
      </c>
      <c r="L34" s="109" t="s">
        <v>1847</v>
      </c>
      <c r="N34" s="109" t="s">
        <v>1859</v>
      </c>
      <c r="P34" s="109" t="s">
        <v>1871</v>
      </c>
      <c r="R34" s="109" t="s">
        <v>1879</v>
      </c>
      <c r="T34" s="109" t="s">
        <v>1891</v>
      </c>
      <c r="V34" s="109" t="s">
        <v>1903</v>
      </c>
      <c r="W34" s="51" t="s">
        <v>7847</v>
      </c>
      <c r="X34" s="109" t="s">
        <v>1915</v>
      </c>
      <c r="Y34" s="51" t="s">
        <v>304</v>
      </c>
      <c r="Z34" s="109" t="s">
        <v>1927</v>
      </c>
      <c r="AB34" s="109" t="s">
        <v>1939</v>
      </c>
      <c r="AC34" s="94" t="s">
        <v>304</v>
      </c>
      <c r="AD34" s="109" t="s">
        <v>1951</v>
      </c>
      <c r="AF34" s="109" t="s">
        <v>1963</v>
      </c>
      <c r="AH34" s="109" t="s">
        <v>1975</v>
      </c>
      <c r="AI34" s="51" t="s">
        <v>304</v>
      </c>
      <c r="AJ34" s="109" t="s">
        <v>1987</v>
      </c>
      <c r="AK34" s="51" t="s">
        <v>7847</v>
      </c>
      <c r="AL34" s="109" t="s">
        <v>1999</v>
      </c>
      <c r="AM34" s="51" t="s">
        <v>304</v>
      </c>
      <c r="AN34" s="109" t="s">
        <v>2011</v>
      </c>
      <c r="AP34" s="109" t="s">
        <v>2023</v>
      </c>
      <c r="AQ34" s="111" t="s">
        <v>7847</v>
      </c>
    </row>
    <row r="35" spans="1:43" x14ac:dyDescent="0.25">
      <c r="B35" s="109" t="s">
        <v>1788</v>
      </c>
      <c r="D35" s="109" t="s">
        <v>1800</v>
      </c>
      <c r="E35" s="51" t="s">
        <v>304</v>
      </c>
      <c r="F35" s="109" t="s">
        <v>1812</v>
      </c>
      <c r="H35" s="109" t="s">
        <v>1824</v>
      </c>
      <c r="I35" s="51" t="s">
        <v>7847</v>
      </c>
      <c r="J35" s="109" t="s">
        <v>1836</v>
      </c>
      <c r="L35" s="109" t="s">
        <v>1848</v>
      </c>
      <c r="N35" s="109" t="s">
        <v>1860</v>
      </c>
      <c r="P35" s="109" t="s">
        <v>1872</v>
      </c>
      <c r="R35" s="109" t="s">
        <v>1880</v>
      </c>
      <c r="T35" s="109" t="s">
        <v>1892</v>
      </c>
      <c r="V35" s="109" t="s">
        <v>1904</v>
      </c>
      <c r="W35" s="51" t="s">
        <v>7847</v>
      </c>
      <c r="X35" s="109" t="s">
        <v>1916</v>
      </c>
      <c r="Y35" s="51" t="s">
        <v>304</v>
      </c>
      <c r="Z35" s="109" t="s">
        <v>1928</v>
      </c>
      <c r="AB35" s="109" t="s">
        <v>1940</v>
      </c>
      <c r="AC35" s="51" t="s">
        <v>304</v>
      </c>
      <c r="AD35" s="109" t="s">
        <v>1952</v>
      </c>
      <c r="AF35" s="109" t="s">
        <v>1964</v>
      </c>
      <c r="AH35" s="109" t="s">
        <v>1976</v>
      </c>
      <c r="AI35" s="51" t="s">
        <v>304</v>
      </c>
      <c r="AJ35" s="109" t="s">
        <v>1988</v>
      </c>
      <c r="AK35" s="51" t="s">
        <v>7847</v>
      </c>
      <c r="AL35" s="109" t="s">
        <v>2000</v>
      </c>
      <c r="AM35" s="51" t="s">
        <v>304</v>
      </c>
      <c r="AN35" s="109" t="s">
        <v>2012</v>
      </c>
      <c r="AP35" s="109" t="s">
        <v>2024</v>
      </c>
      <c r="AQ35" s="111" t="s">
        <v>7847</v>
      </c>
    </row>
    <row r="36" spans="1:43" x14ac:dyDescent="0.25">
      <c r="B36" s="109" t="s">
        <v>1789</v>
      </c>
      <c r="D36" s="109" t="s">
        <v>1801</v>
      </c>
      <c r="E36" s="51" t="s">
        <v>304</v>
      </c>
      <c r="F36" s="109" t="s">
        <v>1813</v>
      </c>
      <c r="H36" s="109" t="s">
        <v>1825</v>
      </c>
      <c r="I36" s="51" t="s">
        <v>7847</v>
      </c>
      <c r="J36" s="109" t="s">
        <v>1837</v>
      </c>
      <c r="L36" s="109" t="s">
        <v>1849</v>
      </c>
      <c r="N36" s="109" t="s">
        <v>1861</v>
      </c>
      <c r="P36" s="109" t="s">
        <v>1873</v>
      </c>
      <c r="R36" s="109" t="s">
        <v>1881</v>
      </c>
      <c r="T36" s="109" t="s">
        <v>1893</v>
      </c>
      <c r="V36" s="109" t="s">
        <v>1905</v>
      </c>
      <c r="W36" s="51" t="s">
        <v>7847</v>
      </c>
      <c r="X36" s="109" t="s">
        <v>1917</v>
      </c>
      <c r="Y36" s="51" t="s">
        <v>304</v>
      </c>
      <c r="Z36" s="109" t="s">
        <v>1929</v>
      </c>
      <c r="AB36" s="109" t="s">
        <v>1941</v>
      </c>
      <c r="AC36" s="94" t="s">
        <v>304</v>
      </c>
      <c r="AD36" s="109" t="s">
        <v>1953</v>
      </c>
      <c r="AF36" s="109" t="s">
        <v>1965</v>
      </c>
      <c r="AH36" s="109" t="s">
        <v>1977</v>
      </c>
      <c r="AI36" s="51" t="s">
        <v>304</v>
      </c>
      <c r="AJ36" s="109" t="s">
        <v>1989</v>
      </c>
      <c r="AK36" s="51" t="s">
        <v>7847</v>
      </c>
      <c r="AL36" s="109" t="s">
        <v>2001</v>
      </c>
      <c r="AM36" s="51" t="s">
        <v>304</v>
      </c>
      <c r="AN36" s="109" t="s">
        <v>2013</v>
      </c>
      <c r="AP36" s="109" t="s">
        <v>2025</v>
      </c>
      <c r="AQ36" s="111" t="s">
        <v>7847</v>
      </c>
    </row>
    <row r="37" spans="1:43" x14ac:dyDescent="0.25">
      <c r="B37" s="109" t="s">
        <v>1790</v>
      </c>
      <c r="D37" s="109" t="s">
        <v>1802</v>
      </c>
      <c r="E37" s="51" t="s">
        <v>304</v>
      </c>
      <c r="F37" s="109" t="s">
        <v>1814</v>
      </c>
      <c r="H37" s="109" t="s">
        <v>1826</v>
      </c>
      <c r="I37" s="51" t="s">
        <v>7847</v>
      </c>
      <c r="J37" s="109" t="s">
        <v>1838</v>
      </c>
      <c r="L37" s="109" t="s">
        <v>1850</v>
      </c>
      <c r="N37" s="109" t="s">
        <v>1862</v>
      </c>
      <c r="P37" s="109" t="s">
        <v>1874</v>
      </c>
      <c r="R37" s="109" t="s">
        <v>1882</v>
      </c>
      <c r="T37" s="109" t="s">
        <v>1894</v>
      </c>
      <c r="V37" s="109" t="s">
        <v>1906</v>
      </c>
      <c r="W37" s="51" t="s">
        <v>7847</v>
      </c>
      <c r="X37" s="109" t="s">
        <v>1918</v>
      </c>
      <c r="Y37" s="51" t="s">
        <v>304</v>
      </c>
      <c r="Z37" s="109" t="s">
        <v>1930</v>
      </c>
      <c r="AB37" s="109" t="s">
        <v>1942</v>
      </c>
      <c r="AC37" s="51" t="s">
        <v>304</v>
      </c>
      <c r="AD37" s="109" t="s">
        <v>1954</v>
      </c>
      <c r="AF37" s="109" t="s">
        <v>1966</v>
      </c>
      <c r="AH37" s="109" t="s">
        <v>1978</v>
      </c>
      <c r="AI37" s="51" t="s">
        <v>304</v>
      </c>
      <c r="AJ37" s="109" t="s">
        <v>1990</v>
      </c>
      <c r="AK37" s="51" t="s">
        <v>7847</v>
      </c>
      <c r="AL37" s="109" t="s">
        <v>2002</v>
      </c>
      <c r="AM37" s="51" t="s">
        <v>304</v>
      </c>
      <c r="AN37" s="109" t="s">
        <v>2014</v>
      </c>
      <c r="AP37" s="109" t="s">
        <v>2026</v>
      </c>
      <c r="AQ37" s="111" t="s">
        <v>7847</v>
      </c>
    </row>
    <row r="38" spans="1:43" x14ac:dyDescent="0.25">
      <c r="A38" s="51" t="s">
        <v>303</v>
      </c>
      <c r="B38" s="51">
        <f>COUNTIF(B26:B37,"&lt;&gt;")</f>
        <v>12</v>
      </c>
      <c r="C38" s="51">
        <f>COUNTIF(C26:C37,"Y")</f>
        <v>0</v>
      </c>
      <c r="D38" s="109">
        <f t="shared" ref="D38" si="31">COUNTIF(D26:D37,"&lt;&gt;")</f>
        <v>12</v>
      </c>
      <c r="E38" s="109">
        <f t="shared" ref="E38" si="32">COUNTIF(E26:E37,"Y")</f>
        <v>12</v>
      </c>
      <c r="F38" s="109">
        <f t="shared" ref="F38" si="33">COUNTIF(F26:F37,"&lt;&gt;")</f>
        <v>12</v>
      </c>
      <c r="G38" s="109">
        <f t="shared" ref="G38" si="34">COUNTIF(G26:G37,"Y")</f>
        <v>0</v>
      </c>
      <c r="H38" s="109">
        <f t="shared" ref="H38" si="35">COUNTIF(H26:H37,"&lt;&gt;")</f>
        <v>12</v>
      </c>
      <c r="I38" s="109">
        <f t="shared" ref="I38" si="36">COUNTIF(I26:I37,"Y")</f>
        <v>12</v>
      </c>
      <c r="J38" s="109">
        <f t="shared" ref="J38" si="37">COUNTIF(J26:J37,"&lt;&gt;")</f>
        <v>12</v>
      </c>
      <c r="K38" s="109">
        <f t="shared" ref="K38" si="38">COUNTIF(K26:K37,"Y")</f>
        <v>0</v>
      </c>
      <c r="L38" s="109">
        <f t="shared" ref="L38" si="39">COUNTIF(L26:L37,"&lt;&gt;")</f>
        <v>12</v>
      </c>
      <c r="M38" s="109">
        <f t="shared" ref="M38" si="40">COUNTIF(M26:M37,"Y")</f>
        <v>0</v>
      </c>
      <c r="N38" s="109">
        <f t="shared" ref="N38" si="41">COUNTIF(N26:N37,"&lt;&gt;")</f>
        <v>12</v>
      </c>
      <c r="O38" s="109">
        <f t="shared" ref="O38" si="42">COUNTIF(O26:O37,"Y")</f>
        <v>0</v>
      </c>
      <c r="P38" s="109">
        <f t="shared" ref="P38" si="43">COUNTIF(P26:P37,"&lt;&gt;")</f>
        <v>12</v>
      </c>
      <c r="Q38" s="109">
        <f t="shared" ref="Q38" si="44">COUNTIF(Q26:Q37,"Y")</f>
        <v>0</v>
      </c>
      <c r="R38" s="109">
        <f t="shared" ref="R38" si="45">COUNTIF(R26:R37,"&lt;&gt;")</f>
        <v>12</v>
      </c>
      <c r="S38" s="109">
        <f t="shared" ref="S38" si="46">COUNTIF(S26:S37,"Y")</f>
        <v>0</v>
      </c>
      <c r="T38" s="109">
        <f t="shared" ref="T38" si="47">COUNTIF(T26:T37,"&lt;&gt;")</f>
        <v>12</v>
      </c>
      <c r="U38" s="109">
        <f t="shared" ref="U38" si="48">COUNTIF(U26:U37,"Y")</f>
        <v>0</v>
      </c>
      <c r="V38" s="109">
        <f t="shared" ref="V38" si="49">COUNTIF(V26:V37,"&lt;&gt;")</f>
        <v>12</v>
      </c>
      <c r="W38" s="109">
        <f t="shared" ref="W38" si="50">COUNTIF(W26:W37,"Y")</f>
        <v>12</v>
      </c>
      <c r="X38" s="109">
        <f t="shared" ref="X38" si="51">COUNTIF(X26:X37,"&lt;&gt;")</f>
        <v>12</v>
      </c>
      <c r="Y38" s="109">
        <f t="shared" ref="Y38" si="52">COUNTIF(Y26:Y37,"Y")</f>
        <v>12</v>
      </c>
      <c r="Z38" s="109">
        <f t="shared" ref="Z38" si="53">COUNTIF(Z26:Z37,"&lt;&gt;")</f>
        <v>12</v>
      </c>
      <c r="AA38" s="109">
        <f t="shared" ref="AA38" si="54">COUNTIF(AA26:AA37,"Y")</f>
        <v>0</v>
      </c>
      <c r="AB38" s="109">
        <f t="shared" ref="AB38" si="55">COUNTIF(AB26:AB37,"&lt;&gt;")</f>
        <v>12</v>
      </c>
      <c r="AC38" s="109">
        <f t="shared" ref="AC38" si="56">COUNTIF(AC26:AC37,"Y")</f>
        <v>12</v>
      </c>
      <c r="AD38" s="109">
        <f t="shared" ref="AD38" si="57">COUNTIF(AD26:AD37,"&lt;&gt;")</f>
        <v>12</v>
      </c>
      <c r="AE38" s="109">
        <f t="shared" ref="AE38" si="58">COUNTIF(AE26:AE37,"Y")</f>
        <v>0</v>
      </c>
      <c r="AF38" s="109">
        <f t="shared" ref="AF38" si="59">COUNTIF(AF26:AF37,"&lt;&gt;")</f>
        <v>12</v>
      </c>
      <c r="AG38" s="109">
        <f t="shared" ref="AG38" si="60">COUNTIF(AG26:AG37,"Y")</f>
        <v>0</v>
      </c>
      <c r="AH38" s="109">
        <f t="shared" ref="AH38" si="61">COUNTIF(AH26:AH37,"&lt;&gt;")</f>
        <v>12</v>
      </c>
      <c r="AI38" s="109">
        <f t="shared" ref="AI38" si="62">COUNTIF(AI26:AI37,"Y")</f>
        <v>12</v>
      </c>
      <c r="AJ38" s="109">
        <f t="shared" ref="AJ38" si="63">COUNTIF(AJ26:AJ37,"&lt;&gt;")</f>
        <v>12</v>
      </c>
      <c r="AK38" s="109">
        <f t="shared" ref="AK38" si="64">COUNTIF(AK26:AK37,"Y")</f>
        <v>12</v>
      </c>
      <c r="AL38" s="109">
        <f t="shared" ref="AL38" si="65">COUNTIF(AL26:AL37,"&lt;&gt;")</f>
        <v>12</v>
      </c>
      <c r="AM38" s="109">
        <f t="shared" ref="AM38" si="66">COUNTIF(AM26:AM37,"Y")</f>
        <v>12</v>
      </c>
      <c r="AN38" s="109">
        <f t="shared" ref="AN38" si="67">COUNTIF(AN26:AN37,"&lt;&gt;")</f>
        <v>12</v>
      </c>
      <c r="AO38" s="109">
        <f t="shared" ref="AO38" si="68">COUNTIF(AO26:AO37,"Y")</f>
        <v>0</v>
      </c>
      <c r="AP38" s="109">
        <f t="shared" ref="AP38" si="69">COUNTIF(AP26:AP37,"&lt;&gt;")</f>
        <v>12</v>
      </c>
      <c r="AQ38" s="109">
        <f t="shared" ref="AQ38" si="70">COUNTIF(AQ26:AQ37,"Y")</f>
        <v>12</v>
      </c>
    </row>
    <row r="39" spans="1:43" x14ac:dyDescent="0.25">
      <c r="E39" s="161" t="s">
        <v>19297</v>
      </c>
    </row>
    <row r="53" spans="8:8" x14ac:dyDescent="0.25">
      <c r="H53" s="109"/>
    </row>
    <row r="54" spans="8:8" x14ac:dyDescent="0.25">
      <c r="H54" s="109"/>
    </row>
    <row r="55" spans="8:8" x14ac:dyDescent="0.25">
      <c r="H55" s="109"/>
    </row>
    <row r="56" spans="8:8" x14ac:dyDescent="0.25">
      <c r="H56" s="109"/>
    </row>
    <row r="57" spans="8:8" x14ac:dyDescent="0.25">
      <c r="H57" s="109"/>
    </row>
    <row r="58" spans="8:8" x14ac:dyDescent="0.25">
      <c r="H58" s="109"/>
    </row>
    <row r="59" spans="8:8" x14ac:dyDescent="0.25">
      <c r="H59" s="109"/>
    </row>
    <row r="60" spans="8:8" x14ac:dyDescent="0.25">
      <c r="H60" s="109"/>
    </row>
    <row r="61" spans="8:8" x14ac:dyDescent="0.25">
      <c r="H61" s="109"/>
    </row>
    <row r="62" spans="8:8" x14ac:dyDescent="0.25">
      <c r="H62" s="109"/>
    </row>
    <row r="63" spans="8:8" x14ac:dyDescent="0.25">
      <c r="H63" s="109"/>
    </row>
    <row r="64" spans="8:8" x14ac:dyDescent="0.25">
      <c r="H64" s="109"/>
    </row>
    <row r="65" spans="8:8" x14ac:dyDescent="0.25">
      <c r="H65" s="109"/>
    </row>
    <row r="66" spans="8:8" x14ac:dyDescent="0.25">
      <c r="H66" s="109"/>
    </row>
    <row r="67" spans="8:8" x14ac:dyDescent="0.25">
      <c r="H67" s="109"/>
    </row>
    <row r="68" spans="8:8" x14ac:dyDescent="0.25">
      <c r="H68" s="109"/>
    </row>
    <row r="69" spans="8:8" x14ac:dyDescent="0.25">
      <c r="H69" s="109"/>
    </row>
    <row r="70" spans="8:8" x14ac:dyDescent="0.25">
      <c r="H70" s="109"/>
    </row>
    <row r="71" spans="8:8" x14ac:dyDescent="0.25">
      <c r="H71" s="109"/>
    </row>
    <row r="72" spans="8:8" x14ac:dyDescent="0.25">
      <c r="H72" s="109"/>
    </row>
    <row r="73" spans="8:8" x14ac:dyDescent="0.25">
      <c r="H73" s="109"/>
    </row>
    <row r="74" spans="8:8" x14ac:dyDescent="0.25">
      <c r="H74" s="109"/>
    </row>
    <row r="75" spans="8:8" x14ac:dyDescent="0.25">
      <c r="H75" s="109"/>
    </row>
    <row r="76" spans="8:8" x14ac:dyDescent="0.25">
      <c r="H76" s="109"/>
    </row>
    <row r="77" spans="8:8" x14ac:dyDescent="0.25">
      <c r="H77" s="109"/>
    </row>
    <row r="78" spans="8:8" x14ac:dyDescent="0.25">
      <c r="H78" s="109"/>
    </row>
    <row r="79" spans="8:8" x14ac:dyDescent="0.25">
      <c r="H79" s="109"/>
    </row>
    <row r="80" spans="8:8" x14ac:dyDescent="0.25">
      <c r="H80" s="109"/>
    </row>
    <row r="81" spans="8:8" x14ac:dyDescent="0.25">
      <c r="H81" s="109"/>
    </row>
    <row r="82" spans="8:8" x14ac:dyDescent="0.25">
      <c r="H82" s="109"/>
    </row>
    <row r="83" spans="8:8" x14ac:dyDescent="0.25">
      <c r="H83" s="109"/>
    </row>
    <row r="84" spans="8:8" x14ac:dyDescent="0.25">
      <c r="H84" s="109"/>
    </row>
    <row r="85" spans="8:8" x14ac:dyDescent="0.25">
      <c r="H85" s="109"/>
    </row>
    <row r="86" spans="8:8" x14ac:dyDescent="0.25">
      <c r="H86" s="109"/>
    </row>
    <row r="87" spans="8:8" x14ac:dyDescent="0.25">
      <c r="H87" s="109"/>
    </row>
    <row r="88" spans="8:8" x14ac:dyDescent="0.25">
      <c r="H88" s="109"/>
    </row>
    <row r="89" spans="8:8" x14ac:dyDescent="0.25">
      <c r="H89" s="109"/>
    </row>
    <row r="90" spans="8:8" x14ac:dyDescent="0.25">
      <c r="H90" s="109"/>
    </row>
    <row r="91" spans="8:8" x14ac:dyDescent="0.25">
      <c r="H91" s="109"/>
    </row>
    <row r="92" spans="8:8" x14ac:dyDescent="0.25">
      <c r="H92" s="109"/>
    </row>
    <row r="93" spans="8:8" x14ac:dyDescent="0.25">
      <c r="H93" s="109"/>
    </row>
    <row r="94" spans="8:8" x14ac:dyDescent="0.25">
      <c r="H94" s="109"/>
    </row>
    <row r="95" spans="8:8" x14ac:dyDescent="0.25">
      <c r="H95" s="109"/>
    </row>
    <row r="96" spans="8:8" x14ac:dyDescent="0.25">
      <c r="H96" s="109"/>
    </row>
    <row r="97" spans="8:8" x14ac:dyDescent="0.25">
      <c r="H97" s="109"/>
    </row>
    <row r="98" spans="8:8" x14ac:dyDescent="0.25">
      <c r="H98" s="109"/>
    </row>
    <row r="99" spans="8:8" x14ac:dyDescent="0.25">
      <c r="H99" s="109"/>
    </row>
    <row r="100" spans="8:8" x14ac:dyDescent="0.25">
      <c r="H100" s="109"/>
    </row>
    <row r="101" spans="8:8" x14ac:dyDescent="0.25">
      <c r="H101" s="109"/>
    </row>
    <row r="102" spans="8:8" x14ac:dyDescent="0.25">
      <c r="H102" s="109"/>
    </row>
    <row r="103" spans="8:8" x14ac:dyDescent="0.25">
      <c r="H103" s="109"/>
    </row>
    <row r="104" spans="8:8" x14ac:dyDescent="0.25">
      <c r="H104" s="109"/>
    </row>
    <row r="105" spans="8:8" x14ac:dyDescent="0.25">
      <c r="H105" s="109"/>
    </row>
    <row r="106" spans="8:8" x14ac:dyDescent="0.25">
      <c r="H106" s="109"/>
    </row>
    <row r="107" spans="8:8" x14ac:dyDescent="0.25">
      <c r="H107" s="109"/>
    </row>
    <row r="108" spans="8:8" x14ac:dyDescent="0.25">
      <c r="H108" s="109"/>
    </row>
    <row r="109" spans="8:8" x14ac:dyDescent="0.25">
      <c r="H109" s="109"/>
    </row>
    <row r="110" spans="8:8" x14ac:dyDescent="0.25">
      <c r="H110" s="109"/>
    </row>
    <row r="111" spans="8:8" x14ac:dyDescent="0.25">
      <c r="H111" s="109"/>
    </row>
    <row r="112" spans="8:8" x14ac:dyDescent="0.25">
      <c r="H112" s="109"/>
    </row>
    <row r="113" spans="8:8" x14ac:dyDescent="0.25">
      <c r="H113" s="109"/>
    </row>
    <row r="114" spans="8:8" x14ac:dyDescent="0.25">
      <c r="H114" s="109"/>
    </row>
    <row r="115" spans="8:8" x14ac:dyDescent="0.25">
      <c r="H115" s="109"/>
    </row>
    <row r="116" spans="8:8" x14ac:dyDescent="0.25">
      <c r="H116" s="109"/>
    </row>
    <row r="117" spans="8:8" x14ac:dyDescent="0.25">
      <c r="H117" s="109"/>
    </row>
    <row r="118" spans="8:8" x14ac:dyDescent="0.25">
      <c r="H118" s="109"/>
    </row>
    <row r="119" spans="8:8" x14ac:dyDescent="0.25">
      <c r="H119" s="109"/>
    </row>
    <row r="120" spans="8:8" x14ac:dyDescent="0.25">
      <c r="H120" s="109"/>
    </row>
    <row r="121" spans="8:8" x14ac:dyDescent="0.25">
      <c r="H121" s="109"/>
    </row>
    <row r="122" spans="8:8" x14ac:dyDescent="0.25">
      <c r="H122" s="109"/>
    </row>
    <row r="123" spans="8:8" x14ac:dyDescent="0.25">
      <c r="H123" s="109"/>
    </row>
    <row r="124" spans="8:8" x14ac:dyDescent="0.25">
      <c r="H124" s="109"/>
    </row>
    <row r="125" spans="8:8" x14ac:dyDescent="0.25">
      <c r="H125" s="109"/>
    </row>
    <row r="126" spans="8:8" x14ac:dyDescent="0.25">
      <c r="H126" s="109"/>
    </row>
    <row r="127" spans="8:8" x14ac:dyDescent="0.25">
      <c r="H127" s="109"/>
    </row>
    <row r="128" spans="8:8" x14ac:dyDescent="0.25">
      <c r="H128" s="109"/>
    </row>
    <row r="129" spans="8:8" x14ac:dyDescent="0.25">
      <c r="H129" s="109"/>
    </row>
    <row r="130" spans="8:8" x14ac:dyDescent="0.25">
      <c r="H130" s="109"/>
    </row>
    <row r="131" spans="8:8" x14ac:dyDescent="0.25">
      <c r="H131" s="109"/>
    </row>
    <row r="132" spans="8:8" x14ac:dyDescent="0.25">
      <c r="H132" s="109"/>
    </row>
    <row r="133" spans="8:8" x14ac:dyDescent="0.25">
      <c r="H133" s="109"/>
    </row>
    <row r="134" spans="8:8" x14ac:dyDescent="0.25">
      <c r="H134" s="109"/>
    </row>
    <row r="135" spans="8:8" x14ac:dyDescent="0.25">
      <c r="H135" s="109"/>
    </row>
    <row r="136" spans="8:8" x14ac:dyDescent="0.25">
      <c r="H136" s="109"/>
    </row>
    <row r="137" spans="8:8" x14ac:dyDescent="0.25">
      <c r="H137" s="109"/>
    </row>
    <row r="138" spans="8:8" x14ac:dyDescent="0.25">
      <c r="H138" s="109"/>
    </row>
    <row r="139" spans="8:8" x14ac:dyDescent="0.25">
      <c r="H139" s="109"/>
    </row>
    <row r="140" spans="8:8" x14ac:dyDescent="0.25">
      <c r="H140" s="109"/>
    </row>
    <row r="141" spans="8:8" x14ac:dyDescent="0.25">
      <c r="H141" s="109"/>
    </row>
    <row r="142" spans="8:8" x14ac:dyDescent="0.25">
      <c r="H142" s="109"/>
    </row>
    <row r="143" spans="8:8" x14ac:dyDescent="0.25">
      <c r="H143" s="109"/>
    </row>
    <row r="144" spans="8:8" x14ac:dyDescent="0.25">
      <c r="H144" s="109"/>
    </row>
    <row r="145" spans="8:8" x14ac:dyDescent="0.25">
      <c r="H145" s="109"/>
    </row>
    <row r="146" spans="8:8" x14ac:dyDescent="0.25">
      <c r="H146" s="109"/>
    </row>
    <row r="147" spans="8:8" x14ac:dyDescent="0.25">
      <c r="H147" s="109"/>
    </row>
    <row r="148" spans="8:8" x14ac:dyDescent="0.25">
      <c r="H148" s="109"/>
    </row>
    <row r="149" spans="8:8" x14ac:dyDescent="0.25">
      <c r="H149" s="109"/>
    </row>
    <row r="150" spans="8:8" x14ac:dyDescent="0.25">
      <c r="H150" s="109"/>
    </row>
    <row r="151" spans="8:8" x14ac:dyDescent="0.25">
      <c r="H151" s="109"/>
    </row>
    <row r="152" spans="8:8" x14ac:dyDescent="0.25">
      <c r="H152" s="109"/>
    </row>
    <row r="153" spans="8:8" x14ac:dyDescent="0.25">
      <c r="H153" s="109"/>
    </row>
    <row r="154" spans="8:8" x14ac:dyDescent="0.25">
      <c r="H154" s="109"/>
    </row>
    <row r="155" spans="8:8" x14ac:dyDescent="0.25">
      <c r="H155" s="109"/>
    </row>
    <row r="156" spans="8:8" x14ac:dyDescent="0.25">
      <c r="H156" s="109"/>
    </row>
    <row r="157" spans="8:8" x14ac:dyDescent="0.25">
      <c r="H157" s="109"/>
    </row>
    <row r="158" spans="8:8" x14ac:dyDescent="0.25">
      <c r="H158" s="109"/>
    </row>
    <row r="159" spans="8:8" x14ac:dyDescent="0.25">
      <c r="H159" s="109"/>
    </row>
    <row r="160" spans="8:8" x14ac:dyDescent="0.25">
      <c r="H160" s="109"/>
    </row>
    <row r="161" spans="8:8" x14ac:dyDescent="0.25">
      <c r="H161" s="109"/>
    </row>
    <row r="162" spans="8:8" x14ac:dyDescent="0.25">
      <c r="H162" s="109"/>
    </row>
    <row r="163" spans="8:8" x14ac:dyDescent="0.25">
      <c r="H163" s="109"/>
    </row>
    <row r="164" spans="8:8" x14ac:dyDescent="0.25">
      <c r="H164" s="109"/>
    </row>
    <row r="165" spans="8:8" x14ac:dyDescent="0.25">
      <c r="H165" s="109"/>
    </row>
    <row r="166" spans="8:8" x14ac:dyDescent="0.25">
      <c r="H166" s="109"/>
    </row>
    <row r="167" spans="8:8" x14ac:dyDescent="0.25">
      <c r="H167" s="109"/>
    </row>
    <row r="168" spans="8:8" x14ac:dyDescent="0.25">
      <c r="H168" s="109"/>
    </row>
    <row r="169" spans="8:8" x14ac:dyDescent="0.25">
      <c r="H169" s="109"/>
    </row>
    <row r="170" spans="8:8" x14ac:dyDescent="0.25">
      <c r="H170" s="109"/>
    </row>
    <row r="171" spans="8:8" x14ac:dyDescent="0.25">
      <c r="H171" s="109"/>
    </row>
    <row r="172" spans="8:8" x14ac:dyDescent="0.25">
      <c r="H172" s="109"/>
    </row>
    <row r="173" spans="8:8" x14ac:dyDescent="0.25">
      <c r="H173" s="109"/>
    </row>
    <row r="174" spans="8:8" x14ac:dyDescent="0.25">
      <c r="H174" s="109"/>
    </row>
    <row r="175" spans="8:8" x14ac:dyDescent="0.25">
      <c r="H175" s="109"/>
    </row>
    <row r="176" spans="8:8" x14ac:dyDescent="0.25">
      <c r="H176" s="109"/>
    </row>
    <row r="177" spans="8:8" x14ac:dyDescent="0.25">
      <c r="H177" s="109"/>
    </row>
    <row r="178" spans="8:8" x14ac:dyDescent="0.25">
      <c r="H178" s="109"/>
    </row>
    <row r="179" spans="8:8" x14ac:dyDescent="0.25">
      <c r="H179" s="109"/>
    </row>
    <row r="180" spans="8:8" x14ac:dyDescent="0.25">
      <c r="H180" s="109"/>
    </row>
    <row r="181" spans="8:8" x14ac:dyDescent="0.25">
      <c r="H181" s="109"/>
    </row>
    <row r="182" spans="8:8" x14ac:dyDescent="0.25">
      <c r="H182" s="109"/>
    </row>
    <row r="183" spans="8:8" x14ac:dyDescent="0.25">
      <c r="H183" s="109"/>
    </row>
    <row r="184" spans="8:8" x14ac:dyDescent="0.25">
      <c r="H184" s="109"/>
    </row>
    <row r="185" spans="8:8" x14ac:dyDescent="0.25">
      <c r="H185" s="109"/>
    </row>
    <row r="186" spans="8:8" x14ac:dyDescent="0.25">
      <c r="H186" s="109"/>
    </row>
    <row r="187" spans="8:8" x14ac:dyDescent="0.25">
      <c r="H187" s="109"/>
    </row>
    <row r="188" spans="8:8" x14ac:dyDescent="0.25">
      <c r="H188" s="109"/>
    </row>
    <row r="189" spans="8:8" x14ac:dyDescent="0.25">
      <c r="H189" s="109"/>
    </row>
    <row r="190" spans="8:8" x14ac:dyDescent="0.25">
      <c r="H190" s="109"/>
    </row>
    <row r="191" spans="8:8" x14ac:dyDescent="0.25">
      <c r="H191" s="109"/>
    </row>
    <row r="192" spans="8:8" x14ac:dyDescent="0.25">
      <c r="H192" s="109"/>
    </row>
    <row r="193" spans="8:8" x14ac:dyDescent="0.25">
      <c r="H193" s="109"/>
    </row>
    <row r="194" spans="8:8" x14ac:dyDescent="0.25">
      <c r="H194" s="109"/>
    </row>
    <row r="195" spans="8:8" x14ac:dyDescent="0.25">
      <c r="H195" s="109"/>
    </row>
    <row r="196" spans="8:8" x14ac:dyDescent="0.25">
      <c r="H196" s="109"/>
    </row>
    <row r="197" spans="8:8" x14ac:dyDescent="0.25">
      <c r="H197" s="109"/>
    </row>
    <row r="198" spans="8:8" x14ac:dyDescent="0.25">
      <c r="H198" s="109"/>
    </row>
    <row r="199" spans="8:8" x14ac:dyDescent="0.25">
      <c r="H199" s="109"/>
    </row>
    <row r="200" spans="8:8" x14ac:dyDescent="0.25">
      <c r="H200" s="109"/>
    </row>
    <row r="201" spans="8:8" x14ac:dyDescent="0.25">
      <c r="H201" s="109"/>
    </row>
    <row r="202" spans="8:8" x14ac:dyDescent="0.25">
      <c r="H202" s="109"/>
    </row>
    <row r="203" spans="8:8" x14ac:dyDescent="0.25">
      <c r="H203" s="109"/>
    </row>
    <row r="204" spans="8:8" x14ac:dyDescent="0.25">
      <c r="H204" s="109"/>
    </row>
    <row r="205" spans="8:8" x14ac:dyDescent="0.25">
      <c r="H205" s="109"/>
    </row>
    <row r="206" spans="8:8" x14ac:dyDescent="0.25">
      <c r="H206" s="109"/>
    </row>
    <row r="207" spans="8:8" x14ac:dyDescent="0.25">
      <c r="H207" s="109"/>
    </row>
    <row r="208" spans="8:8" x14ac:dyDescent="0.25">
      <c r="H208" s="109"/>
    </row>
    <row r="209" spans="8:8" x14ac:dyDescent="0.25">
      <c r="H209" s="109"/>
    </row>
    <row r="210" spans="8:8" x14ac:dyDescent="0.25">
      <c r="H210" s="109"/>
    </row>
    <row r="211" spans="8:8" x14ac:dyDescent="0.25">
      <c r="H211" s="109"/>
    </row>
    <row r="212" spans="8:8" x14ac:dyDescent="0.25">
      <c r="H212" s="109"/>
    </row>
    <row r="213" spans="8:8" x14ac:dyDescent="0.25">
      <c r="H213" s="109"/>
    </row>
    <row r="214" spans="8:8" x14ac:dyDescent="0.25">
      <c r="H214" s="109"/>
    </row>
    <row r="215" spans="8:8" x14ac:dyDescent="0.25">
      <c r="H215" s="109"/>
    </row>
    <row r="216" spans="8:8" x14ac:dyDescent="0.25">
      <c r="H216" s="109"/>
    </row>
    <row r="217" spans="8:8" x14ac:dyDescent="0.25">
      <c r="H217" s="109"/>
    </row>
    <row r="218" spans="8:8" x14ac:dyDescent="0.25">
      <c r="H218" s="109"/>
    </row>
    <row r="219" spans="8:8" x14ac:dyDescent="0.25">
      <c r="H219" s="109"/>
    </row>
    <row r="220" spans="8:8" x14ac:dyDescent="0.25">
      <c r="H220" s="109"/>
    </row>
    <row r="221" spans="8:8" x14ac:dyDescent="0.25">
      <c r="H221" s="109"/>
    </row>
    <row r="222" spans="8:8" x14ac:dyDescent="0.25">
      <c r="H222" s="109"/>
    </row>
    <row r="223" spans="8:8" x14ac:dyDescent="0.25">
      <c r="H223" s="109"/>
    </row>
    <row r="224" spans="8:8" x14ac:dyDescent="0.25">
      <c r="H224" s="109"/>
    </row>
    <row r="225" spans="8:8" x14ac:dyDescent="0.25">
      <c r="H225" s="109"/>
    </row>
    <row r="226" spans="8:8" x14ac:dyDescent="0.25">
      <c r="H226" s="109"/>
    </row>
    <row r="227" spans="8:8" x14ac:dyDescent="0.25">
      <c r="H227" s="109"/>
    </row>
    <row r="228" spans="8:8" x14ac:dyDescent="0.25">
      <c r="H228" s="109"/>
    </row>
    <row r="229" spans="8:8" x14ac:dyDescent="0.25">
      <c r="H229" s="109"/>
    </row>
    <row r="230" spans="8:8" x14ac:dyDescent="0.25">
      <c r="H230" s="109"/>
    </row>
    <row r="231" spans="8:8" x14ac:dyDescent="0.25">
      <c r="H231" s="109"/>
    </row>
    <row r="232" spans="8:8" x14ac:dyDescent="0.25">
      <c r="H232" s="109"/>
    </row>
    <row r="233" spans="8:8" x14ac:dyDescent="0.25">
      <c r="H233" s="109"/>
    </row>
    <row r="234" spans="8:8" x14ac:dyDescent="0.25">
      <c r="H234" s="109"/>
    </row>
    <row r="235" spans="8:8" x14ac:dyDescent="0.25">
      <c r="H235" s="109"/>
    </row>
    <row r="236" spans="8:8" x14ac:dyDescent="0.25">
      <c r="H236" s="109"/>
    </row>
    <row r="237" spans="8:8" x14ac:dyDescent="0.25">
      <c r="H237" s="109"/>
    </row>
    <row r="238" spans="8:8" x14ac:dyDescent="0.25">
      <c r="H238" s="109"/>
    </row>
    <row r="239" spans="8:8" x14ac:dyDescent="0.25">
      <c r="H239" s="109"/>
    </row>
    <row r="240" spans="8:8" x14ac:dyDescent="0.25">
      <c r="H240" s="109"/>
    </row>
    <row r="241" spans="8:8" x14ac:dyDescent="0.25">
      <c r="H241" s="109"/>
    </row>
    <row r="242" spans="8:8" x14ac:dyDescent="0.25">
      <c r="H242" s="109"/>
    </row>
    <row r="243" spans="8:8" x14ac:dyDescent="0.25">
      <c r="H243" s="109"/>
    </row>
    <row r="244" spans="8:8" x14ac:dyDescent="0.25">
      <c r="H244" s="109"/>
    </row>
    <row r="245" spans="8:8" x14ac:dyDescent="0.25">
      <c r="H245" s="109"/>
    </row>
    <row r="246" spans="8:8" x14ac:dyDescent="0.25">
      <c r="H246" s="109"/>
    </row>
    <row r="247" spans="8:8" x14ac:dyDescent="0.25">
      <c r="H247" s="109"/>
    </row>
    <row r="248" spans="8:8" x14ac:dyDescent="0.25">
      <c r="H248" s="109"/>
    </row>
    <row r="249" spans="8:8" x14ac:dyDescent="0.25">
      <c r="H249" s="109"/>
    </row>
    <row r="250" spans="8:8" x14ac:dyDescent="0.25">
      <c r="H250" s="109"/>
    </row>
    <row r="251" spans="8:8" x14ac:dyDescent="0.25">
      <c r="H251" s="109"/>
    </row>
    <row r="252" spans="8:8" x14ac:dyDescent="0.25">
      <c r="H252" s="109"/>
    </row>
    <row r="253" spans="8:8" x14ac:dyDescent="0.25">
      <c r="H253" s="109"/>
    </row>
    <row r="254" spans="8:8" x14ac:dyDescent="0.25">
      <c r="H254" s="109"/>
    </row>
    <row r="255" spans="8:8" x14ac:dyDescent="0.25">
      <c r="H255" s="109"/>
    </row>
    <row r="256" spans="8:8" x14ac:dyDescent="0.25">
      <c r="H256" s="109"/>
    </row>
  </sheetData>
  <conditionalFormatting sqref="B3:H3 A4:XFD38">
    <cfRule type="cellIs" dxfId="4" priority="3" operator="equal">
      <formula>"y"</formula>
    </cfRule>
  </conditionalFormatting>
  <conditionalFormatting sqref="E39">
    <cfRule type="cellIs" dxfId="3" priority="1" operator="equal">
      <formula>"y"</formula>
    </cfRule>
  </conditionalFormatting>
  <pageMargins left="0.7" right="0.7" top="0.75" bottom="0.75" header="0.3" footer="0.3"/>
  <pageSetup orientation="portrait" verticalDpi="597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E29A8-2A0C-406D-9625-AC65BED93F79}">
  <sheetPr codeName="Sheet11"/>
  <dimension ref="A1:AR38"/>
  <sheetViews>
    <sheetView workbookViewId="0">
      <selection activeCell="R29" sqref="R29"/>
    </sheetView>
  </sheetViews>
  <sheetFormatPr defaultRowHeight="15" x14ac:dyDescent="0.25"/>
  <cols>
    <col min="1" max="1" width="10" bestFit="1" customWidth="1"/>
    <col min="2" max="2" width="14.5703125" bestFit="1" customWidth="1"/>
    <col min="3" max="3" width="10.85546875" bestFit="1" customWidth="1"/>
    <col min="4" max="4" width="12.42578125" bestFit="1" customWidth="1"/>
    <col min="5" max="5" width="10.85546875" bestFit="1" customWidth="1"/>
    <col min="6" max="6" width="12.42578125" bestFit="1" customWidth="1"/>
    <col min="7" max="7" width="10.85546875" bestFit="1" customWidth="1"/>
    <col min="8" max="8" width="12.42578125" bestFit="1" customWidth="1"/>
    <col min="9" max="9" width="10.85546875" bestFit="1" customWidth="1"/>
    <col min="10" max="10" width="12.42578125" bestFit="1" customWidth="1"/>
    <col min="11" max="11" width="10.85546875" bestFit="1" customWidth="1"/>
    <col min="12" max="12" width="12.42578125" bestFit="1" customWidth="1"/>
    <col min="13" max="13" width="10.85546875" bestFit="1" customWidth="1"/>
    <col min="14" max="14" width="12.42578125" bestFit="1" customWidth="1"/>
    <col min="15" max="15" width="10.85546875" bestFit="1" customWidth="1"/>
    <col min="18" max="18" width="12.42578125" bestFit="1" customWidth="1"/>
    <col min="19" max="19" width="10.85546875" bestFit="1" customWidth="1"/>
    <col min="20" max="20" width="12.42578125" bestFit="1" customWidth="1"/>
    <col min="22" max="22" width="12.42578125" bestFit="1" customWidth="1"/>
    <col min="24" max="24" width="12.42578125" bestFit="1" customWidth="1"/>
    <col min="26" max="26" width="12.42578125" bestFit="1" customWidth="1"/>
    <col min="28" max="28" width="12.42578125" bestFit="1" customWidth="1"/>
    <col min="30" max="30" width="12.42578125" bestFit="1" customWidth="1"/>
    <col min="32" max="32" width="12.42578125" bestFit="1" customWidth="1"/>
    <col min="34" max="34" width="12.42578125" bestFit="1" customWidth="1"/>
    <col min="36" max="36" width="12.42578125" bestFit="1" customWidth="1"/>
  </cols>
  <sheetData>
    <row r="1" spans="1:29" s="111" customFormat="1" x14ac:dyDescent="0.25">
      <c r="B1" s="111" t="s">
        <v>14577</v>
      </c>
      <c r="C1" s="111">
        <f>SUM(D3,D24)</f>
        <v>335</v>
      </c>
      <c r="D1" s="111" t="s">
        <v>301</v>
      </c>
      <c r="E1" s="111">
        <f>SUM(F3,F24)</f>
        <v>53</v>
      </c>
      <c r="F1" s="111" t="s">
        <v>14579</v>
      </c>
      <c r="G1" s="111">
        <f>SUM(H3,H24)</f>
        <v>282</v>
      </c>
      <c r="H1" s="111" t="s">
        <v>14578</v>
      </c>
      <c r="I1" s="131">
        <f>(E1/C1)</f>
        <v>0.15820895522388059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1:29" s="111" customFormat="1" x14ac:dyDescent="0.25"/>
    <row r="3" spans="1:29" x14ac:dyDescent="0.25">
      <c r="A3" s="109"/>
      <c r="B3" s="109" t="s">
        <v>2402</v>
      </c>
      <c r="C3" s="109" t="s">
        <v>302</v>
      </c>
      <c r="D3" s="109">
        <f>SUM(B22,D22,F22,H22,J22,L22,N22,P22,R22,T22,V22)</f>
        <v>119</v>
      </c>
      <c r="E3" s="109" t="s">
        <v>301</v>
      </c>
      <c r="F3" s="109">
        <f>SUM(C22,E22,G22,I22,K22,M22,O22,Q22,S22,U22,W22)</f>
        <v>17</v>
      </c>
      <c r="G3" s="109" t="s">
        <v>305</v>
      </c>
      <c r="H3" s="109">
        <f>D3-F3</f>
        <v>102</v>
      </c>
      <c r="I3" s="109"/>
    </row>
    <row r="4" spans="1:29" x14ac:dyDescent="0.25">
      <c r="A4" s="109"/>
      <c r="B4" s="109" t="str">
        <f>LEFT(B5,FIND("_C",B5)-1)</f>
        <v>BH_019</v>
      </c>
      <c r="C4" s="109" t="s">
        <v>301</v>
      </c>
      <c r="D4" s="109" t="str">
        <f>LEFT(D5,FIND("_C",D5)-1)</f>
        <v>BH_022</v>
      </c>
      <c r="E4" s="109" t="s">
        <v>301</v>
      </c>
      <c r="F4" s="109" t="str">
        <f>LEFT(F5,FIND("_C",F5)-1)</f>
        <v>BH_025</v>
      </c>
      <c r="G4" s="109" t="s">
        <v>301</v>
      </c>
      <c r="H4" s="109" t="str">
        <f>LEFT(H5,FIND("_C",H5)-1)</f>
        <v>BH_052</v>
      </c>
      <c r="I4" s="109" t="s">
        <v>301</v>
      </c>
      <c r="J4" s="109" t="str">
        <f>LEFT(J5,FIND("_C",J5)-1)</f>
        <v>BH_074</v>
      </c>
      <c r="K4" s="109" t="s">
        <v>301</v>
      </c>
      <c r="L4" s="109" t="str">
        <f>LEFT(L5,FIND("_C",L5)-1)</f>
        <v>BH_090</v>
      </c>
      <c r="M4" s="109" t="s">
        <v>301</v>
      </c>
      <c r="N4" s="109" t="str">
        <f>LEFT(N5,FIND("_C",N5)-1)</f>
        <v>BH_109</v>
      </c>
      <c r="O4" s="109" t="s">
        <v>301</v>
      </c>
    </row>
    <row r="5" spans="1:29" x14ac:dyDescent="0.25">
      <c r="A5" s="109"/>
      <c r="B5" s="109" t="s">
        <v>2043</v>
      </c>
      <c r="C5" s="109"/>
      <c r="D5" s="109" t="s">
        <v>2060</v>
      </c>
      <c r="E5" s="109"/>
      <c r="F5" s="109" t="s">
        <v>2077</v>
      </c>
      <c r="G5" s="109" t="s">
        <v>304</v>
      </c>
      <c r="H5" s="109" t="s">
        <v>2094</v>
      </c>
      <c r="I5" s="109"/>
      <c r="J5" s="109" t="s">
        <v>2111</v>
      </c>
      <c r="L5" s="109" t="s">
        <v>2128</v>
      </c>
      <c r="N5" s="109" t="s">
        <v>2145</v>
      </c>
    </row>
    <row r="6" spans="1:29" x14ac:dyDescent="0.25">
      <c r="A6" s="109"/>
      <c r="B6" s="109" t="s">
        <v>2044</v>
      </c>
      <c r="C6" s="109"/>
      <c r="D6" s="109" t="s">
        <v>2061</v>
      </c>
      <c r="E6" s="109"/>
      <c r="F6" s="109" t="s">
        <v>2078</v>
      </c>
      <c r="G6" s="109" t="s">
        <v>304</v>
      </c>
      <c r="H6" s="109" t="s">
        <v>2095</v>
      </c>
      <c r="I6" s="109"/>
      <c r="J6" s="109" t="s">
        <v>2112</v>
      </c>
      <c r="L6" s="109" t="s">
        <v>2129</v>
      </c>
      <c r="N6" s="109" t="s">
        <v>2146</v>
      </c>
    </row>
    <row r="7" spans="1:29" x14ac:dyDescent="0.25">
      <c r="A7" s="109"/>
      <c r="B7" s="109" t="s">
        <v>2045</v>
      </c>
      <c r="C7" s="109"/>
      <c r="D7" s="109" t="s">
        <v>2062</v>
      </c>
      <c r="E7" s="109"/>
      <c r="F7" s="109" t="s">
        <v>2079</v>
      </c>
      <c r="G7" s="109" t="s">
        <v>304</v>
      </c>
      <c r="H7" s="109" t="s">
        <v>2096</v>
      </c>
      <c r="I7" s="109"/>
      <c r="J7" s="109" t="s">
        <v>2113</v>
      </c>
      <c r="L7" s="109" t="s">
        <v>2130</v>
      </c>
      <c r="N7" s="109" t="s">
        <v>2147</v>
      </c>
    </row>
    <row r="8" spans="1:29" x14ac:dyDescent="0.25">
      <c r="A8" s="109"/>
      <c r="B8" s="109" t="s">
        <v>2046</v>
      </c>
      <c r="C8" s="109"/>
      <c r="D8" s="109" t="s">
        <v>2063</v>
      </c>
      <c r="E8" s="109"/>
      <c r="F8" s="109" t="s">
        <v>2080</v>
      </c>
      <c r="G8" s="109" t="s">
        <v>304</v>
      </c>
      <c r="H8" s="109" t="s">
        <v>2097</v>
      </c>
      <c r="I8" s="109"/>
      <c r="J8" s="109" t="s">
        <v>2114</v>
      </c>
      <c r="L8" s="109" t="s">
        <v>2131</v>
      </c>
      <c r="N8" s="109" t="s">
        <v>2148</v>
      </c>
    </row>
    <row r="9" spans="1:29" x14ac:dyDescent="0.25">
      <c r="A9" s="109"/>
      <c r="B9" s="109" t="s">
        <v>2047</v>
      </c>
      <c r="C9" s="109"/>
      <c r="D9" s="109" t="s">
        <v>2064</v>
      </c>
      <c r="E9" s="109"/>
      <c r="F9" s="109" t="s">
        <v>2081</v>
      </c>
      <c r="G9" s="109" t="s">
        <v>304</v>
      </c>
      <c r="H9" s="109" t="s">
        <v>2098</v>
      </c>
      <c r="I9" s="109"/>
      <c r="J9" s="109" t="s">
        <v>2115</v>
      </c>
      <c r="L9" s="109" t="s">
        <v>2132</v>
      </c>
      <c r="N9" s="109" t="s">
        <v>2149</v>
      </c>
    </row>
    <row r="10" spans="1:29" x14ac:dyDescent="0.25">
      <c r="A10" s="109"/>
      <c r="B10" s="109" t="s">
        <v>2048</v>
      </c>
      <c r="C10" s="109"/>
      <c r="D10" s="109" t="s">
        <v>2065</v>
      </c>
      <c r="E10" s="109"/>
      <c r="F10" s="109" t="s">
        <v>2082</v>
      </c>
      <c r="G10" s="109" t="s">
        <v>304</v>
      </c>
      <c r="H10" s="109" t="s">
        <v>2099</v>
      </c>
      <c r="I10" s="109"/>
      <c r="J10" s="109" t="s">
        <v>2116</v>
      </c>
      <c r="L10" s="109" t="s">
        <v>2133</v>
      </c>
      <c r="N10" s="109" t="s">
        <v>2150</v>
      </c>
    </row>
    <row r="11" spans="1:29" x14ac:dyDescent="0.25">
      <c r="A11" s="109"/>
      <c r="B11" s="109" t="s">
        <v>2049</v>
      </c>
      <c r="C11" s="109"/>
      <c r="D11" s="109" t="s">
        <v>2066</v>
      </c>
      <c r="E11" s="109"/>
      <c r="F11" s="109" t="s">
        <v>2083</v>
      </c>
      <c r="G11" s="109" t="s">
        <v>304</v>
      </c>
      <c r="H11" s="109" t="s">
        <v>2100</v>
      </c>
      <c r="I11" s="109"/>
      <c r="J11" s="109" t="s">
        <v>2117</v>
      </c>
      <c r="L11" s="109" t="s">
        <v>2134</v>
      </c>
      <c r="N11" s="109" t="s">
        <v>2151</v>
      </c>
    </row>
    <row r="12" spans="1:29" x14ac:dyDescent="0.25">
      <c r="A12" s="109"/>
      <c r="B12" s="109" t="s">
        <v>2050</v>
      </c>
      <c r="C12" s="109"/>
      <c r="D12" s="109" t="s">
        <v>2067</v>
      </c>
      <c r="E12" s="109"/>
      <c r="F12" s="109" t="s">
        <v>2084</v>
      </c>
      <c r="G12" s="109" t="s">
        <v>304</v>
      </c>
      <c r="H12" s="109" t="s">
        <v>2101</v>
      </c>
      <c r="I12" s="109"/>
      <c r="J12" s="109" t="s">
        <v>2118</v>
      </c>
      <c r="L12" s="109" t="s">
        <v>2135</v>
      </c>
      <c r="N12" s="109" t="s">
        <v>2152</v>
      </c>
    </row>
    <row r="13" spans="1:29" x14ac:dyDescent="0.25">
      <c r="A13" s="109"/>
      <c r="B13" s="109" t="s">
        <v>2051</v>
      </c>
      <c r="C13" s="109"/>
      <c r="D13" s="109" t="s">
        <v>2068</v>
      </c>
      <c r="E13" s="109"/>
      <c r="F13" s="109" t="s">
        <v>2085</v>
      </c>
      <c r="G13" s="109" t="s">
        <v>304</v>
      </c>
      <c r="H13" s="109" t="s">
        <v>2102</v>
      </c>
      <c r="I13" s="109"/>
      <c r="J13" s="109" t="s">
        <v>2119</v>
      </c>
      <c r="L13" s="109" t="s">
        <v>2136</v>
      </c>
      <c r="N13" s="109" t="s">
        <v>2153</v>
      </c>
    </row>
    <row r="14" spans="1:29" x14ac:dyDescent="0.25">
      <c r="A14" s="109"/>
      <c r="B14" s="109" t="s">
        <v>2052</v>
      </c>
      <c r="C14" s="109"/>
      <c r="D14" s="109" t="s">
        <v>2069</v>
      </c>
      <c r="E14" s="109"/>
      <c r="F14" s="109" t="s">
        <v>2086</v>
      </c>
      <c r="G14" s="109" t="s">
        <v>304</v>
      </c>
      <c r="H14" s="109" t="s">
        <v>2103</v>
      </c>
      <c r="I14" s="109"/>
      <c r="J14" s="109" t="s">
        <v>2120</v>
      </c>
      <c r="L14" s="109" t="s">
        <v>2137</v>
      </c>
      <c r="N14" s="109" t="s">
        <v>2154</v>
      </c>
    </row>
    <row r="15" spans="1:29" x14ac:dyDescent="0.25">
      <c r="A15" s="109"/>
      <c r="B15" s="109" t="s">
        <v>2053</v>
      </c>
      <c r="C15" s="109"/>
      <c r="D15" s="109" t="s">
        <v>2070</v>
      </c>
      <c r="E15" s="109"/>
      <c r="F15" s="109" t="s">
        <v>2087</v>
      </c>
      <c r="G15" s="109" t="s">
        <v>304</v>
      </c>
      <c r="H15" s="109" t="s">
        <v>2104</v>
      </c>
      <c r="I15" s="109"/>
      <c r="J15" s="109" t="s">
        <v>2121</v>
      </c>
      <c r="L15" s="109" t="s">
        <v>2138</v>
      </c>
      <c r="N15" s="109" t="s">
        <v>2155</v>
      </c>
    </row>
    <row r="16" spans="1:29" x14ac:dyDescent="0.25">
      <c r="A16" s="109"/>
      <c r="B16" s="109" t="s">
        <v>2054</v>
      </c>
      <c r="C16" s="109"/>
      <c r="D16" s="109" t="s">
        <v>2071</v>
      </c>
      <c r="E16" s="109"/>
      <c r="F16" s="109" t="s">
        <v>2088</v>
      </c>
      <c r="G16" s="109" t="s">
        <v>304</v>
      </c>
      <c r="H16" s="109" t="s">
        <v>2105</v>
      </c>
      <c r="I16" s="109"/>
      <c r="J16" s="109" t="s">
        <v>2122</v>
      </c>
      <c r="L16" s="109" t="s">
        <v>2139</v>
      </c>
      <c r="N16" s="109" t="s">
        <v>2156</v>
      </c>
    </row>
    <row r="17" spans="1:44" x14ac:dyDescent="0.25">
      <c r="A17" s="109"/>
      <c r="B17" s="109" t="s">
        <v>2055</v>
      </c>
      <c r="C17" s="109"/>
      <c r="D17" s="109" t="s">
        <v>2072</v>
      </c>
      <c r="E17" s="109"/>
      <c r="F17" s="109" t="s">
        <v>2089</v>
      </c>
      <c r="G17" s="109" t="s">
        <v>304</v>
      </c>
      <c r="H17" s="109" t="s">
        <v>2106</v>
      </c>
      <c r="I17" s="109"/>
      <c r="J17" s="109" t="s">
        <v>2123</v>
      </c>
      <c r="L17" s="109" t="s">
        <v>2140</v>
      </c>
      <c r="N17" s="109" t="s">
        <v>2157</v>
      </c>
    </row>
    <row r="18" spans="1:44" x14ac:dyDescent="0.25">
      <c r="A18" s="109"/>
      <c r="B18" s="109" t="s">
        <v>2056</v>
      </c>
      <c r="C18" s="109"/>
      <c r="D18" s="109" t="s">
        <v>2073</v>
      </c>
      <c r="E18" s="109"/>
      <c r="F18" s="109" t="s">
        <v>2090</v>
      </c>
      <c r="G18" s="109" t="s">
        <v>7847</v>
      </c>
      <c r="H18" s="109" t="s">
        <v>2107</v>
      </c>
      <c r="I18" s="109"/>
      <c r="J18" s="109" t="s">
        <v>2124</v>
      </c>
      <c r="L18" s="109" t="s">
        <v>2141</v>
      </c>
      <c r="N18" s="109" t="s">
        <v>2158</v>
      </c>
    </row>
    <row r="19" spans="1:44" x14ac:dyDescent="0.25">
      <c r="A19" s="109"/>
      <c r="B19" s="109" t="s">
        <v>2057</v>
      </c>
      <c r="C19" s="109"/>
      <c r="D19" s="109" t="s">
        <v>2074</v>
      </c>
      <c r="E19" s="109"/>
      <c r="F19" s="109" t="s">
        <v>2091</v>
      </c>
      <c r="G19" s="109" t="s">
        <v>7847</v>
      </c>
      <c r="H19" s="109" t="s">
        <v>2108</v>
      </c>
      <c r="I19" s="109"/>
      <c r="J19" s="109" t="s">
        <v>2125</v>
      </c>
      <c r="L19" s="109" t="s">
        <v>2142</v>
      </c>
      <c r="N19" s="109" t="s">
        <v>2159</v>
      </c>
    </row>
    <row r="20" spans="1:44" x14ac:dyDescent="0.25">
      <c r="A20" s="109"/>
      <c r="B20" s="109" t="s">
        <v>2058</v>
      </c>
      <c r="C20" s="109"/>
      <c r="D20" s="109" t="s">
        <v>2075</v>
      </c>
      <c r="E20" s="109"/>
      <c r="F20" s="109" t="s">
        <v>2092</v>
      </c>
      <c r="G20" s="109" t="s">
        <v>7847</v>
      </c>
      <c r="H20" s="109" t="s">
        <v>2109</v>
      </c>
      <c r="I20" s="109"/>
      <c r="J20" s="109" t="s">
        <v>2126</v>
      </c>
      <c r="L20" s="109" t="s">
        <v>2143</v>
      </c>
      <c r="N20" s="109" t="s">
        <v>2160</v>
      </c>
    </row>
    <row r="21" spans="1:44" x14ac:dyDescent="0.25">
      <c r="A21" s="109"/>
      <c r="B21" s="109" t="s">
        <v>2059</v>
      </c>
      <c r="C21" s="109"/>
      <c r="D21" s="109" t="s">
        <v>2076</v>
      </c>
      <c r="E21" s="109"/>
      <c r="F21" s="109" t="s">
        <v>2093</v>
      </c>
      <c r="G21" s="109" t="s">
        <v>304</v>
      </c>
      <c r="H21" s="109" t="s">
        <v>2110</v>
      </c>
      <c r="I21" s="109"/>
      <c r="J21" s="109" t="s">
        <v>2127</v>
      </c>
      <c r="L21" s="109" t="s">
        <v>2144</v>
      </c>
      <c r="N21" s="109" t="s">
        <v>2161</v>
      </c>
    </row>
    <row r="22" spans="1:44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17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0</v>
      </c>
      <c r="L22" s="109">
        <f t="shared" ref="L22" si="5">COUNTIF(L5:L21,"&lt;&gt;")</f>
        <v>17</v>
      </c>
      <c r="M22" s="109">
        <f>COUNTIF(M5:M21,"Y")</f>
        <v>0</v>
      </c>
      <c r="N22" s="109">
        <f t="shared" ref="N22" si="6">COUNTIF(N5:N21,"&lt;&gt;")</f>
        <v>17</v>
      </c>
      <c r="O22" s="109">
        <f>COUNTIF(O5:O21,"Y")</f>
        <v>0</v>
      </c>
    </row>
    <row r="23" spans="1:44" s="109" customFormat="1" x14ac:dyDescent="0.25"/>
    <row r="24" spans="1:44" x14ac:dyDescent="0.25">
      <c r="A24" s="109"/>
      <c r="B24" s="109" t="s">
        <v>2403</v>
      </c>
      <c r="C24" s="109" t="s">
        <v>302</v>
      </c>
      <c r="D24" s="109">
        <f>SUM(B38,D38,F38,H38,J38,L38,N38,P38,R38,T38,V38,X38,Z38,AB38,AD38,AF38,AH38,AJ38,AL38,AN38,AP38)</f>
        <v>216</v>
      </c>
      <c r="E24" s="109" t="s">
        <v>301</v>
      </c>
      <c r="F24" s="109">
        <f>SUM(C38,E38,G38,I38,K38,M38,O38,Q38,S38,U38,W38,Y38,AA38,AC38,AE38,AG38,AI38,AK38,AM38,AO38,AQ38)</f>
        <v>36</v>
      </c>
      <c r="G24" s="109" t="s">
        <v>305</v>
      </c>
      <c r="H24" s="109">
        <f>D24-F24</f>
        <v>180</v>
      </c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</row>
    <row r="25" spans="1:44" x14ac:dyDescent="0.25">
      <c r="A25" s="109"/>
      <c r="B25" s="109" t="str">
        <f>LEFT(B26,FIND("_P",B26)-1)</f>
        <v>CPT_033</v>
      </c>
      <c r="C25" s="109" t="s">
        <v>301</v>
      </c>
      <c r="D25" s="109" t="str">
        <f t="shared" ref="D25" si="7">LEFT(D26,FIND("_P",D26)-1)</f>
        <v>CPT_036</v>
      </c>
      <c r="E25" s="109" t="s">
        <v>301</v>
      </c>
      <c r="F25" s="109" t="str">
        <f t="shared" ref="F25" si="8">LEFT(F26,FIND("_P",F26)-1)</f>
        <v>CPT_047</v>
      </c>
      <c r="G25" s="109" t="s">
        <v>301</v>
      </c>
      <c r="H25" s="109" t="str">
        <f t="shared" ref="H25" si="9">LEFT(H26,FIND("_P",H26)-1)</f>
        <v>CPT_067</v>
      </c>
      <c r="I25" s="109" t="s">
        <v>301</v>
      </c>
      <c r="J25" s="109" t="str">
        <f t="shared" ref="J25" si="10">LEFT(J26,FIND("_P",J26)-1)</f>
        <v>CPT_072</v>
      </c>
      <c r="K25" s="109" t="s">
        <v>301</v>
      </c>
      <c r="L25" s="109" t="str">
        <f t="shared" ref="L25" si="11">LEFT(L26,FIND("_P",L26)-1)</f>
        <v>CPT_085</v>
      </c>
      <c r="M25" s="109" t="s">
        <v>301</v>
      </c>
      <c r="N25" s="109" t="str">
        <f t="shared" ref="N25" si="12">LEFT(N26,FIND("_P",N26)-1)</f>
        <v>CPT_101</v>
      </c>
      <c r="O25" s="109" t="s">
        <v>301</v>
      </c>
      <c r="P25" s="109" t="str">
        <f t="shared" ref="P25" si="13">LEFT(P26,FIND("_P",P26)-1)</f>
        <v>CPT_109</v>
      </c>
      <c r="Q25" s="109" t="s">
        <v>301</v>
      </c>
      <c r="R25" s="109" t="str">
        <f t="shared" ref="R25" si="14">LEFT(R26,FIND("_P",R26)-1)</f>
        <v>CPT_110</v>
      </c>
      <c r="S25" s="109" t="s">
        <v>301</v>
      </c>
      <c r="T25" s="109" t="str">
        <f t="shared" ref="T25" si="15">LEFT(T26,FIND("_P",T26)-1)</f>
        <v>CPT_171</v>
      </c>
      <c r="U25" s="109" t="s">
        <v>301</v>
      </c>
      <c r="V25" s="109" t="str">
        <f t="shared" ref="V25" si="16">LEFT(V26,FIND("_P",V26)-1)</f>
        <v>CPT_176</v>
      </c>
      <c r="W25" s="109" t="s">
        <v>301</v>
      </c>
      <c r="X25" s="109" t="str">
        <f t="shared" ref="X25" si="17">LEFT(X26,FIND("_P",X26)-1)</f>
        <v>CPT_182</v>
      </c>
      <c r="Y25" s="109" t="s">
        <v>301</v>
      </c>
      <c r="Z25" s="109" t="str">
        <f t="shared" ref="Z25" si="18">LEFT(Z26,FIND("_P",Z26)-1)</f>
        <v>CPT_227</v>
      </c>
      <c r="AA25" s="109" t="s">
        <v>301</v>
      </c>
      <c r="AB25" s="109" t="str">
        <f t="shared" ref="AB25" si="19">LEFT(AB26,FIND("_P",AB26)-1)</f>
        <v>CPT_234</v>
      </c>
      <c r="AC25" s="109" t="s">
        <v>301</v>
      </c>
      <c r="AD25" s="109" t="str">
        <f t="shared" ref="AD25" si="20">LEFT(AD26,FIND("_P",AD26)-1)</f>
        <v>CPT_245</v>
      </c>
      <c r="AE25" s="109" t="s">
        <v>301</v>
      </c>
      <c r="AF25" s="109" t="str">
        <f t="shared" ref="AF25" si="21">LEFT(AF26,FIND("_P",AF26)-1)</f>
        <v>CPT_279</v>
      </c>
      <c r="AG25" s="109" t="s">
        <v>301</v>
      </c>
      <c r="AH25" s="109" t="str">
        <f t="shared" ref="AH25" si="22">LEFT(AH26,FIND("_P",AH26)-1)</f>
        <v>CPT_324</v>
      </c>
      <c r="AI25" s="109" t="s">
        <v>301</v>
      </c>
      <c r="AJ25" s="109" t="str">
        <f t="shared" ref="AJ25" si="23">LEFT(AJ26,FIND("_P",AJ26)-1)</f>
        <v>CPT_332</v>
      </c>
      <c r="AK25" s="109" t="s">
        <v>301</v>
      </c>
      <c r="AL25" s="109"/>
      <c r="AM25" s="109"/>
      <c r="AN25" s="109"/>
      <c r="AO25" s="109"/>
      <c r="AP25" s="109"/>
      <c r="AQ25" s="109"/>
      <c r="AR25" s="109"/>
    </row>
    <row r="26" spans="1:44" x14ac:dyDescent="0.25">
      <c r="A26" s="109"/>
      <c r="B26" s="109" t="s">
        <v>2031</v>
      </c>
      <c r="C26" s="109"/>
      <c r="D26" s="109" t="s">
        <v>2162</v>
      </c>
      <c r="E26" s="109"/>
      <c r="F26" s="109" t="s">
        <v>2174</v>
      </c>
      <c r="G26" s="109"/>
      <c r="H26" s="109" t="s">
        <v>2186</v>
      </c>
      <c r="I26" s="109"/>
      <c r="J26" s="109" t="s">
        <v>2198</v>
      </c>
      <c r="K26" s="109" t="s">
        <v>304</v>
      </c>
      <c r="L26" s="109" t="s">
        <v>2210</v>
      </c>
      <c r="M26" s="109"/>
      <c r="N26" s="109" t="s">
        <v>2222</v>
      </c>
      <c r="O26" s="109"/>
      <c r="P26" s="109" t="s">
        <v>2234</v>
      </c>
      <c r="Q26" s="109"/>
      <c r="R26" s="109" t="s">
        <v>2246</v>
      </c>
      <c r="S26" s="109"/>
      <c r="T26" s="109" t="s">
        <v>2258</v>
      </c>
      <c r="U26" s="109"/>
      <c r="V26" s="109" t="s">
        <v>2270</v>
      </c>
      <c r="W26" s="109"/>
      <c r="X26" s="109" t="s">
        <v>2282</v>
      </c>
      <c r="Y26" s="109" t="s">
        <v>304</v>
      </c>
      <c r="Z26" s="109" t="s">
        <v>2294</v>
      </c>
      <c r="AA26" s="109" t="s">
        <v>304</v>
      </c>
      <c r="AB26" s="109" t="s">
        <v>2306</v>
      </c>
      <c r="AC26" s="109"/>
      <c r="AD26" s="109" t="s">
        <v>2318</v>
      </c>
      <c r="AE26" s="109"/>
      <c r="AF26" s="109" t="s">
        <v>2330</v>
      </c>
      <c r="AG26" s="109"/>
      <c r="AH26" s="109" t="s">
        <v>2342</v>
      </c>
      <c r="AI26" s="109"/>
      <c r="AJ26" s="109" t="s">
        <v>2354</v>
      </c>
      <c r="AK26" s="109"/>
      <c r="AL26" s="109"/>
      <c r="AM26" s="109"/>
      <c r="AN26" s="109"/>
      <c r="AO26" s="109"/>
      <c r="AP26" s="109"/>
      <c r="AQ26" s="109"/>
      <c r="AR26" s="109"/>
    </row>
    <row r="27" spans="1:44" x14ac:dyDescent="0.25">
      <c r="A27" s="109"/>
      <c r="B27" s="109" t="s">
        <v>2032</v>
      </c>
      <c r="C27" s="109"/>
      <c r="D27" s="109" t="s">
        <v>2163</v>
      </c>
      <c r="E27" s="109"/>
      <c r="F27" s="109" t="s">
        <v>2175</v>
      </c>
      <c r="G27" s="109"/>
      <c r="H27" s="109" t="s">
        <v>2187</v>
      </c>
      <c r="I27" s="109"/>
      <c r="J27" s="109" t="s">
        <v>2199</v>
      </c>
      <c r="K27" s="109" t="s">
        <v>304</v>
      </c>
      <c r="L27" s="109" t="s">
        <v>2211</v>
      </c>
      <c r="M27" s="109"/>
      <c r="N27" s="109" t="s">
        <v>2223</v>
      </c>
      <c r="O27" s="109"/>
      <c r="P27" s="109" t="s">
        <v>2235</v>
      </c>
      <c r="Q27" s="109"/>
      <c r="R27" s="109" t="s">
        <v>2247</v>
      </c>
      <c r="S27" s="109"/>
      <c r="T27" s="109" t="s">
        <v>2259</v>
      </c>
      <c r="U27" s="109"/>
      <c r="V27" s="109" t="s">
        <v>2271</v>
      </c>
      <c r="W27" s="109"/>
      <c r="X27" s="109" t="s">
        <v>2283</v>
      </c>
      <c r="Y27" s="109" t="s">
        <v>304</v>
      </c>
      <c r="Z27" s="109" t="s">
        <v>2295</v>
      </c>
      <c r="AA27" s="109" t="s">
        <v>304</v>
      </c>
      <c r="AB27" s="109" t="s">
        <v>2307</v>
      </c>
      <c r="AC27" s="109"/>
      <c r="AD27" s="109" t="s">
        <v>2319</v>
      </c>
      <c r="AE27" s="109"/>
      <c r="AF27" s="109" t="s">
        <v>2331</v>
      </c>
      <c r="AG27" s="109"/>
      <c r="AH27" s="109" t="s">
        <v>2343</v>
      </c>
      <c r="AI27" s="109"/>
      <c r="AJ27" s="109" t="s">
        <v>2355</v>
      </c>
      <c r="AK27" s="109"/>
      <c r="AL27" s="109"/>
      <c r="AM27" s="109"/>
      <c r="AN27" s="109"/>
      <c r="AO27" s="109"/>
      <c r="AP27" s="109"/>
      <c r="AQ27" s="109"/>
      <c r="AR27" s="109"/>
    </row>
    <row r="28" spans="1:44" x14ac:dyDescent="0.25">
      <c r="A28" s="109"/>
      <c r="B28" s="109" t="s">
        <v>2033</v>
      </c>
      <c r="C28" s="109"/>
      <c r="D28" s="109" t="s">
        <v>2164</v>
      </c>
      <c r="E28" s="109"/>
      <c r="F28" s="109" t="s">
        <v>2176</v>
      </c>
      <c r="G28" s="109"/>
      <c r="H28" s="109" t="s">
        <v>2188</v>
      </c>
      <c r="I28" s="109"/>
      <c r="J28" s="109" t="s">
        <v>2200</v>
      </c>
      <c r="K28" s="109" t="s">
        <v>304</v>
      </c>
      <c r="L28" s="109" t="s">
        <v>2212</v>
      </c>
      <c r="M28" s="109"/>
      <c r="N28" s="109" t="s">
        <v>2224</v>
      </c>
      <c r="O28" s="109"/>
      <c r="P28" s="109" t="s">
        <v>2236</v>
      </c>
      <c r="Q28" s="109"/>
      <c r="R28" s="109" t="s">
        <v>2248</v>
      </c>
      <c r="S28" s="109"/>
      <c r="T28" s="109" t="s">
        <v>2260</v>
      </c>
      <c r="U28" s="109"/>
      <c r="V28" s="109" t="s">
        <v>2272</v>
      </c>
      <c r="W28" s="109"/>
      <c r="X28" s="109" t="s">
        <v>2284</v>
      </c>
      <c r="Y28" s="109" t="s">
        <v>304</v>
      </c>
      <c r="Z28" s="109" t="s">
        <v>2296</v>
      </c>
      <c r="AA28" s="109" t="s">
        <v>304</v>
      </c>
      <c r="AB28" s="109" t="s">
        <v>2308</v>
      </c>
      <c r="AC28" s="109"/>
      <c r="AD28" s="109" t="s">
        <v>2320</v>
      </c>
      <c r="AE28" s="109"/>
      <c r="AF28" s="109" t="s">
        <v>2332</v>
      </c>
      <c r="AG28" s="109"/>
      <c r="AH28" s="109" t="s">
        <v>2344</v>
      </c>
      <c r="AI28" s="109"/>
      <c r="AJ28" s="109" t="s">
        <v>2356</v>
      </c>
      <c r="AK28" s="109"/>
      <c r="AL28" s="109"/>
      <c r="AM28" s="109"/>
      <c r="AN28" s="109"/>
      <c r="AO28" s="109"/>
      <c r="AP28" s="109"/>
      <c r="AQ28" s="109"/>
      <c r="AR28" s="109"/>
    </row>
    <row r="29" spans="1:44" x14ac:dyDescent="0.25">
      <c r="A29" s="109"/>
      <c r="B29" s="109" t="s">
        <v>2034</v>
      </c>
      <c r="C29" s="109"/>
      <c r="D29" s="109" t="s">
        <v>2165</v>
      </c>
      <c r="E29" s="109"/>
      <c r="F29" s="109" t="s">
        <v>2177</v>
      </c>
      <c r="G29" s="109"/>
      <c r="H29" s="109" t="s">
        <v>2189</v>
      </c>
      <c r="I29" s="109"/>
      <c r="J29" s="109" t="s">
        <v>2201</v>
      </c>
      <c r="K29" s="109" t="s">
        <v>304</v>
      </c>
      <c r="L29" s="109" t="s">
        <v>2213</v>
      </c>
      <c r="M29" s="109"/>
      <c r="N29" s="109" t="s">
        <v>2225</v>
      </c>
      <c r="O29" s="109"/>
      <c r="P29" s="109" t="s">
        <v>2237</v>
      </c>
      <c r="Q29" s="109"/>
      <c r="R29" s="109" t="s">
        <v>2249</v>
      </c>
      <c r="S29" s="109"/>
      <c r="T29" s="109" t="s">
        <v>2261</v>
      </c>
      <c r="U29" s="109"/>
      <c r="V29" s="109" t="s">
        <v>2273</v>
      </c>
      <c r="W29" s="109"/>
      <c r="X29" s="109" t="s">
        <v>2285</v>
      </c>
      <c r="Y29" s="109" t="s">
        <v>304</v>
      </c>
      <c r="Z29" s="109" t="s">
        <v>2297</v>
      </c>
      <c r="AA29" s="109" t="s">
        <v>304</v>
      </c>
      <c r="AB29" s="109" t="s">
        <v>2309</v>
      </c>
      <c r="AC29" s="109"/>
      <c r="AD29" s="109" t="s">
        <v>2321</v>
      </c>
      <c r="AE29" s="109"/>
      <c r="AF29" s="109" t="s">
        <v>2333</v>
      </c>
      <c r="AG29" s="109"/>
      <c r="AH29" s="109" t="s">
        <v>2345</v>
      </c>
      <c r="AI29" s="109"/>
      <c r="AJ29" s="109" t="s">
        <v>2357</v>
      </c>
      <c r="AK29" s="109"/>
      <c r="AL29" s="109"/>
      <c r="AM29" s="109"/>
      <c r="AN29" s="109"/>
      <c r="AO29" s="109"/>
      <c r="AP29" s="109"/>
      <c r="AQ29" s="109"/>
      <c r="AR29" s="109"/>
    </row>
    <row r="30" spans="1:44" x14ac:dyDescent="0.25">
      <c r="A30" s="109"/>
      <c r="B30" s="109" t="s">
        <v>2035</v>
      </c>
      <c r="C30" s="109"/>
      <c r="D30" s="109" t="s">
        <v>2166</v>
      </c>
      <c r="E30" s="109"/>
      <c r="F30" s="109" t="s">
        <v>2178</v>
      </c>
      <c r="G30" s="109"/>
      <c r="H30" s="109" t="s">
        <v>2190</v>
      </c>
      <c r="I30" s="109"/>
      <c r="J30" s="109" t="s">
        <v>2202</v>
      </c>
      <c r="K30" s="109" t="s">
        <v>304</v>
      </c>
      <c r="L30" s="109" t="s">
        <v>2214</v>
      </c>
      <c r="M30" s="109"/>
      <c r="N30" s="109" t="s">
        <v>2226</v>
      </c>
      <c r="O30" s="109"/>
      <c r="P30" s="109" t="s">
        <v>2238</v>
      </c>
      <c r="Q30" s="109"/>
      <c r="R30" s="109" t="s">
        <v>2250</v>
      </c>
      <c r="S30" s="109"/>
      <c r="T30" s="109" t="s">
        <v>2262</v>
      </c>
      <c r="U30" s="109"/>
      <c r="V30" s="109" t="s">
        <v>2274</v>
      </c>
      <c r="W30" s="109"/>
      <c r="X30" s="109" t="s">
        <v>2286</v>
      </c>
      <c r="Y30" s="109" t="s">
        <v>304</v>
      </c>
      <c r="Z30" s="109" t="s">
        <v>2298</v>
      </c>
      <c r="AA30" s="109" t="s">
        <v>304</v>
      </c>
      <c r="AB30" s="109" t="s">
        <v>2310</v>
      </c>
      <c r="AC30" s="109"/>
      <c r="AD30" s="109" t="s">
        <v>2322</v>
      </c>
      <c r="AE30" s="109"/>
      <c r="AF30" s="109" t="s">
        <v>2334</v>
      </c>
      <c r="AG30" s="109"/>
      <c r="AH30" s="109" t="s">
        <v>2346</v>
      </c>
      <c r="AI30" s="109"/>
      <c r="AJ30" s="109" t="s">
        <v>2358</v>
      </c>
      <c r="AK30" s="109"/>
      <c r="AL30" s="109"/>
      <c r="AM30" s="109"/>
      <c r="AN30" s="109"/>
      <c r="AO30" s="109"/>
      <c r="AP30" s="109"/>
      <c r="AQ30" s="109"/>
      <c r="AR30" s="109"/>
    </row>
    <row r="31" spans="1:44" x14ac:dyDescent="0.25">
      <c r="A31" s="109"/>
      <c r="B31" s="109" t="s">
        <v>2036</v>
      </c>
      <c r="C31" s="109"/>
      <c r="D31" s="109" t="s">
        <v>2167</v>
      </c>
      <c r="E31" s="109"/>
      <c r="F31" s="109" t="s">
        <v>2179</v>
      </c>
      <c r="G31" s="109"/>
      <c r="H31" s="109" t="s">
        <v>2191</v>
      </c>
      <c r="I31" s="109"/>
      <c r="J31" s="109" t="s">
        <v>2203</v>
      </c>
      <c r="K31" s="109" t="s">
        <v>304</v>
      </c>
      <c r="L31" s="109" t="s">
        <v>2215</v>
      </c>
      <c r="M31" s="109"/>
      <c r="N31" s="109" t="s">
        <v>2227</v>
      </c>
      <c r="O31" s="109"/>
      <c r="P31" s="109" t="s">
        <v>2239</v>
      </c>
      <c r="Q31" s="109"/>
      <c r="R31" s="109" t="s">
        <v>2251</v>
      </c>
      <c r="S31" s="109"/>
      <c r="T31" s="109" t="s">
        <v>2263</v>
      </c>
      <c r="U31" s="109"/>
      <c r="V31" s="109" t="s">
        <v>2275</v>
      </c>
      <c r="W31" s="109"/>
      <c r="X31" s="109" t="s">
        <v>2287</v>
      </c>
      <c r="Y31" s="109" t="s">
        <v>304</v>
      </c>
      <c r="Z31" s="109" t="s">
        <v>2299</v>
      </c>
      <c r="AA31" s="109" t="s">
        <v>304</v>
      </c>
      <c r="AB31" s="109" t="s">
        <v>2311</v>
      </c>
      <c r="AC31" s="109"/>
      <c r="AD31" s="109" t="s">
        <v>2323</v>
      </c>
      <c r="AE31" s="109"/>
      <c r="AF31" s="109" t="s">
        <v>2335</v>
      </c>
      <c r="AG31" s="109"/>
      <c r="AH31" s="109" t="s">
        <v>2347</v>
      </c>
      <c r="AI31" s="109"/>
      <c r="AJ31" s="109" t="s">
        <v>2359</v>
      </c>
      <c r="AK31" s="109"/>
      <c r="AL31" s="109"/>
      <c r="AM31" s="109"/>
      <c r="AN31" s="109"/>
      <c r="AO31" s="109"/>
      <c r="AP31" s="109"/>
      <c r="AQ31" s="109"/>
      <c r="AR31" s="109"/>
    </row>
    <row r="32" spans="1:44" x14ac:dyDescent="0.25">
      <c r="A32" s="109"/>
      <c r="B32" s="109" t="s">
        <v>2037</v>
      </c>
      <c r="C32" s="109"/>
      <c r="D32" s="109" t="s">
        <v>2168</v>
      </c>
      <c r="E32" s="109"/>
      <c r="F32" s="109" t="s">
        <v>2180</v>
      </c>
      <c r="G32" s="109"/>
      <c r="H32" s="109" t="s">
        <v>2192</v>
      </c>
      <c r="I32" s="109"/>
      <c r="J32" s="109" t="s">
        <v>2204</v>
      </c>
      <c r="K32" s="109" t="s">
        <v>304</v>
      </c>
      <c r="L32" s="109" t="s">
        <v>2216</v>
      </c>
      <c r="M32" s="109"/>
      <c r="N32" s="109" t="s">
        <v>2228</v>
      </c>
      <c r="O32" s="109"/>
      <c r="P32" s="109" t="s">
        <v>2240</v>
      </c>
      <c r="Q32" s="109"/>
      <c r="R32" s="109" t="s">
        <v>2252</v>
      </c>
      <c r="S32" s="109"/>
      <c r="T32" s="109" t="s">
        <v>2264</v>
      </c>
      <c r="U32" s="109"/>
      <c r="V32" s="109" t="s">
        <v>2276</v>
      </c>
      <c r="W32" s="109"/>
      <c r="X32" s="109" t="s">
        <v>2288</v>
      </c>
      <c r="Y32" s="109" t="s">
        <v>304</v>
      </c>
      <c r="Z32" s="109" t="s">
        <v>2300</v>
      </c>
      <c r="AA32" s="109" t="s">
        <v>304</v>
      </c>
      <c r="AB32" s="109" t="s">
        <v>2312</v>
      </c>
      <c r="AC32" s="109"/>
      <c r="AD32" s="109" t="s">
        <v>2324</v>
      </c>
      <c r="AE32" s="109"/>
      <c r="AF32" s="109" t="s">
        <v>2336</v>
      </c>
      <c r="AG32" s="109"/>
      <c r="AH32" s="109" t="s">
        <v>2348</v>
      </c>
      <c r="AI32" s="109"/>
      <c r="AJ32" s="109" t="s">
        <v>2360</v>
      </c>
      <c r="AK32" s="109"/>
      <c r="AL32" s="109"/>
      <c r="AM32" s="109"/>
      <c r="AN32" s="109"/>
      <c r="AO32" s="109"/>
      <c r="AP32" s="109"/>
      <c r="AQ32" s="109"/>
      <c r="AR32" s="109"/>
    </row>
    <row r="33" spans="1:44" x14ac:dyDescent="0.25">
      <c r="A33" s="109"/>
      <c r="B33" s="109" t="s">
        <v>2038</v>
      </c>
      <c r="C33" s="109"/>
      <c r="D33" s="109" t="s">
        <v>2169</v>
      </c>
      <c r="E33" s="109"/>
      <c r="F33" s="109" t="s">
        <v>2181</v>
      </c>
      <c r="G33" s="109"/>
      <c r="H33" s="109" t="s">
        <v>2193</v>
      </c>
      <c r="I33" s="109"/>
      <c r="J33" s="109" t="s">
        <v>2205</v>
      </c>
      <c r="K33" s="109" t="s">
        <v>304</v>
      </c>
      <c r="L33" s="109" t="s">
        <v>2217</v>
      </c>
      <c r="M33" s="109"/>
      <c r="N33" s="109" t="s">
        <v>2229</v>
      </c>
      <c r="O33" s="109"/>
      <c r="P33" s="109" t="s">
        <v>2241</v>
      </c>
      <c r="Q33" s="109"/>
      <c r="R33" s="109" t="s">
        <v>2253</v>
      </c>
      <c r="S33" s="109"/>
      <c r="T33" s="109" t="s">
        <v>2265</v>
      </c>
      <c r="U33" s="109"/>
      <c r="V33" s="109" t="s">
        <v>2277</v>
      </c>
      <c r="W33" s="109"/>
      <c r="X33" s="109" t="s">
        <v>2289</v>
      </c>
      <c r="Y33" s="109" t="s">
        <v>304</v>
      </c>
      <c r="Z33" s="109" t="s">
        <v>2301</v>
      </c>
      <c r="AA33" s="109" t="s">
        <v>304</v>
      </c>
      <c r="AB33" s="109" t="s">
        <v>2313</v>
      </c>
      <c r="AC33" s="109"/>
      <c r="AD33" s="109" t="s">
        <v>2325</v>
      </c>
      <c r="AE33" s="109"/>
      <c r="AF33" s="109" t="s">
        <v>2337</v>
      </c>
      <c r="AG33" s="109"/>
      <c r="AH33" s="109" t="s">
        <v>2349</v>
      </c>
      <c r="AI33" s="109"/>
      <c r="AJ33" s="109" t="s">
        <v>2361</v>
      </c>
      <c r="AK33" s="109"/>
      <c r="AL33" s="109"/>
      <c r="AM33" s="109"/>
      <c r="AN33" s="109"/>
      <c r="AO33" s="109"/>
      <c r="AP33" s="109"/>
      <c r="AQ33" s="109"/>
      <c r="AR33" s="109"/>
    </row>
    <row r="34" spans="1:44" x14ac:dyDescent="0.25">
      <c r="A34" s="109"/>
      <c r="B34" s="109" t="s">
        <v>2039</v>
      </c>
      <c r="C34" s="109"/>
      <c r="D34" s="109" t="s">
        <v>2170</v>
      </c>
      <c r="E34" s="109"/>
      <c r="F34" s="109" t="s">
        <v>2182</v>
      </c>
      <c r="G34" s="109"/>
      <c r="H34" s="109" t="s">
        <v>2194</v>
      </c>
      <c r="I34" s="109"/>
      <c r="J34" s="109" t="s">
        <v>2206</v>
      </c>
      <c r="K34" s="109" t="s">
        <v>304</v>
      </c>
      <c r="L34" s="109" t="s">
        <v>2218</v>
      </c>
      <c r="M34" s="109"/>
      <c r="N34" s="109" t="s">
        <v>2230</v>
      </c>
      <c r="O34" s="109"/>
      <c r="P34" s="109" t="s">
        <v>2242</v>
      </c>
      <c r="Q34" s="109"/>
      <c r="R34" s="109" t="s">
        <v>2254</v>
      </c>
      <c r="S34" s="109"/>
      <c r="T34" s="109" t="s">
        <v>2266</v>
      </c>
      <c r="U34" s="109"/>
      <c r="V34" s="109" t="s">
        <v>2278</v>
      </c>
      <c r="W34" s="109"/>
      <c r="X34" s="109" t="s">
        <v>2290</v>
      </c>
      <c r="Y34" s="109" t="s">
        <v>7847</v>
      </c>
      <c r="Z34" s="109" t="s">
        <v>2302</v>
      </c>
      <c r="AA34" s="109" t="s">
        <v>304</v>
      </c>
      <c r="AB34" s="109" t="s">
        <v>2314</v>
      </c>
      <c r="AC34" s="109"/>
      <c r="AD34" s="109" t="s">
        <v>2326</v>
      </c>
      <c r="AE34" s="109"/>
      <c r="AF34" s="109" t="s">
        <v>2338</v>
      </c>
      <c r="AG34" s="109"/>
      <c r="AH34" s="109" t="s">
        <v>2350</v>
      </c>
      <c r="AI34" s="109"/>
      <c r="AJ34" s="109" t="s">
        <v>2362</v>
      </c>
      <c r="AK34" s="109"/>
      <c r="AL34" s="109"/>
      <c r="AM34" s="109"/>
      <c r="AN34" s="109"/>
      <c r="AO34" s="109"/>
      <c r="AP34" s="109"/>
      <c r="AQ34" s="109"/>
      <c r="AR34" s="109"/>
    </row>
    <row r="35" spans="1:44" x14ac:dyDescent="0.25">
      <c r="A35" s="109"/>
      <c r="B35" s="109" t="s">
        <v>2040</v>
      </c>
      <c r="C35" s="109"/>
      <c r="D35" s="109" t="s">
        <v>2171</v>
      </c>
      <c r="E35" s="109"/>
      <c r="F35" s="109" t="s">
        <v>2183</v>
      </c>
      <c r="G35" s="109"/>
      <c r="H35" s="109" t="s">
        <v>2195</v>
      </c>
      <c r="I35" s="109"/>
      <c r="J35" s="109" t="s">
        <v>2207</v>
      </c>
      <c r="K35" s="109" t="s">
        <v>304</v>
      </c>
      <c r="L35" s="109" t="s">
        <v>2219</v>
      </c>
      <c r="M35" s="109"/>
      <c r="N35" s="109" t="s">
        <v>2231</v>
      </c>
      <c r="O35" s="109"/>
      <c r="P35" s="109" t="s">
        <v>2243</v>
      </c>
      <c r="Q35" s="109"/>
      <c r="R35" s="109" t="s">
        <v>2255</v>
      </c>
      <c r="S35" s="109"/>
      <c r="T35" s="109" t="s">
        <v>2267</v>
      </c>
      <c r="U35" s="109"/>
      <c r="V35" s="109" t="s">
        <v>2279</v>
      </c>
      <c r="W35" s="109"/>
      <c r="X35" s="109" t="s">
        <v>2291</v>
      </c>
      <c r="Y35" s="109" t="s">
        <v>304</v>
      </c>
      <c r="Z35" s="109" t="s">
        <v>2303</v>
      </c>
      <c r="AA35" s="109" t="s">
        <v>304</v>
      </c>
      <c r="AB35" s="109" t="s">
        <v>2315</v>
      </c>
      <c r="AC35" s="109"/>
      <c r="AD35" s="109" t="s">
        <v>2327</v>
      </c>
      <c r="AE35" s="109"/>
      <c r="AF35" s="109" t="s">
        <v>2339</v>
      </c>
      <c r="AG35" s="109"/>
      <c r="AH35" s="109" t="s">
        <v>2351</v>
      </c>
      <c r="AI35" s="109"/>
      <c r="AJ35" s="109" t="s">
        <v>2363</v>
      </c>
      <c r="AK35" s="109"/>
      <c r="AL35" s="109"/>
      <c r="AM35" s="109"/>
      <c r="AN35" s="109"/>
      <c r="AO35" s="109"/>
      <c r="AP35" s="109"/>
      <c r="AQ35" s="109"/>
      <c r="AR35" s="109"/>
    </row>
    <row r="36" spans="1:44" x14ac:dyDescent="0.25">
      <c r="A36" s="109"/>
      <c r="B36" s="109" t="s">
        <v>2041</v>
      </c>
      <c r="C36" s="109"/>
      <c r="D36" s="109" t="s">
        <v>2172</v>
      </c>
      <c r="E36" s="109"/>
      <c r="F36" s="109" t="s">
        <v>2184</v>
      </c>
      <c r="G36" s="109"/>
      <c r="H36" s="109" t="s">
        <v>2196</v>
      </c>
      <c r="I36" s="109"/>
      <c r="J36" s="109" t="s">
        <v>2208</v>
      </c>
      <c r="K36" s="94" t="s">
        <v>304</v>
      </c>
      <c r="L36" s="109" t="s">
        <v>2220</v>
      </c>
      <c r="M36" s="109"/>
      <c r="N36" s="109" t="s">
        <v>2232</v>
      </c>
      <c r="O36" s="109"/>
      <c r="P36" s="109" t="s">
        <v>2244</v>
      </c>
      <c r="Q36" s="109"/>
      <c r="R36" s="109" t="s">
        <v>2256</v>
      </c>
      <c r="S36" s="109"/>
      <c r="T36" s="109" t="s">
        <v>2268</v>
      </c>
      <c r="U36" s="109"/>
      <c r="V36" s="109" t="s">
        <v>2280</v>
      </c>
      <c r="W36" s="109"/>
      <c r="X36" s="109" t="s">
        <v>2292</v>
      </c>
      <c r="Y36" s="109" t="s">
        <v>304</v>
      </c>
      <c r="Z36" s="109" t="s">
        <v>2304</v>
      </c>
      <c r="AA36" s="109" t="s">
        <v>304</v>
      </c>
      <c r="AB36" s="109" t="s">
        <v>2316</v>
      </c>
      <c r="AC36" s="109"/>
      <c r="AD36" s="109" t="s">
        <v>2328</v>
      </c>
      <c r="AE36" s="109"/>
      <c r="AF36" s="109" t="s">
        <v>2340</v>
      </c>
      <c r="AG36" s="109"/>
      <c r="AH36" s="109" t="s">
        <v>2352</v>
      </c>
      <c r="AI36" s="109"/>
      <c r="AJ36" s="109" t="s">
        <v>2364</v>
      </c>
      <c r="AK36" s="109"/>
      <c r="AL36" s="109"/>
      <c r="AM36" s="109"/>
      <c r="AN36" s="109"/>
      <c r="AO36" s="109"/>
      <c r="AP36" s="109"/>
      <c r="AQ36" s="109"/>
      <c r="AR36" s="109"/>
    </row>
    <row r="37" spans="1:44" x14ac:dyDescent="0.25">
      <c r="A37" s="109"/>
      <c r="B37" s="109" t="s">
        <v>2042</v>
      </c>
      <c r="C37" s="109"/>
      <c r="D37" s="109" t="s">
        <v>2173</v>
      </c>
      <c r="E37" s="109"/>
      <c r="F37" s="109" t="s">
        <v>2185</v>
      </c>
      <c r="G37" s="109"/>
      <c r="H37" s="109" t="s">
        <v>2197</v>
      </c>
      <c r="I37" s="109"/>
      <c r="J37" s="109" t="s">
        <v>2209</v>
      </c>
      <c r="K37" s="109" t="s">
        <v>304</v>
      </c>
      <c r="L37" s="109" t="s">
        <v>2221</v>
      </c>
      <c r="M37" s="109"/>
      <c r="N37" s="109" t="s">
        <v>2233</v>
      </c>
      <c r="O37" s="109"/>
      <c r="P37" s="109" t="s">
        <v>2245</v>
      </c>
      <c r="Q37" s="109"/>
      <c r="R37" s="109" t="s">
        <v>2257</v>
      </c>
      <c r="S37" s="109"/>
      <c r="T37" s="109" t="s">
        <v>2269</v>
      </c>
      <c r="U37" s="109"/>
      <c r="V37" s="109" t="s">
        <v>2281</v>
      </c>
      <c r="W37" s="109"/>
      <c r="X37" s="109" t="s">
        <v>2293</v>
      </c>
      <c r="Y37" s="109" t="s">
        <v>304</v>
      </c>
      <c r="Z37" s="109" t="s">
        <v>2305</v>
      </c>
      <c r="AA37" s="109" t="s">
        <v>304</v>
      </c>
      <c r="AB37" s="109" t="s">
        <v>2317</v>
      </c>
      <c r="AC37" s="109"/>
      <c r="AD37" s="109" t="s">
        <v>2329</v>
      </c>
      <c r="AE37" s="109"/>
      <c r="AF37" s="109" t="s">
        <v>2341</v>
      </c>
      <c r="AG37" s="109"/>
      <c r="AH37" s="109" t="s">
        <v>2353</v>
      </c>
      <c r="AI37" s="109"/>
      <c r="AJ37" s="109" t="s">
        <v>2365</v>
      </c>
      <c r="AK37" s="109"/>
      <c r="AL37" s="109"/>
      <c r="AM37" s="109"/>
      <c r="AN37" s="109"/>
      <c r="AO37" s="109"/>
      <c r="AP37" s="109"/>
      <c r="AQ37" s="109"/>
      <c r="AR37" s="109"/>
    </row>
    <row r="38" spans="1:44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 t="shared" ref="D38" si="24">COUNTIF(D26:D37,"&lt;&gt;")</f>
        <v>12</v>
      </c>
      <c r="E38" s="109">
        <f t="shared" ref="E38" si="25">COUNTIF(E26:E37,"Y")</f>
        <v>0</v>
      </c>
      <c r="F38" s="109">
        <f t="shared" ref="F38" si="26">COUNTIF(F26:F37,"&lt;&gt;")</f>
        <v>12</v>
      </c>
      <c r="G38" s="109">
        <f t="shared" ref="G38" si="27">COUNTIF(G26:G37,"Y")</f>
        <v>0</v>
      </c>
      <c r="H38" s="109">
        <f t="shared" ref="H38" si="28">COUNTIF(H26:H37,"&lt;&gt;")</f>
        <v>12</v>
      </c>
      <c r="I38" s="109">
        <f t="shared" ref="I38" si="29">COUNTIF(I26:I37,"Y")</f>
        <v>0</v>
      </c>
      <c r="J38" s="109">
        <f t="shared" ref="J38" si="30">COUNTIF(J26:J37,"&lt;&gt;")</f>
        <v>12</v>
      </c>
      <c r="K38" s="109">
        <f t="shared" ref="K38" si="31">COUNTIF(K26:K37,"Y")</f>
        <v>12</v>
      </c>
      <c r="L38" s="109">
        <f t="shared" ref="L38" si="32">COUNTIF(L26:L37,"&lt;&gt;")</f>
        <v>12</v>
      </c>
      <c r="M38" s="109">
        <f t="shared" ref="M38" si="33">COUNTIF(M26:M37,"Y")</f>
        <v>0</v>
      </c>
      <c r="N38" s="109">
        <f t="shared" ref="N38" si="34">COUNTIF(N26:N37,"&lt;&gt;")</f>
        <v>12</v>
      </c>
      <c r="O38" s="109">
        <f t="shared" ref="O38" si="35">COUNTIF(O26:O37,"Y")</f>
        <v>0</v>
      </c>
      <c r="P38" s="109">
        <f t="shared" ref="P38" si="36">COUNTIF(P26:P37,"&lt;&gt;")</f>
        <v>12</v>
      </c>
      <c r="Q38" s="109">
        <f t="shared" ref="Q38" si="37">COUNTIF(Q26:Q37,"Y")</f>
        <v>0</v>
      </c>
      <c r="R38" s="109">
        <f t="shared" ref="R38" si="38">COUNTIF(R26:R37,"&lt;&gt;")</f>
        <v>12</v>
      </c>
      <c r="S38" s="109">
        <f t="shared" ref="S38" si="39">COUNTIF(S26:S37,"Y")</f>
        <v>0</v>
      </c>
      <c r="T38" s="109">
        <f t="shared" ref="T38" si="40">COUNTIF(T26:T37,"&lt;&gt;")</f>
        <v>12</v>
      </c>
      <c r="U38" s="109">
        <f t="shared" ref="U38" si="41">COUNTIF(U26:U37,"Y")</f>
        <v>0</v>
      </c>
      <c r="V38" s="109">
        <f t="shared" ref="V38" si="42">COUNTIF(V26:V37,"&lt;&gt;")</f>
        <v>12</v>
      </c>
      <c r="W38" s="109">
        <f t="shared" ref="W38" si="43">COUNTIF(W26:W37,"Y")</f>
        <v>0</v>
      </c>
      <c r="X38" s="109">
        <f t="shared" ref="X38" si="44">COUNTIF(X26:X37,"&lt;&gt;")</f>
        <v>12</v>
      </c>
      <c r="Y38" s="109">
        <f t="shared" ref="Y38" si="45">COUNTIF(Y26:Y37,"Y")</f>
        <v>12</v>
      </c>
      <c r="Z38" s="109">
        <f t="shared" ref="Z38" si="46">COUNTIF(Z26:Z37,"&lt;&gt;")</f>
        <v>12</v>
      </c>
      <c r="AA38" s="109">
        <f t="shared" ref="AA38" si="47">COUNTIF(AA26:AA37,"Y")</f>
        <v>12</v>
      </c>
      <c r="AB38" s="109">
        <f t="shared" ref="AB38" si="48">COUNTIF(AB26:AB37,"&lt;&gt;")</f>
        <v>12</v>
      </c>
      <c r="AC38" s="109">
        <f t="shared" ref="AC38" si="49">COUNTIF(AC26:AC37,"Y")</f>
        <v>0</v>
      </c>
      <c r="AD38" s="109">
        <f t="shared" ref="AD38" si="50">COUNTIF(AD26:AD37,"&lt;&gt;")</f>
        <v>12</v>
      </c>
      <c r="AE38" s="109">
        <f t="shared" ref="AE38" si="51">COUNTIF(AE26:AE37,"Y")</f>
        <v>0</v>
      </c>
      <c r="AF38" s="109">
        <f t="shared" ref="AF38" si="52">COUNTIF(AF26:AF37,"&lt;&gt;")</f>
        <v>12</v>
      </c>
      <c r="AG38" s="109">
        <f t="shared" ref="AG38" si="53">COUNTIF(AG26:AG37,"Y")</f>
        <v>0</v>
      </c>
      <c r="AH38" s="109">
        <f t="shared" ref="AH38" si="54">COUNTIF(AH26:AH37,"&lt;&gt;")</f>
        <v>12</v>
      </c>
      <c r="AI38" s="109">
        <f t="shared" ref="AI38" si="55">COUNTIF(AI26:AI37,"Y")</f>
        <v>0</v>
      </c>
      <c r="AJ38" s="109">
        <f t="shared" ref="AJ38" si="56">COUNTIF(AJ26:AJ37,"&lt;&gt;")</f>
        <v>12</v>
      </c>
      <c r="AK38" s="109">
        <f t="shared" ref="AK38" si="57">COUNTIF(AK26:AK37,"Y")</f>
        <v>0</v>
      </c>
      <c r="AL38" s="109"/>
      <c r="AM38" s="109"/>
      <c r="AN38" s="109"/>
      <c r="AO38" s="109"/>
      <c r="AP38" s="109"/>
      <c r="AQ38" s="109"/>
      <c r="AR38" s="109"/>
    </row>
  </sheetData>
  <conditionalFormatting sqref="A3:XFD38">
    <cfRule type="cellIs" dxfId="2" priority="1" operator="equal">
      <formula>"y"</formula>
    </cfRule>
  </conditionalFormatting>
  <pageMargins left="0.7" right="0.7" top="0.75" bottom="0.75" header="0.3" footer="0.3"/>
  <pageSetup orientation="portrait" verticalDpi="597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62ED-1CF0-41A6-936B-47486276486B}">
  <sheetPr codeName="Sheet12"/>
  <dimension ref="A1:AM38"/>
  <sheetViews>
    <sheetView workbookViewId="0">
      <selection activeCell="C1" sqref="C1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2.42578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16384" width="9.140625" style="109"/>
  </cols>
  <sheetData>
    <row r="1" spans="2:29" s="111" customFormat="1" x14ac:dyDescent="0.25">
      <c r="B1" s="111" t="s">
        <v>14577</v>
      </c>
      <c r="C1" s="111">
        <f>SUM(D3,D24)</f>
        <v>381</v>
      </c>
      <c r="D1" s="111" t="s">
        <v>301</v>
      </c>
      <c r="E1" s="111">
        <f>SUM(F3,F24)</f>
        <v>41</v>
      </c>
      <c r="F1" s="111" t="s">
        <v>14579</v>
      </c>
      <c r="G1" s="111">
        <f>SUM(H3,H24)</f>
        <v>340</v>
      </c>
      <c r="H1" s="111" t="s">
        <v>14578</v>
      </c>
      <c r="I1" s="131">
        <f>(E1/C1)</f>
        <v>0.10761154855643044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2421</v>
      </c>
      <c r="C3" s="109" t="s">
        <v>302</v>
      </c>
      <c r="D3" s="109">
        <f>SUM(B22,D22,F22,H22,J22,L22,N22,P22,R22,T22,V22)</f>
        <v>153</v>
      </c>
      <c r="E3" s="109" t="s">
        <v>301</v>
      </c>
      <c r="F3" s="109">
        <f>SUM(C22,E22,G22,I22,K22,M22,O22,Q22,S22,U22,W22)</f>
        <v>17</v>
      </c>
      <c r="G3" s="109" t="s">
        <v>305</v>
      </c>
      <c r="H3" s="109">
        <f>D3-F3</f>
        <v>136</v>
      </c>
    </row>
    <row r="4" spans="2:29" x14ac:dyDescent="0.25">
      <c r="B4" s="109" t="str">
        <f>LEFT(B5,FIND("_C",B5)-1)</f>
        <v>BH_029</v>
      </c>
      <c r="C4" s="109" t="s">
        <v>301</v>
      </c>
      <c r="D4" s="109" t="str">
        <f>LEFT(D5,FIND("_C",D5)-1)</f>
        <v>BH_059</v>
      </c>
      <c r="E4" s="109" t="s">
        <v>301</v>
      </c>
      <c r="F4" s="109" t="str">
        <f>LEFT(F5,FIND("_C",F5)-1)</f>
        <v>BH_070</v>
      </c>
      <c r="G4" s="109" t="s">
        <v>301</v>
      </c>
      <c r="H4" s="109" t="str">
        <f>LEFT(H5,FIND("_C",H5)-1)</f>
        <v>BH_093</v>
      </c>
      <c r="I4" s="109" t="s">
        <v>301</v>
      </c>
      <c r="J4" s="109" t="str">
        <f>LEFT(J5,FIND("_C",J5)-1)</f>
        <v>BH_101</v>
      </c>
      <c r="K4" s="109" t="s">
        <v>301</v>
      </c>
      <c r="L4" s="109" t="str">
        <f>LEFT(L5,FIND("_C",L5)-1)</f>
        <v>BH_106</v>
      </c>
      <c r="M4" s="109" t="s">
        <v>301</v>
      </c>
      <c r="N4" s="109" t="str">
        <f>LEFT(N5,FIND("_C",N5)-1)</f>
        <v>BH_125</v>
      </c>
      <c r="O4" s="109" t="s">
        <v>301</v>
      </c>
      <c r="P4" s="109" t="str">
        <f>LEFT(P5,FIND("_C",P5)-1)</f>
        <v>BH_134</v>
      </c>
      <c r="Q4" s="109" t="s">
        <v>301</v>
      </c>
      <c r="R4" s="109" t="str">
        <f>LEFT(R5,FIND("_C",R5)-1)</f>
        <v>BH_140</v>
      </c>
      <c r="S4" s="109" t="s">
        <v>301</v>
      </c>
    </row>
    <row r="5" spans="2:29" x14ac:dyDescent="0.25">
      <c r="B5" s="109" t="s">
        <v>2404</v>
      </c>
      <c r="D5" s="109" t="s">
        <v>2423</v>
      </c>
      <c r="F5" s="109" t="s">
        <v>2440</v>
      </c>
      <c r="H5" s="109" t="s">
        <v>2457</v>
      </c>
      <c r="J5" s="109" t="s">
        <v>2474</v>
      </c>
      <c r="K5" s="109" t="s">
        <v>304</v>
      </c>
      <c r="L5" s="109" t="s">
        <v>2491</v>
      </c>
      <c r="N5" s="109" t="s">
        <v>2508</v>
      </c>
      <c r="P5" s="109" t="s">
        <v>2525</v>
      </c>
      <c r="R5" s="109" t="s">
        <v>2542</v>
      </c>
    </row>
    <row r="6" spans="2:29" x14ac:dyDescent="0.25">
      <c r="B6" s="109" t="s">
        <v>2405</v>
      </c>
      <c r="D6" s="109" t="s">
        <v>2424</v>
      </c>
      <c r="F6" s="109" t="s">
        <v>2441</v>
      </c>
      <c r="H6" s="109" t="s">
        <v>2458</v>
      </c>
      <c r="J6" s="109" t="s">
        <v>2475</v>
      </c>
      <c r="K6" s="109" t="s">
        <v>304</v>
      </c>
      <c r="L6" s="109" t="s">
        <v>2492</v>
      </c>
      <c r="N6" s="109" t="s">
        <v>2509</v>
      </c>
      <c r="P6" s="109" t="s">
        <v>2526</v>
      </c>
      <c r="R6" s="109" t="s">
        <v>2543</v>
      </c>
    </row>
    <row r="7" spans="2:29" x14ac:dyDescent="0.25">
      <c r="B7" s="109" t="s">
        <v>2406</v>
      </c>
      <c r="D7" s="109" t="s">
        <v>2425</v>
      </c>
      <c r="F7" s="109" t="s">
        <v>2442</v>
      </c>
      <c r="H7" s="109" t="s">
        <v>2459</v>
      </c>
      <c r="J7" s="109" t="s">
        <v>2476</v>
      </c>
      <c r="K7" s="109" t="s">
        <v>304</v>
      </c>
      <c r="L7" s="109" t="s">
        <v>2493</v>
      </c>
      <c r="N7" s="109" t="s">
        <v>2510</v>
      </c>
      <c r="P7" s="109" t="s">
        <v>2527</v>
      </c>
      <c r="R7" s="109" t="s">
        <v>2544</v>
      </c>
    </row>
    <row r="8" spans="2:29" x14ac:dyDescent="0.25">
      <c r="B8" s="109" t="s">
        <v>2407</v>
      </c>
      <c r="D8" s="109" t="s">
        <v>2426</v>
      </c>
      <c r="F8" s="109" t="s">
        <v>2443</v>
      </c>
      <c r="H8" s="109" t="s">
        <v>2460</v>
      </c>
      <c r="J8" s="109" t="s">
        <v>2477</v>
      </c>
      <c r="K8" s="109" t="s">
        <v>304</v>
      </c>
      <c r="L8" s="109" t="s">
        <v>2494</v>
      </c>
      <c r="N8" s="109" t="s">
        <v>2511</v>
      </c>
      <c r="P8" s="109" t="s">
        <v>2528</v>
      </c>
      <c r="R8" s="109" t="s">
        <v>2545</v>
      </c>
    </row>
    <row r="9" spans="2:29" x14ac:dyDescent="0.25">
      <c r="B9" s="109" t="s">
        <v>2408</v>
      </c>
      <c r="D9" s="109" t="s">
        <v>2427</v>
      </c>
      <c r="F9" s="109" t="s">
        <v>2444</v>
      </c>
      <c r="H9" s="109" t="s">
        <v>2461</v>
      </c>
      <c r="J9" s="109" t="s">
        <v>2478</v>
      </c>
      <c r="K9" s="109" t="s">
        <v>304</v>
      </c>
      <c r="L9" s="109" t="s">
        <v>2495</v>
      </c>
      <c r="N9" s="109" t="s">
        <v>2512</v>
      </c>
      <c r="P9" s="109" t="s">
        <v>2529</v>
      </c>
      <c r="R9" s="109" t="s">
        <v>2546</v>
      </c>
    </row>
    <row r="10" spans="2:29" x14ac:dyDescent="0.25">
      <c r="B10" s="109" t="s">
        <v>2409</v>
      </c>
      <c r="D10" s="109" t="s">
        <v>2428</v>
      </c>
      <c r="F10" s="109" t="s">
        <v>2445</v>
      </c>
      <c r="H10" s="109" t="s">
        <v>2462</v>
      </c>
      <c r="J10" s="109" t="s">
        <v>2479</v>
      </c>
      <c r="K10" s="109" t="s">
        <v>304</v>
      </c>
      <c r="L10" s="109" t="s">
        <v>2496</v>
      </c>
      <c r="N10" s="109" t="s">
        <v>2513</v>
      </c>
      <c r="P10" s="109" t="s">
        <v>2530</v>
      </c>
      <c r="R10" s="109" t="s">
        <v>2547</v>
      </c>
    </row>
    <row r="11" spans="2:29" x14ac:dyDescent="0.25">
      <c r="B11" s="109" t="s">
        <v>2410</v>
      </c>
      <c r="D11" s="109" t="s">
        <v>2429</v>
      </c>
      <c r="F11" s="109" t="s">
        <v>2446</v>
      </c>
      <c r="H11" s="109" t="s">
        <v>2463</v>
      </c>
      <c r="J11" s="109" t="s">
        <v>2480</v>
      </c>
      <c r="K11" s="109" t="s">
        <v>304</v>
      </c>
      <c r="L11" s="109" t="s">
        <v>2497</v>
      </c>
      <c r="N11" s="109" t="s">
        <v>2514</v>
      </c>
      <c r="P11" s="109" t="s">
        <v>2531</v>
      </c>
      <c r="R11" s="109" t="s">
        <v>2548</v>
      </c>
    </row>
    <row r="12" spans="2:29" x14ac:dyDescent="0.25">
      <c r="B12" s="109" t="s">
        <v>2411</v>
      </c>
      <c r="D12" s="109" t="s">
        <v>2430</v>
      </c>
      <c r="F12" s="109" t="s">
        <v>2447</v>
      </c>
      <c r="H12" s="109" t="s">
        <v>2464</v>
      </c>
      <c r="J12" s="109" t="s">
        <v>2481</v>
      </c>
      <c r="K12" s="109" t="s">
        <v>304</v>
      </c>
      <c r="L12" s="109" t="s">
        <v>2498</v>
      </c>
      <c r="N12" s="109" t="s">
        <v>2515</v>
      </c>
      <c r="P12" s="109" t="s">
        <v>2532</v>
      </c>
      <c r="R12" s="109" t="s">
        <v>2549</v>
      </c>
    </row>
    <row r="13" spans="2:29" x14ac:dyDescent="0.25">
      <c r="B13" s="109" t="s">
        <v>2412</v>
      </c>
      <c r="D13" s="109" t="s">
        <v>2431</v>
      </c>
      <c r="F13" s="109" t="s">
        <v>2448</v>
      </c>
      <c r="H13" s="109" t="s">
        <v>2465</v>
      </c>
      <c r="J13" s="109" t="s">
        <v>2482</v>
      </c>
      <c r="K13" s="109" t="s">
        <v>304</v>
      </c>
      <c r="L13" s="109" t="s">
        <v>2499</v>
      </c>
      <c r="N13" s="109" t="s">
        <v>2516</v>
      </c>
      <c r="P13" s="109" t="s">
        <v>2533</v>
      </c>
      <c r="R13" s="109" t="s">
        <v>2550</v>
      </c>
    </row>
    <row r="14" spans="2:29" x14ac:dyDescent="0.25">
      <c r="B14" s="109" t="s">
        <v>2413</v>
      </c>
      <c r="D14" s="109" t="s">
        <v>2432</v>
      </c>
      <c r="F14" s="109" t="s">
        <v>2449</v>
      </c>
      <c r="H14" s="109" t="s">
        <v>2466</v>
      </c>
      <c r="J14" s="109" t="s">
        <v>2483</v>
      </c>
      <c r="K14" s="109" t="s">
        <v>304</v>
      </c>
      <c r="L14" s="109" t="s">
        <v>2500</v>
      </c>
      <c r="N14" s="109" t="s">
        <v>2517</v>
      </c>
      <c r="P14" s="109" t="s">
        <v>2534</v>
      </c>
      <c r="R14" s="109" t="s">
        <v>2551</v>
      </c>
    </row>
    <row r="15" spans="2:29" x14ac:dyDescent="0.25">
      <c r="B15" s="109" t="s">
        <v>2414</v>
      </c>
      <c r="D15" s="109" t="s">
        <v>2433</v>
      </c>
      <c r="F15" s="109" t="s">
        <v>2450</v>
      </c>
      <c r="H15" s="109" t="s">
        <v>2467</v>
      </c>
      <c r="J15" s="109" t="s">
        <v>2484</v>
      </c>
      <c r="K15" s="109" t="s">
        <v>304</v>
      </c>
      <c r="L15" s="109" t="s">
        <v>2501</v>
      </c>
      <c r="N15" s="109" t="s">
        <v>2518</v>
      </c>
      <c r="P15" s="109" t="s">
        <v>2535</v>
      </c>
      <c r="R15" s="109" t="s">
        <v>2552</v>
      </c>
    </row>
    <row r="16" spans="2:29" x14ac:dyDescent="0.25">
      <c r="B16" s="109" t="s">
        <v>2415</v>
      </c>
      <c r="D16" s="109" t="s">
        <v>2434</v>
      </c>
      <c r="F16" s="109" t="s">
        <v>2451</v>
      </c>
      <c r="H16" s="109" t="s">
        <v>2468</v>
      </c>
      <c r="J16" s="109" t="s">
        <v>2485</v>
      </c>
      <c r="K16" s="109" t="s">
        <v>304</v>
      </c>
      <c r="L16" s="109" t="s">
        <v>2502</v>
      </c>
      <c r="N16" s="109" t="s">
        <v>2519</v>
      </c>
      <c r="P16" s="109" t="s">
        <v>2536</v>
      </c>
      <c r="R16" s="109" t="s">
        <v>2553</v>
      </c>
    </row>
    <row r="17" spans="1:39" x14ac:dyDescent="0.25">
      <c r="B17" s="109" t="s">
        <v>2416</v>
      </c>
      <c r="D17" s="109" t="s">
        <v>2435</v>
      </c>
      <c r="F17" s="109" t="s">
        <v>2452</v>
      </c>
      <c r="H17" s="109" t="s">
        <v>2469</v>
      </c>
      <c r="J17" s="109" t="s">
        <v>2486</v>
      </c>
      <c r="K17" s="109" t="s">
        <v>304</v>
      </c>
      <c r="L17" s="109" t="s">
        <v>2503</v>
      </c>
      <c r="N17" s="109" t="s">
        <v>2520</v>
      </c>
      <c r="P17" s="109" t="s">
        <v>2537</v>
      </c>
      <c r="R17" s="109" t="s">
        <v>2554</v>
      </c>
    </row>
    <row r="18" spans="1:39" x14ac:dyDescent="0.25">
      <c r="B18" s="109" t="s">
        <v>2417</v>
      </c>
      <c r="D18" s="109" t="s">
        <v>2436</v>
      </c>
      <c r="F18" s="109" t="s">
        <v>2453</v>
      </c>
      <c r="H18" s="109" t="s">
        <v>2470</v>
      </c>
      <c r="J18" s="109" t="s">
        <v>2487</v>
      </c>
      <c r="K18" s="109" t="s">
        <v>304</v>
      </c>
      <c r="L18" s="109" t="s">
        <v>2504</v>
      </c>
      <c r="N18" s="109" t="s">
        <v>2521</v>
      </c>
      <c r="P18" s="109" t="s">
        <v>2538</v>
      </c>
      <c r="R18" s="109" t="s">
        <v>2555</v>
      </c>
    </row>
    <row r="19" spans="1:39" x14ac:dyDescent="0.25">
      <c r="B19" s="109" t="s">
        <v>2418</v>
      </c>
      <c r="D19" s="109" t="s">
        <v>2437</v>
      </c>
      <c r="F19" s="109" t="s">
        <v>2454</v>
      </c>
      <c r="H19" s="109" t="s">
        <v>2471</v>
      </c>
      <c r="J19" s="109" t="s">
        <v>2488</v>
      </c>
      <c r="K19" s="109" t="s">
        <v>304</v>
      </c>
      <c r="L19" s="109" t="s">
        <v>2505</v>
      </c>
      <c r="N19" s="109" t="s">
        <v>2522</v>
      </c>
      <c r="P19" s="109" t="s">
        <v>2539</v>
      </c>
      <c r="R19" s="109" t="s">
        <v>2556</v>
      </c>
    </row>
    <row r="20" spans="1:39" x14ac:dyDescent="0.25">
      <c r="B20" s="109" t="s">
        <v>2419</v>
      </c>
      <c r="D20" s="109" t="s">
        <v>2438</v>
      </c>
      <c r="F20" s="109" t="s">
        <v>2455</v>
      </c>
      <c r="H20" s="109" t="s">
        <v>2472</v>
      </c>
      <c r="J20" s="109" t="s">
        <v>2489</v>
      </c>
      <c r="K20" s="109" t="s">
        <v>304</v>
      </c>
      <c r="L20" s="109" t="s">
        <v>2506</v>
      </c>
      <c r="N20" s="109" t="s">
        <v>2523</v>
      </c>
      <c r="P20" s="109" t="s">
        <v>2540</v>
      </c>
      <c r="R20" s="109" t="s">
        <v>2557</v>
      </c>
    </row>
    <row r="21" spans="1:39" x14ac:dyDescent="0.25">
      <c r="B21" s="109" t="s">
        <v>2420</v>
      </c>
      <c r="D21" s="109" t="s">
        <v>2439</v>
      </c>
      <c r="E21" s="109">
        <v>1</v>
      </c>
      <c r="F21" s="109" t="s">
        <v>2456</v>
      </c>
      <c r="H21" s="109" t="s">
        <v>2473</v>
      </c>
      <c r="J21" s="109" t="s">
        <v>2490</v>
      </c>
      <c r="K21" s="109" t="s">
        <v>304</v>
      </c>
      <c r="L21" s="109" t="s">
        <v>2507</v>
      </c>
      <c r="N21" s="109" t="s">
        <v>2524</v>
      </c>
      <c r="P21" s="109" t="s">
        <v>2541</v>
      </c>
      <c r="R21" s="109" t="s">
        <v>2558</v>
      </c>
    </row>
    <row r="22" spans="1:39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0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17</v>
      </c>
      <c r="L22" s="109">
        <f t="shared" ref="L22" si="5">COUNTIF(L5:L21,"&lt;&gt;")</f>
        <v>17</v>
      </c>
      <c r="M22" s="109">
        <f>COUNTIF(M5:M21,"Y")</f>
        <v>0</v>
      </c>
      <c r="N22" s="109">
        <f t="shared" ref="N22" si="6">COUNTIF(N5:N21,"&lt;&gt;")</f>
        <v>17</v>
      </c>
      <c r="O22" s="109">
        <f>COUNTIF(O5:O21,"Y")</f>
        <v>0</v>
      </c>
      <c r="P22" s="109">
        <f t="shared" ref="P22" si="7">COUNTIF(P5:P21,"&lt;&gt;")</f>
        <v>17</v>
      </c>
      <c r="Q22" s="109">
        <f>COUNTIF(Q5:Q21,"Y")</f>
        <v>0</v>
      </c>
      <c r="R22" s="109">
        <f t="shared" ref="R22" si="8">COUNTIF(R5:R21,"&lt;&gt;")</f>
        <v>17</v>
      </c>
      <c r="S22" s="109">
        <f>COUNTIF(S5:S21,"Y")</f>
        <v>0</v>
      </c>
    </row>
    <row r="24" spans="1:39" x14ac:dyDescent="0.25">
      <c r="B24" s="109" t="s">
        <v>2422</v>
      </c>
      <c r="C24" s="109" t="s">
        <v>302</v>
      </c>
      <c r="D24" s="109">
        <f>SUM(B38,D38,F38,H38,J38,L38,N38,P38,R38,T38,V38,X38,Z38,AB38,AD38,AF38,AH38,AJ38,AL38,AN38,AP38)</f>
        <v>228</v>
      </c>
      <c r="E24" s="109" t="s">
        <v>301</v>
      </c>
      <c r="F24" s="109">
        <f>SUM(C38,E38,G38,I38,K38,M38,O38,Q38,S38,U38,W38,Y38,AA38,AC38,AE38,AG38,AI38,AK38,AM38,AO38,AQ38)</f>
        <v>24</v>
      </c>
      <c r="G24" s="109" t="s">
        <v>305</v>
      </c>
      <c r="H24" s="109">
        <f>D24-F24</f>
        <v>204</v>
      </c>
    </row>
    <row r="25" spans="1:39" x14ac:dyDescent="0.25">
      <c r="B25" s="109" t="str">
        <f>LEFT(B26,FIND("_P",B26)-1)</f>
        <v>CPT_038</v>
      </c>
      <c r="C25" s="109" t="s">
        <v>301</v>
      </c>
      <c r="D25" s="109" t="str">
        <f t="shared" ref="D25" si="9">LEFT(D26,FIND("_P",D26)-1)</f>
        <v>CPT_050</v>
      </c>
      <c r="E25" s="109" t="s">
        <v>301</v>
      </c>
      <c r="F25" s="109" t="str">
        <f t="shared" ref="F25" si="10">LEFT(F26,FIND("_P",F26)-1)</f>
        <v>CPT_066</v>
      </c>
      <c r="G25" s="109" t="s">
        <v>301</v>
      </c>
      <c r="H25" s="109" t="str">
        <f t="shared" ref="H25" si="11">LEFT(H26,FIND("_P",H26)-1)</f>
        <v>CPT_068</v>
      </c>
      <c r="I25" s="109" t="s">
        <v>301</v>
      </c>
      <c r="J25" s="109" t="str">
        <f t="shared" ref="J25" si="12">LEFT(J26,FIND("_P",J26)-1)</f>
        <v>CPT_086</v>
      </c>
      <c r="K25" s="109" t="s">
        <v>301</v>
      </c>
      <c r="L25" s="109" t="str">
        <f t="shared" ref="L25" si="13">LEFT(L26,FIND("_P",L26)-1)</f>
        <v>CPT_117</v>
      </c>
      <c r="M25" s="109" t="s">
        <v>301</v>
      </c>
      <c r="N25" s="109" t="str">
        <f t="shared" ref="N25" si="14">LEFT(N26,FIND("_P",N26)-1)</f>
        <v>CPT_141</v>
      </c>
      <c r="O25" s="109" t="s">
        <v>301</v>
      </c>
      <c r="P25" s="109" t="str">
        <f t="shared" ref="P25" si="15">LEFT(P26,FIND("_P",P26)-1)</f>
        <v>CPT_144</v>
      </c>
      <c r="Q25" s="109" t="s">
        <v>301</v>
      </c>
      <c r="R25" s="109" t="str">
        <f t="shared" ref="R25" si="16">LEFT(R26,FIND("_P",R26)-1)</f>
        <v>CPT_145</v>
      </c>
      <c r="S25" s="109" t="s">
        <v>301</v>
      </c>
      <c r="T25" s="109" t="str">
        <f t="shared" ref="T25" si="17">LEFT(T26,FIND("_P",T26)-1)</f>
        <v>CPT_159</v>
      </c>
      <c r="U25" s="109" t="s">
        <v>301</v>
      </c>
      <c r="V25" s="109" t="str">
        <f t="shared" ref="V25" si="18">LEFT(V26,FIND("_P",V26)-1)</f>
        <v>CPT_166</v>
      </c>
      <c r="W25" s="109" t="s">
        <v>301</v>
      </c>
      <c r="X25" s="109" t="str">
        <f t="shared" ref="X25" si="19">LEFT(X26,FIND("_P",X26)-1)</f>
        <v>CPT_175</v>
      </c>
      <c r="Y25" s="109" t="s">
        <v>301</v>
      </c>
      <c r="Z25" s="109" t="str">
        <f t="shared" ref="Z25" si="20">LEFT(Z26,FIND("_P",Z26)-1)</f>
        <v>CPT_183</v>
      </c>
      <c r="AA25" s="109" t="s">
        <v>301</v>
      </c>
      <c r="AB25" s="109" t="str">
        <f t="shared" ref="AB25" si="21">LEFT(AB26,FIND("_P",AB26)-1)</f>
        <v>CPT_228</v>
      </c>
      <c r="AC25" s="109" t="s">
        <v>301</v>
      </c>
      <c r="AD25" s="109" t="str">
        <f t="shared" ref="AD25" si="22">LEFT(AD26,FIND("_P",AD26)-1)</f>
        <v>CPT_246</v>
      </c>
      <c r="AE25" s="109" t="s">
        <v>301</v>
      </c>
      <c r="AF25" s="109" t="str">
        <f t="shared" ref="AF25" si="23">LEFT(AF26,FIND("_P",AF26)-1)</f>
        <v>CPT_296</v>
      </c>
      <c r="AG25" s="109" t="s">
        <v>301</v>
      </c>
      <c r="AH25" s="109" t="str">
        <f t="shared" ref="AH25" si="24">LEFT(AH26,FIND("_P",AH26)-1)</f>
        <v>CPT_326</v>
      </c>
      <c r="AI25" s="109" t="s">
        <v>301</v>
      </c>
      <c r="AJ25" s="109" t="str">
        <f t="shared" ref="AJ25" si="25">LEFT(AJ26,FIND("_P",AJ26)-1)</f>
        <v>CPT_330</v>
      </c>
      <c r="AK25" s="109" t="s">
        <v>301</v>
      </c>
      <c r="AL25" s="109" t="str">
        <f t="shared" ref="AL25" si="26">LEFT(AL26,FIND("_P",AL26)-1)</f>
        <v>CPT_331</v>
      </c>
      <c r="AM25" s="109" t="s">
        <v>301</v>
      </c>
    </row>
    <row r="26" spans="1:39" x14ac:dyDescent="0.25">
      <c r="B26" s="109" t="s">
        <v>2366</v>
      </c>
      <c r="C26" s="109" t="s">
        <v>304</v>
      </c>
      <c r="D26" s="109" t="s">
        <v>2378</v>
      </c>
      <c r="F26" s="109" t="s">
        <v>2390</v>
      </c>
      <c r="H26" s="109" t="s">
        <v>2559</v>
      </c>
      <c r="J26" s="109" t="s">
        <v>2571</v>
      </c>
      <c r="L26" s="109" t="s">
        <v>2583</v>
      </c>
      <c r="N26" s="109" t="s">
        <v>2595</v>
      </c>
      <c r="O26" s="109" t="s">
        <v>304</v>
      </c>
      <c r="P26" s="109" t="s">
        <v>2607</v>
      </c>
      <c r="R26" s="109" t="s">
        <v>2619</v>
      </c>
      <c r="T26" s="109" t="s">
        <v>2631</v>
      </c>
      <c r="V26" s="109" t="s">
        <v>2643</v>
      </c>
      <c r="X26" s="109" t="s">
        <v>2655</v>
      </c>
      <c r="Z26" s="109" t="s">
        <v>2667</v>
      </c>
      <c r="AB26" s="109" t="s">
        <v>2679</v>
      </c>
      <c r="AD26" s="109" t="s">
        <v>2691</v>
      </c>
      <c r="AF26" s="109" t="s">
        <v>2703</v>
      </c>
      <c r="AH26" s="109" t="s">
        <v>2715</v>
      </c>
      <c r="AJ26" s="109" t="s">
        <v>2727</v>
      </c>
      <c r="AL26" s="109" t="s">
        <v>2739</v>
      </c>
    </row>
    <row r="27" spans="1:39" x14ac:dyDescent="0.25">
      <c r="B27" s="109" t="s">
        <v>2367</v>
      </c>
      <c r="C27" s="109" t="s">
        <v>304</v>
      </c>
      <c r="D27" s="109" t="s">
        <v>2379</v>
      </c>
      <c r="F27" s="109" t="s">
        <v>2391</v>
      </c>
      <c r="H27" s="109" t="s">
        <v>2560</v>
      </c>
      <c r="J27" s="109" t="s">
        <v>2572</v>
      </c>
      <c r="L27" s="109" t="s">
        <v>2584</v>
      </c>
      <c r="N27" s="109" t="s">
        <v>2596</v>
      </c>
      <c r="O27" s="109" t="s">
        <v>304</v>
      </c>
      <c r="P27" s="109" t="s">
        <v>2608</v>
      </c>
      <c r="R27" s="109" t="s">
        <v>2620</v>
      </c>
      <c r="T27" s="109" t="s">
        <v>2632</v>
      </c>
      <c r="V27" s="109" t="s">
        <v>2644</v>
      </c>
      <c r="X27" s="109" t="s">
        <v>2656</v>
      </c>
      <c r="Z27" s="109" t="s">
        <v>2668</v>
      </c>
      <c r="AB27" s="109" t="s">
        <v>2680</v>
      </c>
      <c r="AD27" s="109" t="s">
        <v>2692</v>
      </c>
      <c r="AF27" s="109" t="s">
        <v>2704</v>
      </c>
      <c r="AH27" s="109" t="s">
        <v>2716</v>
      </c>
      <c r="AJ27" s="109" t="s">
        <v>2728</v>
      </c>
      <c r="AL27" s="109" t="s">
        <v>2740</v>
      </c>
    </row>
    <row r="28" spans="1:39" x14ac:dyDescent="0.25">
      <c r="B28" s="109" t="s">
        <v>2368</v>
      </c>
      <c r="C28" s="109" t="s">
        <v>304</v>
      </c>
      <c r="D28" s="109" t="s">
        <v>2380</v>
      </c>
      <c r="F28" s="109" t="s">
        <v>2392</v>
      </c>
      <c r="H28" s="109" t="s">
        <v>2561</v>
      </c>
      <c r="J28" s="109" t="s">
        <v>2573</v>
      </c>
      <c r="L28" s="109" t="s">
        <v>2585</v>
      </c>
      <c r="N28" s="109" t="s">
        <v>2597</v>
      </c>
      <c r="O28" s="109" t="s">
        <v>304</v>
      </c>
      <c r="P28" s="109" t="s">
        <v>2609</v>
      </c>
      <c r="R28" s="109" t="s">
        <v>2621</v>
      </c>
      <c r="T28" s="109" t="s">
        <v>2633</v>
      </c>
      <c r="V28" s="109" t="s">
        <v>2645</v>
      </c>
      <c r="X28" s="109" t="s">
        <v>2657</v>
      </c>
      <c r="Z28" s="109" t="s">
        <v>2669</v>
      </c>
      <c r="AB28" s="109" t="s">
        <v>2681</v>
      </c>
      <c r="AD28" s="109" t="s">
        <v>2693</v>
      </c>
      <c r="AF28" s="109" t="s">
        <v>2705</v>
      </c>
      <c r="AH28" s="109" t="s">
        <v>2717</v>
      </c>
      <c r="AJ28" s="109" t="s">
        <v>2729</v>
      </c>
      <c r="AL28" s="109" t="s">
        <v>2741</v>
      </c>
    </row>
    <row r="29" spans="1:39" x14ac:dyDescent="0.25">
      <c r="B29" s="109" t="s">
        <v>2369</v>
      </c>
      <c r="C29" s="109" t="s">
        <v>304</v>
      </c>
      <c r="D29" s="109" t="s">
        <v>2381</v>
      </c>
      <c r="F29" s="109" t="s">
        <v>2393</v>
      </c>
      <c r="H29" s="109" t="s">
        <v>2562</v>
      </c>
      <c r="J29" s="109" t="s">
        <v>2574</v>
      </c>
      <c r="L29" s="109" t="s">
        <v>2586</v>
      </c>
      <c r="N29" s="109" t="s">
        <v>2598</v>
      </c>
      <c r="O29" s="109" t="s">
        <v>304</v>
      </c>
      <c r="P29" s="109" t="s">
        <v>2610</v>
      </c>
      <c r="R29" s="109" t="s">
        <v>2622</v>
      </c>
      <c r="T29" s="109" t="s">
        <v>2634</v>
      </c>
      <c r="V29" s="109" t="s">
        <v>2646</v>
      </c>
      <c r="X29" s="109" t="s">
        <v>2658</v>
      </c>
      <c r="Z29" s="109" t="s">
        <v>2670</v>
      </c>
      <c r="AB29" s="109" t="s">
        <v>2682</v>
      </c>
      <c r="AD29" s="109" t="s">
        <v>2694</v>
      </c>
      <c r="AF29" s="109" t="s">
        <v>2706</v>
      </c>
      <c r="AH29" s="109" t="s">
        <v>2718</v>
      </c>
      <c r="AJ29" s="109" t="s">
        <v>2730</v>
      </c>
      <c r="AL29" s="109" t="s">
        <v>2742</v>
      </c>
    </row>
    <row r="30" spans="1:39" x14ac:dyDescent="0.25">
      <c r="B30" s="109" t="s">
        <v>2370</v>
      </c>
      <c r="C30" s="109" t="s">
        <v>304</v>
      </c>
      <c r="D30" s="109" t="s">
        <v>2382</v>
      </c>
      <c r="F30" s="109" t="s">
        <v>2394</v>
      </c>
      <c r="H30" s="109" t="s">
        <v>2563</v>
      </c>
      <c r="J30" s="109" t="s">
        <v>2575</v>
      </c>
      <c r="L30" s="109" t="s">
        <v>2587</v>
      </c>
      <c r="N30" s="109" t="s">
        <v>2599</v>
      </c>
      <c r="O30" s="109" t="s">
        <v>304</v>
      </c>
      <c r="P30" s="109" t="s">
        <v>2611</v>
      </c>
      <c r="R30" s="109" t="s">
        <v>2623</v>
      </c>
      <c r="T30" s="109" t="s">
        <v>2635</v>
      </c>
      <c r="V30" s="109" t="s">
        <v>2647</v>
      </c>
      <c r="X30" s="109" t="s">
        <v>2659</v>
      </c>
      <c r="Z30" s="109" t="s">
        <v>2671</v>
      </c>
      <c r="AB30" s="109" t="s">
        <v>2683</v>
      </c>
      <c r="AD30" s="109" t="s">
        <v>2695</v>
      </c>
      <c r="AF30" s="109" t="s">
        <v>2707</v>
      </c>
      <c r="AH30" s="109" t="s">
        <v>2719</v>
      </c>
      <c r="AJ30" s="109" t="s">
        <v>2731</v>
      </c>
      <c r="AL30" s="109" t="s">
        <v>2743</v>
      </c>
    </row>
    <row r="31" spans="1:39" x14ac:dyDescent="0.25">
      <c r="B31" s="109" t="s">
        <v>2371</v>
      </c>
      <c r="C31" s="109" t="s">
        <v>304</v>
      </c>
      <c r="D31" s="109" t="s">
        <v>2383</v>
      </c>
      <c r="F31" s="109" t="s">
        <v>2395</v>
      </c>
      <c r="H31" s="109" t="s">
        <v>2564</v>
      </c>
      <c r="J31" s="109" t="s">
        <v>2576</v>
      </c>
      <c r="L31" s="109" t="s">
        <v>2588</v>
      </c>
      <c r="N31" s="109" t="s">
        <v>2600</v>
      </c>
      <c r="O31" s="109" t="s">
        <v>304</v>
      </c>
      <c r="P31" s="109" t="s">
        <v>2612</v>
      </c>
      <c r="R31" s="109" t="s">
        <v>2624</v>
      </c>
      <c r="T31" s="109" t="s">
        <v>2636</v>
      </c>
      <c r="V31" s="109" t="s">
        <v>2648</v>
      </c>
      <c r="X31" s="109" t="s">
        <v>2660</v>
      </c>
      <c r="Z31" s="109" t="s">
        <v>2672</v>
      </c>
      <c r="AB31" s="109" t="s">
        <v>2684</v>
      </c>
      <c r="AD31" s="109" t="s">
        <v>2696</v>
      </c>
      <c r="AF31" s="109" t="s">
        <v>2708</v>
      </c>
      <c r="AH31" s="109" t="s">
        <v>2720</v>
      </c>
      <c r="AJ31" s="109" t="s">
        <v>2732</v>
      </c>
      <c r="AL31" s="109" t="s">
        <v>2744</v>
      </c>
    </row>
    <row r="32" spans="1:39" x14ac:dyDescent="0.25">
      <c r="B32" s="109" t="s">
        <v>2372</v>
      </c>
      <c r="C32" s="109" t="s">
        <v>304</v>
      </c>
      <c r="D32" s="109" t="s">
        <v>2384</v>
      </c>
      <c r="F32" s="109" t="s">
        <v>2396</v>
      </c>
      <c r="H32" s="109" t="s">
        <v>2565</v>
      </c>
      <c r="J32" s="109" t="s">
        <v>2577</v>
      </c>
      <c r="L32" s="109" t="s">
        <v>2589</v>
      </c>
      <c r="N32" s="109" t="s">
        <v>2601</v>
      </c>
      <c r="O32" s="109" t="s">
        <v>304</v>
      </c>
      <c r="P32" s="109" t="s">
        <v>2613</v>
      </c>
      <c r="R32" s="109" t="s">
        <v>2625</v>
      </c>
      <c r="T32" s="109" t="s">
        <v>2637</v>
      </c>
      <c r="V32" s="109" t="s">
        <v>2649</v>
      </c>
      <c r="X32" s="109" t="s">
        <v>2661</v>
      </c>
      <c r="Z32" s="109" t="s">
        <v>2673</v>
      </c>
      <c r="AB32" s="109" t="s">
        <v>2685</v>
      </c>
      <c r="AD32" s="109" t="s">
        <v>2697</v>
      </c>
      <c r="AF32" s="109" t="s">
        <v>2709</v>
      </c>
      <c r="AH32" s="109" t="s">
        <v>2721</v>
      </c>
      <c r="AJ32" s="109" t="s">
        <v>2733</v>
      </c>
      <c r="AL32" s="109" t="s">
        <v>2745</v>
      </c>
    </row>
    <row r="33" spans="1:39" x14ac:dyDescent="0.25">
      <c r="B33" s="109" t="s">
        <v>2373</v>
      </c>
      <c r="C33" s="109" t="s">
        <v>304</v>
      </c>
      <c r="D33" s="109" t="s">
        <v>2385</v>
      </c>
      <c r="F33" s="109" t="s">
        <v>2397</v>
      </c>
      <c r="H33" s="109" t="s">
        <v>2566</v>
      </c>
      <c r="J33" s="109" t="s">
        <v>2578</v>
      </c>
      <c r="L33" s="109" t="s">
        <v>2590</v>
      </c>
      <c r="N33" s="109" t="s">
        <v>2602</v>
      </c>
      <c r="O33" s="109" t="s">
        <v>304</v>
      </c>
      <c r="P33" s="109" t="s">
        <v>2614</v>
      </c>
      <c r="R33" s="109" t="s">
        <v>2626</v>
      </c>
      <c r="T33" s="109" t="s">
        <v>2638</v>
      </c>
      <c r="V33" s="109" t="s">
        <v>2650</v>
      </c>
      <c r="X33" s="109" t="s">
        <v>2662</v>
      </c>
      <c r="Z33" s="109" t="s">
        <v>2674</v>
      </c>
      <c r="AB33" s="109" t="s">
        <v>2686</v>
      </c>
      <c r="AD33" s="109" t="s">
        <v>2698</v>
      </c>
      <c r="AF33" s="109" t="s">
        <v>2710</v>
      </c>
      <c r="AH33" s="109" t="s">
        <v>2722</v>
      </c>
      <c r="AJ33" s="109" t="s">
        <v>2734</v>
      </c>
      <c r="AL33" s="109" t="s">
        <v>2746</v>
      </c>
    </row>
    <row r="34" spans="1:39" x14ac:dyDescent="0.25">
      <c r="B34" s="109" t="s">
        <v>2374</v>
      </c>
      <c r="C34" s="109" t="s">
        <v>304</v>
      </c>
      <c r="D34" s="109" t="s">
        <v>2386</v>
      </c>
      <c r="F34" s="109" t="s">
        <v>2398</v>
      </c>
      <c r="H34" s="109" t="s">
        <v>2567</v>
      </c>
      <c r="J34" s="109" t="s">
        <v>2579</v>
      </c>
      <c r="L34" s="109" t="s">
        <v>2591</v>
      </c>
      <c r="N34" s="109" t="s">
        <v>2603</v>
      </c>
      <c r="O34" s="109" t="s">
        <v>304</v>
      </c>
      <c r="P34" s="109" t="s">
        <v>2615</v>
      </c>
      <c r="R34" s="109" t="s">
        <v>2627</v>
      </c>
      <c r="T34" s="109" t="s">
        <v>2639</v>
      </c>
      <c r="V34" s="109" t="s">
        <v>2651</v>
      </c>
      <c r="X34" s="109" t="s">
        <v>2663</v>
      </c>
      <c r="Z34" s="109" t="s">
        <v>2675</v>
      </c>
      <c r="AB34" s="109" t="s">
        <v>2687</v>
      </c>
      <c r="AD34" s="109" t="s">
        <v>2699</v>
      </c>
      <c r="AF34" s="109" t="s">
        <v>2711</v>
      </c>
      <c r="AH34" s="109" t="s">
        <v>2723</v>
      </c>
      <c r="AJ34" s="109" t="s">
        <v>2735</v>
      </c>
      <c r="AL34" s="109" t="s">
        <v>2747</v>
      </c>
    </row>
    <row r="35" spans="1:39" x14ac:dyDescent="0.25">
      <c r="B35" s="109" t="s">
        <v>2375</v>
      </c>
      <c r="C35" s="109" t="s">
        <v>304</v>
      </c>
      <c r="D35" s="109" t="s">
        <v>2387</v>
      </c>
      <c r="F35" s="109" t="s">
        <v>2399</v>
      </c>
      <c r="H35" s="109" t="s">
        <v>2568</v>
      </c>
      <c r="J35" s="109" t="s">
        <v>2580</v>
      </c>
      <c r="L35" s="109" t="s">
        <v>2592</v>
      </c>
      <c r="N35" s="109" t="s">
        <v>2604</v>
      </c>
      <c r="O35" s="109" t="s">
        <v>304</v>
      </c>
      <c r="P35" s="109" t="s">
        <v>2616</v>
      </c>
      <c r="R35" s="109" t="s">
        <v>2628</v>
      </c>
      <c r="T35" s="109" t="s">
        <v>2640</v>
      </c>
      <c r="V35" s="109" t="s">
        <v>2652</v>
      </c>
      <c r="X35" s="109" t="s">
        <v>2664</v>
      </c>
      <c r="Z35" s="109" t="s">
        <v>2676</v>
      </c>
      <c r="AB35" s="109" t="s">
        <v>2688</v>
      </c>
      <c r="AD35" s="109" t="s">
        <v>2700</v>
      </c>
      <c r="AF35" s="109" t="s">
        <v>2712</v>
      </c>
      <c r="AH35" s="109" t="s">
        <v>2724</v>
      </c>
      <c r="AJ35" s="109" t="s">
        <v>2736</v>
      </c>
      <c r="AL35" s="109" t="s">
        <v>2748</v>
      </c>
    </row>
    <row r="36" spans="1:39" x14ac:dyDescent="0.25">
      <c r="B36" s="109" t="s">
        <v>2376</v>
      </c>
      <c r="C36" s="109" t="s">
        <v>304</v>
      </c>
      <c r="D36" s="109" t="s">
        <v>2388</v>
      </c>
      <c r="F36" s="109" t="s">
        <v>2400</v>
      </c>
      <c r="H36" s="109" t="s">
        <v>2569</v>
      </c>
      <c r="J36" s="109" t="s">
        <v>2581</v>
      </c>
      <c r="L36" s="109" t="s">
        <v>2593</v>
      </c>
      <c r="N36" s="109" t="s">
        <v>2605</v>
      </c>
      <c r="O36" s="109" t="s">
        <v>304</v>
      </c>
      <c r="P36" s="109" t="s">
        <v>2617</v>
      </c>
      <c r="R36" s="109" t="s">
        <v>2629</v>
      </c>
      <c r="T36" s="109" t="s">
        <v>2641</v>
      </c>
      <c r="V36" s="109" t="s">
        <v>2653</v>
      </c>
      <c r="X36" s="109" t="s">
        <v>2665</v>
      </c>
      <c r="Z36" s="109" t="s">
        <v>2677</v>
      </c>
      <c r="AB36" s="109" t="s">
        <v>2689</v>
      </c>
      <c r="AD36" s="109" t="s">
        <v>2701</v>
      </c>
      <c r="AF36" s="109" t="s">
        <v>2713</v>
      </c>
      <c r="AH36" s="109" t="s">
        <v>2725</v>
      </c>
      <c r="AJ36" s="109" t="s">
        <v>2737</v>
      </c>
      <c r="AL36" s="109" t="s">
        <v>2749</v>
      </c>
    </row>
    <row r="37" spans="1:39" x14ac:dyDescent="0.25">
      <c r="B37" s="109" t="s">
        <v>2377</v>
      </c>
      <c r="C37" s="109" t="s">
        <v>304</v>
      </c>
      <c r="D37" s="109" t="s">
        <v>2389</v>
      </c>
      <c r="F37" s="109" t="s">
        <v>2401</v>
      </c>
      <c r="H37" s="109" t="s">
        <v>2570</v>
      </c>
      <c r="J37" s="109" t="s">
        <v>2582</v>
      </c>
      <c r="L37" s="109" t="s">
        <v>2594</v>
      </c>
      <c r="N37" s="109" t="s">
        <v>2606</v>
      </c>
      <c r="O37" s="109" t="s">
        <v>304</v>
      </c>
      <c r="P37" s="109" t="s">
        <v>2618</v>
      </c>
      <c r="R37" s="109" t="s">
        <v>2630</v>
      </c>
      <c r="T37" s="109" t="s">
        <v>2642</v>
      </c>
      <c r="V37" s="109" t="s">
        <v>2654</v>
      </c>
      <c r="X37" s="109" t="s">
        <v>2666</v>
      </c>
      <c r="Z37" s="109" t="s">
        <v>2678</v>
      </c>
      <c r="AB37" s="109" t="s">
        <v>2690</v>
      </c>
      <c r="AD37" s="109" t="s">
        <v>2702</v>
      </c>
      <c r="AF37" s="109" t="s">
        <v>2714</v>
      </c>
      <c r="AH37" s="109" t="s">
        <v>2726</v>
      </c>
      <c r="AJ37" s="109" t="s">
        <v>2738</v>
      </c>
      <c r="AL37" s="109" t="s">
        <v>2750</v>
      </c>
    </row>
    <row r="38" spans="1:39" x14ac:dyDescent="0.25">
      <c r="A38" s="109" t="s">
        <v>303</v>
      </c>
      <c r="B38" s="109">
        <f>COUNTIF(B26:B37,"&lt;&gt;")</f>
        <v>12</v>
      </c>
      <c r="C38" s="109">
        <f>COUNTIF(C26:C37,"Y")</f>
        <v>12</v>
      </c>
      <c r="D38" s="109">
        <f t="shared" ref="D38" si="27">COUNTIF(D26:D37,"&lt;&gt;")</f>
        <v>12</v>
      </c>
      <c r="E38" s="109">
        <f t="shared" ref="E38" si="28">COUNTIF(E26:E37,"Y")</f>
        <v>0</v>
      </c>
      <c r="F38" s="109">
        <f t="shared" ref="F38" si="29">COUNTIF(F26:F37,"&lt;&gt;")</f>
        <v>12</v>
      </c>
      <c r="G38" s="109">
        <f t="shared" ref="G38" si="30">COUNTIF(G26:G37,"Y")</f>
        <v>0</v>
      </c>
      <c r="H38" s="109">
        <f t="shared" ref="H38" si="31">COUNTIF(H26:H37,"&lt;&gt;")</f>
        <v>12</v>
      </c>
      <c r="I38" s="109">
        <f t="shared" ref="I38" si="32">COUNTIF(I26:I37,"Y")</f>
        <v>0</v>
      </c>
      <c r="J38" s="109">
        <f t="shared" ref="J38" si="33">COUNTIF(J26:J37,"&lt;&gt;")</f>
        <v>12</v>
      </c>
      <c r="K38" s="109">
        <f t="shared" ref="K38" si="34">COUNTIF(K26:K37,"Y")</f>
        <v>0</v>
      </c>
      <c r="L38" s="109">
        <f t="shared" ref="L38" si="35">COUNTIF(L26:L37,"&lt;&gt;")</f>
        <v>12</v>
      </c>
      <c r="M38" s="109">
        <f t="shared" ref="M38" si="36">COUNTIF(M26:M37,"Y")</f>
        <v>0</v>
      </c>
      <c r="N38" s="109">
        <f t="shared" ref="N38" si="37">COUNTIF(N26:N37,"&lt;&gt;")</f>
        <v>12</v>
      </c>
      <c r="O38" s="109">
        <f t="shared" ref="O38" si="38">COUNTIF(O26:O37,"Y")</f>
        <v>12</v>
      </c>
      <c r="P38" s="109">
        <f t="shared" ref="P38" si="39">COUNTIF(P26:P37,"&lt;&gt;")</f>
        <v>12</v>
      </c>
      <c r="Q38" s="109">
        <f t="shared" ref="Q38" si="40">COUNTIF(Q26:Q37,"Y")</f>
        <v>0</v>
      </c>
      <c r="R38" s="109">
        <f t="shared" ref="R38" si="41">COUNTIF(R26:R37,"&lt;&gt;")</f>
        <v>12</v>
      </c>
      <c r="S38" s="109">
        <f t="shared" ref="S38" si="42">COUNTIF(S26:S37,"Y")</f>
        <v>0</v>
      </c>
      <c r="T38" s="109">
        <f t="shared" ref="T38" si="43">COUNTIF(T26:T37,"&lt;&gt;")</f>
        <v>12</v>
      </c>
      <c r="U38" s="109">
        <f t="shared" ref="U38" si="44">COUNTIF(U26:U37,"Y")</f>
        <v>0</v>
      </c>
      <c r="V38" s="109">
        <f t="shared" ref="V38" si="45">COUNTIF(V26:V37,"&lt;&gt;")</f>
        <v>12</v>
      </c>
      <c r="W38" s="109">
        <f t="shared" ref="W38" si="46">COUNTIF(W26:W37,"Y")</f>
        <v>0</v>
      </c>
      <c r="X38" s="109">
        <f t="shared" ref="X38" si="47">COUNTIF(X26:X37,"&lt;&gt;")</f>
        <v>12</v>
      </c>
      <c r="Y38" s="109">
        <f t="shared" ref="Y38" si="48">COUNTIF(Y26:Y37,"Y")</f>
        <v>0</v>
      </c>
      <c r="Z38" s="109">
        <f t="shared" ref="Z38" si="49">COUNTIF(Z26:Z37,"&lt;&gt;")</f>
        <v>12</v>
      </c>
      <c r="AA38" s="109">
        <f t="shared" ref="AA38" si="50">COUNTIF(AA26:AA37,"Y")</f>
        <v>0</v>
      </c>
      <c r="AB38" s="109">
        <f t="shared" ref="AB38" si="51">COUNTIF(AB26:AB37,"&lt;&gt;")</f>
        <v>12</v>
      </c>
      <c r="AC38" s="109">
        <f t="shared" ref="AC38" si="52">COUNTIF(AC26:AC37,"Y")</f>
        <v>0</v>
      </c>
      <c r="AD38" s="109">
        <f t="shared" ref="AD38" si="53">COUNTIF(AD26:AD37,"&lt;&gt;")</f>
        <v>12</v>
      </c>
      <c r="AE38" s="109">
        <f t="shared" ref="AE38" si="54">COUNTIF(AE26:AE37,"Y")</f>
        <v>0</v>
      </c>
      <c r="AF38" s="109">
        <f t="shared" ref="AF38" si="55">COUNTIF(AF26:AF37,"&lt;&gt;")</f>
        <v>12</v>
      </c>
      <c r="AG38" s="109">
        <f t="shared" ref="AG38" si="56">COUNTIF(AG26:AG37,"Y")</f>
        <v>0</v>
      </c>
      <c r="AH38" s="109">
        <f t="shared" ref="AH38" si="57">COUNTIF(AH26:AH37,"&lt;&gt;")</f>
        <v>12</v>
      </c>
      <c r="AI38" s="109">
        <f t="shared" ref="AI38" si="58">COUNTIF(AI26:AI37,"Y")</f>
        <v>0</v>
      </c>
      <c r="AJ38" s="109">
        <f t="shared" ref="AJ38" si="59">COUNTIF(AJ26:AJ37,"&lt;&gt;")</f>
        <v>12</v>
      </c>
      <c r="AK38" s="109">
        <f t="shared" ref="AK38" si="60">COUNTIF(AK26:AK37,"Y")</f>
        <v>0</v>
      </c>
      <c r="AL38" s="109">
        <f t="shared" ref="AL38" si="61">COUNTIF(AL26:AL37,"&lt;&gt;")</f>
        <v>12</v>
      </c>
      <c r="AM38" s="109">
        <f t="shared" ref="AM38" si="62">COUNTIF(AM26:AM37,"Y")</f>
        <v>0</v>
      </c>
    </row>
  </sheetData>
  <conditionalFormatting sqref="A3:XFD38">
    <cfRule type="cellIs" dxfId="1" priority="1" operator="equal">
      <formula>"y"</formula>
    </cfRule>
  </conditionalFormatting>
  <pageMargins left="0.7" right="0.7" top="0.75" bottom="0.75" header="0.3" footer="0.3"/>
  <pageSetup orientation="portrait" verticalDpi="597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8D744-A230-4CFE-A6C5-F5C8945BC28B}">
  <sheetPr codeName="Sheet13"/>
  <dimension ref="A1:AQ38"/>
  <sheetViews>
    <sheetView workbookViewId="0">
      <selection activeCell="D16" sqref="D16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1.5703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20" width="12.42578125" style="109" bestFit="1" customWidth="1"/>
    <col min="21" max="21" width="10.85546875" style="109" bestFit="1" customWidth="1"/>
    <col min="22" max="22" width="12.42578125" style="109" bestFit="1" customWidth="1"/>
    <col min="23" max="23" width="9.140625" style="109"/>
    <col min="24" max="24" width="12.42578125" style="109" bestFit="1" customWidth="1"/>
    <col min="25" max="25" width="10.85546875" style="109" bestFit="1" customWidth="1"/>
    <col min="26" max="26" width="12.42578125" style="109" bestFit="1" customWidth="1"/>
    <col min="27" max="27" width="10.85546875" style="109" bestFit="1" customWidth="1"/>
    <col min="28" max="28" width="12.42578125" style="109" bestFit="1" customWidth="1"/>
    <col min="29" max="29" width="10.85546875" style="109" bestFit="1" customWidth="1"/>
    <col min="30" max="30" width="12.42578125" style="109" bestFit="1" customWidth="1"/>
    <col min="31" max="31" width="10.85546875" style="109" bestFit="1" customWidth="1"/>
    <col min="32" max="32" width="12.42578125" style="109" bestFit="1" customWidth="1"/>
    <col min="33" max="33" width="10.85546875" style="109" bestFit="1" customWidth="1"/>
    <col min="34" max="34" width="12.42578125" style="109" bestFit="1" customWidth="1"/>
    <col min="35" max="35" width="10.85546875" style="109" bestFit="1" customWidth="1"/>
    <col min="36" max="36" width="12.42578125" style="109" bestFit="1" customWidth="1"/>
    <col min="37" max="37" width="10.85546875" style="109" bestFit="1" customWidth="1"/>
    <col min="38" max="38" width="12.42578125" style="109" bestFit="1" customWidth="1"/>
    <col min="39" max="39" width="10.85546875" style="109" bestFit="1" customWidth="1"/>
    <col min="40" max="40" width="12.42578125" style="109" bestFit="1" customWidth="1"/>
    <col min="41" max="41" width="10.85546875" style="109" bestFit="1" customWidth="1"/>
    <col min="42" max="42" width="12.42578125" style="109" bestFit="1" customWidth="1"/>
    <col min="43" max="43" width="10.85546875" style="109" bestFit="1" customWidth="1"/>
    <col min="44" max="16384" width="9.140625" style="109"/>
  </cols>
  <sheetData>
    <row r="1" spans="2:29" s="111" customFormat="1" x14ac:dyDescent="0.25">
      <c r="B1" s="111" t="s">
        <v>14577</v>
      </c>
      <c r="C1" s="111">
        <f>SUM(D3,D24)</f>
        <v>371</v>
      </c>
      <c r="D1" s="111" t="s">
        <v>301</v>
      </c>
      <c r="E1" s="111">
        <f>SUM(F3,F24)</f>
        <v>41</v>
      </c>
      <c r="F1" s="111" t="s">
        <v>14579</v>
      </c>
      <c r="G1" s="111">
        <f>SUM(H3,H24)</f>
        <v>330</v>
      </c>
      <c r="H1" s="111" t="s">
        <v>14578</v>
      </c>
      <c r="I1" s="131">
        <f>(E1/C1)</f>
        <v>0.11051212938005391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2751</v>
      </c>
      <c r="C3" s="109" t="s">
        <v>302</v>
      </c>
      <c r="D3" s="109">
        <f>SUM(B22,D22,F22,H22,J22,L22,N22,P22,R22,T22,V22)</f>
        <v>119</v>
      </c>
      <c r="E3" s="109" t="s">
        <v>301</v>
      </c>
      <c r="F3" s="109">
        <f>SUM(C22,E22,G22,I22,K22,M22,O22,Q22,S22,U22,W22)</f>
        <v>17</v>
      </c>
      <c r="G3" s="109" t="s">
        <v>305</v>
      </c>
      <c r="H3" s="109">
        <f>D3-F3</f>
        <v>102</v>
      </c>
    </row>
    <row r="4" spans="2:29" x14ac:dyDescent="0.25">
      <c r="B4" s="109" t="str">
        <f>LEFT(B5,FIND("_C",B5)-1)</f>
        <v>BH_030</v>
      </c>
      <c r="C4" s="109" t="s">
        <v>301</v>
      </c>
      <c r="D4" s="109" t="str">
        <f>LEFT(D5,FIND("_C",D5)-1)</f>
        <v>BH_031</v>
      </c>
      <c r="E4" s="109" t="s">
        <v>301</v>
      </c>
      <c r="F4" s="109" t="str">
        <f>LEFT(F5,FIND("_C",F5)-1)</f>
        <v>BH_048</v>
      </c>
      <c r="G4" s="109" t="s">
        <v>301</v>
      </c>
      <c r="H4" s="109" t="str">
        <f>LEFT(H5,FIND("_C",H5)-1)</f>
        <v>BH_058</v>
      </c>
      <c r="I4" s="109" t="s">
        <v>301</v>
      </c>
      <c r="J4" s="109" t="str">
        <f>LEFT(J5,FIND("_C",J5)-1)</f>
        <v>BH_063</v>
      </c>
      <c r="K4" s="109" t="s">
        <v>301</v>
      </c>
      <c r="L4" s="109" t="str">
        <f>LEFT(L5,FIND("_C",L5)-1)</f>
        <v>BH_076</v>
      </c>
      <c r="M4" s="109" t="s">
        <v>301</v>
      </c>
      <c r="N4" s="109" t="str">
        <f>LEFT(N5,FIND("_C",N5)-1)</f>
        <v>BH_110</v>
      </c>
    </row>
    <row r="5" spans="2:29" x14ac:dyDescent="0.25">
      <c r="B5" s="109" t="s">
        <v>2753</v>
      </c>
      <c r="D5" s="109" t="s">
        <v>2770</v>
      </c>
      <c r="F5" s="109" t="s">
        <v>2787</v>
      </c>
      <c r="G5" s="109" t="s">
        <v>304</v>
      </c>
      <c r="H5" s="109" t="s">
        <v>2804</v>
      </c>
      <c r="J5" s="109" t="s">
        <v>2821</v>
      </c>
      <c r="L5" s="109" t="s">
        <v>2838</v>
      </c>
      <c r="N5" s="109" t="s">
        <v>2855</v>
      </c>
    </row>
    <row r="6" spans="2:29" x14ac:dyDescent="0.25">
      <c r="B6" s="109" t="s">
        <v>2754</v>
      </c>
      <c r="D6" s="109" t="s">
        <v>2771</v>
      </c>
      <c r="F6" s="109" t="s">
        <v>2788</v>
      </c>
      <c r="G6" s="109" t="s">
        <v>304</v>
      </c>
      <c r="H6" s="109" t="s">
        <v>2805</v>
      </c>
      <c r="J6" s="109" t="s">
        <v>2822</v>
      </c>
      <c r="L6" s="109" t="s">
        <v>2839</v>
      </c>
      <c r="N6" s="109" t="s">
        <v>2856</v>
      </c>
    </row>
    <row r="7" spans="2:29" x14ac:dyDescent="0.25">
      <c r="B7" s="109" t="s">
        <v>2755</v>
      </c>
      <c r="D7" s="109" t="s">
        <v>2772</v>
      </c>
      <c r="F7" s="109" t="s">
        <v>2789</v>
      </c>
      <c r="G7" s="109" t="s">
        <v>304</v>
      </c>
      <c r="H7" s="109" t="s">
        <v>2806</v>
      </c>
      <c r="J7" s="109" t="s">
        <v>2823</v>
      </c>
      <c r="L7" s="109" t="s">
        <v>2840</v>
      </c>
      <c r="N7" s="109" t="s">
        <v>2857</v>
      </c>
    </row>
    <row r="8" spans="2:29" x14ac:dyDescent="0.25">
      <c r="B8" s="109" t="s">
        <v>2756</v>
      </c>
      <c r="D8" s="109" t="s">
        <v>2773</v>
      </c>
      <c r="F8" s="109" t="s">
        <v>2790</v>
      </c>
      <c r="G8" s="109" t="s">
        <v>304</v>
      </c>
      <c r="H8" s="109" t="s">
        <v>2807</v>
      </c>
      <c r="J8" s="109" t="s">
        <v>2824</v>
      </c>
      <c r="L8" s="109" t="s">
        <v>2841</v>
      </c>
      <c r="N8" s="109" t="s">
        <v>2858</v>
      </c>
    </row>
    <row r="9" spans="2:29" x14ac:dyDescent="0.25">
      <c r="B9" s="109" t="s">
        <v>2757</v>
      </c>
      <c r="D9" s="109" t="s">
        <v>2774</v>
      </c>
      <c r="F9" s="109" t="s">
        <v>2791</v>
      </c>
      <c r="G9" s="109" t="s">
        <v>304</v>
      </c>
      <c r="H9" s="109" t="s">
        <v>2808</v>
      </c>
      <c r="J9" s="109" t="s">
        <v>2825</v>
      </c>
      <c r="L9" s="109" t="s">
        <v>2842</v>
      </c>
      <c r="N9" s="109" t="s">
        <v>2859</v>
      </c>
    </row>
    <row r="10" spans="2:29" x14ac:dyDescent="0.25">
      <c r="B10" s="109" t="s">
        <v>2758</v>
      </c>
      <c r="D10" s="109" t="s">
        <v>2775</v>
      </c>
      <c r="F10" s="109" t="s">
        <v>2792</v>
      </c>
      <c r="G10" s="109" t="s">
        <v>304</v>
      </c>
      <c r="H10" s="109" t="s">
        <v>2809</v>
      </c>
      <c r="J10" s="109" t="s">
        <v>2826</v>
      </c>
      <c r="L10" s="109" t="s">
        <v>2843</v>
      </c>
      <c r="N10" s="109" t="s">
        <v>2860</v>
      </c>
    </row>
    <row r="11" spans="2:29" x14ac:dyDescent="0.25">
      <c r="B11" s="109" t="s">
        <v>2759</v>
      </c>
      <c r="D11" s="109" t="s">
        <v>2776</v>
      </c>
      <c r="F11" s="109" t="s">
        <v>2793</v>
      </c>
      <c r="G11" s="109" t="s">
        <v>304</v>
      </c>
      <c r="H11" s="109" t="s">
        <v>2810</v>
      </c>
      <c r="J11" s="109" t="s">
        <v>2827</v>
      </c>
      <c r="L11" s="109" t="s">
        <v>2844</v>
      </c>
      <c r="N11" s="109" t="s">
        <v>2861</v>
      </c>
    </row>
    <row r="12" spans="2:29" x14ac:dyDescent="0.25">
      <c r="B12" s="109" t="s">
        <v>2760</v>
      </c>
      <c r="D12" s="109" t="s">
        <v>2777</v>
      </c>
      <c r="F12" s="109" t="s">
        <v>2794</v>
      </c>
      <c r="G12" s="109" t="s">
        <v>304</v>
      </c>
      <c r="H12" s="109" t="s">
        <v>2811</v>
      </c>
      <c r="J12" s="109" t="s">
        <v>2828</v>
      </c>
      <c r="L12" s="109" t="s">
        <v>2845</v>
      </c>
      <c r="N12" s="109" t="s">
        <v>2862</v>
      </c>
    </row>
    <row r="13" spans="2:29" x14ac:dyDescent="0.25">
      <c r="B13" s="109" t="s">
        <v>2761</v>
      </c>
      <c r="D13" s="109" t="s">
        <v>2778</v>
      </c>
      <c r="F13" s="109" t="s">
        <v>2795</v>
      </c>
      <c r="G13" s="109" t="s">
        <v>304</v>
      </c>
      <c r="H13" s="109" t="s">
        <v>2812</v>
      </c>
      <c r="J13" s="109" t="s">
        <v>2829</v>
      </c>
      <c r="L13" s="109" t="s">
        <v>2846</v>
      </c>
      <c r="N13" s="109" t="s">
        <v>2863</v>
      </c>
    </row>
    <row r="14" spans="2:29" x14ac:dyDescent="0.25">
      <c r="B14" s="109" t="s">
        <v>2762</v>
      </c>
      <c r="D14" s="109" t="s">
        <v>2779</v>
      </c>
      <c r="F14" s="109" t="s">
        <v>2796</v>
      </c>
      <c r="G14" s="109" t="s">
        <v>304</v>
      </c>
      <c r="H14" s="109" t="s">
        <v>2813</v>
      </c>
      <c r="J14" s="109" t="s">
        <v>2830</v>
      </c>
      <c r="L14" s="109" t="s">
        <v>2847</v>
      </c>
      <c r="N14" s="109" t="s">
        <v>2864</v>
      </c>
    </row>
    <row r="15" spans="2:29" x14ac:dyDescent="0.25">
      <c r="B15" s="109" t="s">
        <v>2763</v>
      </c>
      <c r="D15" s="109" t="s">
        <v>2780</v>
      </c>
      <c r="F15" s="109" t="s">
        <v>2797</v>
      </c>
      <c r="G15" s="109" t="s">
        <v>304</v>
      </c>
      <c r="H15" s="109" t="s">
        <v>2814</v>
      </c>
      <c r="J15" s="109" t="s">
        <v>2831</v>
      </c>
      <c r="L15" s="109" t="s">
        <v>2848</v>
      </c>
      <c r="N15" s="109" t="s">
        <v>2865</v>
      </c>
    </row>
    <row r="16" spans="2:29" x14ac:dyDescent="0.25">
      <c r="B16" s="109" t="s">
        <v>2764</v>
      </c>
      <c r="D16" s="109" t="s">
        <v>2781</v>
      </c>
      <c r="F16" s="109" t="s">
        <v>2798</v>
      </c>
      <c r="G16" s="109" t="s">
        <v>304</v>
      </c>
      <c r="H16" s="109" t="s">
        <v>2815</v>
      </c>
      <c r="J16" s="109" t="s">
        <v>2832</v>
      </c>
      <c r="L16" s="109" t="s">
        <v>2849</v>
      </c>
      <c r="N16" s="109" t="s">
        <v>2866</v>
      </c>
    </row>
    <row r="17" spans="1:43" x14ac:dyDescent="0.25">
      <c r="B17" s="109" t="s">
        <v>2765</v>
      </c>
      <c r="D17" s="109" t="s">
        <v>2782</v>
      </c>
      <c r="F17" s="109" t="s">
        <v>2799</v>
      </c>
      <c r="G17" s="109" t="s">
        <v>304</v>
      </c>
      <c r="H17" s="109" t="s">
        <v>2816</v>
      </c>
      <c r="J17" s="109" t="s">
        <v>2833</v>
      </c>
      <c r="L17" s="109" t="s">
        <v>2850</v>
      </c>
      <c r="N17" s="109" t="s">
        <v>2867</v>
      </c>
    </row>
    <row r="18" spans="1:43" x14ac:dyDescent="0.25">
      <c r="B18" s="109" t="s">
        <v>2766</v>
      </c>
      <c r="D18" s="109" t="s">
        <v>2783</v>
      </c>
      <c r="F18" s="109" t="s">
        <v>2800</v>
      </c>
      <c r="G18" s="109" t="s">
        <v>304</v>
      </c>
      <c r="H18" s="109" t="s">
        <v>2817</v>
      </c>
      <c r="J18" s="109" t="s">
        <v>2834</v>
      </c>
      <c r="L18" s="109" t="s">
        <v>2851</v>
      </c>
      <c r="N18" s="109" t="s">
        <v>2868</v>
      </c>
    </row>
    <row r="19" spans="1:43" x14ac:dyDescent="0.25">
      <c r="B19" s="109" t="s">
        <v>2767</v>
      </c>
      <c r="D19" s="109" t="s">
        <v>2784</v>
      </c>
      <c r="F19" s="109" t="s">
        <v>2801</v>
      </c>
      <c r="G19" s="109" t="s">
        <v>304</v>
      </c>
      <c r="H19" s="109" t="s">
        <v>2818</v>
      </c>
      <c r="J19" s="109" t="s">
        <v>2835</v>
      </c>
      <c r="L19" s="109" t="s">
        <v>2852</v>
      </c>
      <c r="N19" s="109" t="s">
        <v>2869</v>
      </c>
    </row>
    <row r="20" spans="1:43" x14ac:dyDescent="0.25">
      <c r="B20" s="109" t="s">
        <v>2768</v>
      </c>
      <c r="D20" s="109" t="s">
        <v>2785</v>
      </c>
      <c r="F20" s="109" t="s">
        <v>2802</v>
      </c>
      <c r="G20" s="109" t="s">
        <v>304</v>
      </c>
      <c r="H20" s="109" t="s">
        <v>2819</v>
      </c>
      <c r="J20" s="109" t="s">
        <v>2836</v>
      </c>
      <c r="L20" s="109" t="s">
        <v>2853</v>
      </c>
      <c r="N20" s="109" t="s">
        <v>2870</v>
      </c>
    </row>
    <row r="21" spans="1:43" x14ac:dyDescent="0.25">
      <c r="B21" s="109" t="s">
        <v>2769</v>
      </c>
      <c r="D21" s="109" t="s">
        <v>2786</v>
      </c>
      <c r="F21" s="109" t="s">
        <v>2803</v>
      </c>
      <c r="G21" s="109" t="s">
        <v>304</v>
      </c>
      <c r="H21" s="109" t="s">
        <v>2820</v>
      </c>
      <c r="J21" s="109" t="s">
        <v>2837</v>
      </c>
      <c r="L21" s="109" t="s">
        <v>2854</v>
      </c>
      <c r="N21" s="109" t="s">
        <v>2871</v>
      </c>
    </row>
    <row r="22" spans="1:43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17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0</v>
      </c>
      <c r="L22" s="109">
        <f t="shared" ref="L22" si="5">COUNTIF(L5:L21,"&lt;&gt;")</f>
        <v>17</v>
      </c>
      <c r="M22" s="109">
        <f>COUNTIF(M5:M21,"Y")</f>
        <v>0</v>
      </c>
      <c r="N22" s="109">
        <f t="shared" ref="N22" si="6">COUNTIF(N5:N21,"&lt;&gt;")</f>
        <v>17</v>
      </c>
    </row>
    <row r="24" spans="1:43" x14ac:dyDescent="0.25">
      <c r="B24" s="109" t="s">
        <v>2752</v>
      </c>
      <c r="C24" s="109" t="s">
        <v>302</v>
      </c>
      <c r="D24" s="109">
        <f>SUM(B38,D38,F38,H38,J38,L38,N38,P38,R38,T38,V38,X38,Z38,AB38,AD38,AF38,AH38,AJ38,AL38,AN38,AP38)</f>
        <v>252</v>
      </c>
      <c r="E24" s="109" t="s">
        <v>301</v>
      </c>
      <c r="F24" s="109">
        <f>SUM(C38,E38,G38,I38,K38,M38,O38,Q38,S38,U38,W38,Y38,AA38,AC38,AE38,AG38,AI38,AK38,AM38,AO38,AQ38)</f>
        <v>24</v>
      </c>
      <c r="G24" s="109" t="s">
        <v>305</v>
      </c>
      <c r="H24" s="109">
        <f>D24-F24</f>
        <v>228</v>
      </c>
    </row>
    <row r="25" spans="1:43" x14ac:dyDescent="0.25">
      <c r="B25" s="109" t="str">
        <f>LEFT(B26,FIND("_P",B26)-1)</f>
        <v>CPT_302</v>
      </c>
      <c r="C25" s="109" t="s">
        <v>301</v>
      </c>
      <c r="D25" s="109" t="str">
        <f t="shared" ref="D25" si="7">LEFT(D26,FIND("_P",D26)-1)</f>
        <v>CPT_045</v>
      </c>
      <c r="E25" s="109" t="s">
        <v>301</v>
      </c>
      <c r="F25" s="109" t="str">
        <f t="shared" ref="F25" si="8">LEFT(F26,FIND("_P",F26)-1)</f>
        <v>CPT_046</v>
      </c>
      <c r="G25" s="109" t="s">
        <v>301</v>
      </c>
      <c r="H25" s="109" t="str">
        <f t="shared" ref="H25" si="9">LEFT(H26,FIND("_P",H26)-1)</f>
        <v>CPT_053</v>
      </c>
      <c r="I25" s="109" t="s">
        <v>301</v>
      </c>
      <c r="J25" s="109" t="str">
        <f t="shared" ref="J25" si="10">LEFT(J26,FIND("_P",J26)-1)</f>
        <v>CPT_057</v>
      </c>
      <c r="K25" s="109" t="s">
        <v>301</v>
      </c>
      <c r="L25" s="109" t="str">
        <f t="shared" ref="L25" si="11">LEFT(L26,FIND("_P",L26)-1)</f>
        <v>CPT_069</v>
      </c>
      <c r="M25" s="109" t="s">
        <v>301</v>
      </c>
      <c r="N25" s="109" t="str">
        <f t="shared" ref="N25" si="12">LEFT(N26,FIND("_P",N26)-1)</f>
        <v>CPT_073</v>
      </c>
      <c r="O25" s="109" t="s">
        <v>301</v>
      </c>
      <c r="P25" s="109" t="str">
        <f t="shared" ref="P25" si="13">LEFT(P26,FIND("_P",P26)-1)</f>
        <v>CPT_084</v>
      </c>
      <c r="Q25" s="109" t="s">
        <v>301</v>
      </c>
      <c r="R25" s="109" t="str">
        <f t="shared" ref="R25" si="14">LEFT(R26,FIND("_P",R26)-1)</f>
        <v>CPT_121</v>
      </c>
      <c r="S25" s="109" t="s">
        <v>301</v>
      </c>
      <c r="T25" s="109" t="str">
        <f t="shared" ref="T25" si="15">LEFT(T26,FIND("_P",T26)-1)</f>
        <v>CPT_123</v>
      </c>
      <c r="U25" s="109" t="s">
        <v>301</v>
      </c>
      <c r="V25" s="109" t="str">
        <f t="shared" ref="V25" si="16">LEFT(V26,FIND("_P",V26)-1)</f>
        <v>CPT_157</v>
      </c>
      <c r="W25" s="109" t="s">
        <v>301</v>
      </c>
      <c r="X25" s="109" t="str">
        <f t="shared" ref="X25" si="17">LEFT(X26,FIND("_P",X26)-1)</f>
        <v>CPT_173</v>
      </c>
      <c r="Y25" s="109" t="s">
        <v>301</v>
      </c>
      <c r="Z25" s="109" t="str">
        <f t="shared" ref="Z25" si="18">LEFT(Z26,FIND("_P",Z26)-1)</f>
        <v>CPT_186</v>
      </c>
      <c r="AA25" s="109" t="s">
        <v>301</v>
      </c>
      <c r="AB25" s="109" t="str">
        <f t="shared" ref="AB25" si="19">LEFT(AB26,FIND("_P",AB26)-1)</f>
        <v>CPT_207</v>
      </c>
      <c r="AC25" s="109" t="s">
        <v>301</v>
      </c>
      <c r="AD25" s="109" t="str">
        <f t="shared" ref="AD25" si="20">LEFT(AD26,FIND("_P",AD26)-1)</f>
        <v>CPT_212</v>
      </c>
      <c r="AE25" s="109" t="s">
        <v>301</v>
      </c>
      <c r="AF25" s="109" t="str">
        <f t="shared" ref="AF25" si="21">LEFT(AF26,FIND("_P",AF26)-1)</f>
        <v>CPT_218</v>
      </c>
      <c r="AG25" s="109" t="s">
        <v>301</v>
      </c>
      <c r="AH25" s="109" t="str">
        <f t="shared" ref="AH25" si="22">LEFT(AH26,FIND("_P",AH26)-1)</f>
        <v>CPT_239</v>
      </c>
      <c r="AI25" s="109" t="s">
        <v>301</v>
      </c>
      <c r="AJ25" s="109" t="str">
        <f t="shared" ref="AJ25" si="23">LEFT(AJ26,FIND("_P",AJ26)-1)</f>
        <v>CPT_258</v>
      </c>
      <c r="AK25" s="109" t="s">
        <v>301</v>
      </c>
      <c r="AL25" s="109" t="str">
        <f t="shared" ref="AL25" si="24">LEFT(AL26,FIND("_P",AL26)-1)</f>
        <v>CPT_305</v>
      </c>
      <c r="AM25" s="109" t="s">
        <v>301</v>
      </c>
      <c r="AN25" s="109" t="str">
        <f t="shared" ref="AN25" si="25">LEFT(AN26,FIND("_P",AN26)-1)</f>
        <v>CPT_322</v>
      </c>
      <c r="AO25" s="109" t="s">
        <v>301</v>
      </c>
      <c r="AP25" s="109" t="str">
        <f t="shared" ref="AP25" si="26">LEFT(AP26,FIND("_P",AP26)-1)</f>
        <v>CPT_323</v>
      </c>
      <c r="AQ25" s="109" t="s">
        <v>301</v>
      </c>
    </row>
    <row r="26" spans="1:43" x14ac:dyDescent="0.25">
      <c r="B26" s="109" t="s">
        <v>2872</v>
      </c>
      <c r="D26" s="109" t="s">
        <v>2884</v>
      </c>
      <c r="F26" s="109" t="s">
        <v>2896</v>
      </c>
      <c r="H26" s="109" t="s">
        <v>2908</v>
      </c>
      <c r="J26" s="109" t="s">
        <v>2920</v>
      </c>
      <c r="L26" s="109" t="s">
        <v>2932</v>
      </c>
      <c r="N26" s="109" t="s">
        <v>2944</v>
      </c>
      <c r="P26" s="109" t="s">
        <v>2956</v>
      </c>
      <c r="R26" s="109" t="s">
        <v>2968</v>
      </c>
      <c r="T26" s="109" t="s">
        <v>2980</v>
      </c>
      <c r="V26" s="109" t="s">
        <v>2992</v>
      </c>
      <c r="X26" s="109" t="s">
        <v>3004</v>
      </c>
      <c r="Z26" s="109" t="s">
        <v>3016</v>
      </c>
      <c r="AB26" s="109" t="s">
        <v>3028</v>
      </c>
      <c r="AC26" s="109" t="s">
        <v>304</v>
      </c>
      <c r="AD26" s="109" t="s">
        <v>3040</v>
      </c>
      <c r="AF26" s="109" t="s">
        <v>3052</v>
      </c>
      <c r="AH26" s="109" t="s">
        <v>3064</v>
      </c>
      <c r="AJ26" s="109" t="s">
        <v>3076</v>
      </c>
      <c r="AL26" s="109" t="s">
        <v>3088</v>
      </c>
      <c r="AN26" s="109" t="s">
        <v>3100</v>
      </c>
      <c r="AP26" s="109" t="s">
        <v>3112</v>
      </c>
      <c r="AQ26" s="109" t="s">
        <v>304</v>
      </c>
    </row>
    <row r="27" spans="1:43" x14ac:dyDescent="0.25">
      <c r="B27" s="109" t="s">
        <v>2873</v>
      </c>
      <c r="D27" s="109" t="s">
        <v>2885</v>
      </c>
      <c r="F27" s="109" t="s">
        <v>2897</v>
      </c>
      <c r="H27" s="109" t="s">
        <v>2909</v>
      </c>
      <c r="J27" s="109" t="s">
        <v>2921</v>
      </c>
      <c r="L27" s="109" t="s">
        <v>2933</v>
      </c>
      <c r="N27" s="109" t="s">
        <v>2945</v>
      </c>
      <c r="P27" s="109" t="s">
        <v>2957</v>
      </c>
      <c r="R27" s="109" t="s">
        <v>2969</v>
      </c>
      <c r="T27" s="109" t="s">
        <v>2981</v>
      </c>
      <c r="V27" s="109" t="s">
        <v>2993</v>
      </c>
      <c r="X27" s="109" t="s">
        <v>3005</v>
      </c>
      <c r="Z27" s="109" t="s">
        <v>3017</v>
      </c>
      <c r="AB27" s="109" t="s">
        <v>3029</v>
      </c>
      <c r="AC27" s="109" t="s">
        <v>304</v>
      </c>
      <c r="AD27" s="109" t="s">
        <v>3041</v>
      </c>
      <c r="AF27" s="109" t="s">
        <v>3053</v>
      </c>
      <c r="AH27" s="109" t="s">
        <v>3065</v>
      </c>
      <c r="AJ27" s="109" t="s">
        <v>3077</v>
      </c>
      <c r="AL27" s="109" t="s">
        <v>3089</v>
      </c>
      <c r="AN27" s="109" t="s">
        <v>3101</v>
      </c>
      <c r="AP27" s="109" t="s">
        <v>3113</v>
      </c>
      <c r="AQ27" s="109" t="s">
        <v>304</v>
      </c>
    </row>
    <row r="28" spans="1:43" x14ac:dyDescent="0.25">
      <c r="B28" s="109" t="s">
        <v>2874</v>
      </c>
      <c r="D28" s="109" t="s">
        <v>2886</v>
      </c>
      <c r="F28" s="109" t="s">
        <v>2898</v>
      </c>
      <c r="H28" s="109" t="s">
        <v>2910</v>
      </c>
      <c r="J28" s="109" t="s">
        <v>2922</v>
      </c>
      <c r="L28" s="109" t="s">
        <v>2934</v>
      </c>
      <c r="N28" s="109" t="s">
        <v>2946</v>
      </c>
      <c r="P28" s="109" t="s">
        <v>2958</v>
      </c>
      <c r="R28" s="109" t="s">
        <v>2970</v>
      </c>
      <c r="T28" s="109" t="s">
        <v>2982</v>
      </c>
      <c r="V28" s="109" t="s">
        <v>2994</v>
      </c>
      <c r="X28" s="109" t="s">
        <v>3006</v>
      </c>
      <c r="Z28" s="109" t="s">
        <v>3018</v>
      </c>
      <c r="AB28" s="109" t="s">
        <v>3030</v>
      </c>
      <c r="AC28" s="109" t="s">
        <v>304</v>
      </c>
      <c r="AD28" s="109" t="s">
        <v>3042</v>
      </c>
      <c r="AF28" s="109" t="s">
        <v>3054</v>
      </c>
      <c r="AH28" s="109" t="s">
        <v>3066</v>
      </c>
      <c r="AJ28" s="109" t="s">
        <v>3078</v>
      </c>
      <c r="AL28" s="109" t="s">
        <v>3090</v>
      </c>
      <c r="AN28" s="109" t="s">
        <v>3102</v>
      </c>
      <c r="AP28" s="109" t="s">
        <v>3114</v>
      </c>
      <c r="AQ28" s="109" t="s">
        <v>304</v>
      </c>
    </row>
    <row r="29" spans="1:43" x14ac:dyDescent="0.25">
      <c r="B29" s="109" t="s">
        <v>2875</v>
      </c>
      <c r="D29" s="109" t="s">
        <v>2887</v>
      </c>
      <c r="F29" s="109" t="s">
        <v>2899</v>
      </c>
      <c r="H29" s="109" t="s">
        <v>2911</v>
      </c>
      <c r="J29" s="109" t="s">
        <v>2923</v>
      </c>
      <c r="L29" s="109" t="s">
        <v>2935</v>
      </c>
      <c r="N29" s="109" t="s">
        <v>2947</v>
      </c>
      <c r="P29" s="109" t="s">
        <v>2959</v>
      </c>
      <c r="R29" s="109" t="s">
        <v>2971</v>
      </c>
      <c r="T29" s="109" t="s">
        <v>2983</v>
      </c>
      <c r="V29" s="109" t="s">
        <v>2995</v>
      </c>
      <c r="X29" s="109" t="s">
        <v>3007</v>
      </c>
      <c r="Z29" s="109" t="s">
        <v>3019</v>
      </c>
      <c r="AB29" s="109" t="s">
        <v>3031</v>
      </c>
      <c r="AC29" s="109" t="s">
        <v>304</v>
      </c>
      <c r="AD29" s="109" t="s">
        <v>3043</v>
      </c>
      <c r="AF29" s="109" t="s">
        <v>3055</v>
      </c>
      <c r="AH29" s="109" t="s">
        <v>3067</v>
      </c>
      <c r="AJ29" s="109" t="s">
        <v>3079</v>
      </c>
      <c r="AL29" s="109" t="s">
        <v>3091</v>
      </c>
      <c r="AN29" s="109" t="s">
        <v>3103</v>
      </c>
      <c r="AP29" s="109" t="s">
        <v>3115</v>
      </c>
      <c r="AQ29" s="109" t="s">
        <v>304</v>
      </c>
    </row>
    <row r="30" spans="1:43" x14ac:dyDescent="0.25">
      <c r="B30" s="109" t="s">
        <v>2876</v>
      </c>
      <c r="D30" s="109" t="s">
        <v>2888</v>
      </c>
      <c r="F30" s="109" t="s">
        <v>2900</v>
      </c>
      <c r="H30" s="109" t="s">
        <v>2912</v>
      </c>
      <c r="J30" s="109" t="s">
        <v>2924</v>
      </c>
      <c r="L30" s="109" t="s">
        <v>2936</v>
      </c>
      <c r="N30" s="109" t="s">
        <v>2948</v>
      </c>
      <c r="P30" s="109" t="s">
        <v>2960</v>
      </c>
      <c r="R30" s="109" t="s">
        <v>2972</v>
      </c>
      <c r="T30" s="109" t="s">
        <v>2984</v>
      </c>
      <c r="V30" s="109" t="s">
        <v>2996</v>
      </c>
      <c r="X30" s="109" t="s">
        <v>3008</v>
      </c>
      <c r="Z30" s="109" t="s">
        <v>3020</v>
      </c>
      <c r="AB30" s="109" t="s">
        <v>3032</v>
      </c>
      <c r="AC30" s="109" t="s">
        <v>304</v>
      </c>
      <c r="AD30" s="109" t="s">
        <v>3044</v>
      </c>
      <c r="AF30" s="109" t="s">
        <v>3056</v>
      </c>
      <c r="AH30" s="109" t="s">
        <v>3068</v>
      </c>
      <c r="AJ30" s="109" t="s">
        <v>3080</v>
      </c>
      <c r="AL30" s="109" t="s">
        <v>3092</v>
      </c>
      <c r="AN30" s="109" t="s">
        <v>3104</v>
      </c>
      <c r="AP30" s="109" t="s">
        <v>3116</v>
      </c>
      <c r="AQ30" s="109" t="s">
        <v>304</v>
      </c>
    </row>
    <row r="31" spans="1:43" x14ac:dyDescent="0.25">
      <c r="B31" s="109" t="s">
        <v>2877</v>
      </c>
      <c r="D31" s="109" t="s">
        <v>2889</v>
      </c>
      <c r="F31" s="109" t="s">
        <v>2901</v>
      </c>
      <c r="H31" s="109" t="s">
        <v>2913</v>
      </c>
      <c r="J31" s="109" t="s">
        <v>2925</v>
      </c>
      <c r="L31" s="109" t="s">
        <v>2937</v>
      </c>
      <c r="N31" s="109" t="s">
        <v>2949</v>
      </c>
      <c r="P31" s="109" t="s">
        <v>2961</v>
      </c>
      <c r="R31" s="109" t="s">
        <v>2973</v>
      </c>
      <c r="T31" s="109" t="s">
        <v>2985</v>
      </c>
      <c r="V31" s="109" t="s">
        <v>2997</v>
      </c>
      <c r="X31" s="109" t="s">
        <v>3009</v>
      </c>
      <c r="Z31" s="109" t="s">
        <v>3021</v>
      </c>
      <c r="AB31" s="109" t="s">
        <v>3033</v>
      </c>
      <c r="AC31" s="109" t="s">
        <v>304</v>
      </c>
      <c r="AD31" s="109" t="s">
        <v>3045</v>
      </c>
      <c r="AF31" s="109" t="s">
        <v>3057</v>
      </c>
      <c r="AH31" s="109" t="s">
        <v>3069</v>
      </c>
      <c r="AJ31" s="109" t="s">
        <v>3081</v>
      </c>
      <c r="AL31" s="109" t="s">
        <v>3093</v>
      </c>
      <c r="AN31" s="109" t="s">
        <v>3105</v>
      </c>
      <c r="AP31" s="109" t="s">
        <v>3117</v>
      </c>
      <c r="AQ31" s="109" t="s">
        <v>304</v>
      </c>
    </row>
    <row r="32" spans="1:43" x14ac:dyDescent="0.25">
      <c r="B32" s="109" t="s">
        <v>2878</v>
      </c>
      <c r="D32" s="109" t="s">
        <v>2890</v>
      </c>
      <c r="F32" s="109" t="s">
        <v>2902</v>
      </c>
      <c r="H32" s="109" t="s">
        <v>2914</v>
      </c>
      <c r="J32" s="109" t="s">
        <v>2926</v>
      </c>
      <c r="L32" s="109" t="s">
        <v>2938</v>
      </c>
      <c r="N32" s="109" t="s">
        <v>2950</v>
      </c>
      <c r="P32" s="109" t="s">
        <v>2962</v>
      </c>
      <c r="R32" s="109" t="s">
        <v>2974</v>
      </c>
      <c r="T32" s="109" t="s">
        <v>2986</v>
      </c>
      <c r="V32" s="109" t="s">
        <v>2998</v>
      </c>
      <c r="X32" s="109" t="s">
        <v>3010</v>
      </c>
      <c r="Z32" s="109" t="s">
        <v>3022</v>
      </c>
      <c r="AB32" s="109" t="s">
        <v>3034</v>
      </c>
      <c r="AC32" s="109" t="s">
        <v>304</v>
      </c>
      <c r="AD32" s="109" t="s">
        <v>3046</v>
      </c>
      <c r="AF32" s="109" t="s">
        <v>3058</v>
      </c>
      <c r="AH32" s="109" t="s">
        <v>3070</v>
      </c>
      <c r="AJ32" s="109" t="s">
        <v>3082</v>
      </c>
      <c r="AL32" s="109" t="s">
        <v>3094</v>
      </c>
      <c r="AN32" s="109" t="s">
        <v>3106</v>
      </c>
      <c r="AP32" s="109" t="s">
        <v>3118</v>
      </c>
      <c r="AQ32" s="109" t="s">
        <v>304</v>
      </c>
    </row>
    <row r="33" spans="1:43" x14ac:dyDescent="0.25">
      <c r="B33" s="109" t="s">
        <v>2879</v>
      </c>
      <c r="D33" s="109" t="s">
        <v>2891</v>
      </c>
      <c r="F33" s="109" t="s">
        <v>2903</v>
      </c>
      <c r="H33" s="109" t="s">
        <v>2915</v>
      </c>
      <c r="J33" s="109" t="s">
        <v>2927</v>
      </c>
      <c r="L33" s="109" t="s">
        <v>2939</v>
      </c>
      <c r="N33" s="109" t="s">
        <v>2951</v>
      </c>
      <c r="P33" s="109" t="s">
        <v>2963</v>
      </c>
      <c r="R33" s="109" t="s">
        <v>2975</v>
      </c>
      <c r="T33" s="109" t="s">
        <v>2987</v>
      </c>
      <c r="V33" s="109" t="s">
        <v>2999</v>
      </c>
      <c r="X33" s="109" t="s">
        <v>3011</v>
      </c>
      <c r="Z33" s="109" t="s">
        <v>3023</v>
      </c>
      <c r="AB33" s="109" t="s">
        <v>3035</v>
      </c>
      <c r="AC33" s="109" t="s">
        <v>304</v>
      </c>
      <c r="AD33" s="109" t="s">
        <v>3047</v>
      </c>
      <c r="AF33" s="109" t="s">
        <v>3059</v>
      </c>
      <c r="AH33" s="109" t="s">
        <v>3071</v>
      </c>
      <c r="AJ33" s="109" t="s">
        <v>3083</v>
      </c>
      <c r="AL33" s="109" t="s">
        <v>3095</v>
      </c>
      <c r="AN33" s="109" t="s">
        <v>3107</v>
      </c>
      <c r="AP33" s="109" t="s">
        <v>3119</v>
      </c>
      <c r="AQ33" s="109" t="s">
        <v>304</v>
      </c>
    </row>
    <row r="34" spans="1:43" x14ac:dyDescent="0.25">
      <c r="B34" s="109" t="s">
        <v>2880</v>
      </c>
      <c r="D34" s="109" t="s">
        <v>2892</v>
      </c>
      <c r="F34" s="109" t="s">
        <v>2904</v>
      </c>
      <c r="H34" s="109" t="s">
        <v>2916</v>
      </c>
      <c r="J34" s="109" t="s">
        <v>2928</v>
      </c>
      <c r="L34" s="109" t="s">
        <v>2940</v>
      </c>
      <c r="N34" s="109" t="s">
        <v>2952</v>
      </c>
      <c r="P34" s="109" t="s">
        <v>2964</v>
      </c>
      <c r="R34" s="109" t="s">
        <v>2976</v>
      </c>
      <c r="T34" s="109" t="s">
        <v>2988</v>
      </c>
      <c r="V34" s="109" t="s">
        <v>3000</v>
      </c>
      <c r="X34" s="109" t="s">
        <v>3012</v>
      </c>
      <c r="Z34" s="109" t="s">
        <v>3024</v>
      </c>
      <c r="AB34" s="109" t="s">
        <v>3036</v>
      </c>
      <c r="AC34" s="109" t="s">
        <v>304</v>
      </c>
      <c r="AD34" s="109" t="s">
        <v>3048</v>
      </c>
      <c r="AF34" s="109" t="s">
        <v>3060</v>
      </c>
      <c r="AH34" s="109" t="s">
        <v>3072</v>
      </c>
      <c r="AJ34" s="109" t="s">
        <v>3084</v>
      </c>
      <c r="AL34" s="109" t="s">
        <v>3096</v>
      </c>
      <c r="AN34" s="109" t="s">
        <v>3108</v>
      </c>
      <c r="AP34" s="109" t="s">
        <v>3120</v>
      </c>
      <c r="AQ34" s="109" t="s">
        <v>304</v>
      </c>
    </row>
    <row r="35" spans="1:43" x14ac:dyDescent="0.25">
      <c r="B35" s="109" t="s">
        <v>2881</v>
      </c>
      <c r="D35" s="109" t="s">
        <v>2893</v>
      </c>
      <c r="F35" s="109" t="s">
        <v>2905</v>
      </c>
      <c r="H35" s="109" t="s">
        <v>2917</v>
      </c>
      <c r="J35" s="109" t="s">
        <v>2929</v>
      </c>
      <c r="L35" s="109" t="s">
        <v>2941</v>
      </c>
      <c r="N35" s="109" t="s">
        <v>2953</v>
      </c>
      <c r="P35" s="109" t="s">
        <v>2965</v>
      </c>
      <c r="R35" s="109" t="s">
        <v>2977</v>
      </c>
      <c r="T35" s="109" t="s">
        <v>2989</v>
      </c>
      <c r="V35" s="109" t="s">
        <v>3001</v>
      </c>
      <c r="X35" s="109" t="s">
        <v>3013</v>
      </c>
      <c r="Z35" s="109" t="s">
        <v>3025</v>
      </c>
      <c r="AB35" s="109" t="s">
        <v>3037</v>
      </c>
      <c r="AC35" s="109" t="s">
        <v>304</v>
      </c>
      <c r="AD35" s="109" t="s">
        <v>3049</v>
      </c>
      <c r="AF35" s="109" t="s">
        <v>3061</v>
      </c>
      <c r="AH35" s="109" t="s">
        <v>3073</v>
      </c>
      <c r="AJ35" s="109" t="s">
        <v>3085</v>
      </c>
      <c r="AL35" s="109" t="s">
        <v>3097</v>
      </c>
      <c r="AN35" s="109" t="s">
        <v>3109</v>
      </c>
      <c r="AP35" s="109" t="s">
        <v>3121</v>
      </c>
      <c r="AQ35" s="109" t="s">
        <v>304</v>
      </c>
    </row>
    <row r="36" spans="1:43" x14ac:dyDescent="0.25">
      <c r="B36" s="109" t="s">
        <v>2882</v>
      </c>
      <c r="D36" s="109" t="s">
        <v>2894</v>
      </c>
      <c r="F36" s="109" t="s">
        <v>2906</v>
      </c>
      <c r="H36" s="109" t="s">
        <v>2918</v>
      </c>
      <c r="J36" s="109" t="s">
        <v>2930</v>
      </c>
      <c r="L36" s="109" t="s">
        <v>2942</v>
      </c>
      <c r="N36" s="109" t="s">
        <v>2954</v>
      </c>
      <c r="P36" s="109" t="s">
        <v>2966</v>
      </c>
      <c r="R36" s="109" t="s">
        <v>2978</v>
      </c>
      <c r="T36" s="109" t="s">
        <v>2990</v>
      </c>
      <c r="V36" s="109" t="s">
        <v>3002</v>
      </c>
      <c r="X36" s="109" t="s">
        <v>3014</v>
      </c>
      <c r="Z36" s="109" t="s">
        <v>3026</v>
      </c>
      <c r="AB36" s="109" t="s">
        <v>3038</v>
      </c>
      <c r="AC36" s="109" t="s">
        <v>304</v>
      </c>
      <c r="AD36" s="109" t="s">
        <v>3050</v>
      </c>
      <c r="AF36" s="109" t="s">
        <v>3062</v>
      </c>
      <c r="AH36" s="109" t="s">
        <v>3074</v>
      </c>
      <c r="AJ36" s="109" t="s">
        <v>3086</v>
      </c>
      <c r="AL36" s="109" t="s">
        <v>3098</v>
      </c>
      <c r="AN36" s="109" t="s">
        <v>3110</v>
      </c>
      <c r="AP36" s="109" t="s">
        <v>3122</v>
      </c>
      <c r="AQ36" s="109" t="s">
        <v>304</v>
      </c>
    </row>
    <row r="37" spans="1:43" x14ac:dyDescent="0.25">
      <c r="B37" s="109" t="s">
        <v>2883</v>
      </c>
      <c r="D37" s="109" t="s">
        <v>2895</v>
      </c>
      <c r="F37" s="109" t="s">
        <v>2907</v>
      </c>
      <c r="H37" s="109" t="s">
        <v>2919</v>
      </c>
      <c r="J37" s="109" t="s">
        <v>2931</v>
      </c>
      <c r="L37" s="109" t="s">
        <v>2943</v>
      </c>
      <c r="N37" s="109" t="s">
        <v>2955</v>
      </c>
      <c r="P37" s="109" t="s">
        <v>2967</v>
      </c>
      <c r="R37" s="109" t="s">
        <v>2979</v>
      </c>
      <c r="T37" s="109" t="s">
        <v>2991</v>
      </c>
      <c r="V37" s="109" t="s">
        <v>3003</v>
      </c>
      <c r="X37" s="109" t="s">
        <v>3015</v>
      </c>
      <c r="Z37" s="109" t="s">
        <v>3027</v>
      </c>
      <c r="AB37" s="109" t="s">
        <v>3039</v>
      </c>
      <c r="AC37" s="109" t="s">
        <v>304</v>
      </c>
      <c r="AD37" s="109" t="s">
        <v>3051</v>
      </c>
      <c r="AF37" s="109" t="s">
        <v>3063</v>
      </c>
      <c r="AH37" s="109" t="s">
        <v>3075</v>
      </c>
      <c r="AJ37" s="109" t="s">
        <v>3087</v>
      </c>
      <c r="AL37" s="109" t="s">
        <v>3099</v>
      </c>
      <c r="AN37" s="109" t="s">
        <v>3111</v>
      </c>
      <c r="AP37" s="109" t="s">
        <v>3123</v>
      </c>
      <c r="AQ37" s="109" t="s">
        <v>304</v>
      </c>
    </row>
    <row r="38" spans="1:43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 t="shared" ref="D38" si="27">COUNTIF(D26:D37,"&lt;&gt;")</f>
        <v>12</v>
      </c>
      <c r="E38" s="109">
        <f t="shared" ref="E38" si="28">COUNTIF(E26:E37,"Y")</f>
        <v>0</v>
      </c>
      <c r="F38" s="109">
        <f t="shared" ref="F38" si="29">COUNTIF(F26:F37,"&lt;&gt;")</f>
        <v>12</v>
      </c>
      <c r="G38" s="109">
        <f t="shared" ref="G38" si="30">COUNTIF(G26:G37,"Y")</f>
        <v>0</v>
      </c>
      <c r="H38" s="109">
        <f t="shared" ref="H38" si="31">COUNTIF(H26:H37,"&lt;&gt;")</f>
        <v>12</v>
      </c>
      <c r="I38" s="109">
        <f t="shared" ref="I38" si="32">COUNTIF(I26:I37,"Y")</f>
        <v>0</v>
      </c>
      <c r="J38" s="109">
        <f t="shared" ref="J38" si="33">COUNTIF(J26:J37,"&lt;&gt;")</f>
        <v>12</v>
      </c>
      <c r="K38" s="109">
        <f t="shared" ref="K38" si="34">COUNTIF(K26:K37,"Y")</f>
        <v>0</v>
      </c>
      <c r="L38" s="109">
        <f t="shared" ref="L38" si="35">COUNTIF(L26:L37,"&lt;&gt;")</f>
        <v>12</v>
      </c>
      <c r="M38" s="109">
        <f t="shared" ref="M38" si="36">COUNTIF(M26:M37,"Y")</f>
        <v>0</v>
      </c>
      <c r="N38" s="109">
        <f t="shared" ref="N38" si="37">COUNTIF(N26:N37,"&lt;&gt;")</f>
        <v>12</v>
      </c>
      <c r="O38" s="109">
        <f t="shared" ref="O38" si="38">COUNTIF(O26:O37,"Y")</f>
        <v>0</v>
      </c>
      <c r="P38" s="109">
        <f t="shared" ref="P38" si="39">COUNTIF(P26:P37,"&lt;&gt;")</f>
        <v>12</v>
      </c>
      <c r="Q38" s="109">
        <f t="shared" ref="Q38" si="40">COUNTIF(Q26:Q37,"Y")</f>
        <v>0</v>
      </c>
      <c r="R38" s="109">
        <f t="shared" ref="R38" si="41">COUNTIF(R26:R37,"&lt;&gt;")</f>
        <v>12</v>
      </c>
      <c r="S38" s="109">
        <f t="shared" ref="S38" si="42">COUNTIF(S26:S37,"Y")</f>
        <v>0</v>
      </c>
      <c r="T38" s="109">
        <f t="shared" ref="T38" si="43">COUNTIF(T26:T37,"&lt;&gt;")</f>
        <v>12</v>
      </c>
      <c r="U38" s="109">
        <f t="shared" ref="U38" si="44">COUNTIF(U26:U37,"Y")</f>
        <v>0</v>
      </c>
      <c r="V38" s="109">
        <f t="shared" ref="V38" si="45">COUNTIF(V26:V37,"&lt;&gt;")</f>
        <v>12</v>
      </c>
      <c r="W38" s="109">
        <f t="shared" ref="W38" si="46">COUNTIF(W26:W37,"Y")</f>
        <v>0</v>
      </c>
      <c r="X38" s="109">
        <f t="shared" ref="X38" si="47">COUNTIF(X26:X37,"&lt;&gt;")</f>
        <v>12</v>
      </c>
      <c r="Y38" s="109">
        <f t="shared" ref="Y38" si="48">COUNTIF(Y26:Y37,"Y")</f>
        <v>0</v>
      </c>
      <c r="Z38" s="109">
        <f t="shared" ref="Z38" si="49">COUNTIF(Z26:Z37,"&lt;&gt;")</f>
        <v>12</v>
      </c>
      <c r="AA38" s="109">
        <f t="shared" ref="AA38" si="50">COUNTIF(AA26:AA37,"Y")</f>
        <v>0</v>
      </c>
      <c r="AB38" s="109">
        <f t="shared" ref="AB38" si="51">COUNTIF(AB26:AB37,"&lt;&gt;")</f>
        <v>12</v>
      </c>
      <c r="AC38" s="109">
        <f t="shared" ref="AC38" si="52">COUNTIF(AC26:AC37,"Y")</f>
        <v>12</v>
      </c>
      <c r="AD38" s="109">
        <f t="shared" ref="AD38" si="53">COUNTIF(AD26:AD37,"&lt;&gt;")</f>
        <v>12</v>
      </c>
      <c r="AE38" s="109">
        <f t="shared" ref="AE38" si="54">COUNTIF(AE26:AE37,"Y")</f>
        <v>0</v>
      </c>
      <c r="AF38" s="109">
        <f t="shared" ref="AF38" si="55">COUNTIF(AF26:AF37,"&lt;&gt;")</f>
        <v>12</v>
      </c>
      <c r="AG38" s="109">
        <f t="shared" ref="AG38" si="56">COUNTIF(AG26:AG37,"Y")</f>
        <v>0</v>
      </c>
      <c r="AH38" s="109">
        <f t="shared" ref="AH38" si="57">COUNTIF(AH26:AH37,"&lt;&gt;")</f>
        <v>12</v>
      </c>
      <c r="AI38" s="109">
        <f t="shared" ref="AI38" si="58">COUNTIF(AI26:AI37,"Y")</f>
        <v>0</v>
      </c>
      <c r="AJ38" s="109">
        <f t="shared" ref="AJ38" si="59">COUNTIF(AJ26:AJ37,"&lt;&gt;")</f>
        <v>12</v>
      </c>
      <c r="AK38" s="109">
        <f t="shared" ref="AK38" si="60">COUNTIF(AK26:AK37,"Y")</f>
        <v>0</v>
      </c>
      <c r="AL38" s="109">
        <f t="shared" ref="AL38" si="61">COUNTIF(AL26:AL37,"&lt;&gt;")</f>
        <v>12</v>
      </c>
      <c r="AM38" s="109">
        <f t="shared" ref="AM38" si="62">COUNTIF(AM26:AM37,"Y")</f>
        <v>0</v>
      </c>
      <c r="AN38" s="109">
        <f t="shared" ref="AN38" si="63">COUNTIF(AN26:AN37,"&lt;&gt;")</f>
        <v>12</v>
      </c>
      <c r="AO38" s="109">
        <f t="shared" ref="AO38" si="64">COUNTIF(AO26:AO37,"Y")</f>
        <v>0</v>
      </c>
      <c r="AP38" s="109">
        <f t="shared" ref="AP38" si="65">COUNTIF(AP26:AP37,"&lt;&gt;")</f>
        <v>12</v>
      </c>
      <c r="AQ38" s="109">
        <f t="shared" ref="AQ38" si="66">COUNTIF(AQ26:AQ37,"Y")</f>
        <v>12</v>
      </c>
    </row>
  </sheetData>
  <conditionalFormatting sqref="A3:AQ38">
    <cfRule type="cellIs" dxfId="0" priority="1" operator="equal">
      <formula>"y"</formula>
    </cfRule>
  </conditionalFormatting>
  <pageMargins left="0.7" right="0.7" top="0.75" bottom="0.75" header="0.3" footer="0.3"/>
  <pageSetup orientation="portrait" verticalDpi="597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235B6-FF90-46A8-95C5-574270065042}">
  <sheetPr codeName="Sheet14"/>
  <dimension ref="A1:AI38"/>
  <sheetViews>
    <sheetView workbookViewId="0">
      <selection sqref="A1:XFD2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1.5703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20" width="12.42578125" style="109" bestFit="1" customWidth="1"/>
    <col min="21" max="21" width="10.85546875" style="109" bestFit="1" customWidth="1"/>
    <col min="22" max="22" width="12.42578125" style="109" bestFit="1" customWidth="1"/>
    <col min="23" max="23" width="10.85546875" style="109" bestFit="1" customWidth="1"/>
    <col min="24" max="24" width="12.42578125" style="109" bestFit="1" customWidth="1"/>
    <col min="25" max="25" width="10.85546875" style="109" bestFit="1" customWidth="1"/>
    <col min="26" max="26" width="12.42578125" style="109" bestFit="1" customWidth="1"/>
    <col min="27" max="27" width="10.85546875" style="109" bestFit="1" customWidth="1"/>
    <col min="28" max="28" width="12.42578125" style="109" bestFit="1" customWidth="1"/>
    <col min="29" max="29" width="10.85546875" style="109" bestFit="1" customWidth="1"/>
    <col min="30" max="30" width="12.42578125" style="109" bestFit="1" customWidth="1"/>
    <col min="31" max="31" width="10.85546875" style="109" bestFit="1" customWidth="1"/>
    <col min="32" max="32" width="12.42578125" style="109" bestFit="1" customWidth="1"/>
    <col min="33" max="33" width="10.85546875" style="109" bestFit="1" customWidth="1"/>
    <col min="34" max="34" width="12.42578125" style="109" bestFit="1" customWidth="1"/>
    <col min="35" max="35" width="10.85546875" style="109" bestFit="1" customWidth="1"/>
    <col min="36" max="16384" width="9.140625" style="109"/>
  </cols>
  <sheetData>
    <row r="1" spans="2:29" s="111" customFormat="1" x14ac:dyDescent="0.25">
      <c r="B1" s="111" t="s">
        <v>14577</v>
      </c>
      <c r="C1" s="111">
        <f>SUM(D3,D24)</f>
        <v>357</v>
      </c>
      <c r="D1" s="111" t="s">
        <v>301</v>
      </c>
      <c r="E1" s="111">
        <f>SUM(F3,F24)</f>
        <v>0</v>
      </c>
      <c r="F1" s="111" t="s">
        <v>14579</v>
      </c>
      <c r="G1" s="111">
        <f>SUM(H3,H24)</f>
        <v>357</v>
      </c>
      <c r="H1" s="111" t="s">
        <v>14578</v>
      </c>
      <c r="I1" s="131">
        <f>(E1/C1)</f>
        <v>0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3124</v>
      </c>
      <c r="C3" s="109" t="s">
        <v>302</v>
      </c>
      <c r="D3" s="109">
        <f>SUM(B22,D22,F22,H22,J22,L22,N22,P22,R22,T22,V22)</f>
        <v>153</v>
      </c>
      <c r="E3" s="109" t="s">
        <v>301</v>
      </c>
      <c r="F3" s="109">
        <f>SUM(C22,E22,G22,I22,K22,M22,O22,Q22,S22,U22,W22)</f>
        <v>0</v>
      </c>
      <c r="G3" s="109" t="s">
        <v>305</v>
      </c>
      <c r="H3" s="109">
        <f>D3-F3</f>
        <v>153</v>
      </c>
    </row>
    <row r="4" spans="2:29" x14ac:dyDescent="0.25">
      <c r="B4" s="109" t="str">
        <f>LEFT(B5,FIND("_C",B5)-1)</f>
        <v>BH_038</v>
      </c>
      <c r="C4" s="109" t="s">
        <v>301</v>
      </c>
      <c r="D4" s="109" t="str">
        <f>LEFT(D5,FIND("_C",D5)-1)</f>
        <v>BH_044</v>
      </c>
      <c r="E4" s="109" t="s">
        <v>301</v>
      </c>
      <c r="F4" s="109" t="str">
        <f>LEFT(F5,FIND("_C",F5)-1)</f>
        <v>BH_056</v>
      </c>
      <c r="G4" s="109" t="s">
        <v>301</v>
      </c>
      <c r="H4" s="109" t="str">
        <f>LEFT(H5,FIND("_C",H5)-1)</f>
        <v>BH_066</v>
      </c>
      <c r="I4" s="109" t="s">
        <v>301</v>
      </c>
      <c r="J4" s="109" t="str">
        <f>LEFT(J5,FIND("_C",J5)-1)</f>
        <v>BH_091</v>
      </c>
      <c r="K4" s="109" t="s">
        <v>301</v>
      </c>
      <c r="L4" s="109" t="str">
        <f>LEFT(L5,FIND("_C",L5)-1)</f>
        <v>BH_095</v>
      </c>
      <c r="M4" s="109" t="s">
        <v>301</v>
      </c>
      <c r="N4" s="109" t="str">
        <f>LEFT(N5,FIND("_C",N5)-1)</f>
        <v>BH_111</v>
      </c>
      <c r="O4" s="109" t="s">
        <v>301</v>
      </c>
      <c r="P4" s="109" t="str">
        <f>LEFT(P5,FIND("_C",P5)-1)</f>
        <v>BH_118</v>
      </c>
      <c r="Q4" s="109" t="s">
        <v>301</v>
      </c>
      <c r="R4" s="109" t="str">
        <f>LEFT(R5,FIND("_C",R5)-1)</f>
        <v>BH_133</v>
      </c>
    </row>
    <row r="5" spans="2:29" x14ac:dyDescent="0.25">
      <c r="B5" s="109" t="s">
        <v>3125</v>
      </c>
      <c r="D5" s="109" t="s">
        <v>3142</v>
      </c>
      <c r="F5" s="109" t="s">
        <v>3159</v>
      </c>
      <c r="H5" s="109" t="s">
        <v>3176</v>
      </c>
      <c r="J5" s="109" t="s">
        <v>3193</v>
      </c>
      <c r="L5" s="109" t="s">
        <v>3210</v>
      </c>
      <c r="N5" s="109" t="s">
        <v>3227</v>
      </c>
      <c r="P5" s="109" t="s">
        <v>3244</v>
      </c>
      <c r="R5" s="109" t="s">
        <v>3261</v>
      </c>
    </row>
    <row r="6" spans="2:29" x14ac:dyDescent="0.25">
      <c r="B6" s="109" t="s">
        <v>3126</v>
      </c>
      <c r="D6" s="109" t="s">
        <v>3143</v>
      </c>
      <c r="F6" s="109" t="s">
        <v>3160</v>
      </c>
      <c r="H6" s="109" t="s">
        <v>3177</v>
      </c>
      <c r="J6" s="109" t="s">
        <v>3194</v>
      </c>
      <c r="L6" s="109" t="s">
        <v>3211</v>
      </c>
      <c r="N6" s="109" t="s">
        <v>3228</v>
      </c>
      <c r="P6" s="109" t="s">
        <v>3245</v>
      </c>
      <c r="R6" s="109" t="s">
        <v>3262</v>
      </c>
    </row>
    <row r="7" spans="2:29" x14ac:dyDescent="0.25">
      <c r="B7" s="109" t="s">
        <v>3127</v>
      </c>
      <c r="D7" s="109" t="s">
        <v>3144</v>
      </c>
      <c r="F7" s="109" t="s">
        <v>3161</v>
      </c>
      <c r="H7" s="109" t="s">
        <v>3178</v>
      </c>
      <c r="J7" s="109" t="s">
        <v>3195</v>
      </c>
      <c r="L7" s="109" t="s">
        <v>3212</v>
      </c>
      <c r="N7" s="109" t="s">
        <v>3229</v>
      </c>
      <c r="P7" s="109" t="s">
        <v>3246</v>
      </c>
      <c r="R7" s="109" t="s">
        <v>3263</v>
      </c>
    </row>
    <row r="8" spans="2:29" x14ac:dyDescent="0.25">
      <c r="B8" s="109" t="s">
        <v>3128</v>
      </c>
      <c r="D8" s="109" t="s">
        <v>3145</v>
      </c>
      <c r="F8" s="109" t="s">
        <v>3162</v>
      </c>
      <c r="H8" s="109" t="s">
        <v>3179</v>
      </c>
      <c r="J8" s="109" t="s">
        <v>3196</v>
      </c>
      <c r="L8" s="109" t="s">
        <v>3213</v>
      </c>
      <c r="N8" s="109" t="s">
        <v>3230</v>
      </c>
      <c r="P8" s="109" t="s">
        <v>3247</v>
      </c>
      <c r="R8" s="109" t="s">
        <v>3264</v>
      </c>
    </row>
    <row r="9" spans="2:29" x14ac:dyDescent="0.25">
      <c r="B9" s="109" t="s">
        <v>3129</v>
      </c>
      <c r="D9" s="109" t="s">
        <v>3146</v>
      </c>
      <c r="F9" s="109" t="s">
        <v>3163</v>
      </c>
      <c r="H9" s="109" t="s">
        <v>3180</v>
      </c>
      <c r="J9" s="109" t="s">
        <v>3197</v>
      </c>
      <c r="L9" s="109" t="s">
        <v>3214</v>
      </c>
      <c r="N9" s="109" t="s">
        <v>3231</v>
      </c>
      <c r="P9" s="109" t="s">
        <v>3248</v>
      </c>
      <c r="R9" s="109" t="s">
        <v>3265</v>
      </c>
    </row>
    <row r="10" spans="2:29" x14ac:dyDescent="0.25">
      <c r="B10" s="109" t="s">
        <v>3130</v>
      </c>
      <c r="D10" s="109" t="s">
        <v>3147</v>
      </c>
      <c r="F10" s="109" t="s">
        <v>3164</v>
      </c>
      <c r="H10" s="109" t="s">
        <v>3181</v>
      </c>
      <c r="J10" s="109" t="s">
        <v>3198</v>
      </c>
      <c r="L10" s="109" t="s">
        <v>3215</v>
      </c>
      <c r="N10" s="109" t="s">
        <v>3232</v>
      </c>
      <c r="P10" s="109" t="s">
        <v>3249</v>
      </c>
      <c r="R10" s="109" t="s">
        <v>3266</v>
      </c>
    </row>
    <row r="11" spans="2:29" x14ac:dyDescent="0.25">
      <c r="B11" s="109" t="s">
        <v>3131</v>
      </c>
      <c r="D11" s="109" t="s">
        <v>3148</v>
      </c>
      <c r="F11" s="109" t="s">
        <v>3165</v>
      </c>
      <c r="H11" s="109" t="s">
        <v>3182</v>
      </c>
      <c r="J11" s="109" t="s">
        <v>3199</v>
      </c>
      <c r="L11" s="109" t="s">
        <v>3216</v>
      </c>
      <c r="N11" s="109" t="s">
        <v>3233</v>
      </c>
      <c r="P11" s="109" t="s">
        <v>3250</v>
      </c>
      <c r="R11" s="109" t="s">
        <v>3267</v>
      </c>
    </row>
    <row r="12" spans="2:29" x14ac:dyDescent="0.25">
      <c r="B12" s="109" t="s">
        <v>3132</v>
      </c>
      <c r="D12" s="109" t="s">
        <v>3149</v>
      </c>
      <c r="F12" s="109" t="s">
        <v>3166</v>
      </c>
      <c r="H12" s="109" t="s">
        <v>3183</v>
      </c>
      <c r="J12" s="109" t="s">
        <v>3200</v>
      </c>
      <c r="L12" s="109" t="s">
        <v>3217</v>
      </c>
      <c r="N12" s="109" t="s">
        <v>3234</v>
      </c>
      <c r="P12" s="109" t="s">
        <v>3251</v>
      </c>
      <c r="R12" s="109" t="s">
        <v>3268</v>
      </c>
    </row>
    <row r="13" spans="2:29" x14ac:dyDescent="0.25">
      <c r="B13" s="109" t="s">
        <v>3133</v>
      </c>
      <c r="D13" s="109" t="s">
        <v>3150</v>
      </c>
      <c r="F13" s="109" t="s">
        <v>3167</v>
      </c>
      <c r="H13" s="109" t="s">
        <v>3184</v>
      </c>
      <c r="J13" s="109" t="s">
        <v>3201</v>
      </c>
      <c r="L13" s="109" t="s">
        <v>3218</v>
      </c>
      <c r="N13" s="109" t="s">
        <v>3235</v>
      </c>
      <c r="P13" s="109" t="s">
        <v>3252</v>
      </c>
      <c r="R13" s="109" t="s">
        <v>3269</v>
      </c>
    </row>
    <row r="14" spans="2:29" x14ac:dyDescent="0.25">
      <c r="B14" s="109" t="s">
        <v>3134</v>
      </c>
      <c r="D14" s="109" t="s">
        <v>3151</v>
      </c>
      <c r="F14" s="109" t="s">
        <v>3168</v>
      </c>
      <c r="H14" s="109" t="s">
        <v>3185</v>
      </c>
      <c r="J14" s="109" t="s">
        <v>3202</v>
      </c>
      <c r="L14" s="109" t="s">
        <v>3219</v>
      </c>
      <c r="N14" s="109" t="s">
        <v>3236</v>
      </c>
      <c r="P14" s="109" t="s">
        <v>3253</v>
      </c>
      <c r="R14" s="109" t="s">
        <v>3270</v>
      </c>
    </row>
    <row r="15" spans="2:29" x14ac:dyDescent="0.25">
      <c r="B15" s="109" t="s">
        <v>3135</v>
      </c>
      <c r="D15" s="109" t="s">
        <v>3152</v>
      </c>
      <c r="F15" s="109" t="s">
        <v>3169</v>
      </c>
      <c r="H15" s="109" t="s">
        <v>3186</v>
      </c>
      <c r="J15" s="109" t="s">
        <v>3203</v>
      </c>
      <c r="L15" s="109" t="s">
        <v>3220</v>
      </c>
      <c r="N15" s="109" t="s">
        <v>3237</v>
      </c>
      <c r="P15" s="109" t="s">
        <v>3254</v>
      </c>
      <c r="R15" s="109" t="s">
        <v>3271</v>
      </c>
    </row>
    <row r="16" spans="2:29" x14ac:dyDescent="0.25">
      <c r="B16" s="109" t="s">
        <v>3136</v>
      </c>
      <c r="D16" s="109" t="s">
        <v>3153</v>
      </c>
      <c r="F16" s="109" t="s">
        <v>3170</v>
      </c>
      <c r="H16" s="109" t="s">
        <v>3187</v>
      </c>
      <c r="J16" s="109" t="s">
        <v>3204</v>
      </c>
      <c r="L16" s="109" t="s">
        <v>3221</v>
      </c>
      <c r="N16" s="109" t="s">
        <v>3238</v>
      </c>
      <c r="P16" s="109" t="s">
        <v>3255</v>
      </c>
      <c r="R16" s="109" t="s">
        <v>3272</v>
      </c>
    </row>
    <row r="17" spans="1:35" x14ac:dyDescent="0.25">
      <c r="B17" s="109" t="s">
        <v>3137</v>
      </c>
      <c r="D17" s="109" t="s">
        <v>3154</v>
      </c>
      <c r="F17" s="109" t="s">
        <v>3171</v>
      </c>
      <c r="H17" s="109" t="s">
        <v>3188</v>
      </c>
      <c r="J17" s="109" t="s">
        <v>3205</v>
      </c>
      <c r="L17" s="109" t="s">
        <v>3222</v>
      </c>
      <c r="N17" s="109" t="s">
        <v>3239</v>
      </c>
      <c r="P17" s="109" t="s">
        <v>3256</v>
      </c>
      <c r="R17" s="109" t="s">
        <v>3273</v>
      </c>
    </row>
    <row r="18" spans="1:35" x14ac:dyDescent="0.25">
      <c r="B18" s="109" t="s">
        <v>3138</v>
      </c>
      <c r="D18" s="109" t="s">
        <v>3155</v>
      </c>
      <c r="F18" s="109" t="s">
        <v>3172</v>
      </c>
      <c r="H18" s="109" t="s">
        <v>3189</v>
      </c>
      <c r="J18" s="109" t="s">
        <v>3206</v>
      </c>
      <c r="L18" s="109" t="s">
        <v>3223</v>
      </c>
      <c r="N18" s="109" t="s">
        <v>3240</v>
      </c>
      <c r="P18" s="109" t="s">
        <v>3257</v>
      </c>
      <c r="R18" s="109" t="s">
        <v>3274</v>
      </c>
    </row>
    <row r="19" spans="1:35" x14ac:dyDescent="0.25">
      <c r="B19" s="109" t="s">
        <v>3139</v>
      </c>
      <c r="D19" s="109" t="s">
        <v>3156</v>
      </c>
      <c r="F19" s="109" t="s">
        <v>3173</v>
      </c>
      <c r="H19" s="109" t="s">
        <v>3190</v>
      </c>
      <c r="J19" s="109" t="s">
        <v>3207</v>
      </c>
      <c r="L19" s="109" t="s">
        <v>3224</v>
      </c>
      <c r="N19" s="109" t="s">
        <v>3241</v>
      </c>
      <c r="P19" s="109" t="s">
        <v>3258</v>
      </c>
      <c r="R19" s="109" t="s">
        <v>3275</v>
      </c>
    </row>
    <row r="20" spans="1:35" x14ac:dyDescent="0.25">
      <c r="B20" s="109" t="s">
        <v>3140</v>
      </c>
      <c r="D20" s="109" t="s">
        <v>3157</v>
      </c>
      <c r="F20" s="109" t="s">
        <v>3174</v>
      </c>
      <c r="H20" s="109" t="s">
        <v>3191</v>
      </c>
      <c r="J20" s="109" t="s">
        <v>3208</v>
      </c>
      <c r="L20" s="109" t="s">
        <v>3225</v>
      </c>
      <c r="N20" s="109" t="s">
        <v>3242</v>
      </c>
      <c r="P20" s="109" t="s">
        <v>3259</v>
      </c>
      <c r="R20" s="109" t="s">
        <v>3276</v>
      </c>
    </row>
    <row r="21" spans="1:35" x14ac:dyDescent="0.25">
      <c r="B21" s="109" t="s">
        <v>3141</v>
      </c>
      <c r="D21" s="109" t="s">
        <v>3158</v>
      </c>
      <c r="F21" s="109" t="s">
        <v>3175</v>
      </c>
      <c r="H21" s="109" t="s">
        <v>3192</v>
      </c>
      <c r="J21" s="109" t="s">
        <v>3209</v>
      </c>
      <c r="L21" s="109" t="s">
        <v>3226</v>
      </c>
      <c r="N21" s="109" t="s">
        <v>3243</v>
      </c>
      <c r="P21" s="109" t="s">
        <v>3260</v>
      </c>
      <c r="R21" s="109" t="s">
        <v>3277</v>
      </c>
    </row>
    <row r="22" spans="1:35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0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0</v>
      </c>
      <c r="L22" s="109">
        <f t="shared" ref="L22" si="5">COUNTIF(L5:L21,"&lt;&gt;")</f>
        <v>17</v>
      </c>
      <c r="M22" s="109">
        <f>COUNTIF(M5:M21,"Y")</f>
        <v>0</v>
      </c>
      <c r="N22" s="109">
        <f t="shared" ref="N22" si="6">COUNTIF(N5:N21,"&lt;&gt;")</f>
        <v>17</v>
      </c>
      <c r="O22" s="109">
        <f>COUNTIF(O5:O21,"Y")</f>
        <v>0</v>
      </c>
      <c r="P22" s="109">
        <f t="shared" ref="P22" si="7">COUNTIF(P5:P21,"&lt;&gt;")</f>
        <v>17</v>
      </c>
      <c r="Q22" s="109">
        <f>COUNTIF(Q5:Q21,"Y")</f>
        <v>0</v>
      </c>
      <c r="R22" s="109">
        <f t="shared" ref="R22" si="8">COUNTIF(R5:R21,"&lt;&gt;")</f>
        <v>17</v>
      </c>
    </row>
    <row r="24" spans="1:35" x14ac:dyDescent="0.25">
      <c r="B24" s="109" t="s">
        <v>642</v>
      </c>
      <c r="C24" s="109" t="s">
        <v>302</v>
      </c>
      <c r="D24" s="109">
        <f>SUM(B38,D38,F38,H38,J38,L38,N38,P38,R38,T38,V38,X38,Z38,AB38,AD38,AF38,AH38,AJ38,AL38,AN38,AP38)</f>
        <v>204</v>
      </c>
      <c r="E24" s="109" t="s">
        <v>301</v>
      </c>
      <c r="F24" s="109">
        <f>SUM(C38,E38,G38,I38,K38,M38,O38,Q38,S38,U38,W38,Y38,AA38,AC38,AE38,AG38,AI38,AK38,AM38,AO38,AQ38)</f>
        <v>0</v>
      </c>
      <c r="G24" s="109" t="s">
        <v>305</v>
      </c>
      <c r="H24" s="109">
        <f>D24-F24</f>
        <v>204</v>
      </c>
    </row>
    <row r="25" spans="1:35" x14ac:dyDescent="0.25">
      <c r="B25" s="109" t="str">
        <f>LEFT(B26,FIND("_P",B26)-1)</f>
        <v>CPT_044</v>
      </c>
      <c r="C25" s="109" t="s">
        <v>301</v>
      </c>
      <c r="D25" s="109" t="str">
        <f t="shared" ref="D25" si="9">LEFT(D26,FIND("_P",D26)-1)</f>
        <v>CPT_048</v>
      </c>
      <c r="E25" s="109" t="s">
        <v>301</v>
      </c>
      <c r="F25" s="109" t="str">
        <f t="shared" ref="F25" si="10">LEFT(F26,FIND("_P",F26)-1)</f>
        <v>CPT_052</v>
      </c>
      <c r="G25" s="109" t="s">
        <v>301</v>
      </c>
      <c r="H25" s="109" t="str">
        <f t="shared" ref="H25" si="11">LEFT(H26,FIND("_P",H26)-1)</f>
        <v>CPT_138</v>
      </c>
      <c r="I25" s="109" t="s">
        <v>301</v>
      </c>
      <c r="J25" s="109" t="str">
        <f t="shared" ref="J25" si="12">LEFT(J26,FIND("_P",J26)-1)</f>
        <v>CPT_146</v>
      </c>
      <c r="K25" s="109" t="s">
        <v>301</v>
      </c>
      <c r="L25" s="109" t="str">
        <f t="shared" ref="L25" si="13">LEFT(L26,FIND("_P",L26)-1)</f>
        <v>CPT_147</v>
      </c>
      <c r="M25" s="109" t="s">
        <v>301</v>
      </c>
      <c r="N25" s="109" t="str">
        <f t="shared" ref="N25" si="14">LEFT(N26,FIND("_P",N26)-1)</f>
        <v>CPT_151</v>
      </c>
      <c r="O25" s="109" t="s">
        <v>301</v>
      </c>
      <c r="P25" s="109" t="str">
        <f t="shared" ref="P25" si="15">LEFT(P26,FIND("_P",P26)-1)</f>
        <v>CPT_164</v>
      </c>
      <c r="Q25" s="109" t="s">
        <v>301</v>
      </c>
      <c r="R25" s="109" t="str">
        <f t="shared" ref="R25" si="16">LEFT(R26,FIND("_P",R26)-1)</f>
        <v>CPT_216</v>
      </c>
      <c r="S25" s="109" t="s">
        <v>301</v>
      </c>
      <c r="T25" s="109" t="str">
        <f t="shared" ref="T25" si="17">LEFT(T26,FIND("_P",T26)-1)</f>
        <v>CPT_253</v>
      </c>
      <c r="U25" s="109" t="s">
        <v>301</v>
      </c>
      <c r="V25" s="109" t="str">
        <f t="shared" ref="V25" si="18">LEFT(V26,FIND("_P",V26)-1)</f>
        <v>CPT_256</v>
      </c>
      <c r="W25" s="109" t="s">
        <v>301</v>
      </c>
      <c r="X25" s="109" t="str">
        <f t="shared" ref="X25" si="19">LEFT(X26,FIND("_P",X26)-1)</f>
        <v>CPT_262</v>
      </c>
      <c r="Y25" s="109" t="s">
        <v>301</v>
      </c>
      <c r="Z25" s="109" t="str">
        <f t="shared" ref="Z25" si="20">LEFT(Z26,FIND("_P",Z26)-1)</f>
        <v>CPT_283</v>
      </c>
      <c r="AA25" s="109" t="s">
        <v>301</v>
      </c>
      <c r="AB25" s="109" t="str">
        <f t="shared" ref="AB25" si="21">LEFT(AB26,FIND("_P",AB26)-1)</f>
        <v>CPT_291</v>
      </c>
      <c r="AC25" s="109" t="s">
        <v>301</v>
      </c>
      <c r="AD25" s="109" t="str">
        <f t="shared" ref="AD25" si="22">LEFT(AD26,FIND("_P",AD26)-1)</f>
        <v>CPT_306</v>
      </c>
      <c r="AE25" s="109" t="s">
        <v>301</v>
      </c>
      <c r="AF25" s="109" t="str">
        <f t="shared" ref="AF25" si="23">LEFT(AF26,FIND("_P",AF26)-1)</f>
        <v>CPT_317</v>
      </c>
      <c r="AG25" s="109" t="s">
        <v>301</v>
      </c>
      <c r="AH25" s="109" t="str">
        <f t="shared" ref="AH25" si="24">LEFT(AH26,FIND("_P",AH26)-1)</f>
        <v>CPT_325</v>
      </c>
      <c r="AI25" s="109" t="s">
        <v>301</v>
      </c>
    </row>
    <row r="26" spans="1:35" x14ac:dyDescent="0.25">
      <c r="B26" s="109" t="s">
        <v>3278</v>
      </c>
      <c r="D26" s="109" t="s">
        <v>3290</v>
      </c>
      <c r="F26" s="109" t="s">
        <v>3302</v>
      </c>
      <c r="H26" s="109" t="s">
        <v>3314</v>
      </c>
      <c r="J26" s="109" t="s">
        <v>3326</v>
      </c>
      <c r="L26" s="109" t="s">
        <v>3338</v>
      </c>
      <c r="N26" s="109" t="s">
        <v>3350</v>
      </c>
      <c r="P26" s="109" t="s">
        <v>3362</v>
      </c>
      <c r="R26" s="109" t="s">
        <v>3374</v>
      </c>
      <c r="T26" s="109" t="s">
        <v>3386</v>
      </c>
      <c r="V26" s="109" t="s">
        <v>3398</v>
      </c>
      <c r="X26" s="109" t="s">
        <v>3410</v>
      </c>
      <c r="Z26" s="109" t="s">
        <v>3422</v>
      </c>
      <c r="AB26" s="109" t="s">
        <v>3434</v>
      </c>
      <c r="AD26" s="109" t="s">
        <v>3446</v>
      </c>
      <c r="AF26" s="109" t="s">
        <v>3458</v>
      </c>
      <c r="AH26" s="109" t="s">
        <v>3470</v>
      </c>
    </row>
    <row r="27" spans="1:35" x14ac:dyDescent="0.25">
      <c r="B27" s="109" t="s">
        <v>3279</v>
      </c>
      <c r="D27" s="109" t="s">
        <v>3291</v>
      </c>
      <c r="F27" s="109" t="s">
        <v>3303</v>
      </c>
      <c r="H27" s="109" t="s">
        <v>3315</v>
      </c>
      <c r="J27" s="109" t="s">
        <v>3327</v>
      </c>
      <c r="L27" s="109" t="s">
        <v>3339</v>
      </c>
      <c r="N27" s="109" t="s">
        <v>3351</v>
      </c>
      <c r="P27" s="109" t="s">
        <v>3363</v>
      </c>
      <c r="R27" s="109" t="s">
        <v>3375</v>
      </c>
      <c r="T27" s="109" t="s">
        <v>3387</v>
      </c>
      <c r="V27" s="109" t="s">
        <v>3399</v>
      </c>
      <c r="X27" s="109" t="s">
        <v>3411</v>
      </c>
      <c r="Z27" s="109" t="s">
        <v>3423</v>
      </c>
      <c r="AB27" s="109" t="s">
        <v>3435</v>
      </c>
      <c r="AD27" s="109" t="s">
        <v>3447</v>
      </c>
      <c r="AF27" s="109" t="s">
        <v>3459</v>
      </c>
      <c r="AH27" s="109" t="s">
        <v>3471</v>
      </c>
    </row>
    <row r="28" spans="1:35" x14ac:dyDescent="0.25">
      <c r="B28" s="109" t="s">
        <v>3280</v>
      </c>
      <c r="D28" s="109" t="s">
        <v>3292</v>
      </c>
      <c r="F28" s="109" t="s">
        <v>3304</v>
      </c>
      <c r="H28" s="109" t="s">
        <v>3316</v>
      </c>
      <c r="J28" s="109" t="s">
        <v>3328</v>
      </c>
      <c r="L28" s="109" t="s">
        <v>3340</v>
      </c>
      <c r="N28" s="109" t="s">
        <v>3352</v>
      </c>
      <c r="P28" s="109" t="s">
        <v>3364</v>
      </c>
      <c r="R28" s="109" t="s">
        <v>3376</v>
      </c>
      <c r="T28" s="109" t="s">
        <v>3388</v>
      </c>
      <c r="V28" s="109" t="s">
        <v>3400</v>
      </c>
      <c r="X28" s="109" t="s">
        <v>3412</v>
      </c>
      <c r="Z28" s="109" t="s">
        <v>3424</v>
      </c>
      <c r="AB28" s="109" t="s">
        <v>3436</v>
      </c>
      <c r="AD28" s="109" t="s">
        <v>3448</v>
      </c>
      <c r="AF28" s="109" t="s">
        <v>3460</v>
      </c>
      <c r="AH28" s="109" t="s">
        <v>3472</v>
      </c>
    </row>
    <row r="29" spans="1:35" x14ac:dyDescent="0.25">
      <c r="B29" s="109" t="s">
        <v>3281</v>
      </c>
      <c r="D29" s="109" t="s">
        <v>3293</v>
      </c>
      <c r="F29" s="109" t="s">
        <v>3305</v>
      </c>
      <c r="H29" s="109" t="s">
        <v>3317</v>
      </c>
      <c r="J29" s="109" t="s">
        <v>3329</v>
      </c>
      <c r="L29" s="109" t="s">
        <v>3341</v>
      </c>
      <c r="N29" s="109" t="s">
        <v>3353</v>
      </c>
      <c r="P29" s="109" t="s">
        <v>3365</v>
      </c>
      <c r="R29" s="109" t="s">
        <v>3377</v>
      </c>
      <c r="T29" s="109" t="s">
        <v>3389</v>
      </c>
      <c r="V29" s="109" t="s">
        <v>3401</v>
      </c>
      <c r="X29" s="109" t="s">
        <v>3413</v>
      </c>
      <c r="Z29" s="109" t="s">
        <v>3425</v>
      </c>
      <c r="AB29" s="109" t="s">
        <v>3437</v>
      </c>
      <c r="AD29" s="109" t="s">
        <v>3449</v>
      </c>
      <c r="AF29" s="109" t="s">
        <v>3461</v>
      </c>
      <c r="AH29" s="109" t="s">
        <v>3473</v>
      </c>
    </row>
    <row r="30" spans="1:35" x14ac:dyDescent="0.25">
      <c r="B30" s="109" t="s">
        <v>3282</v>
      </c>
      <c r="D30" s="109" t="s">
        <v>3294</v>
      </c>
      <c r="F30" s="109" t="s">
        <v>3306</v>
      </c>
      <c r="H30" s="109" t="s">
        <v>3318</v>
      </c>
      <c r="J30" s="109" t="s">
        <v>3330</v>
      </c>
      <c r="L30" s="109" t="s">
        <v>3342</v>
      </c>
      <c r="N30" s="109" t="s">
        <v>3354</v>
      </c>
      <c r="P30" s="109" t="s">
        <v>3366</v>
      </c>
      <c r="R30" s="109" t="s">
        <v>3378</v>
      </c>
      <c r="T30" s="109" t="s">
        <v>3390</v>
      </c>
      <c r="V30" s="109" t="s">
        <v>3402</v>
      </c>
      <c r="X30" s="109" t="s">
        <v>3414</v>
      </c>
      <c r="Z30" s="109" t="s">
        <v>3426</v>
      </c>
      <c r="AB30" s="109" t="s">
        <v>3438</v>
      </c>
      <c r="AD30" s="109" t="s">
        <v>3450</v>
      </c>
      <c r="AF30" s="109" t="s">
        <v>3462</v>
      </c>
      <c r="AH30" s="109" t="s">
        <v>3474</v>
      </c>
    </row>
    <row r="31" spans="1:35" x14ac:dyDescent="0.25">
      <c r="B31" s="109" t="s">
        <v>3283</v>
      </c>
      <c r="D31" s="109" t="s">
        <v>3295</v>
      </c>
      <c r="F31" s="109" t="s">
        <v>3307</v>
      </c>
      <c r="H31" s="109" t="s">
        <v>3319</v>
      </c>
      <c r="J31" s="109" t="s">
        <v>3331</v>
      </c>
      <c r="L31" s="109" t="s">
        <v>3343</v>
      </c>
      <c r="N31" s="109" t="s">
        <v>3355</v>
      </c>
      <c r="P31" s="109" t="s">
        <v>3367</v>
      </c>
      <c r="R31" s="109" t="s">
        <v>3379</v>
      </c>
      <c r="T31" s="109" t="s">
        <v>3391</v>
      </c>
      <c r="V31" s="109" t="s">
        <v>3403</v>
      </c>
      <c r="X31" s="109" t="s">
        <v>3415</v>
      </c>
      <c r="Z31" s="109" t="s">
        <v>3427</v>
      </c>
      <c r="AB31" s="109" t="s">
        <v>3439</v>
      </c>
      <c r="AD31" s="109" t="s">
        <v>3451</v>
      </c>
      <c r="AF31" s="109" t="s">
        <v>3463</v>
      </c>
      <c r="AH31" s="109" t="s">
        <v>3475</v>
      </c>
    </row>
    <row r="32" spans="1:35" x14ac:dyDescent="0.25">
      <c r="B32" s="109" t="s">
        <v>3284</v>
      </c>
      <c r="D32" s="109" t="s">
        <v>3296</v>
      </c>
      <c r="F32" s="109" t="s">
        <v>3308</v>
      </c>
      <c r="H32" s="109" t="s">
        <v>3320</v>
      </c>
      <c r="J32" s="109" t="s">
        <v>3332</v>
      </c>
      <c r="L32" s="109" t="s">
        <v>3344</v>
      </c>
      <c r="N32" s="109" t="s">
        <v>3356</v>
      </c>
      <c r="P32" s="109" t="s">
        <v>3368</v>
      </c>
      <c r="R32" s="109" t="s">
        <v>3380</v>
      </c>
      <c r="T32" s="109" t="s">
        <v>3392</v>
      </c>
      <c r="V32" s="109" t="s">
        <v>3404</v>
      </c>
      <c r="X32" s="109" t="s">
        <v>3416</v>
      </c>
      <c r="Z32" s="109" t="s">
        <v>3428</v>
      </c>
      <c r="AB32" s="109" t="s">
        <v>3440</v>
      </c>
      <c r="AD32" s="109" t="s">
        <v>3452</v>
      </c>
      <c r="AF32" s="109" t="s">
        <v>3464</v>
      </c>
      <c r="AH32" s="109" t="s">
        <v>3476</v>
      </c>
    </row>
    <row r="33" spans="1:35" x14ac:dyDescent="0.25">
      <c r="B33" s="109" t="s">
        <v>3285</v>
      </c>
      <c r="D33" s="109" t="s">
        <v>3297</v>
      </c>
      <c r="F33" s="109" t="s">
        <v>3309</v>
      </c>
      <c r="H33" s="109" t="s">
        <v>3321</v>
      </c>
      <c r="J33" s="109" t="s">
        <v>3333</v>
      </c>
      <c r="L33" s="109" t="s">
        <v>3345</v>
      </c>
      <c r="N33" s="109" t="s">
        <v>3357</v>
      </c>
      <c r="P33" s="109" t="s">
        <v>3369</v>
      </c>
      <c r="R33" s="109" t="s">
        <v>3381</v>
      </c>
      <c r="T33" s="109" t="s">
        <v>3393</v>
      </c>
      <c r="V33" s="109" t="s">
        <v>3405</v>
      </c>
      <c r="X33" s="109" t="s">
        <v>3417</v>
      </c>
      <c r="Z33" s="109" t="s">
        <v>3429</v>
      </c>
      <c r="AB33" s="109" t="s">
        <v>3441</v>
      </c>
      <c r="AD33" s="109" t="s">
        <v>3453</v>
      </c>
      <c r="AF33" s="109" t="s">
        <v>3465</v>
      </c>
      <c r="AH33" s="109" t="s">
        <v>3477</v>
      </c>
    </row>
    <row r="34" spans="1:35" x14ac:dyDescent="0.25">
      <c r="B34" s="109" t="s">
        <v>3286</v>
      </c>
      <c r="D34" s="109" t="s">
        <v>3298</v>
      </c>
      <c r="F34" s="109" t="s">
        <v>3310</v>
      </c>
      <c r="H34" s="109" t="s">
        <v>3322</v>
      </c>
      <c r="J34" s="109" t="s">
        <v>3334</v>
      </c>
      <c r="L34" s="109" t="s">
        <v>3346</v>
      </c>
      <c r="N34" s="109" t="s">
        <v>3358</v>
      </c>
      <c r="P34" s="109" t="s">
        <v>3370</v>
      </c>
      <c r="R34" s="109" t="s">
        <v>3382</v>
      </c>
      <c r="T34" s="109" t="s">
        <v>3394</v>
      </c>
      <c r="V34" s="109" t="s">
        <v>3406</v>
      </c>
      <c r="X34" s="109" t="s">
        <v>3418</v>
      </c>
      <c r="Z34" s="109" t="s">
        <v>3430</v>
      </c>
      <c r="AB34" s="109" t="s">
        <v>3442</v>
      </c>
      <c r="AD34" s="109" t="s">
        <v>3454</v>
      </c>
      <c r="AF34" s="109" t="s">
        <v>3466</v>
      </c>
      <c r="AH34" s="109" t="s">
        <v>3478</v>
      </c>
    </row>
    <row r="35" spans="1:35" x14ac:dyDescent="0.25">
      <c r="B35" s="109" t="s">
        <v>3287</v>
      </c>
      <c r="D35" s="109" t="s">
        <v>3299</v>
      </c>
      <c r="F35" s="109" t="s">
        <v>3311</v>
      </c>
      <c r="H35" s="109" t="s">
        <v>3323</v>
      </c>
      <c r="J35" s="109" t="s">
        <v>3335</v>
      </c>
      <c r="L35" s="109" t="s">
        <v>3347</v>
      </c>
      <c r="N35" s="109" t="s">
        <v>3359</v>
      </c>
      <c r="P35" s="109" t="s">
        <v>3371</v>
      </c>
      <c r="R35" s="109" t="s">
        <v>3383</v>
      </c>
      <c r="T35" s="109" t="s">
        <v>3395</v>
      </c>
      <c r="V35" s="109" t="s">
        <v>3407</v>
      </c>
      <c r="X35" s="109" t="s">
        <v>3419</v>
      </c>
      <c r="Z35" s="109" t="s">
        <v>3431</v>
      </c>
      <c r="AB35" s="109" t="s">
        <v>3443</v>
      </c>
      <c r="AD35" s="109" t="s">
        <v>3455</v>
      </c>
      <c r="AF35" s="109" t="s">
        <v>3467</v>
      </c>
      <c r="AH35" s="109" t="s">
        <v>3479</v>
      </c>
    </row>
    <row r="36" spans="1:35" x14ac:dyDescent="0.25">
      <c r="B36" s="109" t="s">
        <v>3288</v>
      </c>
      <c r="D36" s="109" t="s">
        <v>3300</v>
      </c>
      <c r="F36" s="109" t="s">
        <v>3312</v>
      </c>
      <c r="H36" s="109" t="s">
        <v>3324</v>
      </c>
      <c r="J36" s="109" t="s">
        <v>3336</v>
      </c>
      <c r="L36" s="109" t="s">
        <v>3348</v>
      </c>
      <c r="N36" s="109" t="s">
        <v>3360</v>
      </c>
      <c r="P36" s="109" t="s">
        <v>3372</v>
      </c>
      <c r="R36" s="109" t="s">
        <v>3384</v>
      </c>
      <c r="T36" s="109" t="s">
        <v>3396</v>
      </c>
      <c r="V36" s="109" t="s">
        <v>3408</v>
      </c>
      <c r="X36" s="109" t="s">
        <v>3420</v>
      </c>
      <c r="Z36" s="109" t="s">
        <v>3432</v>
      </c>
      <c r="AB36" s="109" t="s">
        <v>3444</v>
      </c>
      <c r="AD36" s="109" t="s">
        <v>3456</v>
      </c>
      <c r="AF36" s="109" t="s">
        <v>3468</v>
      </c>
      <c r="AH36" s="109" t="s">
        <v>3480</v>
      </c>
    </row>
    <row r="37" spans="1:35" x14ac:dyDescent="0.25">
      <c r="B37" s="109" t="s">
        <v>3289</v>
      </c>
      <c r="D37" s="109" t="s">
        <v>3301</v>
      </c>
      <c r="F37" s="109" t="s">
        <v>3313</v>
      </c>
      <c r="H37" s="109" t="s">
        <v>3325</v>
      </c>
      <c r="J37" s="109" t="s">
        <v>3337</v>
      </c>
      <c r="L37" s="109" t="s">
        <v>3349</v>
      </c>
      <c r="N37" s="109" t="s">
        <v>3361</v>
      </c>
      <c r="P37" s="109" t="s">
        <v>3373</v>
      </c>
      <c r="R37" s="109" t="s">
        <v>3385</v>
      </c>
      <c r="T37" s="109" t="s">
        <v>3397</v>
      </c>
      <c r="V37" s="109" t="s">
        <v>3409</v>
      </c>
      <c r="X37" s="109" t="s">
        <v>3421</v>
      </c>
      <c r="Z37" s="109" t="s">
        <v>3433</v>
      </c>
      <c r="AB37" s="109" t="s">
        <v>3445</v>
      </c>
      <c r="AD37" s="109" t="s">
        <v>3457</v>
      </c>
      <c r="AF37" s="109" t="s">
        <v>3469</v>
      </c>
      <c r="AH37" s="109" t="s">
        <v>3481</v>
      </c>
    </row>
    <row r="38" spans="1:35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 t="shared" ref="D38" si="25">COUNTIF(D26:D37,"&lt;&gt;")</f>
        <v>12</v>
      </c>
      <c r="E38" s="109">
        <f t="shared" ref="E38" si="26">COUNTIF(E26:E37,"Y")</f>
        <v>0</v>
      </c>
      <c r="F38" s="109">
        <f t="shared" ref="F38" si="27">COUNTIF(F26:F37,"&lt;&gt;")</f>
        <v>12</v>
      </c>
      <c r="G38" s="109">
        <f t="shared" ref="G38" si="28">COUNTIF(G26:G37,"Y")</f>
        <v>0</v>
      </c>
      <c r="H38" s="109">
        <f t="shared" ref="H38" si="29">COUNTIF(H26:H37,"&lt;&gt;")</f>
        <v>12</v>
      </c>
      <c r="I38" s="109">
        <f t="shared" ref="I38" si="30">COUNTIF(I26:I37,"Y")</f>
        <v>0</v>
      </c>
      <c r="J38" s="109">
        <f t="shared" ref="J38" si="31">COUNTIF(J26:J37,"&lt;&gt;")</f>
        <v>12</v>
      </c>
      <c r="K38" s="109">
        <f t="shared" ref="K38" si="32">COUNTIF(K26:K37,"Y")</f>
        <v>0</v>
      </c>
      <c r="L38" s="109">
        <f t="shared" ref="L38" si="33">COUNTIF(L26:L37,"&lt;&gt;")</f>
        <v>12</v>
      </c>
      <c r="M38" s="109">
        <f t="shared" ref="M38" si="34">COUNTIF(M26:M37,"Y")</f>
        <v>0</v>
      </c>
      <c r="N38" s="109">
        <f t="shared" ref="N38" si="35">COUNTIF(N26:N37,"&lt;&gt;")</f>
        <v>12</v>
      </c>
      <c r="O38" s="109">
        <f t="shared" ref="O38" si="36">COUNTIF(O26:O37,"Y")</f>
        <v>0</v>
      </c>
      <c r="P38" s="109">
        <f t="shared" ref="P38" si="37">COUNTIF(P26:P37,"&lt;&gt;")</f>
        <v>12</v>
      </c>
      <c r="Q38" s="109">
        <f t="shared" ref="Q38" si="38">COUNTIF(Q26:Q37,"Y")</f>
        <v>0</v>
      </c>
      <c r="R38" s="109">
        <f t="shared" ref="R38" si="39">COUNTIF(R26:R37,"&lt;&gt;")</f>
        <v>12</v>
      </c>
      <c r="S38" s="109">
        <f t="shared" ref="S38" si="40">COUNTIF(S26:S37,"Y")</f>
        <v>0</v>
      </c>
      <c r="T38" s="109">
        <f t="shared" ref="T38" si="41">COUNTIF(T26:T37,"&lt;&gt;")</f>
        <v>12</v>
      </c>
      <c r="U38" s="109">
        <f t="shared" ref="U38" si="42">COUNTIF(U26:U37,"Y")</f>
        <v>0</v>
      </c>
      <c r="V38" s="109">
        <f t="shared" ref="V38" si="43">COUNTIF(V26:V37,"&lt;&gt;")</f>
        <v>12</v>
      </c>
      <c r="W38" s="109">
        <f t="shared" ref="W38" si="44">COUNTIF(W26:W37,"Y")</f>
        <v>0</v>
      </c>
      <c r="X38" s="109">
        <f t="shared" ref="X38" si="45">COUNTIF(X26:X37,"&lt;&gt;")</f>
        <v>12</v>
      </c>
      <c r="Y38" s="109">
        <f t="shared" ref="Y38" si="46">COUNTIF(Y26:Y37,"Y")</f>
        <v>0</v>
      </c>
      <c r="Z38" s="109">
        <f t="shared" ref="Z38" si="47">COUNTIF(Z26:Z37,"&lt;&gt;")</f>
        <v>12</v>
      </c>
      <c r="AA38" s="109">
        <f t="shared" ref="AA38" si="48">COUNTIF(AA26:AA37,"Y")</f>
        <v>0</v>
      </c>
      <c r="AB38" s="109">
        <f t="shared" ref="AB38" si="49">COUNTIF(AB26:AB37,"&lt;&gt;")</f>
        <v>12</v>
      </c>
      <c r="AC38" s="109">
        <f t="shared" ref="AC38" si="50">COUNTIF(AC26:AC37,"Y")</f>
        <v>0</v>
      </c>
      <c r="AD38" s="109">
        <f t="shared" ref="AD38" si="51">COUNTIF(AD26:AD37,"&lt;&gt;")</f>
        <v>12</v>
      </c>
      <c r="AE38" s="109">
        <f t="shared" ref="AE38" si="52">COUNTIF(AE26:AE37,"Y")</f>
        <v>0</v>
      </c>
      <c r="AF38" s="109">
        <f t="shared" ref="AF38" si="53">COUNTIF(AF26:AF37,"&lt;&gt;")</f>
        <v>12</v>
      </c>
      <c r="AG38" s="109">
        <f t="shared" ref="AG38" si="54">COUNTIF(AG26:AG37,"Y")</f>
        <v>0</v>
      </c>
      <c r="AH38" s="109">
        <f t="shared" ref="AH38" si="55">COUNTIF(AH26:AH37,"&lt;&gt;")</f>
        <v>12</v>
      </c>
      <c r="AI38" s="109">
        <f t="shared" ref="AI38" si="56">COUNTIF(AI26:AI37,"Y")</f>
        <v>0</v>
      </c>
    </row>
  </sheetData>
  <pageMargins left="0.7" right="0.7" top="0.75" bottom="0.75" header="0.3" footer="0.3"/>
  <pageSetup orientation="portrait" verticalDpi="597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2BB0-4FB1-41C4-949C-070B31F07AA4}">
  <sheetPr codeName="Sheet15"/>
  <dimension ref="A1:AI38"/>
  <sheetViews>
    <sheetView workbookViewId="0">
      <selection sqref="A1:XFD2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1.5703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20" width="12.42578125" style="109" bestFit="1" customWidth="1"/>
    <col min="21" max="21" width="10.85546875" style="109" bestFit="1" customWidth="1"/>
    <col min="22" max="22" width="12.42578125" style="109" bestFit="1" customWidth="1"/>
    <col min="23" max="23" width="10.85546875" style="109" bestFit="1" customWidth="1"/>
    <col min="24" max="24" width="12.42578125" style="109" bestFit="1" customWidth="1"/>
    <col min="25" max="25" width="10.85546875" style="109" bestFit="1" customWidth="1"/>
    <col min="26" max="26" width="12.42578125" style="109" bestFit="1" customWidth="1"/>
    <col min="27" max="27" width="10.85546875" style="109" bestFit="1" customWidth="1"/>
    <col min="28" max="28" width="12.42578125" style="109" bestFit="1" customWidth="1"/>
    <col min="29" max="29" width="10.85546875" style="109" bestFit="1" customWidth="1"/>
    <col min="30" max="30" width="12.42578125" style="109" bestFit="1" customWidth="1"/>
    <col min="31" max="31" width="10.85546875" style="109" bestFit="1" customWidth="1"/>
    <col min="32" max="32" width="12.42578125" style="109" bestFit="1" customWidth="1"/>
    <col min="33" max="33" width="10.85546875" style="109" bestFit="1" customWidth="1"/>
    <col min="34" max="34" width="12.42578125" style="109" bestFit="1" customWidth="1"/>
    <col min="35" max="35" width="10.85546875" style="109" bestFit="1" customWidth="1"/>
    <col min="36" max="16384" width="9.140625" style="109"/>
  </cols>
  <sheetData>
    <row r="1" spans="2:29" s="111" customFormat="1" x14ac:dyDescent="0.25">
      <c r="B1" s="111" t="s">
        <v>14577</v>
      </c>
      <c r="C1" s="111">
        <f>SUM(D3,D24)</f>
        <v>340</v>
      </c>
      <c r="D1" s="111" t="s">
        <v>301</v>
      </c>
      <c r="E1" s="111">
        <f>SUM(F3,F24)</f>
        <v>0</v>
      </c>
      <c r="F1" s="111" t="s">
        <v>14579</v>
      </c>
      <c r="G1" s="111">
        <f>SUM(H3,H24)</f>
        <v>340</v>
      </c>
      <c r="H1" s="111" t="s">
        <v>14578</v>
      </c>
      <c r="I1" s="131">
        <f>(E1/C1)</f>
        <v>0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3482</v>
      </c>
      <c r="C3" s="109" t="s">
        <v>302</v>
      </c>
      <c r="D3" s="109">
        <f>SUM(B22,D22,F22,H22,J22,L22,N22,P22,R22,T22,V22)</f>
        <v>136</v>
      </c>
      <c r="E3" s="109" t="s">
        <v>301</v>
      </c>
      <c r="F3" s="109">
        <f>SUM(C22,E22,G22,I22,K22,M22,O22,Q22,S22,U22,W22)</f>
        <v>0</v>
      </c>
      <c r="G3" s="109" t="s">
        <v>305</v>
      </c>
      <c r="H3" s="109">
        <f>D3-F3</f>
        <v>136</v>
      </c>
    </row>
    <row r="4" spans="2:29" x14ac:dyDescent="0.25">
      <c r="B4" s="109" t="str">
        <f>LEFT(B5,FIND("_C",B5)-1)</f>
        <v>BH_017</v>
      </c>
      <c r="C4" s="109" t="s">
        <v>301</v>
      </c>
      <c r="D4" s="109" t="str">
        <f>LEFT(D5,FIND("_C",D5)-1)</f>
        <v>BH_039</v>
      </c>
      <c r="E4" s="109" t="s">
        <v>301</v>
      </c>
      <c r="F4" s="109" t="str">
        <f>LEFT(F5,FIND("_C",F5)-1)</f>
        <v>BH_075</v>
      </c>
      <c r="G4" s="109" t="s">
        <v>301</v>
      </c>
      <c r="H4" s="109" t="str">
        <f>LEFT(H5,FIND("_C",H5)-1)</f>
        <v>BH_081</v>
      </c>
      <c r="I4" s="109" t="s">
        <v>301</v>
      </c>
      <c r="J4" s="109" t="str">
        <f>LEFT(J5,FIND("_C",J5)-1)</f>
        <v>BH_085</v>
      </c>
      <c r="K4" s="109" t="s">
        <v>301</v>
      </c>
      <c r="L4" s="109" t="str">
        <f>LEFT(L5,FIND("_C",L5)-1)</f>
        <v>BH_097</v>
      </c>
      <c r="M4" s="109" t="s">
        <v>301</v>
      </c>
      <c r="N4" s="109" t="str">
        <f>LEFT(N5,FIND("_C",N5)-1)</f>
        <v>BH_102</v>
      </c>
      <c r="O4" s="109" t="s">
        <v>301</v>
      </c>
      <c r="P4" s="109" t="str">
        <f>LEFT(P5,FIND("_C",P5)-1)</f>
        <v>BH_129</v>
      </c>
    </row>
    <row r="5" spans="2:29" x14ac:dyDescent="0.25">
      <c r="B5" s="109" t="s">
        <v>3484</v>
      </c>
      <c r="D5" s="109" t="s">
        <v>3501</v>
      </c>
      <c r="F5" s="109" t="s">
        <v>3518</v>
      </c>
      <c r="H5" s="109" t="s">
        <v>3535</v>
      </c>
      <c r="J5" s="109" t="s">
        <v>3552</v>
      </c>
      <c r="L5" s="109" t="s">
        <v>3569</v>
      </c>
      <c r="N5" s="109" t="s">
        <v>3586</v>
      </c>
      <c r="P5" s="109" t="s">
        <v>3603</v>
      </c>
    </row>
    <row r="6" spans="2:29" x14ac:dyDescent="0.25">
      <c r="B6" s="109" t="s">
        <v>3485</v>
      </c>
      <c r="D6" s="109" t="s">
        <v>3502</v>
      </c>
      <c r="F6" s="109" t="s">
        <v>3519</v>
      </c>
      <c r="H6" s="109" t="s">
        <v>3536</v>
      </c>
      <c r="J6" s="109" t="s">
        <v>3553</v>
      </c>
      <c r="L6" s="109" t="s">
        <v>3570</v>
      </c>
      <c r="N6" s="109" t="s">
        <v>3587</v>
      </c>
      <c r="P6" s="109" t="s">
        <v>3604</v>
      </c>
    </row>
    <row r="7" spans="2:29" x14ac:dyDescent="0.25">
      <c r="B7" s="109" t="s">
        <v>3486</v>
      </c>
      <c r="D7" s="109" t="s">
        <v>3503</v>
      </c>
      <c r="F7" s="109" t="s">
        <v>3520</v>
      </c>
      <c r="H7" s="109" t="s">
        <v>3537</v>
      </c>
      <c r="J7" s="109" t="s">
        <v>3554</v>
      </c>
      <c r="L7" s="109" t="s">
        <v>3571</v>
      </c>
      <c r="N7" s="109" t="s">
        <v>3588</v>
      </c>
      <c r="P7" s="109" t="s">
        <v>3605</v>
      </c>
    </row>
    <row r="8" spans="2:29" x14ac:dyDescent="0.25">
      <c r="B8" s="109" t="s">
        <v>3487</v>
      </c>
      <c r="D8" s="109" t="s">
        <v>3504</v>
      </c>
      <c r="F8" s="109" t="s">
        <v>3521</v>
      </c>
      <c r="H8" s="109" t="s">
        <v>3538</v>
      </c>
      <c r="J8" s="109" t="s">
        <v>3555</v>
      </c>
      <c r="L8" s="109" t="s">
        <v>3572</v>
      </c>
      <c r="N8" s="109" t="s">
        <v>3589</v>
      </c>
      <c r="P8" s="109" t="s">
        <v>3606</v>
      </c>
    </row>
    <row r="9" spans="2:29" x14ac:dyDescent="0.25">
      <c r="B9" s="109" t="s">
        <v>3488</v>
      </c>
      <c r="D9" s="109" t="s">
        <v>3505</v>
      </c>
      <c r="F9" s="109" t="s">
        <v>3522</v>
      </c>
      <c r="H9" s="109" t="s">
        <v>3539</v>
      </c>
      <c r="J9" s="109" t="s">
        <v>3556</v>
      </c>
      <c r="L9" s="109" t="s">
        <v>3573</v>
      </c>
      <c r="N9" s="109" t="s">
        <v>3590</v>
      </c>
      <c r="P9" s="109" t="s">
        <v>3607</v>
      </c>
    </row>
    <row r="10" spans="2:29" x14ac:dyDescent="0.25">
      <c r="B10" s="109" t="s">
        <v>3489</v>
      </c>
      <c r="D10" s="109" t="s">
        <v>3506</v>
      </c>
      <c r="F10" s="109" t="s">
        <v>3523</v>
      </c>
      <c r="H10" s="109" t="s">
        <v>3540</v>
      </c>
      <c r="J10" s="109" t="s">
        <v>3557</v>
      </c>
      <c r="L10" s="109" t="s">
        <v>3574</v>
      </c>
      <c r="N10" s="109" t="s">
        <v>3591</v>
      </c>
      <c r="P10" s="109" t="s">
        <v>3608</v>
      </c>
    </row>
    <row r="11" spans="2:29" x14ac:dyDescent="0.25">
      <c r="B11" s="109" t="s">
        <v>3490</v>
      </c>
      <c r="D11" s="109" t="s">
        <v>3507</v>
      </c>
      <c r="F11" s="109" t="s">
        <v>3524</v>
      </c>
      <c r="H11" s="109" t="s">
        <v>3541</v>
      </c>
      <c r="J11" s="109" t="s">
        <v>3558</v>
      </c>
      <c r="L11" s="109" t="s">
        <v>3575</v>
      </c>
      <c r="N11" s="109" t="s">
        <v>3592</v>
      </c>
      <c r="P11" s="109" t="s">
        <v>3609</v>
      </c>
    </row>
    <row r="12" spans="2:29" x14ac:dyDescent="0.25">
      <c r="B12" s="109" t="s">
        <v>3491</v>
      </c>
      <c r="D12" s="109" t="s">
        <v>3508</v>
      </c>
      <c r="F12" s="109" t="s">
        <v>3525</v>
      </c>
      <c r="H12" s="109" t="s">
        <v>3542</v>
      </c>
      <c r="J12" s="109" t="s">
        <v>3559</v>
      </c>
      <c r="L12" s="109" t="s">
        <v>3576</v>
      </c>
      <c r="N12" s="109" t="s">
        <v>3593</v>
      </c>
      <c r="P12" s="109" t="s">
        <v>3610</v>
      </c>
    </row>
    <row r="13" spans="2:29" x14ac:dyDescent="0.25">
      <c r="B13" s="109" t="s">
        <v>3492</v>
      </c>
      <c r="D13" s="109" t="s">
        <v>3509</v>
      </c>
      <c r="F13" s="109" t="s">
        <v>3526</v>
      </c>
      <c r="H13" s="109" t="s">
        <v>3543</v>
      </c>
      <c r="J13" s="109" t="s">
        <v>3560</v>
      </c>
      <c r="L13" s="109" t="s">
        <v>3577</v>
      </c>
      <c r="N13" s="109" t="s">
        <v>3594</v>
      </c>
      <c r="P13" s="109" t="s">
        <v>3611</v>
      </c>
    </row>
    <row r="14" spans="2:29" x14ac:dyDescent="0.25">
      <c r="B14" s="109" t="s">
        <v>3493</v>
      </c>
      <c r="D14" s="109" t="s">
        <v>3510</v>
      </c>
      <c r="F14" s="109" t="s">
        <v>3527</v>
      </c>
      <c r="H14" s="109" t="s">
        <v>3544</v>
      </c>
      <c r="J14" s="109" t="s">
        <v>3561</v>
      </c>
      <c r="L14" s="109" t="s">
        <v>3578</v>
      </c>
      <c r="N14" s="109" t="s">
        <v>3595</v>
      </c>
      <c r="P14" s="109" t="s">
        <v>3612</v>
      </c>
    </row>
    <row r="15" spans="2:29" x14ac:dyDescent="0.25">
      <c r="B15" s="109" t="s">
        <v>3494</v>
      </c>
      <c r="D15" s="109" t="s">
        <v>3511</v>
      </c>
      <c r="F15" s="109" t="s">
        <v>3528</v>
      </c>
      <c r="H15" s="109" t="s">
        <v>3545</v>
      </c>
      <c r="J15" s="109" t="s">
        <v>3562</v>
      </c>
      <c r="L15" s="109" t="s">
        <v>3579</v>
      </c>
      <c r="N15" s="109" t="s">
        <v>3596</v>
      </c>
      <c r="P15" s="109" t="s">
        <v>3613</v>
      </c>
    </row>
    <row r="16" spans="2:29" x14ac:dyDescent="0.25">
      <c r="B16" s="109" t="s">
        <v>3495</v>
      </c>
      <c r="D16" s="109" t="s">
        <v>3512</v>
      </c>
      <c r="F16" s="109" t="s">
        <v>3529</v>
      </c>
      <c r="H16" s="109" t="s">
        <v>3546</v>
      </c>
      <c r="J16" s="109" t="s">
        <v>3563</v>
      </c>
      <c r="L16" s="109" t="s">
        <v>3580</v>
      </c>
      <c r="N16" s="109" t="s">
        <v>3597</v>
      </c>
      <c r="P16" s="109" t="s">
        <v>3614</v>
      </c>
    </row>
    <row r="17" spans="1:35" x14ac:dyDescent="0.25">
      <c r="B17" s="109" t="s">
        <v>3496</v>
      </c>
      <c r="D17" s="109" t="s">
        <v>3513</v>
      </c>
      <c r="F17" s="109" t="s">
        <v>3530</v>
      </c>
      <c r="H17" s="109" t="s">
        <v>3547</v>
      </c>
      <c r="J17" s="109" t="s">
        <v>3564</v>
      </c>
      <c r="L17" s="109" t="s">
        <v>3581</v>
      </c>
      <c r="N17" s="109" t="s">
        <v>3598</v>
      </c>
      <c r="P17" s="109" t="s">
        <v>3615</v>
      </c>
    </row>
    <row r="18" spans="1:35" x14ac:dyDescent="0.25">
      <c r="B18" s="109" t="s">
        <v>3497</v>
      </c>
      <c r="D18" s="109" t="s">
        <v>3514</v>
      </c>
      <c r="F18" s="109" t="s">
        <v>3531</v>
      </c>
      <c r="H18" s="109" t="s">
        <v>3548</v>
      </c>
      <c r="J18" s="109" t="s">
        <v>3565</v>
      </c>
      <c r="L18" s="109" t="s">
        <v>3582</v>
      </c>
      <c r="N18" s="109" t="s">
        <v>3599</v>
      </c>
      <c r="P18" s="109" t="s">
        <v>3616</v>
      </c>
    </row>
    <row r="19" spans="1:35" x14ac:dyDescent="0.25">
      <c r="B19" s="109" t="s">
        <v>3498</v>
      </c>
      <c r="D19" s="109" t="s">
        <v>3515</v>
      </c>
      <c r="F19" s="109" t="s">
        <v>3532</v>
      </c>
      <c r="H19" s="109" t="s">
        <v>3549</v>
      </c>
      <c r="J19" s="109" t="s">
        <v>3566</v>
      </c>
      <c r="L19" s="109" t="s">
        <v>3583</v>
      </c>
      <c r="N19" s="109" t="s">
        <v>3600</v>
      </c>
      <c r="P19" s="109" t="s">
        <v>3617</v>
      </c>
    </row>
    <row r="20" spans="1:35" x14ac:dyDescent="0.25">
      <c r="B20" s="109" t="s">
        <v>3499</v>
      </c>
      <c r="D20" s="109" t="s">
        <v>3516</v>
      </c>
      <c r="F20" s="109" t="s">
        <v>3533</v>
      </c>
      <c r="H20" s="109" t="s">
        <v>3550</v>
      </c>
      <c r="J20" s="109" t="s">
        <v>3567</v>
      </c>
      <c r="L20" s="109" t="s">
        <v>3584</v>
      </c>
      <c r="N20" s="109" t="s">
        <v>3601</v>
      </c>
      <c r="P20" s="109" t="s">
        <v>3618</v>
      </c>
    </row>
    <row r="21" spans="1:35" x14ac:dyDescent="0.25">
      <c r="B21" s="109" t="s">
        <v>3500</v>
      </c>
      <c r="D21" s="109" t="s">
        <v>3517</v>
      </c>
      <c r="F21" s="109" t="s">
        <v>3534</v>
      </c>
      <c r="H21" s="109" t="s">
        <v>3551</v>
      </c>
      <c r="J21" s="109" t="s">
        <v>3568</v>
      </c>
      <c r="L21" s="109" t="s">
        <v>3585</v>
      </c>
      <c r="N21" s="109" t="s">
        <v>3602</v>
      </c>
      <c r="P21" s="109" t="s">
        <v>3619</v>
      </c>
    </row>
    <row r="22" spans="1:35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0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0</v>
      </c>
      <c r="L22" s="109">
        <f t="shared" ref="L22" si="5">COUNTIF(L5:L21,"&lt;&gt;")</f>
        <v>17</v>
      </c>
      <c r="M22" s="109">
        <f>COUNTIF(M5:M21,"Y")</f>
        <v>0</v>
      </c>
      <c r="N22" s="109">
        <f t="shared" ref="N22" si="6">COUNTIF(N5:N21,"&lt;&gt;")</f>
        <v>17</v>
      </c>
      <c r="O22" s="109">
        <f>COUNTIF(O5:O21,"Y")</f>
        <v>0</v>
      </c>
      <c r="P22" s="109">
        <f t="shared" ref="P22" si="7">COUNTIF(P5:P21,"&lt;&gt;")</f>
        <v>17</v>
      </c>
    </row>
    <row r="24" spans="1:35" x14ac:dyDescent="0.25">
      <c r="B24" s="109" t="s">
        <v>3483</v>
      </c>
      <c r="C24" s="109" t="s">
        <v>302</v>
      </c>
      <c r="D24" s="109">
        <f>SUM(B38,D38,F38,H38,J38,L38,N38,P38,R38,T38,V38,X38,Z38,AB38,AD38,AF38,AH38,AJ38,AL38,AN38,AP38)</f>
        <v>204</v>
      </c>
      <c r="E24" s="109" t="s">
        <v>301</v>
      </c>
      <c r="F24" s="109">
        <f>SUM(C38,E38,G38,I38,K38,M38,O38,Q38,S38,U38,W38,Y38,AA38,AC38,AE38,AG38,AI38,AK38,AM38,AO38,AQ38)</f>
        <v>0</v>
      </c>
      <c r="G24" s="109" t="s">
        <v>305</v>
      </c>
      <c r="H24" s="109">
        <f>D24-F24</f>
        <v>204</v>
      </c>
    </row>
    <row r="25" spans="1:35" x14ac:dyDescent="0.25">
      <c r="B25" s="109" t="str">
        <f>LEFT(B26,FIND("_P",B26)-1)</f>
        <v>CPT_071</v>
      </c>
      <c r="C25" s="109" t="s">
        <v>301</v>
      </c>
      <c r="D25" s="109" t="str">
        <f t="shared" ref="D25" si="8">LEFT(D26,FIND("_P",D26)-1)</f>
        <v>CPT_087</v>
      </c>
      <c r="E25" s="109" t="s">
        <v>301</v>
      </c>
      <c r="F25" s="109" t="str">
        <f t="shared" ref="F25" si="9">LEFT(F26,FIND("_P",F26)-1)</f>
        <v>CPT_088</v>
      </c>
      <c r="G25" s="109" t="s">
        <v>301</v>
      </c>
      <c r="H25" s="109" t="str">
        <f t="shared" ref="H25" si="10">LEFT(H26,FIND("_P",H26)-1)</f>
        <v>CPT_094</v>
      </c>
      <c r="I25" s="109" t="s">
        <v>301</v>
      </c>
      <c r="J25" s="109" t="str">
        <f t="shared" ref="J25" si="11">LEFT(J26,FIND("_P",J26)-1)</f>
        <v>CPT_095</v>
      </c>
      <c r="K25" s="109" t="s">
        <v>301</v>
      </c>
      <c r="L25" s="109" t="str">
        <f t="shared" ref="L25" si="12">LEFT(L26,FIND("_P",L26)-1)</f>
        <v>CPT_107</v>
      </c>
      <c r="M25" s="109" t="s">
        <v>301</v>
      </c>
      <c r="N25" s="109" t="str">
        <f t="shared" ref="N25" si="13">LEFT(N26,FIND("_P",N26)-1)</f>
        <v>CPT_115</v>
      </c>
      <c r="O25" s="109" t="s">
        <v>301</v>
      </c>
      <c r="P25" s="109" t="str">
        <f t="shared" ref="P25" si="14">LEFT(P26,FIND("_P",P26)-1)</f>
        <v>CPT_120</v>
      </c>
      <c r="Q25" s="109" t="s">
        <v>301</v>
      </c>
      <c r="R25" s="109" t="str">
        <f t="shared" ref="R25" si="15">LEFT(R26,FIND("_P",R26)-1)</f>
        <v>CPT_122</v>
      </c>
      <c r="S25" s="109" t="s">
        <v>301</v>
      </c>
      <c r="T25" s="109" t="str">
        <f t="shared" ref="T25" si="16">LEFT(T26,FIND("_P",T26)-1)</f>
        <v>CPT_188</v>
      </c>
      <c r="U25" s="109" t="s">
        <v>301</v>
      </c>
      <c r="V25" s="109" t="str">
        <f t="shared" ref="V25" si="17">LEFT(V26,FIND("_P",V26)-1)</f>
        <v>CPT_189</v>
      </c>
      <c r="W25" s="109" t="s">
        <v>301</v>
      </c>
      <c r="X25" s="109" t="str">
        <f t="shared" ref="X25" si="18">LEFT(X26,FIND("_P",X26)-1)</f>
        <v>CPT_190</v>
      </c>
      <c r="Y25" s="109" t="s">
        <v>301</v>
      </c>
      <c r="Z25" s="109" t="str">
        <f t="shared" ref="Z25" si="19">LEFT(Z26,FIND("_P",Z26)-1)</f>
        <v>CPT_194</v>
      </c>
      <c r="AA25" s="109" t="s">
        <v>301</v>
      </c>
      <c r="AB25" s="109" t="str">
        <f t="shared" ref="AB25" si="20">LEFT(AB26,FIND("_P",AB26)-1)</f>
        <v>CPT_293</v>
      </c>
      <c r="AC25" s="109" t="s">
        <v>301</v>
      </c>
      <c r="AD25" s="109" t="str">
        <f t="shared" ref="AD25" si="21">LEFT(AD26,FIND("_P",AD26)-1)</f>
        <v>CPT_313</v>
      </c>
      <c r="AE25" s="109" t="s">
        <v>301</v>
      </c>
      <c r="AF25" s="109" t="str">
        <f t="shared" ref="AF25" si="22">LEFT(AF26,FIND("_P",AF26)-1)</f>
        <v>CPT_318</v>
      </c>
      <c r="AG25" s="109" t="s">
        <v>301</v>
      </c>
      <c r="AH25" s="109" t="str">
        <f t="shared" ref="AH25" si="23">LEFT(AH26,FIND("_P",AH26)-1)</f>
        <v>CPT_319</v>
      </c>
      <c r="AI25" s="109" t="s">
        <v>301</v>
      </c>
    </row>
    <row r="26" spans="1:35" x14ac:dyDescent="0.25">
      <c r="B26" s="109" t="s">
        <v>3620</v>
      </c>
      <c r="D26" s="109" t="s">
        <v>3632</v>
      </c>
      <c r="F26" s="109" t="s">
        <v>3644</v>
      </c>
      <c r="H26" s="109" t="s">
        <v>3656</v>
      </c>
      <c r="J26" s="109" t="s">
        <v>3668</v>
      </c>
      <c r="L26" s="109" t="s">
        <v>3680</v>
      </c>
      <c r="N26" s="109" t="s">
        <v>3692</v>
      </c>
      <c r="P26" s="109" t="s">
        <v>3704</v>
      </c>
      <c r="R26" s="109" t="s">
        <v>3716</v>
      </c>
      <c r="T26" s="109" t="s">
        <v>3728</v>
      </c>
      <c r="V26" s="109" t="s">
        <v>3740</v>
      </c>
      <c r="X26" s="109" t="s">
        <v>3752</v>
      </c>
      <c r="Z26" s="109" t="s">
        <v>3764</v>
      </c>
      <c r="AB26" s="109" t="s">
        <v>3776</v>
      </c>
      <c r="AD26" s="109" t="s">
        <v>3788</v>
      </c>
      <c r="AF26" s="109" t="s">
        <v>3800</v>
      </c>
      <c r="AH26" s="109" t="s">
        <v>3812</v>
      </c>
    </row>
    <row r="27" spans="1:35" x14ac:dyDescent="0.25">
      <c r="B27" s="109" t="s">
        <v>3621</v>
      </c>
      <c r="D27" s="109" t="s">
        <v>3633</v>
      </c>
      <c r="F27" s="109" t="s">
        <v>3645</v>
      </c>
      <c r="H27" s="109" t="s">
        <v>3657</v>
      </c>
      <c r="J27" s="109" t="s">
        <v>3669</v>
      </c>
      <c r="L27" s="109" t="s">
        <v>3681</v>
      </c>
      <c r="N27" s="109" t="s">
        <v>3693</v>
      </c>
      <c r="P27" s="109" t="s">
        <v>3705</v>
      </c>
      <c r="R27" s="109" t="s">
        <v>3717</v>
      </c>
      <c r="T27" s="109" t="s">
        <v>3729</v>
      </c>
      <c r="V27" s="109" t="s">
        <v>3741</v>
      </c>
      <c r="X27" s="109" t="s">
        <v>3753</v>
      </c>
      <c r="Z27" s="109" t="s">
        <v>3765</v>
      </c>
      <c r="AB27" s="109" t="s">
        <v>3777</v>
      </c>
      <c r="AD27" s="109" t="s">
        <v>3789</v>
      </c>
      <c r="AF27" s="109" t="s">
        <v>3801</v>
      </c>
      <c r="AH27" s="109" t="s">
        <v>3813</v>
      </c>
    </row>
    <row r="28" spans="1:35" x14ac:dyDescent="0.25">
      <c r="B28" s="109" t="s">
        <v>3622</v>
      </c>
      <c r="D28" s="109" t="s">
        <v>3634</v>
      </c>
      <c r="F28" s="109" t="s">
        <v>3646</v>
      </c>
      <c r="H28" s="109" t="s">
        <v>3658</v>
      </c>
      <c r="J28" s="109" t="s">
        <v>3670</v>
      </c>
      <c r="L28" s="109" t="s">
        <v>3682</v>
      </c>
      <c r="N28" s="109" t="s">
        <v>3694</v>
      </c>
      <c r="P28" s="109" t="s">
        <v>3706</v>
      </c>
      <c r="R28" s="109" t="s">
        <v>3718</v>
      </c>
      <c r="T28" s="109" t="s">
        <v>3730</v>
      </c>
      <c r="V28" s="109" t="s">
        <v>3742</v>
      </c>
      <c r="X28" s="109" t="s">
        <v>3754</v>
      </c>
      <c r="Z28" s="109" t="s">
        <v>3766</v>
      </c>
      <c r="AB28" s="109" t="s">
        <v>3778</v>
      </c>
      <c r="AD28" s="109" t="s">
        <v>3790</v>
      </c>
      <c r="AF28" s="109" t="s">
        <v>3802</v>
      </c>
      <c r="AH28" s="109" t="s">
        <v>3814</v>
      </c>
    </row>
    <row r="29" spans="1:35" x14ac:dyDescent="0.25">
      <c r="B29" s="109" t="s">
        <v>3623</v>
      </c>
      <c r="D29" s="109" t="s">
        <v>3635</v>
      </c>
      <c r="F29" s="109" t="s">
        <v>3647</v>
      </c>
      <c r="H29" s="109" t="s">
        <v>3659</v>
      </c>
      <c r="J29" s="109" t="s">
        <v>3671</v>
      </c>
      <c r="L29" s="109" t="s">
        <v>3683</v>
      </c>
      <c r="N29" s="109" t="s">
        <v>3695</v>
      </c>
      <c r="P29" s="109" t="s">
        <v>3707</v>
      </c>
      <c r="R29" s="109" t="s">
        <v>3719</v>
      </c>
      <c r="T29" s="109" t="s">
        <v>3731</v>
      </c>
      <c r="V29" s="109" t="s">
        <v>3743</v>
      </c>
      <c r="X29" s="109" t="s">
        <v>3755</v>
      </c>
      <c r="Z29" s="109" t="s">
        <v>3767</v>
      </c>
      <c r="AB29" s="109" t="s">
        <v>3779</v>
      </c>
      <c r="AD29" s="109" t="s">
        <v>3791</v>
      </c>
      <c r="AF29" s="109" t="s">
        <v>3803</v>
      </c>
      <c r="AH29" s="109" t="s">
        <v>3815</v>
      </c>
    </row>
    <row r="30" spans="1:35" x14ac:dyDescent="0.25">
      <c r="B30" s="109" t="s">
        <v>3624</v>
      </c>
      <c r="D30" s="109" t="s">
        <v>3636</v>
      </c>
      <c r="F30" s="109" t="s">
        <v>3648</v>
      </c>
      <c r="H30" s="109" t="s">
        <v>3660</v>
      </c>
      <c r="J30" s="109" t="s">
        <v>3672</v>
      </c>
      <c r="L30" s="109" t="s">
        <v>3684</v>
      </c>
      <c r="N30" s="109" t="s">
        <v>3696</v>
      </c>
      <c r="P30" s="109" t="s">
        <v>3708</v>
      </c>
      <c r="R30" s="109" t="s">
        <v>3720</v>
      </c>
      <c r="T30" s="109" t="s">
        <v>3732</v>
      </c>
      <c r="V30" s="109" t="s">
        <v>3744</v>
      </c>
      <c r="X30" s="109" t="s">
        <v>3756</v>
      </c>
      <c r="Z30" s="109" t="s">
        <v>3768</v>
      </c>
      <c r="AB30" s="109" t="s">
        <v>3780</v>
      </c>
      <c r="AD30" s="109" t="s">
        <v>3792</v>
      </c>
      <c r="AF30" s="109" t="s">
        <v>3804</v>
      </c>
      <c r="AH30" s="109" t="s">
        <v>3816</v>
      </c>
    </row>
    <row r="31" spans="1:35" x14ac:dyDescent="0.25">
      <c r="B31" s="109" t="s">
        <v>3625</v>
      </c>
      <c r="D31" s="109" t="s">
        <v>3637</v>
      </c>
      <c r="F31" s="109" t="s">
        <v>3649</v>
      </c>
      <c r="H31" s="109" t="s">
        <v>3661</v>
      </c>
      <c r="J31" s="109" t="s">
        <v>3673</v>
      </c>
      <c r="L31" s="109" t="s">
        <v>3685</v>
      </c>
      <c r="N31" s="109" t="s">
        <v>3697</v>
      </c>
      <c r="P31" s="109" t="s">
        <v>3709</v>
      </c>
      <c r="R31" s="109" t="s">
        <v>3721</v>
      </c>
      <c r="T31" s="109" t="s">
        <v>3733</v>
      </c>
      <c r="V31" s="109" t="s">
        <v>3745</v>
      </c>
      <c r="X31" s="109" t="s">
        <v>3757</v>
      </c>
      <c r="Z31" s="109" t="s">
        <v>3769</v>
      </c>
      <c r="AB31" s="109" t="s">
        <v>3781</v>
      </c>
      <c r="AD31" s="109" t="s">
        <v>3793</v>
      </c>
      <c r="AF31" s="109" t="s">
        <v>3805</v>
      </c>
      <c r="AH31" s="109" t="s">
        <v>3817</v>
      </c>
    </row>
    <row r="32" spans="1:35" x14ac:dyDescent="0.25">
      <c r="B32" s="109" t="s">
        <v>3626</v>
      </c>
      <c r="D32" s="109" t="s">
        <v>3638</v>
      </c>
      <c r="F32" s="109" t="s">
        <v>3650</v>
      </c>
      <c r="H32" s="109" t="s">
        <v>3662</v>
      </c>
      <c r="J32" s="109" t="s">
        <v>3674</v>
      </c>
      <c r="L32" s="109" t="s">
        <v>3686</v>
      </c>
      <c r="N32" s="109" t="s">
        <v>3698</v>
      </c>
      <c r="P32" s="109" t="s">
        <v>3710</v>
      </c>
      <c r="R32" s="109" t="s">
        <v>3722</v>
      </c>
      <c r="T32" s="109" t="s">
        <v>3734</v>
      </c>
      <c r="V32" s="109" t="s">
        <v>3746</v>
      </c>
      <c r="X32" s="109" t="s">
        <v>3758</v>
      </c>
      <c r="Z32" s="109" t="s">
        <v>3770</v>
      </c>
      <c r="AB32" s="109" t="s">
        <v>3782</v>
      </c>
      <c r="AD32" s="109" t="s">
        <v>3794</v>
      </c>
      <c r="AF32" s="109" t="s">
        <v>3806</v>
      </c>
      <c r="AH32" s="109" t="s">
        <v>3818</v>
      </c>
    </row>
    <row r="33" spans="1:35" x14ac:dyDescent="0.25">
      <c r="B33" s="109" t="s">
        <v>3627</v>
      </c>
      <c r="D33" s="109" t="s">
        <v>3639</v>
      </c>
      <c r="F33" s="109" t="s">
        <v>3651</v>
      </c>
      <c r="H33" s="109" t="s">
        <v>3663</v>
      </c>
      <c r="J33" s="109" t="s">
        <v>3675</v>
      </c>
      <c r="L33" s="109" t="s">
        <v>3687</v>
      </c>
      <c r="N33" s="109" t="s">
        <v>3699</v>
      </c>
      <c r="P33" s="109" t="s">
        <v>3711</v>
      </c>
      <c r="R33" s="109" t="s">
        <v>3723</v>
      </c>
      <c r="T33" s="109" t="s">
        <v>3735</v>
      </c>
      <c r="V33" s="109" t="s">
        <v>3747</v>
      </c>
      <c r="X33" s="109" t="s">
        <v>3759</v>
      </c>
      <c r="Z33" s="109" t="s">
        <v>3771</v>
      </c>
      <c r="AB33" s="109" t="s">
        <v>3783</v>
      </c>
      <c r="AD33" s="109" t="s">
        <v>3795</v>
      </c>
      <c r="AF33" s="109" t="s">
        <v>3807</v>
      </c>
      <c r="AH33" s="109" t="s">
        <v>3819</v>
      </c>
    </row>
    <row r="34" spans="1:35" x14ac:dyDescent="0.25">
      <c r="B34" s="109" t="s">
        <v>3628</v>
      </c>
      <c r="D34" s="109" t="s">
        <v>3640</v>
      </c>
      <c r="F34" s="109" t="s">
        <v>3652</v>
      </c>
      <c r="H34" s="109" t="s">
        <v>3664</v>
      </c>
      <c r="J34" s="109" t="s">
        <v>3676</v>
      </c>
      <c r="L34" s="109" t="s">
        <v>3688</v>
      </c>
      <c r="N34" s="109" t="s">
        <v>3700</v>
      </c>
      <c r="P34" s="109" t="s">
        <v>3712</v>
      </c>
      <c r="R34" s="109" t="s">
        <v>3724</v>
      </c>
      <c r="T34" s="109" t="s">
        <v>3736</v>
      </c>
      <c r="V34" s="109" t="s">
        <v>3748</v>
      </c>
      <c r="X34" s="109" t="s">
        <v>3760</v>
      </c>
      <c r="Z34" s="109" t="s">
        <v>3772</v>
      </c>
      <c r="AB34" s="109" t="s">
        <v>3784</v>
      </c>
      <c r="AD34" s="109" t="s">
        <v>3796</v>
      </c>
      <c r="AF34" s="109" t="s">
        <v>3808</v>
      </c>
      <c r="AH34" s="109" t="s">
        <v>3820</v>
      </c>
    </row>
    <row r="35" spans="1:35" x14ac:dyDescent="0.25">
      <c r="B35" s="109" t="s">
        <v>3629</v>
      </c>
      <c r="D35" s="109" t="s">
        <v>3641</v>
      </c>
      <c r="F35" s="109" t="s">
        <v>3653</v>
      </c>
      <c r="H35" s="109" t="s">
        <v>3665</v>
      </c>
      <c r="J35" s="109" t="s">
        <v>3677</v>
      </c>
      <c r="L35" s="109" t="s">
        <v>3689</v>
      </c>
      <c r="N35" s="109" t="s">
        <v>3701</v>
      </c>
      <c r="P35" s="109" t="s">
        <v>3713</v>
      </c>
      <c r="R35" s="109" t="s">
        <v>3725</v>
      </c>
      <c r="T35" s="109" t="s">
        <v>3737</v>
      </c>
      <c r="V35" s="109" t="s">
        <v>3749</v>
      </c>
      <c r="X35" s="109" t="s">
        <v>3761</v>
      </c>
      <c r="Z35" s="109" t="s">
        <v>3773</v>
      </c>
      <c r="AB35" s="109" t="s">
        <v>3785</v>
      </c>
      <c r="AD35" s="109" t="s">
        <v>3797</v>
      </c>
      <c r="AF35" s="109" t="s">
        <v>3809</v>
      </c>
      <c r="AH35" s="109" t="s">
        <v>3821</v>
      </c>
    </row>
    <row r="36" spans="1:35" x14ac:dyDescent="0.25">
      <c r="B36" s="109" t="s">
        <v>3630</v>
      </c>
      <c r="D36" s="109" t="s">
        <v>3642</v>
      </c>
      <c r="F36" s="109" t="s">
        <v>3654</v>
      </c>
      <c r="H36" s="109" t="s">
        <v>3666</v>
      </c>
      <c r="J36" s="109" t="s">
        <v>3678</v>
      </c>
      <c r="L36" s="109" t="s">
        <v>3690</v>
      </c>
      <c r="N36" s="109" t="s">
        <v>3702</v>
      </c>
      <c r="P36" s="109" t="s">
        <v>3714</v>
      </c>
      <c r="R36" s="109" t="s">
        <v>3726</v>
      </c>
      <c r="T36" s="109" t="s">
        <v>3738</v>
      </c>
      <c r="V36" s="109" t="s">
        <v>3750</v>
      </c>
      <c r="X36" s="109" t="s">
        <v>3762</v>
      </c>
      <c r="Z36" s="109" t="s">
        <v>3774</v>
      </c>
      <c r="AB36" s="109" t="s">
        <v>3786</v>
      </c>
      <c r="AD36" s="109" t="s">
        <v>3798</v>
      </c>
      <c r="AF36" s="109" t="s">
        <v>3810</v>
      </c>
      <c r="AH36" s="109" t="s">
        <v>3822</v>
      </c>
    </row>
    <row r="37" spans="1:35" x14ac:dyDescent="0.25">
      <c r="B37" s="109" t="s">
        <v>3631</v>
      </c>
      <c r="D37" s="109" t="s">
        <v>3643</v>
      </c>
      <c r="F37" s="109" t="s">
        <v>3655</v>
      </c>
      <c r="H37" s="109" t="s">
        <v>3667</v>
      </c>
      <c r="J37" s="109" t="s">
        <v>3679</v>
      </c>
      <c r="L37" s="109" t="s">
        <v>3691</v>
      </c>
      <c r="N37" s="109" t="s">
        <v>3703</v>
      </c>
      <c r="P37" s="109" t="s">
        <v>3715</v>
      </c>
      <c r="R37" s="109" t="s">
        <v>3727</v>
      </c>
      <c r="T37" s="109" t="s">
        <v>3739</v>
      </c>
      <c r="V37" s="109" t="s">
        <v>3751</v>
      </c>
      <c r="X37" s="109" t="s">
        <v>3763</v>
      </c>
      <c r="Z37" s="109" t="s">
        <v>3775</v>
      </c>
      <c r="AB37" s="109" t="s">
        <v>3787</v>
      </c>
      <c r="AD37" s="109" t="s">
        <v>3799</v>
      </c>
      <c r="AF37" s="109" t="s">
        <v>3811</v>
      </c>
      <c r="AH37" s="109" t="s">
        <v>3823</v>
      </c>
    </row>
    <row r="38" spans="1:35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 t="shared" ref="D38" si="24">COUNTIF(D26:D37,"&lt;&gt;")</f>
        <v>12</v>
      </c>
      <c r="E38" s="109">
        <f t="shared" ref="E38" si="25">COUNTIF(E26:E37,"Y")</f>
        <v>0</v>
      </c>
      <c r="F38" s="109">
        <f t="shared" ref="F38" si="26">COUNTIF(F26:F37,"&lt;&gt;")</f>
        <v>12</v>
      </c>
      <c r="G38" s="109">
        <f t="shared" ref="G38" si="27">COUNTIF(G26:G37,"Y")</f>
        <v>0</v>
      </c>
      <c r="H38" s="109">
        <f t="shared" ref="H38" si="28">COUNTIF(H26:H37,"&lt;&gt;")</f>
        <v>12</v>
      </c>
      <c r="I38" s="109">
        <f t="shared" ref="I38" si="29">COUNTIF(I26:I37,"Y")</f>
        <v>0</v>
      </c>
      <c r="J38" s="109">
        <f t="shared" ref="J38" si="30">COUNTIF(J26:J37,"&lt;&gt;")</f>
        <v>12</v>
      </c>
      <c r="K38" s="109">
        <f t="shared" ref="K38" si="31">COUNTIF(K26:K37,"Y")</f>
        <v>0</v>
      </c>
      <c r="L38" s="109">
        <f t="shared" ref="L38" si="32">COUNTIF(L26:L37,"&lt;&gt;")</f>
        <v>12</v>
      </c>
      <c r="M38" s="109">
        <f t="shared" ref="M38" si="33">COUNTIF(M26:M37,"Y")</f>
        <v>0</v>
      </c>
      <c r="N38" s="109">
        <f t="shared" ref="N38" si="34">COUNTIF(N26:N37,"&lt;&gt;")</f>
        <v>12</v>
      </c>
      <c r="O38" s="109">
        <f t="shared" ref="O38" si="35">COUNTIF(O26:O37,"Y")</f>
        <v>0</v>
      </c>
      <c r="P38" s="109">
        <f t="shared" ref="P38" si="36">COUNTIF(P26:P37,"&lt;&gt;")</f>
        <v>12</v>
      </c>
      <c r="Q38" s="109">
        <f t="shared" ref="Q38" si="37">COUNTIF(Q26:Q37,"Y")</f>
        <v>0</v>
      </c>
      <c r="R38" s="109">
        <f t="shared" ref="R38" si="38">COUNTIF(R26:R37,"&lt;&gt;")</f>
        <v>12</v>
      </c>
      <c r="S38" s="109">
        <f t="shared" ref="S38" si="39">COUNTIF(S26:S37,"Y")</f>
        <v>0</v>
      </c>
      <c r="T38" s="109">
        <f t="shared" ref="T38" si="40">COUNTIF(T26:T37,"&lt;&gt;")</f>
        <v>12</v>
      </c>
      <c r="U38" s="109">
        <f t="shared" ref="U38" si="41">COUNTIF(U26:U37,"Y")</f>
        <v>0</v>
      </c>
      <c r="V38" s="109">
        <f t="shared" ref="V38" si="42">COUNTIF(V26:V37,"&lt;&gt;")</f>
        <v>12</v>
      </c>
      <c r="W38" s="109">
        <f t="shared" ref="W38" si="43">COUNTIF(W26:W37,"Y")</f>
        <v>0</v>
      </c>
      <c r="X38" s="109">
        <f t="shared" ref="X38" si="44">COUNTIF(X26:X37,"&lt;&gt;")</f>
        <v>12</v>
      </c>
      <c r="Y38" s="109">
        <f t="shared" ref="Y38" si="45">COUNTIF(Y26:Y37,"Y")</f>
        <v>0</v>
      </c>
      <c r="Z38" s="109">
        <f t="shared" ref="Z38" si="46">COUNTIF(Z26:Z37,"&lt;&gt;")</f>
        <v>12</v>
      </c>
      <c r="AA38" s="109">
        <f t="shared" ref="AA38" si="47">COUNTIF(AA26:AA37,"Y")</f>
        <v>0</v>
      </c>
      <c r="AB38" s="109">
        <f t="shared" ref="AB38" si="48">COUNTIF(AB26:AB37,"&lt;&gt;")</f>
        <v>12</v>
      </c>
      <c r="AC38" s="109">
        <f t="shared" ref="AC38" si="49">COUNTIF(AC26:AC37,"Y")</f>
        <v>0</v>
      </c>
      <c r="AD38" s="109">
        <f t="shared" ref="AD38" si="50">COUNTIF(AD26:AD37,"&lt;&gt;")</f>
        <v>12</v>
      </c>
      <c r="AE38" s="109">
        <f t="shared" ref="AE38" si="51">COUNTIF(AE26:AE37,"Y")</f>
        <v>0</v>
      </c>
      <c r="AF38" s="109">
        <f t="shared" ref="AF38" si="52">COUNTIF(AF26:AF37,"&lt;&gt;")</f>
        <v>12</v>
      </c>
      <c r="AG38" s="109">
        <f t="shared" ref="AG38" si="53">COUNTIF(AG26:AG37,"Y")</f>
        <v>0</v>
      </c>
      <c r="AH38" s="109">
        <f t="shared" ref="AH38" si="54">COUNTIF(AH26:AH37,"&lt;&gt;")</f>
        <v>12</v>
      </c>
      <c r="AI38" s="109">
        <f t="shared" ref="AI38" si="55">COUNTIF(AI26:AI37,"Y")</f>
        <v>0</v>
      </c>
    </row>
  </sheetData>
  <pageMargins left="0.7" right="0.7" top="0.75" bottom="0.75" header="0.3" footer="0.3"/>
  <pageSetup orientation="portrait" verticalDpi="597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1E6B-C94D-4796-8C50-732550D28544}">
  <sheetPr codeName="Sheet16"/>
  <dimension ref="A1:AO38"/>
  <sheetViews>
    <sheetView workbookViewId="0">
      <selection sqref="A1:XFD2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1.5703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20" width="12.42578125" style="109" bestFit="1" customWidth="1"/>
    <col min="21" max="21" width="10.85546875" style="109" bestFit="1" customWidth="1"/>
    <col min="22" max="22" width="12.42578125" style="109" bestFit="1" customWidth="1"/>
    <col min="23" max="23" width="10.85546875" style="109" bestFit="1" customWidth="1"/>
    <col min="24" max="24" width="12.42578125" style="109" bestFit="1" customWidth="1"/>
    <col min="25" max="25" width="10.85546875" style="109" bestFit="1" customWidth="1"/>
    <col min="26" max="26" width="12.42578125" style="109" bestFit="1" customWidth="1"/>
    <col min="27" max="27" width="10.85546875" style="109" bestFit="1" customWidth="1"/>
    <col min="28" max="28" width="12.42578125" style="109" bestFit="1" customWidth="1"/>
    <col min="29" max="29" width="10.85546875" style="109" bestFit="1" customWidth="1"/>
    <col min="30" max="30" width="12.42578125" style="109" bestFit="1" customWidth="1"/>
    <col min="31" max="31" width="10.85546875" style="109" bestFit="1" customWidth="1"/>
    <col min="32" max="32" width="12.42578125" style="109" bestFit="1" customWidth="1"/>
    <col min="33" max="33" width="10.85546875" style="109" bestFit="1" customWidth="1"/>
    <col min="34" max="34" width="12.42578125" style="109" bestFit="1" customWidth="1"/>
    <col min="35" max="35" width="10.85546875" style="109" bestFit="1" customWidth="1"/>
    <col min="36" max="36" width="12.42578125" style="109" bestFit="1" customWidth="1"/>
    <col min="37" max="37" width="10.85546875" style="109" bestFit="1" customWidth="1"/>
    <col min="38" max="38" width="12.42578125" style="109" bestFit="1" customWidth="1"/>
    <col min="39" max="39" width="10.85546875" style="109" bestFit="1" customWidth="1"/>
    <col min="40" max="40" width="12.42578125" style="109" bestFit="1" customWidth="1"/>
    <col min="41" max="41" width="10.85546875" style="109" bestFit="1" customWidth="1"/>
    <col min="42" max="16384" width="9.140625" style="109"/>
  </cols>
  <sheetData>
    <row r="1" spans="2:29" s="111" customFormat="1" x14ac:dyDescent="0.25">
      <c r="B1" s="111" t="s">
        <v>14577</v>
      </c>
      <c r="C1" s="111">
        <f>SUM(D3,D24)</f>
        <v>359</v>
      </c>
      <c r="D1" s="111" t="s">
        <v>301</v>
      </c>
      <c r="E1" s="111">
        <f>SUM(F3,F24)</f>
        <v>0</v>
      </c>
      <c r="F1" s="111" t="s">
        <v>14579</v>
      </c>
      <c r="G1" s="111">
        <f>SUM(H3,H24)</f>
        <v>359</v>
      </c>
      <c r="H1" s="111" t="s">
        <v>14578</v>
      </c>
      <c r="I1" s="131">
        <f>(E1/C1)</f>
        <v>0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3824</v>
      </c>
      <c r="C3" s="109" t="s">
        <v>302</v>
      </c>
      <c r="D3" s="109">
        <f>SUM(B22,D22,F22,H22,J22,L22,N22,P22,R22,T22,V22)</f>
        <v>119</v>
      </c>
      <c r="E3" s="109" t="s">
        <v>301</v>
      </c>
      <c r="F3" s="109">
        <f>SUM(C22,E22,G22,I22,K22,M22,O22,Q22,S22,U22,W22)</f>
        <v>0</v>
      </c>
      <c r="G3" s="109" t="s">
        <v>305</v>
      </c>
      <c r="H3" s="109">
        <f>D3-F3</f>
        <v>119</v>
      </c>
    </row>
    <row r="4" spans="2:29" x14ac:dyDescent="0.25">
      <c r="B4" s="109" t="str">
        <f>LEFT(B5,FIND("_C",B5)-1)</f>
        <v>BH_020</v>
      </c>
      <c r="C4" s="109" t="s">
        <v>301</v>
      </c>
      <c r="D4" s="109" t="str">
        <f>LEFT(D5,FIND("_C",D5)-1)</f>
        <v>BH_023</v>
      </c>
      <c r="E4" s="109" t="s">
        <v>301</v>
      </c>
      <c r="F4" s="109" t="str">
        <f>LEFT(F5,FIND("_C",F5)-1)</f>
        <v>BH_034</v>
      </c>
      <c r="G4" s="109" t="s">
        <v>301</v>
      </c>
      <c r="H4" s="109" t="str">
        <f>LEFT(H5,FIND("_C",H5)-1)</f>
        <v>BH_041</v>
      </c>
      <c r="I4" s="109" t="s">
        <v>301</v>
      </c>
      <c r="J4" s="109" t="str">
        <f>LEFT(J5,FIND("_C",J5)-1)</f>
        <v>BH_103</v>
      </c>
      <c r="K4" s="109" t="s">
        <v>301</v>
      </c>
      <c r="L4" s="109" t="str">
        <f>LEFT(L5,FIND("_C",L5)-1)</f>
        <v>BH_116</v>
      </c>
      <c r="M4" s="109" t="s">
        <v>301</v>
      </c>
      <c r="N4" s="109" t="str">
        <f>LEFT(N5,FIND("_C",N5)-1)</f>
        <v>BH_136</v>
      </c>
      <c r="O4" s="109" t="s">
        <v>301</v>
      </c>
    </row>
    <row r="5" spans="2:29" x14ac:dyDescent="0.25">
      <c r="B5" s="109" t="s">
        <v>3826</v>
      </c>
      <c r="D5" s="109" t="s">
        <v>3843</v>
      </c>
      <c r="F5" s="109" t="s">
        <v>3860</v>
      </c>
      <c r="H5" s="109" t="s">
        <v>3877</v>
      </c>
      <c r="J5" s="109" t="s">
        <v>3894</v>
      </c>
      <c r="L5" s="109" t="s">
        <v>3911</v>
      </c>
      <c r="N5" s="109" t="s">
        <v>3928</v>
      </c>
    </row>
    <row r="6" spans="2:29" x14ac:dyDescent="0.25">
      <c r="B6" s="109" t="s">
        <v>3827</v>
      </c>
      <c r="D6" s="109" t="s">
        <v>3844</v>
      </c>
      <c r="F6" s="109" t="s">
        <v>3861</v>
      </c>
      <c r="H6" s="109" t="s">
        <v>3878</v>
      </c>
      <c r="J6" s="109" t="s">
        <v>3895</v>
      </c>
      <c r="L6" s="109" t="s">
        <v>3912</v>
      </c>
      <c r="N6" s="109" t="s">
        <v>3929</v>
      </c>
    </row>
    <row r="7" spans="2:29" x14ac:dyDescent="0.25">
      <c r="B7" s="109" t="s">
        <v>3828</v>
      </c>
      <c r="D7" s="109" t="s">
        <v>3845</v>
      </c>
      <c r="F7" s="109" t="s">
        <v>3862</v>
      </c>
      <c r="H7" s="109" t="s">
        <v>3879</v>
      </c>
      <c r="J7" s="109" t="s">
        <v>3896</v>
      </c>
      <c r="L7" s="109" t="s">
        <v>3913</v>
      </c>
      <c r="N7" s="109" t="s">
        <v>3930</v>
      </c>
    </row>
    <row r="8" spans="2:29" x14ac:dyDescent="0.25">
      <c r="B8" s="109" t="s">
        <v>3829</v>
      </c>
      <c r="D8" s="109" t="s">
        <v>3846</v>
      </c>
      <c r="F8" s="109" t="s">
        <v>3863</v>
      </c>
      <c r="H8" s="109" t="s">
        <v>3880</v>
      </c>
      <c r="J8" s="109" t="s">
        <v>3897</v>
      </c>
      <c r="L8" s="109" t="s">
        <v>3914</v>
      </c>
      <c r="N8" s="109" t="s">
        <v>3931</v>
      </c>
    </row>
    <row r="9" spans="2:29" x14ac:dyDescent="0.25">
      <c r="B9" s="109" t="s">
        <v>3830</v>
      </c>
      <c r="D9" s="109" t="s">
        <v>3847</v>
      </c>
      <c r="F9" s="109" t="s">
        <v>3864</v>
      </c>
      <c r="H9" s="109" t="s">
        <v>3881</v>
      </c>
      <c r="J9" s="109" t="s">
        <v>3898</v>
      </c>
      <c r="L9" s="109" t="s">
        <v>3915</v>
      </c>
      <c r="N9" s="109" t="s">
        <v>3932</v>
      </c>
    </row>
    <row r="10" spans="2:29" x14ac:dyDescent="0.25">
      <c r="B10" s="109" t="s">
        <v>3831</v>
      </c>
      <c r="D10" s="109" t="s">
        <v>3848</v>
      </c>
      <c r="F10" s="109" t="s">
        <v>3865</v>
      </c>
      <c r="H10" s="109" t="s">
        <v>3882</v>
      </c>
      <c r="J10" s="109" t="s">
        <v>3899</v>
      </c>
      <c r="L10" s="109" t="s">
        <v>3916</v>
      </c>
      <c r="N10" s="109" t="s">
        <v>3933</v>
      </c>
    </row>
    <row r="11" spans="2:29" x14ac:dyDescent="0.25">
      <c r="B11" s="109" t="s">
        <v>3832</v>
      </c>
      <c r="D11" s="109" t="s">
        <v>3849</v>
      </c>
      <c r="F11" s="109" t="s">
        <v>3866</v>
      </c>
      <c r="H11" s="109" t="s">
        <v>3883</v>
      </c>
      <c r="J11" s="109" t="s">
        <v>3900</v>
      </c>
      <c r="L11" s="109" t="s">
        <v>3917</v>
      </c>
      <c r="N11" s="109" t="s">
        <v>3934</v>
      </c>
    </row>
    <row r="12" spans="2:29" x14ac:dyDescent="0.25">
      <c r="B12" s="109" t="s">
        <v>3833</v>
      </c>
      <c r="D12" s="109" t="s">
        <v>3850</v>
      </c>
      <c r="F12" s="109" t="s">
        <v>3867</v>
      </c>
      <c r="H12" s="109" t="s">
        <v>3884</v>
      </c>
      <c r="J12" s="109" t="s">
        <v>3901</v>
      </c>
      <c r="L12" s="109" t="s">
        <v>3918</v>
      </c>
      <c r="N12" s="109" t="s">
        <v>3935</v>
      </c>
    </row>
    <row r="13" spans="2:29" x14ac:dyDescent="0.25">
      <c r="B13" s="109" t="s">
        <v>3834</v>
      </c>
      <c r="D13" s="109" t="s">
        <v>3851</v>
      </c>
      <c r="F13" s="109" t="s">
        <v>3868</v>
      </c>
      <c r="H13" s="109" t="s">
        <v>3885</v>
      </c>
      <c r="J13" s="109" t="s">
        <v>3902</v>
      </c>
      <c r="L13" s="109" t="s">
        <v>3919</v>
      </c>
      <c r="N13" s="109" t="s">
        <v>3936</v>
      </c>
    </row>
    <row r="14" spans="2:29" x14ac:dyDescent="0.25">
      <c r="B14" s="109" t="s">
        <v>3835</v>
      </c>
      <c r="D14" s="109" t="s">
        <v>3852</v>
      </c>
      <c r="F14" s="109" t="s">
        <v>3869</v>
      </c>
      <c r="H14" s="109" t="s">
        <v>3886</v>
      </c>
      <c r="J14" s="109" t="s">
        <v>3903</v>
      </c>
      <c r="L14" s="109" t="s">
        <v>3920</v>
      </c>
      <c r="N14" s="109" t="s">
        <v>3937</v>
      </c>
    </row>
    <row r="15" spans="2:29" x14ac:dyDescent="0.25">
      <c r="B15" s="109" t="s">
        <v>3836</v>
      </c>
      <c r="D15" s="109" t="s">
        <v>3853</v>
      </c>
      <c r="F15" s="109" t="s">
        <v>3870</v>
      </c>
      <c r="H15" s="109" t="s">
        <v>3887</v>
      </c>
      <c r="J15" s="109" t="s">
        <v>3904</v>
      </c>
      <c r="L15" s="109" t="s">
        <v>3921</v>
      </c>
      <c r="N15" s="109" t="s">
        <v>3938</v>
      </c>
    </row>
    <row r="16" spans="2:29" x14ac:dyDescent="0.25">
      <c r="B16" s="109" t="s">
        <v>3837</v>
      </c>
      <c r="D16" s="109" t="s">
        <v>3854</v>
      </c>
      <c r="F16" s="109" t="s">
        <v>3871</v>
      </c>
      <c r="H16" s="109" t="s">
        <v>3888</v>
      </c>
      <c r="J16" s="109" t="s">
        <v>3905</v>
      </c>
      <c r="L16" s="109" t="s">
        <v>3922</v>
      </c>
      <c r="N16" s="109" t="s">
        <v>3939</v>
      </c>
    </row>
    <row r="17" spans="1:41" x14ac:dyDescent="0.25">
      <c r="B17" s="109" t="s">
        <v>3838</v>
      </c>
      <c r="D17" s="109" t="s">
        <v>3855</v>
      </c>
      <c r="F17" s="109" t="s">
        <v>3872</v>
      </c>
      <c r="H17" s="109" t="s">
        <v>3889</v>
      </c>
      <c r="J17" s="109" t="s">
        <v>3906</v>
      </c>
      <c r="L17" s="109" t="s">
        <v>3923</v>
      </c>
      <c r="N17" s="109" t="s">
        <v>3940</v>
      </c>
    </row>
    <row r="18" spans="1:41" x14ac:dyDescent="0.25">
      <c r="B18" s="109" t="s">
        <v>3839</v>
      </c>
      <c r="D18" s="109" t="s">
        <v>3856</v>
      </c>
      <c r="F18" s="109" t="s">
        <v>3873</v>
      </c>
      <c r="H18" s="109" t="s">
        <v>3890</v>
      </c>
      <c r="J18" s="109" t="s">
        <v>3907</v>
      </c>
      <c r="L18" s="109" t="s">
        <v>3924</v>
      </c>
      <c r="N18" s="109" t="s">
        <v>3941</v>
      </c>
    </row>
    <row r="19" spans="1:41" x14ac:dyDescent="0.25">
      <c r="B19" s="109" t="s">
        <v>3840</v>
      </c>
      <c r="D19" s="109" t="s">
        <v>3857</v>
      </c>
      <c r="F19" s="109" t="s">
        <v>3874</v>
      </c>
      <c r="H19" s="109" t="s">
        <v>3891</v>
      </c>
      <c r="J19" s="109" t="s">
        <v>3908</v>
      </c>
      <c r="L19" s="109" t="s">
        <v>3925</v>
      </c>
      <c r="N19" s="109" t="s">
        <v>3942</v>
      </c>
    </row>
    <row r="20" spans="1:41" x14ac:dyDescent="0.25">
      <c r="B20" s="109" t="s">
        <v>3841</v>
      </c>
      <c r="D20" s="109" t="s">
        <v>3858</v>
      </c>
      <c r="F20" s="109" t="s">
        <v>3875</v>
      </c>
      <c r="H20" s="109" t="s">
        <v>3892</v>
      </c>
      <c r="J20" s="109" t="s">
        <v>3909</v>
      </c>
      <c r="L20" s="109" t="s">
        <v>3926</v>
      </c>
      <c r="N20" s="109" t="s">
        <v>3943</v>
      </c>
    </row>
    <row r="21" spans="1:41" x14ac:dyDescent="0.25">
      <c r="B21" s="109" t="s">
        <v>3842</v>
      </c>
      <c r="D21" s="109" t="s">
        <v>3859</v>
      </c>
      <c r="F21" s="109" t="s">
        <v>3876</v>
      </c>
      <c r="H21" s="109" t="s">
        <v>3893</v>
      </c>
      <c r="J21" s="109" t="s">
        <v>3910</v>
      </c>
      <c r="L21" s="109" t="s">
        <v>3927</v>
      </c>
      <c r="N21" s="109" t="s">
        <v>3944</v>
      </c>
    </row>
    <row r="22" spans="1:41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0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0</v>
      </c>
      <c r="L22" s="109">
        <f t="shared" ref="L22" si="5">COUNTIF(L5:L21,"&lt;&gt;")</f>
        <v>17</v>
      </c>
      <c r="M22" s="109">
        <f>COUNTIF(M5:M21,"Y")</f>
        <v>0</v>
      </c>
      <c r="N22" s="109">
        <f t="shared" ref="N22" si="6">COUNTIF(N5:N21,"&lt;&gt;")</f>
        <v>17</v>
      </c>
      <c r="O22" s="109">
        <f>COUNTIF(O5:O21,"Y")</f>
        <v>0</v>
      </c>
    </row>
    <row r="24" spans="1:41" x14ac:dyDescent="0.25">
      <c r="B24" s="109" t="s">
        <v>3825</v>
      </c>
      <c r="C24" s="109" t="s">
        <v>302</v>
      </c>
      <c r="D24" s="109">
        <f>SUM(B38,D38,F38,H38,J38,L38,N38,P38,R38,T38,V38,X38,Z38,AB38,AD38,AF38,AH38,AJ38,AL38,AN38,AP38)</f>
        <v>240</v>
      </c>
      <c r="E24" s="109" t="s">
        <v>301</v>
      </c>
      <c r="F24" s="109">
        <f>SUM(C38,E38,G38,I38,K38,M38,O38,Q38,S38,U38,W38,Y38,AA38,AC38,AE38,AG38,AI38,AK38,AM38,AO38,AQ38)</f>
        <v>0</v>
      </c>
      <c r="G24" s="109" t="s">
        <v>305</v>
      </c>
      <c r="H24" s="109">
        <f>D24-F24</f>
        <v>240</v>
      </c>
    </row>
    <row r="25" spans="1:41" x14ac:dyDescent="0.25">
      <c r="B25" s="109" t="str">
        <f>LEFT(B26,FIND("_P",B26)-1)</f>
        <v>CPT_041</v>
      </c>
      <c r="C25" s="109" t="s">
        <v>301</v>
      </c>
      <c r="D25" s="109" t="str">
        <f t="shared" ref="D25" si="7">LEFT(D26,FIND("_P",D26)-1)</f>
        <v>CPT_042</v>
      </c>
      <c r="E25" s="109" t="s">
        <v>301</v>
      </c>
      <c r="F25" s="109" t="str">
        <f t="shared" ref="F25" si="8">LEFT(F26,FIND("_P",F26)-1)</f>
        <v>CPT_049</v>
      </c>
      <c r="G25" s="109" t="s">
        <v>301</v>
      </c>
      <c r="H25" s="109" t="str">
        <f t="shared" ref="H25" si="9">LEFT(H26,FIND("_P",H26)-1)</f>
        <v>CPT_074</v>
      </c>
      <c r="I25" s="109" t="s">
        <v>301</v>
      </c>
      <c r="J25" s="109" t="str">
        <f t="shared" ref="J25" si="10">LEFT(J26,FIND("_P",J26)-1)</f>
        <v>CPT_083</v>
      </c>
      <c r="K25" s="109" t="s">
        <v>301</v>
      </c>
      <c r="L25" s="109" t="str">
        <f t="shared" ref="L25" si="11">LEFT(L26,FIND("_P",L26)-1)</f>
        <v>CPT_089</v>
      </c>
      <c r="M25" s="109" t="s">
        <v>301</v>
      </c>
      <c r="N25" s="109" t="str">
        <f t="shared" ref="N25" si="12">LEFT(N26,FIND("_P",N26)-1)</f>
        <v>CPT_090</v>
      </c>
      <c r="O25" s="109" t="s">
        <v>301</v>
      </c>
      <c r="P25" s="109" t="str">
        <f t="shared" ref="P25" si="13">LEFT(P26,FIND("_P",P26)-1)</f>
        <v>CPT_102</v>
      </c>
      <c r="Q25" s="109" t="s">
        <v>301</v>
      </c>
      <c r="R25" s="109" t="str">
        <f t="shared" ref="R25" si="14">LEFT(R26,FIND("_P",R26)-1)</f>
        <v>CPT_150</v>
      </c>
      <c r="S25" s="109" t="s">
        <v>301</v>
      </c>
      <c r="T25" s="109" t="str">
        <f t="shared" ref="T25" si="15">LEFT(T26,FIND("_P",T26)-1)</f>
        <v>CPT_153</v>
      </c>
      <c r="U25" s="109" t="s">
        <v>301</v>
      </c>
      <c r="V25" s="109" t="str">
        <f t="shared" ref="V25" si="16">LEFT(V26,FIND("_P",V26)-1)</f>
        <v>CPT_170</v>
      </c>
      <c r="W25" s="109" t="s">
        <v>301</v>
      </c>
      <c r="X25" s="109" t="str">
        <f t="shared" ref="X25" si="17">LEFT(X26,FIND("_P",X26)-1)</f>
        <v>CPT_223</v>
      </c>
      <c r="Y25" s="109" t="s">
        <v>301</v>
      </c>
      <c r="Z25" s="109" t="str">
        <f t="shared" ref="Z25" si="18">LEFT(Z26,FIND("_P",Z26)-1)</f>
        <v>CPT_235</v>
      </c>
      <c r="AA25" s="109" t="s">
        <v>301</v>
      </c>
      <c r="AB25" s="109" t="str">
        <f t="shared" ref="AB25" si="19">LEFT(AB26,FIND("_P",AB26)-1)</f>
        <v>CPT_238</v>
      </c>
      <c r="AC25" s="109" t="s">
        <v>301</v>
      </c>
      <c r="AD25" s="109" t="str">
        <f t="shared" ref="AD25" si="20">LEFT(AD26,FIND("_P",AD26)-1)</f>
        <v>CPT_280</v>
      </c>
      <c r="AE25" s="109" t="s">
        <v>301</v>
      </c>
      <c r="AF25" s="109" t="str">
        <f t="shared" ref="AF25" si="21">LEFT(AF26,FIND("_P",AF26)-1)</f>
        <v>CPT_289</v>
      </c>
      <c r="AG25" s="109" t="s">
        <v>301</v>
      </c>
      <c r="AH25" s="109" t="str">
        <f t="shared" ref="AH25" si="22">LEFT(AH26,FIND("_P",AH26)-1)</f>
        <v>CPT_299</v>
      </c>
      <c r="AI25" s="109" t="s">
        <v>301</v>
      </c>
      <c r="AJ25" s="109" t="str">
        <f t="shared" ref="AJ25" si="23">LEFT(AJ26,FIND("_P",AJ26)-1)</f>
        <v>CPT_307</v>
      </c>
      <c r="AK25" s="109" t="s">
        <v>301</v>
      </c>
      <c r="AL25" s="109" t="str">
        <f t="shared" ref="AL25" si="24">LEFT(AL26,FIND("_P",AL26)-1)</f>
        <v>CPT_316</v>
      </c>
      <c r="AM25" s="109" t="s">
        <v>301</v>
      </c>
      <c r="AN25" s="109" t="str">
        <f t="shared" ref="AN25" si="25">LEFT(AN26,FIND("_P",AN26)-1)</f>
        <v>CPT_335</v>
      </c>
      <c r="AO25" s="109" t="s">
        <v>301</v>
      </c>
    </row>
    <row r="26" spans="1:41" x14ac:dyDescent="0.25">
      <c r="B26" s="109" t="s">
        <v>3979</v>
      </c>
      <c r="D26" s="109" t="s">
        <v>3991</v>
      </c>
      <c r="F26" s="109" t="s">
        <v>4000</v>
      </c>
      <c r="H26" s="109" t="s">
        <v>4012</v>
      </c>
      <c r="J26" s="109" t="s">
        <v>4024</v>
      </c>
      <c r="L26" s="109" t="s">
        <v>4036</v>
      </c>
      <c r="N26" s="109" t="s">
        <v>4048</v>
      </c>
      <c r="P26" s="109" t="s">
        <v>4060</v>
      </c>
      <c r="R26" s="109" t="s">
        <v>4072</v>
      </c>
      <c r="T26" s="109" t="s">
        <v>4084</v>
      </c>
      <c r="V26" s="109" t="s">
        <v>4096</v>
      </c>
      <c r="X26" s="109" t="s">
        <v>4108</v>
      </c>
      <c r="Z26" s="109" t="s">
        <v>4120</v>
      </c>
      <c r="AB26" s="109" t="s">
        <v>4132</v>
      </c>
      <c r="AD26" s="109" t="s">
        <v>4144</v>
      </c>
      <c r="AF26" s="109" t="s">
        <v>4156</v>
      </c>
      <c r="AH26" s="109" t="s">
        <v>4168</v>
      </c>
      <c r="AJ26" s="109" t="s">
        <v>4180</v>
      </c>
      <c r="AL26" s="109" t="s">
        <v>4189</v>
      </c>
      <c r="AN26" s="109" t="s">
        <v>4201</v>
      </c>
    </row>
    <row r="27" spans="1:41" x14ac:dyDescent="0.25">
      <c r="B27" s="109" t="s">
        <v>3980</v>
      </c>
      <c r="D27" s="109" t="s">
        <v>3992</v>
      </c>
      <c r="F27" s="109" t="s">
        <v>4001</v>
      </c>
      <c r="H27" s="109" t="s">
        <v>4013</v>
      </c>
      <c r="J27" s="109" t="s">
        <v>4025</v>
      </c>
      <c r="L27" s="109" t="s">
        <v>4037</v>
      </c>
      <c r="N27" s="109" t="s">
        <v>4049</v>
      </c>
      <c r="P27" s="109" t="s">
        <v>4061</v>
      </c>
      <c r="R27" s="109" t="s">
        <v>4073</v>
      </c>
      <c r="T27" s="109" t="s">
        <v>4085</v>
      </c>
      <c r="V27" s="109" t="s">
        <v>4097</v>
      </c>
      <c r="X27" s="109" t="s">
        <v>4109</v>
      </c>
      <c r="Z27" s="109" t="s">
        <v>4121</v>
      </c>
      <c r="AB27" s="109" t="s">
        <v>4133</v>
      </c>
      <c r="AD27" s="109" t="s">
        <v>4145</v>
      </c>
      <c r="AF27" s="109" t="s">
        <v>4157</v>
      </c>
      <c r="AH27" s="109" t="s">
        <v>4169</v>
      </c>
      <c r="AJ27" s="109" t="s">
        <v>4181</v>
      </c>
      <c r="AL27" s="109" t="s">
        <v>4190</v>
      </c>
      <c r="AN27" s="109" t="s">
        <v>4202</v>
      </c>
    </row>
    <row r="28" spans="1:41" x14ac:dyDescent="0.25">
      <c r="B28" s="109" t="s">
        <v>3981</v>
      </c>
      <c r="D28" s="109" t="s">
        <v>3993</v>
      </c>
      <c r="F28" s="109" t="s">
        <v>4002</v>
      </c>
      <c r="H28" s="109" t="s">
        <v>4014</v>
      </c>
      <c r="J28" s="109" t="s">
        <v>4026</v>
      </c>
      <c r="L28" s="109" t="s">
        <v>4038</v>
      </c>
      <c r="N28" s="109" t="s">
        <v>4050</v>
      </c>
      <c r="P28" s="109" t="s">
        <v>4062</v>
      </c>
      <c r="R28" s="109" t="s">
        <v>4074</v>
      </c>
      <c r="T28" s="109" t="s">
        <v>4086</v>
      </c>
      <c r="V28" s="109" t="s">
        <v>4098</v>
      </c>
      <c r="X28" s="109" t="s">
        <v>4110</v>
      </c>
      <c r="Z28" s="109" t="s">
        <v>4122</v>
      </c>
      <c r="AB28" s="109" t="s">
        <v>4134</v>
      </c>
      <c r="AD28" s="109" t="s">
        <v>4146</v>
      </c>
      <c r="AF28" s="109" t="s">
        <v>4158</v>
      </c>
      <c r="AH28" s="109" t="s">
        <v>4170</v>
      </c>
      <c r="AJ28" s="109" t="s">
        <v>4182</v>
      </c>
      <c r="AL28" s="109" t="s">
        <v>4191</v>
      </c>
      <c r="AN28" s="109" t="s">
        <v>4203</v>
      </c>
    </row>
    <row r="29" spans="1:41" x14ac:dyDescent="0.25">
      <c r="B29" s="109" t="s">
        <v>3982</v>
      </c>
      <c r="D29" s="109" t="s">
        <v>4216</v>
      </c>
      <c r="F29" s="109" t="s">
        <v>4003</v>
      </c>
      <c r="H29" s="109" t="s">
        <v>4015</v>
      </c>
      <c r="J29" s="109" t="s">
        <v>4027</v>
      </c>
      <c r="L29" s="109" t="s">
        <v>4039</v>
      </c>
      <c r="N29" s="109" t="s">
        <v>4051</v>
      </c>
      <c r="P29" s="109" t="s">
        <v>4063</v>
      </c>
      <c r="R29" s="109" t="s">
        <v>4075</v>
      </c>
      <c r="T29" s="109" t="s">
        <v>4087</v>
      </c>
      <c r="V29" s="109" t="s">
        <v>4099</v>
      </c>
      <c r="X29" s="109" t="s">
        <v>4111</v>
      </c>
      <c r="Z29" s="109" t="s">
        <v>4123</v>
      </c>
      <c r="AB29" s="109" t="s">
        <v>4135</v>
      </c>
      <c r="AD29" s="109" t="s">
        <v>4147</v>
      </c>
      <c r="AF29" s="109" t="s">
        <v>4159</v>
      </c>
      <c r="AH29" s="109" t="s">
        <v>4171</v>
      </c>
      <c r="AJ29" s="109" t="s">
        <v>4213</v>
      </c>
      <c r="AL29" s="109" t="s">
        <v>4192</v>
      </c>
      <c r="AN29" s="109" t="s">
        <v>4204</v>
      </c>
    </row>
    <row r="30" spans="1:41" x14ac:dyDescent="0.25">
      <c r="B30" s="109" t="s">
        <v>3983</v>
      </c>
      <c r="D30" s="109" t="s">
        <v>4217</v>
      </c>
      <c r="F30" s="109" t="s">
        <v>4004</v>
      </c>
      <c r="H30" s="109" t="s">
        <v>4016</v>
      </c>
      <c r="J30" s="109" t="s">
        <v>4028</v>
      </c>
      <c r="L30" s="109" t="s">
        <v>4040</v>
      </c>
      <c r="N30" s="109" t="s">
        <v>4052</v>
      </c>
      <c r="P30" s="109" t="s">
        <v>4064</v>
      </c>
      <c r="R30" s="109" t="s">
        <v>4076</v>
      </c>
      <c r="T30" s="109" t="s">
        <v>4088</v>
      </c>
      <c r="V30" s="109" t="s">
        <v>4100</v>
      </c>
      <c r="X30" s="109" t="s">
        <v>4112</v>
      </c>
      <c r="Z30" s="109" t="s">
        <v>4124</v>
      </c>
      <c r="AB30" s="109" t="s">
        <v>4136</v>
      </c>
      <c r="AD30" s="109" t="s">
        <v>4148</v>
      </c>
      <c r="AF30" s="109" t="s">
        <v>4160</v>
      </c>
      <c r="AH30" s="109" t="s">
        <v>4172</v>
      </c>
      <c r="AJ30" s="109" t="s">
        <v>4214</v>
      </c>
      <c r="AL30" s="109" t="s">
        <v>4193</v>
      </c>
      <c r="AN30" s="109" t="s">
        <v>4205</v>
      </c>
    </row>
    <row r="31" spans="1:41" x14ac:dyDescent="0.25">
      <c r="B31" s="109" t="s">
        <v>3984</v>
      </c>
      <c r="D31" s="109" t="s">
        <v>4218</v>
      </c>
      <c r="F31" s="109" t="s">
        <v>4005</v>
      </c>
      <c r="H31" s="109" t="s">
        <v>4017</v>
      </c>
      <c r="J31" s="109" t="s">
        <v>4029</v>
      </c>
      <c r="L31" s="109" t="s">
        <v>4041</v>
      </c>
      <c r="N31" s="109" t="s">
        <v>4053</v>
      </c>
      <c r="P31" s="109" t="s">
        <v>4065</v>
      </c>
      <c r="R31" s="109" t="s">
        <v>4077</v>
      </c>
      <c r="T31" s="109" t="s">
        <v>4089</v>
      </c>
      <c r="V31" s="109" t="s">
        <v>4101</v>
      </c>
      <c r="X31" s="109" t="s">
        <v>4113</v>
      </c>
      <c r="Z31" s="109" t="s">
        <v>4125</v>
      </c>
      <c r="AB31" s="109" t="s">
        <v>4137</v>
      </c>
      <c r="AD31" s="109" t="s">
        <v>4149</v>
      </c>
      <c r="AF31" s="109" t="s">
        <v>4161</v>
      </c>
      <c r="AH31" s="109" t="s">
        <v>4173</v>
      </c>
      <c r="AJ31" s="109" t="s">
        <v>4215</v>
      </c>
      <c r="AL31" s="109" t="s">
        <v>4194</v>
      </c>
      <c r="AN31" s="109" t="s">
        <v>4206</v>
      </c>
    </row>
    <row r="32" spans="1:41" x14ac:dyDescent="0.25">
      <c r="B32" s="109" t="s">
        <v>3985</v>
      </c>
      <c r="D32" s="109" t="s">
        <v>3994</v>
      </c>
      <c r="F32" s="109" t="s">
        <v>4006</v>
      </c>
      <c r="H32" s="109" t="s">
        <v>4018</v>
      </c>
      <c r="J32" s="109" t="s">
        <v>4030</v>
      </c>
      <c r="L32" s="109" t="s">
        <v>4042</v>
      </c>
      <c r="N32" s="109" t="s">
        <v>4054</v>
      </c>
      <c r="P32" s="109" t="s">
        <v>4066</v>
      </c>
      <c r="R32" s="109" t="s">
        <v>4078</v>
      </c>
      <c r="T32" s="109" t="s">
        <v>4090</v>
      </c>
      <c r="V32" s="109" t="s">
        <v>4102</v>
      </c>
      <c r="X32" s="109" t="s">
        <v>4114</v>
      </c>
      <c r="Z32" s="109" t="s">
        <v>4126</v>
      </c>
      <c r="AB32" s="109" t="s">
        <v>4138</v>
      </c>
      <c r="AD32" s="109" t="s">
        <v>4150</v>
      </c>
      <c r="AF32" s="109" t="s">
        <v>4162</v>
      </c>
      <c r="AH32" s="109" t="s">
        <v>4174</v>
      </c>
      <c r="AJ32" s="109" t="s">
        <v>4183</v>
      </c>
      <c r="AL32" s="109" t="s">
        <v>4195</v>
      </c>
      <c r="AN32" s="109" t="s">
        <v>4207</v>
      </c>
    </row>
    <row r="33" spans="1:41" x14ac:dyDescent="0.25">
      <c r="B33" s="109" t="s">
        <v>3986</v>
      </c>
      <c r="D33" s="109" t="s">
        <v>3995</v>
      </c>
      <c r="F33" s="109" t="s">
        <v>4007</v>
      </c>
      <c r="H33" s="109" t="s">
        <v>4019</v>
      </c>
      <c r="J33" s="109" t="s">
        <v>4031</v>
      </c>
      <c r="L33" s="109" t="s">
        <v>4043</v>
      </c>
      <c r="N33" s="109" t="s">
        <v>4055</v>
      </c>
      <c r="P33" s="109" t="s">
        <v>4067</v>
      </c>
      <c r="R33" s="109" t="s">
        <v>4079</v>
      </c>
      <c r="T33" s="109" t="s">
        <v>4091</v>
      </c>
      <c r="V33" s="109" t="s">
        <v>4103</v>
      </c>
      <c r="X33" s="109" t="s">
        <v>4115</v>
      </c>
      <c r="Z33" s="109" t="s">
        <v>4127</v>
      </c>
      <c r="AB33" s="109" t="s">
        <v>4139</v>
      </c>
      <c r="AD33" s="109" t="s">
        <v>4151</v>
      </c>
      <c r="AF33" s="109" t="s">
        <v>4163</v>
      </c>
      <c r="AH33" s="109" t="s">
        <v>4175</v>
      </c>
      <c r="AJ33" s="109" t="s">
        <v>4184</v>
      </c>
      <c r="AL33" s="109" t="s">
        <v>4196</v>
      </c>
      <c r="AN33" s="109" t="s">
        <v>4208</v>
      </c>
    </row>
    <row r="34" spans="1:41" x14ac:dyDescent="0.25">
      <c r="B34" s="109" t="s">
        <v>3987</v>
      </c>
      <c r="D34" s="109" t="s">
        <v>3996</v>
      </c>
      <c r="F34" s="109" t="s">
        <v>4008</v>
      </c>
      <c r="H34" s="109" t="s">
        <v>4020</v>
      </c>
      <c r="J34" s="109" t="s">
        <v>4032</v>
      </c>
      <c r="L34" s="109" t="s">
        <v>4044</v>
      </c>
      <c r="N34" s="109" t="s">
        <v>4056</v>
      </c>
      <c r="P34" s="109" t="s">
        <v>4068</v>
      </c>
      <c r="R34" s="109" t="s">
        <v>4080</v>
      </c>
      <c r="T34" s="109" t="s">
        <v>4092</v>
      </c>
      <c r="V34" s="109" t="s">
        <v>4104</v>
      </c>
      <c r="X34" s="109" t="s">
        <v>4116</v>
      </c>
      <c r="Z34" s="109" t="s">
        <v>4128</v>
      </c>
      <c r="AB34" s="109" t="s">
        <v>4140</v>
      </c>
      <c r="AD34" s="109" t="s">
        <v>4152</v>
      </c>
      <c r="AF34" s="109" t="s">
        <v>4164</v>
      </c>
      <c r="AH34" s="109" t="s">
        <v>4176</v>
      </c>
      <c r="AJ34" s="109" t="s">
        <v>4185</v>
      </c>
      <c r="AL34" s="109" t="s">
        <v>4197</v>
      </c>
      <c r="AN34" s="109" t="s">
        <v>4209</v>
      </c>
    </row>
    <row r="35" spans="1:41" x14ac:dyDescent="0.25">
      <c r="B35" s="109" t="s">
        <v>3988</v>
      </c>
      <c r="D35" s="109" t="s">
        <v>3997</v>
      </c>
      <c r="F35" s="109" t="s">
        <v>4009</v>
      </c>
      <c r="H35" s="109" t="s">
        <v>4021</v>
      </c>
      <c r="J35" s="109" t="s">
        <v>4033</v>
      </c>
      <c r="L35" s="109" t="s">
        <v>4045</v>
      </c>
      <c r="N35" s="109" t="s">
        <v>4057</v>
      </c>
      <c r="P35" s="109" t="s">
        <v>4069</v>
      </c>
      <c r="R35" s="109" t="s">
        <v>4081</v>
      </c>
      <c r="T35" s="109" t="s">
        <v>4093</v>
      </c>
      <c r="V35" s="109" t="s">
        <v>4105</v>
      </c>
      <c r="X35" s="109" t="s">
        <v>4117</v>
      </c>
      <c r="Z35" s="109" t="s">
        <v>4129</v>
      </c>
      <c r="AB35" s="109" t="s">
        <v>4141</v>
      </c>
      <c r="AD35" s="109" t="s">
        <v>4153</v>
      </c>
      <c r="AF35" s="109" t="s">
        <v>4165</v>
      </c>
      <c r="AH35" s="109" t="s">
        <v>4177</v>
      </c>
      <c r="AJ35" s="109" t="s">
        <v>4186</v>
      </c>
      <c r="AL35" s="109" t="s">
        <v>4198</v>
      </c>
      <c r="AN35" s="109" t="s">
        <v>4210</v>
      </c>
    </row>
    <row r="36" spans="1:41" x14ac:dyDescent="0.25">
      <c r="B36" s="109" t="s">
        <v>3989</v>
      </c>
      <c r="D36" s="109" t="s">
        <v>3998</v>
      </c>
      <c r="F36" s="109" t="s">
        <v>4010</v>
      </c>
      <c r="H36" s="109" t="s">
        <v>4022</v>
      </c>
      <c r="J36" s="109" t="s">
        <v>4034</v>
      </c>
      <c r="L36" s="109" t="s">
        <v>4046</v>
      </c>
      <c r="N36" s="109" t="s">
        <v>4058</v>
      </c>
      <c r="P36" s="109" t="s">
        <v>4070</v>
      </c>
      <c r="R36" s="109" t="s">
        <v>4082</v>
      </c>
      <c r="T36" s="109" t="s">
        <v>4094</v>
      </c>
      <c r="V36" s="109" t="s">
        <v>4106</v>
      </c>
      <c r="X36" s="109" t="s">
        <v>4118</v>
      </c>
      <c r="Z36" s="109" t="s">
        <v>4130</v>
      </c>
      <c r="AB36" s="109" t="s">
        <v>4142</v>
      </c>
      <c r="AD36" s="109" t="s">
        <v>4154</v>
      </c>
      <c r="AF36" s="109" t="s">
        <v>4166</v>
      </c>
      <c r="AH36" s="109" t="s">
        <v>4178</v>
      </c>
      <c r="AJ36" s="109" t="s">
        <v>4187</v>
      </c>
      <c r="AL36" s="109" t="s">
        <v>4199</v>
      </c>
      <c r="AN36" s="109" t="s">
        <v>4211</v>
      </c>
    </row>
    <row r="37" spans="1:41" x14ac:dyDescent="0.25">
      <c r="B37" s="109" t="s">
        <v>3990</v>
      </c>
      <c r="D37" s="109" t="s">
        <v>3999</v>
      </c>
      <c r="F37" s="109" t="s">
        <v>4011</v>
      </c>
      <c r="H37" s="109" t="s">
        <v>4023</v>
      </c>
      <c r="J37" s="109" t="s">
        <v>4035</v>
      </c>
      <c r="L37" s="109" t="s">
        <v>4047</v>
      </c>
      <c r="N37" s="109" t="s">
        <v>4059</v>
      </c>
      <c r="P37" s="109" t="s">
        <v>4071</v>
      </c>
      <c r="R37" s="109" t="s">
        <v>4083</v>
      </c>
      <c r="T37" s="109" t="s">
        <v>4095</v>
      </c>
      <c r="V37" s="109" t="s">
        <v>4107</v>
      </c>
      <c r="X37" s="109" t="s">
        <v>4119</v>
      </c>
      <c r="Z37" s="109" t="s">
        <v>4131</v>
      </c>
      <c r="AB37" s="109" t="s">
        <v>4143</v>
      </c>
      <c r="AD37" s="109" t="s">
        <v>4155</v>
      </c>
      <c r="AF37" s="109" t="s">
        <v>4167</v>
      </c>
      <c r="AH37" s="109" t="s">
        <v>4179</v>
      </c>
      <c r="AJ37" s="109" t="s">
        <v>4188</v>
      </c>
      <c r="AL37" s="109" t="s">
        <v>4200</v>
      </c>
      <c r="AN37" s="109" t="s">
        <v>4212</v>
      </c>
    </row>
    <row r="38" spans="1:41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>COUNTIF(D26:D37,"&lt;&gt;")</f>
        <v>12</v>
      </c>
      <c r="E38" s="109">
        <f t="shared" ref="E38" si="26">COUNTIF(E26:E37,"Y")</f>
        <v>0</v>
      </c>
      <c r="F38" s="109">
        <f t="shared" ref="F38" si="27">COUNTIF(F26:F37,"&lt;&gt;")</f>
        <v>12</v>
      </c>
      <c r="G38" s="109">
        <f t="shared" ref="G38" si="28">COUNTIF(G26:G37,"Y")</f>
        <v>0</v>
      </c>
      <c r="H38" s="109">
        <f t="shared" ref="H38" si="29">COUNTIF(H26:H37,"&lt;&gt;")</f>
        <v>12</v>
      </c>
      <c r="I38" s="109">
        <f t="shared" ref="I38" si="30">COUNTIF(I26:I37,"Y")</f>
        <v>0</v>
      </c>
      <c r="J38" s="109">
        <f t="shared" ref="J38" si="31">COUNTIF(J26:J37,"&lt;&gt;")</f>
        <v>12</v>
      </c>
      <c r="K38" s="109">
        <f t="shared" ref="K38" si="32">COUNTIF(K26:K37,"Y")</f>
        <v>0</v>
      </c>
      <c r="L38" s="109">
        <f t="shared" ref="L38" si="33">COUNTIF(L26:L37,"&lt;&gt;")</f>
        <v>12</v>
      </c>
      <c r="M38" s="109">
        <f t="shared" ref="M38" si="34">COUNTIF(M26:M37,"Y")</f>
        <v>0</v>
      </c>
      <c r="N38" s="109">
        <f t="shared" ref="N38" si="35">COUNTIF(N26:N37,"&lt;&gt;")</f>
        <v>12</v>
      </c>
      <c r="O38" s="109">
        <f t="shared" ref="O38" si="36">COUNTIF(O26:O37,"Y")</f>
        <v>0</v>
      </c>
      <c r="P38" s="109">
        <f t="shared" ref="P38" si="37">COUNTIF(P26:P37,"&lt;&gt;")</f>
        <v>12</v>
      </c>
      <c r="Q38" s="109">
        <f t="shared" ref="Q38" si="38">COUNTIF(Q26:Q37,"Y")</f>
        <v>0</v>
      </c>
      <c r="R38" s="109">
        <f t="shared" ref="R38" si="39">COUNTIF(R26:R37,"&lt;&gt;")</f>
        <v>12</v>
      </c>
      <c r="S38" s="109">
        <f t="shared" ref="S38" si="40">COUNTIF(S26:S37,"Y")</f>
        <v>0</v>
      </c>
      <c r="T38" s="109">
        <f t="shared" ref="T38" si="41">COUNTIF(T26:T37,"&lt;&gt;")</f>
        <v>12</v>
      </c>
      <c r="U38" s="109">
        <f t="shared" ref="U38" si="42">COUNTIF(U26:U37,"Y")</f>
        <v>0</v>
      </c>
      <c r="V38" s="109">
        <f t="shared" ref="V38" si="43">COUNTIF(V26:V37,"&lt;&gt;")</f>
        <v>12</v>
      </c>
      <c r="W38" s="109">
        <f t="shared" ref="W38" si="44">COUNTIF(W26:W37,"Y")</f>
        <v>0</v>
      </c>
      <c r="X38" s="109">
        <f t="shared" ref="X38" si="45">COUNTIF(X26:X37,"&lt;&gt;")</f>
        <v>12</v>
      </c>
      <c r="Y38" s="109">
        <f t="shared" ref="Y38" si="46">COUNTIF(Y26:Y37,"Y")</f>
        <v>0</v>
      </c>
      <c r="Z38" s="109">
        <f t="shared" ref="Z38" si="47">COUNTIF(Z26:Z37,"&lt;&gt;")</f>
        <v>12</v>
      </c>
      <c r="AA38" s="109">
        <f t="shared" ref="AA38" si="48">COUNTIF(AA26:AA37,"Y")</f>
        <v>0</v>
      </c>
      <c r="AB38" s="109">
        <f t="shared" ref="AB38" si="49">COUNTIF(AB26:AB37,"&lt;&gt;")</f>
        <v>12</v>
      </c>
      <c r="AC38" s="109">
        <f t="shared" ref="AC38" si="50">COUNTIF(AC26:AC37,"Y")</f>
        <v>0</v>
      </c>
      <c r="AD38" s="109">
        <f t="shared" ref="AD38" si="51">COUNTIF(AD26:AD37,"&lt;&gt;")</f>
        <v>12</v>
      </c>
      <c r="AE38" s="109">
        <f t="shared" ref="AE38" si="52">COUNTIF(AE26:AE37,"Y")</f>
        <v>0</v>
      </c>
      <c r="AF38" s="109">
        <f t="shared" ref="AF38" si="53">COUNTIF(AF26:AF37,"&lt;&gt;")</f>
        <v>12</v>
      </c>
      <c r="AG38" s="109">
        <f t="shared" ref="AG38" si="54">COUNTIF(AG26:AG37,"Y")</f>
        <v>0</v>
      </c>
      <c r="AH38" s="109">
        <f t="shared" ref="AH38" si="55">COUNTIF(AH26:AH37,"&lt;&gt;")</f>
        <v>12</v>
      </c>
      <c r="AI38" s="109">
        <f t="shared" ref="AI38" si="56">COUNTIF(AI26:AI37,"Y")</f>
        <v>0</v>
      </c>
      <c r="AJ38" s="109">
        <f t="shared" ref="AJ38" si="57">COUNTIF(AJ26:AJ37,"&lt;&gt;")</f>
        <v>12</v>
      </c>
      <c r="AK38" s="109">
        <f t="shared" ref="AK38" si="58">COUNTIF(AK26:AK37,"Y")</f>
        <v>0</v>
      </c>
      <c r="AL38" s="109">
        <f t="shared" ref="AL38" si="59">COUNTIF(AL26:AL37,"&lt;&gt;")</f>
        <v>12</v>
      </c>
      <c r="AM38" s="109">
        <f t="shared" ref="AM38" si="60">COUNTIF(AM26:AM37,"Y")</f>
        <v>0</v>
      </c>
      <c r="AN38" s="109">
        <f t="shared" ref="AN38" si="61">COUNTIF(AN26:AN37,"&lt;&gt;")</f>
        <v>12</v>
      </c>
      <c r="AO38" s="109">
        <f t="shared" ref="AO38" si="62">COUNTIF(AO26:AO37,"Y")</f>
        <v>0</v>
      </c>
    </row>
  </sheetData>
  <pageMargins left="0.7" right="0.7" top="0.75" bottom="0.75" header="0.3" footer="0.3"/>
  <pageSetup orientation="portrait" verticalDpi="597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B5281-0781-4064-A9FD-A6FE9807EE85}">
  <sheetPr codeName="Sheet17"/>
  <dimension ref="A1:AK38"/>
  <sheetViews>
    <sheetView workbookViewId="0">
      <selection activeCell="J37" sqref="J37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1.5703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20" width="12.42578125" style="109" bestFit="1" customWidth="1"/>
    <col min="21" max="21" width="10.85546875" style="109" bestFit="1" customWidth="1"/>
    <col min="22" max="22" width="12.42578125" style="109" bestFit="1" customWidth="1"/>
    <col min="23" max="23" width="10.85546875" style="109" bestFit="1" customWidth="1"/>
    <col min="24" max="24" width="12.42578125" style="109" bestFit="1" customWidth="1"/>
    <col min="25" max="25" width="10.85546875" style="109" bestFit="1" customWidth="1"/>
    <col min="26" max="26" width="12.42578125" style="109" bestFit="1" customWidth="1"/>
    <col min="27" max="27" width="10.85546875" style="109" bestFit="1" customWidth="1"/>
    <col min="28" max="28" width="12.42578125" style="109" bestFit="1" customWidth="1"/>
    <col min="29" max="29" width="10.85546875" style="109" bestFit="1" customWidth="1"/>
    <col min="30" max="30" width="12.42578125" style="109" bestFit="1" customWidth="1"/>
    <col min="31" max="31" width="10.85546875" style="109" bestFit="1" customWidth="1"/>
    <col min="32" max="32" width="12.42578125" style="109" bestFit="1" customWidth="1"/>
    <col min="33" max="33" width="10.85546875" style="109" bestFit="1" customWidth="1"/>
    <col min="34" max="34" width="12.42578125" style="109" bestFit="1" customWidth="1"/>
    <col min="35" max="35" width="10.85546875" style="109" bestFit="1" customWidth="1"/>
    <col min="36" max="36" width="12.42578125" style="109" bestFit="1" customWidth="1"/>
    <col min="37" max="37" width="10.85546875" style="109" bestFit="1" customWidth="1"/>
    <col min="38" max="38" width="12.42578125" style="109" bestFit="1" customWidth="1"/>
    <col min="39" max="39" width="10.85546875" style="109" bestFit="1" customWidth="1"/>
    <col min="40" max="40" width="12.42578125" style="109" bestFit="1" customWidth="1"/>
    <col min="41" max="41" width="10.85546875" style="109" bestFit="1" customWidth="1"/>
    <col min="42" max="16384" width="9.140625" style="109"/>
  </cols>
  <sheetData>
    <row r="1" spans="2:29" s="111" customFormat="1" x14ac:dyDescent="0.25">
      <c r="B1" s="111" t="s">
        <v>14577</v>
      </c>
      <c r="C1" s="111">
        <f>SUM(D3,D24)</f>
        <v>318</v>
      </c>
      <c r="D1" s="111" t="s">
        <v>301</v>
      </c>
      <c r="E1" s="111">
        <f>SUM(F3,F24)</f>
        <v>0</v>
      </c>
      <c r="F1" s="111" t="s">
        <v>14579</v>
      </c>
      <c r="G1" s="111">
        <f>SUM(H3,H24)</f>
        <v>318</v>
      </c>
      <c r="H1" s="111" t="s">
        <v>14578</v>
      </c>
      <c r="I1" s="131">
        <f>(E1/C1)</f>
        <v>0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4219</v>
      </c>
      <c r="C3" s="109" t="s">
        <v>302</v>
      </c>
      <c r="D3" s="109">
        <f>SUM(B22,D22,F22,H22,J22,L22,N22,P22,R22,T22,V22)</f>
        <v>102</v>
      </c>
      <c r="E3" s="109" t="s">
        <v>301</v>
      </c>
      <c r="F3" s="109">
        <f>SUM(C22,E22,G22,I22,K22,M22,O22,Q22,S22,U22,W22)</f>
        <v>0</v>
      </c>
      <c r="G3" s="109" t="s">
        <v>305</v>
      </c>
      <c r="H3" s="109">
        <f>D3-F3</f>
        <v>102</v>
      </c>
    </row>
    <row r="4" spans="2:29" x14ac:dyDescent="0.25">
      <c r="B4" s="109" t="str">
        <f>LEFT(B5,FIND("_C",B5)-1)</f>
        <v>BH_024</v>
      </c>
      <c r="C4" s="109" t="s">
        <v>301</v>
      </c>
      <c r="D4" s="109" t="str">
        <f>LEFT(D5,FIND("_C",D5)-1)</f>
        <v>BH_035</v>
      </c>
      <c r="E4" s="109" t="s">
        <v>301</v>
      </c>
      <c r="F4" s="109" t="str">
        <f>LEFT(F5,FIND("_C",F5)-1)</f>
        <v>BH_072</v>
      </c>
      <c r="G4" s="109" t="s">
        <v>301</v>
      </c>
      <c r="H4" s="109" t="str">
        <f>LEFT(H5,FIND("_C",H5)-1)</f>
        <v>BH_104</v>
      </c>
      <c r="I4" s="109" t="s">
        <v>301</v>
      </c>
      <c r="J4" s="109" t="str">
        <f>LEFT(J5,FIND("_C",J5)-1)</f>
        <v>BH_115</v>
      </c>
      <c r="K4" s="109" t="s">
        <v>301</v>
      </c>
      <c r="L4" s="109" t="str">
        <f>LEFT(L5,FIND("_C",L5)-1)</f>
        <v>BH_135</v>
      </c>
      <c r="M4" s="109" t="s">
        <v>301</v>
      </c>
    </row>
    <row r="5" spans="2:29" x14ac:dyDescent="0.25">
      <c r="B5" s="109" t="s">
        <v>3945</v>
      </c>
      <c r="D5" s="109" t="s">
        <v>3962</v>
      </c>
      <c r="F5" s="109" t="s">
        <v>4221</v>
      </c>
      <c r="H5" s="109" t="s">
        <v>4238</v>
      </c>
      <c r="J5" s="109" t="s">
        <v>4255</v>
      </c>
      <c r="L5" s="109" t="s">
        <v>4272</v>
      </c>
    </row>
    <row r="6" spans="2:29" x14ac:dyDescent="0.25">
      <c r="B6" s="109" t="s">
        <v>3946</v>
      </c>
      <c r="D6" s="109" t="s">
        <v>3963</v>
      </c>
      <c r="F6" s="109" t="s">
        <v>4222</v>
      </c>
      <c r="H6" s="109" t="s">
        <v>4239</v>
      </c>
      <c r="J6" s="109" t="s">
        <v>4256</v>
      </c>
      <c r="L6" s="109" t="s">
        <v>4273</v>
      </c>
    </row>
    <row r="7" spans="2:29" x14ac:dyDescent="0.25">
      <c r="B7" s="109" t="s">
        <v>3947</v>
      </c>
      <c r="D7" s="109" t="s">
        <v>3964</v>
      </c>
      <c r="F7" s="109" t="s">
        <v>4223</v>
      </c>
      <c r="H7" s="109" t="s">
        <v>4240</v>
      </c>
      <c r="J7" s="109" t="s">
        <v>4257</v>
      </c>
      <c r="L7" s="109" t="s">
        <v>4274</v>
      </c>
    </row>
    <row r="8" spans="2:29" x14ac:dyDescent="0.25">
      <c r="B8" s="109" t="s">
        <v>3948</v>
      </c>
      <c r="D8" s="109" t="s">
        <v>3965</v>
      </c>
      <c r="F8" s="109" t="s">
        <v>4224</v>
      </c>
      <c r="H8" s="109" t="s">
        <v>4241</v>
      </c>
      <c r="J8" s="109" t="s">
        <v>4258</v>
      </c>
      <c r="L8" s="109" t="s">
        <v>4275</v>
      </c>
    </row>
    <row r="9" spans="2:29" x14ac:dyDescent="0.25">
      <c r="B9" s="109" t="s">
        <v>3949</v>
      </c>
      <c r="D9" s="109" t="s">
        <v>3966</v>
      </c>
      <c r="F9" s="109" t="s">
        <v>4225</v>
      </c>
      <c r="H9" s="109" t="s">
        <v>4242</v>
      </c>
      <c r="J9" s="109" t="s">
        <v>4259</v>
      </c>
      <c r="L9" s="109" t="s">
        <v>4276</v>
      </c>
    </row>
    <row r="10" spans="2:29" x14ac:dyDescent="0.25">
      <c r="B10" s="109" t="s">
        <v>3950</v>
      </c>
      <c r="D10" s="109" t="s">
        <v>3967</v>
      </c>
      <c r="F10" s="109" t="s">
        <v>4226</v>
      </c>
      <c r="H10" s="109" t="s">
        <v>4243</v>
      </c>
      <c r="J10" s="109" t="s">
        <v>4260</v>
      </c>
      <c r="L10" s="109" t="s">
        <v>4277</v>
      </c>
    </row>
    <row r="11" spans="2:29" x14ac:dyDescent="0.25">
      <c r="B11" s="109" t="s">
        <v>3951</v>
      </c>
      <c r="D11" s="109" t="s">
        <v>3968</v>
      </c>
      <c r="F11" s="109" t="s">
        <v>4227</v>
      </c>
      <c r="H11" s="109" t="s">
        <v>4244</v>
      </c>
      <c r="J11" s="109" t="s">
        <v>4261</v>
      </c>
      <c r="L11" s="109" t="s">
        <v>4278</v>
      </c>
    </row>
    <row r="12" spans="2:29" x14ac:dyDescent="0.25">
      <c r="B12" s="109" t="s">
        <v>3952</v>
      </c>
      <c r="D12" s="109" t="s">
        <v>3969</v>
      </c>
      <c r="F12" s="109" t="s">
        <v>4228</v>
      </c>
      <c r="H12" s="109" t="s">
        <v>4245</v>
      </c>
      <c r="J12" s="109" t="s">
        <v>4262</v>
      </c>
      <c r="L12" s="109" t="s">
        <v>4279</v>
      </c>
    </row>
    <row r="13" spans="2:29" x14ac:dyDescent="0.25">
      <c r="B13" s="109" t="s">
        <v>3953</v>
      </c>
      <c r="D13" s="109" t="s">
        <v>3970</v>
      </c>
      <c r="F13" s="109" t="s">
        <v>4229</v>
      </c>
      <c r="H13" s="109" t="s">
        <v>4246</v>
      </c>
      <c r="J13" s="109" t="s">
        <v>4263</v>
      </c>
      <c r="L13" s="109" t="s">
        <v>4280</v>
      </c>
    </row>
    <row r="14" spans="2:29" x14ac:dyDescent="0.25">
      <c r="B14" s="109" t="s">
        <v>3954</v>
      </c>
      <c r="D14" s="109" t="s">
        <v>3971</v>
      </c>
      <c r="F14" s="109" t="s">
        <v>4230</v>
      </c>
      <c r="H14" s="109" t="s">
        <v>4247</v>
      </c>
      <c r="J14" s="109" t="s">
        <v>4264</v>
      </c>
      <c r="L14" s="109" t="s">
        <v>4281</v>
      </c>
    </row>
    <row r="15" spans="2:29" x14ac:dyDescent="0.25">
      <c r="B15" s="109" t="s">
        <v>3955</v>
      </c>
      <c r="D15" s="109" t="s">
        <v>3972</v>
      </c>
      <c r="F15" s="109" t="s">
        <v>4231</v>
      </c>
      <c r="H15" s="109" t="s">
        <v>4248</v>
      </c>
      <c r="J15" s="109" t="s">
        <v>4265</v>
      </c>
      <c r="L15" s="109" t="s">
        <v>4282</v>
      </c>
    </row>
    <row r="16" spans="2:29" x14ac:dyDescent="0.25">
      <c r="B16" s="109" t="s">
        <v>3956</v>
      </c>
      <c r="D16" s="109" t="s">
        <v>3973</v>
      </c>
      <c r="F16" s="109" t="s">
        <v>4232</v>
      </c>
      <c r="H16" s="109" t="s">
        <v>4249</v>
      </c>
      <c r="J16" s="109" t="s">
        <v>4266</v>
      </c>
      <c r="L16" s="109" t="s">
        <v>4283</v>
      </c>
    </row>
    <row r="17" spans="1:37" x14ac:dyDescent="0.25">
      <c r="B17" s="109" t="s">
        <v>3957</v>
      </c>
      <c r="D17" s="109" t="s">
        <v>3974</v>
      </c>
      <c r="F17" s="109" t="s">
        <v>4233</v>
      </c>
      <c r="H17" s="109" t="s">
        <v>4250</v>
      </c>
      <c r="J17" s="109" t="s">
        <v>4267</v>
      </c>
      <c r="L17" s="109" t="s">
        <v>4284</v>
      </c>
    </row>
    <row r="18" spans="1:37" x14ac:dyDescent="0.25">
      <c r="B18" s="109" t="s">
        <v>3958</v>
      </c>
      <c r="D18" s="109" t="s">
        <v>3975</v>
      </c>
      <c r="F18" s="109" t="s">
        <v>4234</v>
      </c>
      <c r="H18" s="109" t="s">
        <v>4251</v>
      </c>
      <c r="J18" s="109" t="s">
        <v>4268</v>
      </c>
      <c r="L18" s="109" t="s">
        <v>4285</v>
      </c>
    </row>
    <row r="19" spans="1:37" x14ac:dyDescent="0.25">
      <c r="B19" s="109" t="s">
        <v>3959</v>
      </c>
      <c r="D19" s="109" t="s">
        <v>3976</v>
      </c>
      <c r="F19" s="109" t="s">
        <v>4235</v>
      </c>
      <c r="H19" s="109" t="s">
        <v>4252</v>
      </c>
      <c r="J19" s="109" t="s">
        <v>4269</v>
      </c>
      <c r="L19" s="109" t="s">
        <v>4286</v>
      </c>
    </row>
    <row r="20" spans="1:37" x14ac:dyDescent="0.25">
      <c r="B20" s="109" t="s">
        <v>3960</v>
      </c>
      <c r="D20" s="109" t="s">
        <v>3977</v>
      </c>
      <c r="F20" s="109" t="s">
        <v>4236</v>
      </c>
      <c r="H20" s="109" t="s">
        <v>4253</v>
      </c>
      <c r="J20" s="109" t="s">
        <v>4270</v>
      </c>
      <c r="L20" s="109" t="s">
        <v>4287</v>
      </c>
    </row>
    <row r="21" spans="1:37" x14ac:dyDescent="0.25">
      <c r="B21" s="109" t="s">
        <v>3961</v>
      </c>
      <c r="D21" s="109" t="s">
        <v>3978</v>
      </c>
      <c r="F21" s="109" t="s">
        <v>4237</v>
      </c>
      <c r="H21" s="109" t="s">
        <v>4254</v>
      </c>
      <c r="J21" s="109" t="s">
        <v>4271</v>
      </c>
      <c r="L21" s="109" t="s">
        <v>4288</v>
      </c>
    </row>
    <row r="22" spans="1:37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0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0</v>
      </c>
      <c r="L22" s="109">
        <f t="shared" ref="L22" si="5">COUNTIF(L5:L21,"&lt;&gt;")</f>
        <v>17</v>
      </c>
      <c r="M22" s="109">
        <f>COUNTIF(M5:M21,"Y")</f>
        <v>0</v>
      </c>
    </row>
    <row r="24" spans="1:37" x14ac:dyDescent="0.25">
      <c r="B24" s="109" t="s">
        <v>4220</v>
      </c>
      <c r="C24" s="109" t="s">
        <v>302</v>
      </c>
      <c r="D24" s="109">
        <f>SUM(B38,D38,F38,H38,J38,L38,N38,P38,R38,T38,V38,X38,Z38,AB38,AD38,AF38,AH38,AJ38,AL38,AN38,AP38)</f>
        <v>216</v>
      </c>
      <c r="E24" s="109" t="s">
        <v>301</v>
      </c>
      <c r="F24" s="109">
        <f>SUM(C38,E38,G38,I38,K38,M38,O38,Q38,S38,U38,W38,Y38,AA38,AC38,AE38,AG38,AI38,AK38,AM38,AO38,AQ38)</f>
        <v>0</v>
      </c>
      <c r="G24" s="109" t="s">
        <v>305</v>
      </c>
      <c r="H24" s="109">
        <f>D24-F24</f>
        <v>216</v>
      </c>
    </row>
    <row r="25" spans="1:37" x14ac:dyDescent="0.25">
      <c r="B25" s="109" t="str">
        <f>LEFT(B26,FIND("_P",B26)-1)</f>
        <v>CPT_070</v>
      </c>
      <c r="C25" s="109" t="s">
        <v>301</v>
      </c>
      <c r="D25" s="109" t="str">
        <f t="shared" ref="D25" si="6">LEFT(D26,FIND("_P",D26)-1)</f>
        <v>CPT_099</v>
      </c>
      <c r="E25" s="109" t="s">
        <v>301</v>
      </c>
      <c r="F25" s="109" t="str">
        <f t="shared" ref="F25" si="7">LEFT(F26,FIND("_P",F26)-1)</f>
        <v>CPT_103</v>
      </c>
      <c r="G25" s="109" t="s">
        <v>301</v>
      </c>
      <c r="H25" s="109" t="str">
        <f t="shared" ref="H25" si="8">LEFT(H26,FIND("_P",H26)-1)</f>
        <v>CPT_112</v>
      </c>
      <c r="I25" s="109" t="s">
        <v>301</v>
      </c>
      <c r="J25" s="109" t="str">
        <f t="shared" ref="J25" si="9">LEFT(J26,FIND("_P",J26)-1)</f>
        <v>CPT_130</v>
      </c>
      <c r="K25" s="109" t="s">
        <v>301</v>
      </c>
      <c r="L25" s="109" t="str">
        <f t="shared" ref="L25" si="10">LEFT(L26,FIND("_P",L26)-1)</f>
        <v>CPT_132</v>
      </c>
      <c r="M25" s="109" t="s">
        <v>301</v>
      </c>
      <c r="N25" s="109" t="str">
        <f t="shared" ref="N25" si="11">LEFT(N26,FIND("_P",N26)-1)</f>
        <v>CPT_154</v>
      </c>
      <c r="O25" s="109" t="s">
        <v>301</v>
      </c>
      <c r="P25" s="109" t="str">
        <f t="shared" ref="P25" si="12">LEFT(P26,FIND("_P",P26)-1)</f>
        <v>CPT_165</v>
      </c>
      <c r="Q25" s="109" t="s">
        <v>301</v>
      </c>
      <c r="R25" s="109" t="str">
        <f t="shared" ref="R25" si="13">LEFT(R26,FIND("_P",R26)-1)</f>
        <v>CPT_174</v>
      </c>
      <c r="S25" s="109" t="s">
        <v>301</v>
      </c>
      <c r="T25" s="109" t="str">
        <f t="shared" ref="T25" si="14">LEFT(T26,FIND("_P",T26)-1)</f>
        <v>CPT_185</v>
      </c>
      <c r="U25" s="109" t="s">
        <v>301</v>
      </c>
      <c r="V25" s="109" t="str">
        <f t="shared" ref="V25" si="15">LEFT(V26,FIND("_P",V26)-1)</f>
        <v>CPT_205</v>
      </c>
      <c r="W25" s="109" t="s">
        <v>301</v>
      </c>
      <c r="X25" s="109" t="str">
        <f t="shared" ref="X25" si="16">LEFT(X26,FIND("_P",X26)-1)</f>
        <v>CPT_231</v>
      </c>
      <c r="Y25" s="109" t="s">
        <v>301</v>
      </c>
      <c r="Z25" s="109" t="str">
        <f t="shared" ref="Z25" si="17">LEFT(Z26,FIND("_P",Z26)-1)</f>
        <v>CPT_243</v>
      </c>
      <c r="AA25" s="109" t="s">
        <v>301</v>
      </c>
      <c r="AB25" s="109" t="str">
        <f t="shared" ref="AB25" si="18">LEFT(AB26,FIND("_P",AB26)-1)</f>
        <v>CPT_248</v>
      </c>
      <c r="AC25" s="109" t="s">
        <v>301</v>
      </c>
      <c r="AD25" s="109" t="str">
        <f t="shared" ref="AD25" si="19">LEFT(AD26,FIND("_P",AD26)-1)</f>
        <v>CPT_269</v>
      </c>
      <c r="AE25" s="109" t="s">
        <v>301</v>
      </c>
      <c r="AF25" s="109" t="str">
        <f t="shared" ref="AF25" si="20">LEFT(AF26,FIND("_P",AF26)-1)</f>
        <v>CPT_276</v>
      </c>
      <c r="AG25" s="109" t="s">
        <v>301</v>
      </c>
      <c r="AH25" s="109" t="str">
        <f t="shared" ref="AH25" si="21">LEFT(AH26,FIND("_P",AH26)-1)</f>
        <v>CPT_304</v>
      </c>
      <c r="AI25" s="109" t="s">
        <v>301</v>
      </c>
      <c r="AJ25" s="109" t="str">
        <f t="shared" ref="AJ25" si="22">LEFT(AJ26,FIND("_P",AJ26)-1)</f>
        <v>CPT_320</v>
      </c>
      <c r="AK25" s="109" t="s">
        <v>301</v>
      </c>
    </row>
    <row r="26" spans="1:37" x14ac:dyDescent="0.25">
      <c r="B26" s="109" t="s">
        <v>4289</v>
      </c>
      <c r="D26" s="109" t="s">
        <v>4301</v>
      </c>
      <c r="F26" s="109" t="s">
        <v>4313</v>
      </c>
      <c r="H26" s="109" t="s">
        <v>4325</v>
      </c>
      <c r="J26" s="109" t="s">
        <v>4337</v>
      </c>
      <c r="L26" s="109" t="s">
        <v>4349</v>
      </c>
      <c r="N26" s="109" t="s">
        <v>4361</v>
      </c>
      <c r="P26" s="109" t="s">
        <v>4373</v>
      </c>
      <c r="R26" s="109" t="s">
        <v>4385</v>
      </c>
      <c r="T26" s="109" t="s">
        <v>4397</v>
      </c>
      <c r="V26" s="109" t="s">
        <v>4409</v>
      </c>
      <c r="X26" s="109" t="s">
        <v>4421</v>
      </c>
      <c r="Z26" s="109" t="s">
        <v>4433</v>
      </c>
      <c r="AB26" s="109" t="s">
        <v>4445</v>
      </c>
      <c r="AD26" s="109" t="s">
        <v>4457</v>
      </c>
      <c r="AF26" s="109" t="s">
        <v>4469</v>
      </c>
      <c r="AH26" s="109" t="s">
        <v>4481</v>
      </c>
      <c r="AJ26" s="109" t="s">
        <v>4493</v>
      </c>
    </row>
    <row r="27" spans="1:37" x14ac:dyDescent="0.25">
      <c r="B27" s="109" t="s">
        <v>4290</v>
      </c>
      <c r="D27" s="109" t="s">
        <v>4302</v>
      </c>
      <c r="F27" s="109" t="s">
        <v>4314</v>
      </c>
      <c r="H27" s="109" t="s">
        <v>4326</v>
      </c>
      <c r="J27" s="109" t="s">
        <v>4338</v>
      </c>
      <c r="L27" s="109" t="s">
        <v>4350</v>
      </c>
      <c r="N27" s="109" t="s">
        <v>4362</v>
      </c>
      <c r="P27" s="109" t="s">
        <v>4374</v>
      </c>
      <c r="R27" s="109" t="s">
        <v>4386</v>
      </c>
      <c r="T27" s="109" t="s">
        <v>4398</v>
      </c>
      <c r="V27" s="109" t="s">
        <v>4410</v>
      </c>
      <c r="X27" s="109" t="s">
        <v>4422</v>
      </c>
      <c r="Z27" s="109" t="s">
        <v>4434</v>
      </c>
      <c r="AB27" s="109" t="s">
        <v>4446</v>
      </c>
      <c r="AD27" s="109" t="s">
        <v>4458</v>
      </c>
      <c r="AF27" s="109" t="s">
        <v>4470</v>
      </c>
      <c r="AH27" s="109" t="s">
        <v>4482</v>
      </c>
      <c r="AJ27" s="109" t="s">
        <v>4494</v>
      </c>
    </row>
    <row r="28" spans="1:37" x14ac:dyDescent="0.25">
      <c r="B28" s="109" t="s">
        <v>4291</v>
      </c>
      <c r="D28" s="109" t="s">
        <v>4303</v>
      </c>
      <c r="F28" s="109" t="s">
        <v>4315</v>
      </c>
      <c r="H28" s="109" t="s">
        <v>4327</v>
      </c>
      <c r="J28" s="109" t="s">
        <v>4339</v>
      </c>
      <c r="L28" s="109" t="s">
        <v>4351</v>
      </c>
      <c r="N28" s="109" t="s">
        <v>4363</v>
      </c>
      <c r="P28" s="109" t="s">
        <v>4375</v>
      </c>
      <c r="R28" s="109" t="s">
        <v>4387</v>
      </c>
      <c r="T28" s="109" t="s">
        <v>4399</v>
      </c>
      <c r="V28" s="109" t="s">
        <v>4411</v>
      </c>
      <c r="X28" s="109" t="s">
        <v>4423</v>
      </c>
      <c r="Z28" s="109" t="s">
        <v>4435</v>
      </c>
      <c r="AB28" s="109" t="s">
        <v>4447</v>
      </c>
      <c r="AD28" s="109" t="s">
        <v>4459</v>
      </c>
      <c r="AF28" s="109" t="s">
        <v>4471</v>
      </c>
      <c r="AH28" s="109" t="s">
        <v>4483</v>
      </c>
      <c r="AJ28" s="109" t="s">
        <v>4495</v>
      </c>
    </row>
    <row r="29" spans="1:37" x14ac:dyDescent="0.25">
      <c r="B29" s="109" t="s">
        <v>4292</v>
      </c>
      <c r="D29" s="109" t="s">
        <v>4304</v>
      </c>
      <c r="F29" s="109" t="s">
        <v>4316</v>
      </c>
      <c r="H29" s="109" t="s">
        <v>4328</v>
      </c>
      <c r="J29" s="109" t="s">
        <v>4340</v>
      </c>
      <c r="L29" s="109" t="s">
        <v>4352</v>
      </c>
      <c r="N29" s="109" t="s">
        <v>4364</v>
      </c>
      <c r="P29" s="109" t="s">
        <v>4376</v>
      </c>
      <c r="R29" s="109" t="s">
        <v>4388</v>
      </c>
      <c r="T29" s="109" t="s">
        <v>4400</v>
      </c>
      <c r="V29" s="109" t="s">
        <v>4412</v>
      </c>
      <c r="X29" s="109" t="s">
        <v>4424</v>
      </c>
      <c r="Z29" s="109" t="s">
        <v>4436</v>
      </c>
      <c r="AB29" s="109" t="s">
        <v>4448</v>
      </c>
      <c r="AD29" s="109" t="s">
        <v>4460</v>
      </c>
      <c r="AF29" s="109" t="s">
        <v>4472</v>
      </c>
      <c r="AH29" s="109" t="s">
        <v>4484</v>
      </c>
      <c r="AJ29" s="109" t="s">
        <v>4496</v>
      </c>
    </row>
    <row r="30" spans="1:37" x14ac:dyDescent="0.25">
      <c r="B30" s="109" t="s">
        <v>4293</v>
      </c>
      <c r="D30" s="109" t="s">
        <v>4305</v>
      </c>
      <c r="F30" s="109" t="s">
        <v>4317</v>
      </c>
      <c r="H30" s="109" t="s">
        <v>4329</v>
      </c>
      <c r="J30" s="109" t="s">
        <v>4341</v>
      </c>
      <c r="L30" s="109" t="s">
        <v>4353</v>
      </c>
      <c r="N30" s="109" t="s">
        <v>4365</v>
      </c>
      <c r="P30" s="109" t="s">
        <v>4377</v>
      </c>
      <c r="R30" s="109" t="s">
        <v>4389</v>
      </c>
      <c r="T30" s="109" t="s">
        <v>4401</v>
      </c>
      <c r="V30" s="109" t="s">
        <v>4413</v>
      </c>
      <c r="X30" s="109" t="s">
        <v>4425</v>
      </c>
      <c r="Z30" s="109" t="s">
        <v>4437</v>
      </c>
      <c r="AB30" s="109" t="s">
        <v>4449</v>
      </c>
      <c r="AD30" s="109" t="s">
        <v>4461</v>
      </c>
      <c r="AF30" s="109" t="s">
        <v>4473</v>
      </c>
      <c r="AH30" s="109" t="s">
        <v>4485</v>
      </c>
      <c r="AJ30" s="109" t="s">
        <v>4497</v>
      </c>
    </row>
    <row r="31" spans="1:37" x14ac:dyDescent="0.25">
      <c r="B31" s="109" t="s">
        <v>4294</v>
      </c>
      <c r="D31" s="109" t="s">
        <v>4306</v>
      </c>
      <c r="F31" s="109" t="s">
        <v>4318</v>
      </c>
      <c r="H31" s="109" t="s">
        <v>4330</v>
      </c>
      <c r="J31" s="109" t="s">
        <v>4342</v>
      </c>
      <c r="L31" s="109" t="s">
        <v>4354</v>
      </c>
      <c r="N31" s="109" t="s">
        <v>4366</v>
      </c>
      <c r="P31" s="109" t="s">
        <v>4378</v>
      </c>
      <c r="R31" s="109" t="s">
        <v>4390</v>
      </c>
      <c r="T31" s="109" t="s">
        <v>4402</v>
      </c>
      <c r="V31" s="109" t="s">
        <v>4414</v>
      </c>
      <c r="X31" s="109" t="s">
        <v>4426</v>
      </c>
      <c r="Z31" s="109" t="s">
        <v>4438</v>
      </c>
      <c r="AB31" s="109" t="s">
        <v>4450</v>
      </c>
      <c r="AD31" s="109" t="s">
        <v>4462</v>
      </c>
      <c r="AF31" s="109" t="s">
        <v>4474</v>
      </c>
      <c r="AH31" s="109" t="s">
        <v>4486</v>
      </c>
      <c r="AJ31" s="109" t="s">
        <v>4498</v>
      </c>
    </row>
    <row r="32" spans="1:37" x14ac:dyDescent="0.25">
      <c r="B32" s="109" t="s">
        <v>4295</v>
      </c>
      <c r="D32" s="109" t="s">
        <v>4307</v>
      </c>
      <c r="F32" s="109" t="s">
        <v>4319</v>
      </c>
      <c r="H32" s="109" t="s">
        <v>4331</v>
      </c>
      <c r="J32" s="109" t="s">
        <v>4343</v>
      </c>
      <c r="L32" s="109" t="s">
        <v>4355</v>
      </c>
      <c r="N32" s="109" t="s">
        <v>4367</v>
      </c>
      <c r="P32" s="109" t="s">
        <v>4379</v>
      </c>
      <c r="R32" s="109" t="s">
        <v>4391</v>
      </c>
      <c r="T32" s="109" t="s">
        <v>4403</v>
      </c>
      <c r="V32" s="109" t="s">
        <v>4415</v>
      </c>
      <c r="X32" s="109" t="s">
        <v>4427</v>
      </c>
      <c r="Z32" s="109" t="s">
        <v>4439</v>
      </c>
      <c r="AB32" s="109" t="s">
        <v>4451</v>
      </c>
      <c r="AD32" s="109" t="s">
        <v>4463</v>
      </c>
      <c r="AF32" s="109" t="s">
        <v>4475</v>
      </c>
      <c r="AH32" s="109" t="s">
        <v>4487</v>
      </c>
      <c r="AJ32" s="109" t="s">
        <v>4499</v>
      </c>
    </row>
    <row r="33" spans="1:37" x14ac:dyDescent="0.25">
      <c r="B33" s="109" t="s">
        <v>4296</v>
      </c>
      <c r="D33" s="109" t="s">
        <v>4308</v>
      </c>
      <c r="F33" s="109" t="s">
        <v>4320</v>
      </c>
      <c r="H33" s="109" t="s">
        <v>4332</v>
      </c>
      <c r="J33" s="109" t="s">
        <v>4344</v>
      </c>
      <c r="L33" s="109" t="s">
        <v>4356</v>
      </c>
      <c r="N33" s="109" t="s">
        <v>4368</v>
      </c>
      <c r="P33" s="109" t="s">
        <v>4380</v>
      </c>
      <c r="R33" s="109" t="s">
        <v>4392</v>
      </c>
      <c r="T33" s="109" t="s">
        <v>4404</v>
      </c>
      <c r="V33" s="109" t="s">
        <v>4416</v>
      </c>
      <c r="X33" s="109" t="s">
        <v>4428</v>
      </c>
      <c r="Z33" s="109" t="s">
        <v>4440</v>
      </c>
      <c r="AB33" s="109" t="s">
        <v>4452</v>
      </c>
      <c r="AD33" s="109" t="s">
        <v>4464</v>
      </c>
      <c r="AF33" s="109" t="s">
        <v>4476</v>
      </c>
      <c r="AH33" s="109" t="s">
        <v>4488</v>
      </c>
      <c r="AJ33" s="109" t="s">
        <v>4500</v>
      </c>
    </row>
    <row r="34" spans="1:37" x14ac:dyDescent="0.25">
      <c r="B34" s="109" t="s">
        <v>4297</v>
      </c>
      <c r="D34" s="109" t="s">
        <v>4309</v>
      </c>
      <c r="F34" s="109" t="s">
        <v>4321</v>
      </c>
      <c r="H34" s="109" t="s">
        <v>4333</v>
      </c>
      <c r="J34" s="109" t="s">
        <v>4345</v>
      </c>
      <c r="L34" s="109" t="s">
        <v>4357</v>
      </c>
      <c r="N34" s="109" t="s">
        <v>4369</v>
      </c>
      <c r="P34" s="109" t="s">
        <v>4381</v>
      </c>
      <c r="R34" s="109" t="s">
        <v>4393</v>
      </c>
      <c r="T34" s="109" t="s">
        <v>4405</v>
      </c>
      <c r="V34" s="109" t="s">
        <v>4417</v>
      </c>
      <c r="X34" s="109" t="s">
        <v>4429</v>
      </c>
      <c r="Z34" s="109" t="s">
        <v>4441</v>
      </c>
      <c r="AB34" s="109" t="s">
        <v>4453</v>
      </c>
      <c r="AD34" s="109" t="s">
        <v>4465</v>
      </c>
      <c r="AF34" s="109" t="s">
        <v>4477</v>
      </c>
      <c r="AH34" s="109" t="s">
        <v>4489</v>
      </c>
      <c r="AJ34" s="109" t="s">
        <v>4501</v>
      </c>
    </row>
    <row r="35" spans="1:37" x14ac:dyDescent="0.25">
      <c r="B35" s="109" t="s">
        <v>4298</v>
      </c>
      <c r="D35" s="109" t="s">
        <v>4310</v>
      </c>
      <c r="F35" s="109" t="s">
        <v>4322</v>
      </c>
      <c r="H35" s="109" t="s">
        <v>4334</v>
      </c>
      <c r="J35" s="109" t="s">
        <v>4346</v>
      </c>
      <c r="L35" s="109" t="s">
        <v>4358</v>
      </c>
      <c r="N35" s="109" t="s">
        <v>4370</v>
      </c>
      <c r="P35" s="109" t="s">
        <v>4382</v>
      </c>
      <c r="R35" s="109" t="s">
        <v>4394</v>
      </c>
      <c r="T35" s="109" t="s">
        <v>4406</v>
      </c>
      <c r="V35" s="109" t="s">
        <v>4418</v>
      </c>
      <c r="X35" s="109" t="s">
        <v>4430</v>
      </c>
      <c r="Z35" s="109" t="s">
        <v>4442</v>
      </c>
      <c r="AB35" s="109" t="s">
        <v>4454</v>
      </c>
      <c r="AD35" s="109" t="s">
        <v>4466</v>
      </c>
      <c r="AF35" s="109" t="s">
        <v>4478</v>
      </c>
      <c r="AH35" s="109" t="s">
        <v>4490</v>
      </c>
      <c r="AJ35" s="109" t="s">
        <v>4502</v>
      </c>
    </row>
    <row r="36" spans="1:37" x14ac:dyDescent="0.25">
      <c r="B36" s="109" t="s">
        <v>4299</v>
      </c>
      <c r="D36" s="109" t="s">
        <v>4311</v>
      </c>
      <c r="F36" s="109" t="s">
        <v>4323</v>
      </c>
      <c r="H36" s="109" t="s">
        <v>4335</v>
      </c>
      <c r="J36" s="109" t="s">
        <v>4347</v>
      </c>
      <c r="L36" s="109" t="s">
        <v>4359</v>
      </c>
      <c r="N36" s="109" t="s">
        <v>4371</v>
      </c>
      <c r="P36" s="109" t="s">
        <v>4383</v>
      </c>
      <c r="R36" s="109" t="s">
        <v>4395</v>
      </c>
      <c r="T36" s="109" t="s">
        <v>4407</v>
      </c>
      <c r="V36" s="109" t="s">
        <v>4419</v>
      </c>
      <c r="X36" s="109" t="s">
        <v>4431</v>
      </c>
      <c r="Z36" s="109" t="s">
        <v>4443</v>
      </c>
      <c r="AB36" s="109" t="s">
        <v>4455</v>
      </c>
      <c r="AD36" s="109" t="s">
        <v>4467</v>
      </c>
      <c r="AF36" s="109" t="s">
        <v>4479</v>
      </c>
      <c r="AH36" s="109" t="s">
        <v>4491</v>
      </c>
      <c r="AJ36" s="109" t="s">
        <v>4503</v>
      </c>
    </row>
    <row r="37" spans="1:37" x14ac:dyDescent="0.25">
      <c r="B37" s="109" t="s">
        <v>4300</v>
      </c>
      <c r="D37" s="109" t="s">
        <v>4312</v>
      </c>
      <c r="F37" s="109" t="s">
        <v>4324</v>
      </c>
      <c r="H37" s="109" t="s">
        <v>4336</v>
      </c>
      <c r="J37" s="109" t="s">
        <v>4348</v>
      </c>
      <c r="L37" s="109" t="s">
        <v>4360</v>
      </c>
      <c r="N37" s="109" t="s">
        <v>4372</v>
      </c>
      <c r="P37" s="109" t="s">
        <v>4384</v>
      </c>
      <c r="R37" s="109" t="s">
        <v>4396</v>
      </c>
      <c r="T37" s="109" t="s">
        <v>4408</v>
      </c>
      <c r="V37" s="109" t="s">
        <v>4420</v>
      </c>
      <c r="X37" s="109" t="s">
        <v>4432</v>
      </c>
      <c r="Z37" s="109" t="s">
        <v>4444</v>
      </c>
      <c r="AB37" s="109" t="s">
        <v>4456</v>
      </c>
      <c r="AD37" s="109" t="s">
        <v>4468</v>
      </c>
      <c r="AF37" s="109" t="s">
        <v>4480</v>
      </c>
      <c r="AH37" s="109" t="s">
        <v>4492</v>
      </c>
      <c r="AJ37" s="109" t="s">
        <v>4504</v>
      </c>
    </row>
    <row r="38" spans="1:37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>COUNTIF(D26:D37,"&lt;&gt;")</f>
        <v>12</v>
      </c>
      <c r="E38" s="109">
        <f t="shared" ref="E38" si="23">COUNTIF(E26:E37,"Y")</f>
        <v>0</v>
      </c>
      <c r="F38" s="109">
        <f t="shared" ref="F38" si="24">COUNTIF(F26:F37,"&lt;&gt;")</f>
        <v>12</v>
      </c>
      <c r="G38" s="109">
        <f t="shared" ref="G38" si="25">COUNTIF(G26:G37,"Y")</f>
        <v>0</v>
      </c>
      <c r="H38" s="109">
        <f t="shared" ref="H38" si="26">COUNTIF(H26:H37,"&lt;&gt;")</f>
        <v>12</v>
      </c>
      <c r="I38" s="109">
        <f t="shared" ref="I38" si="27">COUNTIF(I26:I37,"Y")</f>
        <v>0</v>
      </c>
      <c r="J38" s="109">
        <f t="shared" ref="J38" si="28">COUNTIF(J26:J37,"&lt;&gt;")</f>
        <v>12</v>
      </c>
      <c r="K38" s="109">
        <f t="shared" ref="K38" si="29">COUNTIF(K26:K37,"Y")</f>
        <v>0</v>
      </c>
      <c r="L38" s="109">
        <f t="shared" ref="L38" si="30">COUNTIF(L26:L37,"&lt;&gt;")</f>
        <v>12</v>
      </c>
      <c r="M38" s="109">
        <f t="shared" ref="M38" si="31">COUNTIF(M26:M37,"Y")</f>
        <v>0</v>
      </c>
      <c r="N38" s="109">
        <f t="shared" ref="N38" si="32">COUNTIF(N26:N37,"&lt;&gt;")</f>
        <v>12</v>
      </c>
      <c r="O38" s="109">
        <f t="shared" ref="O38" si="33">COUNTIF(O26:O37,"Y")</f>
        <v>0</v>
      </c>
      <c r="P38" s="109">
        <f t="shared" ref="P38" si="34">COUNTIF(P26:P37,"&lt;&gt;")</f>
        <v>12</v>
      </c>
      <c r="Q38" s="109">
        <f t="shared" ref="Q38" si="35">COUNTIF(Q26:Q37,"Y")</f>
        <v>0</v>
      </c>
      <c r="R38" s="109">
        <f t="shared" ref="R38" si="36">COUNTIF(R26:R37,"&lt;&gt;")</f>
        <v>12</v>
      </c>
      <c r="S38" s="109">
        <f t="shared" ref="S38" si="37">COUNTIF(S26:S37,"Y")</f>
        <v>0</v>
      </c>
      <c r="T38" s="109">
        <f t="shared" ref="T38" si="38">COUNTIF(T26:T37,"&lt;&gt;")</f>
        <v>12</v>
      </c>
      <c r="U38" s="109">
        <f t="shared" ref="U38" si="39">COUNTIF(U26:U37,"Y")</f>
        <v>0</v>
      </c>
      <c r="V38" s="109">
        <f t="shared" ref="V38" si="40">COUNTIF(V26:V37,"&lt;&gt;")</f>
        <v>12</v>
      </c>
      <c r="W38" s="109">
        <f t="shared" ref="W38" si="41">COUNTIF(W26:W37,"Y")</f>
        <v>0</v>
      </c>
      <c r="X38" s="109">
        <f t="shared" ref="X38" si="42">COUNTIF(X26:X37,"&lt;&gt;")</f>
        <v>12</v>
      </c>
      <c r="Y38" s="109">
        <f t="shared" ref="Y38" si="43">COUNTIF(Y26:Y37,"Y")</f>
        <v>0</v>
      </c>
      <c r="Z38" s="109">
        <f t="shared" ref="Z38" si="44">COUNTIF(Z26:Z37,"&lt;&gt;")</f>
        <v>12</v>
      </c>
      <c r="AA38" s="109">
        <f t="shared" ref="AA38" si="45">COUNTIF(AA26:AA37,"Y")</f>
        <v>0</v>
      </c>
      <c r="AB38" s="109">
        <f t="shared" ref="AB38" si="46">COUNTIF(AB26:AB37,"&lt;&gt;")</f>
        <v>12</v>
      </c>
      <c r="AC38" s="109">
        <f t="shared" ref="AC38" si="47">COUNTIF(AC26:AC37,"Y")</f>
        <v>0</v>
      </c>
      <c r="AD38" s="109">
        <f t="shared" ref="AD38" si="48">COUNTIF(AD26:AD37,"&lt;&gt;")</f>
        <v>12</v>
      </c>
      <c r="AE38" s="109">
        <f t="shared" ref="AE38" si="49">COUNTIF(AE26:AE37,"Y")</f>
        <v>0</v>
      </c>
      <c r="AF38" s="109">
        <f t="shared" ref="AF38" si="50">COUNTIF(AF26:AF37,"&lt;&gt;")</f>
        <v>12</v>
      </c>
      <c r="AG38" s="109">
        <f t="shared" ref="AG38" si="51">COUNTIF(AG26:AG37,"Y")</f>
        <v>0</v>
      </c>
      <c r="AH38" s="109">
        <f t="shared" ref="AH38" si="52">COUNTIF(AH26:AH37,"&lt;&gt;")</f>
        <v>12</v>
      </c>
      <c r="AI38" s="109">
        <f t="shared" ref="AI38" si="53">COUNTIF(AI26:AI37,"Y")</f>
        <v>0</v>
      </c>
      <c r="AJ38" s="109">
        <f t="shared" ref="AJ38" si="54">COUNTIF(AJ26:AJ37,"&lt;&gt;")</f>
        <v>12</v>
      </c>
      <c r="AK38" s="109">
        <f t="shared" ref="AK38" si="55">COUNTIF(AK26:AK37,"Y")</f>
        <v>0</v>
      </c>
    </row>
  </sheetData>
  <pageMargins left="0.7" right="0.7" top="0.75" bottom="0.75" header="0.3" footer="0.3"/>
  <pageSetup orientation="portrait" verticalDpi="597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4D5C-4AEE-44B0-8240-3118206C1E48}">
  <sheetPr codeName="Sheet18"/>
  <dimension ref="A1:AU38"/>
  <sheetViews>
    <sheetView workbookViewId="0">
      <selection sqref="A1:XFD2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1.5703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20" width="12.42578125" style="109" bestFit="1" customWidth="1"/>
    <col min="21" max="21" width="10.85546875" style="109" bestFit="1" customWidth="1"/>
    <col min="22" max="22" width="12.42578125" style="109" bestFit="1" customWidth="1"/>
    <col min="23" max="23" width="10.85546875" style="109" bestFit="1" customWidth="1"/>
    <col min="24" max="24" width="12.42578125" style="109" bestFit="1" customWidth="1"/>
    <col min="25" max="25" width="10.85546875" style="109" bestFit="1" customWidth="1"/>
    <col min="26" max="26" width="12.42578125" style="109" bestFit="1" customWidth="1"/>
    <col min="27" max="27" width="10.85546875" style="109" bestFit="1" customWidth="1"/>
    <col min="28" max="28" width="12.42578125" style="109" bestFit="1" customWidth="1"/>
    <col min="29" max="29" width="10.85546875" style="109" bestFit="1" customWidth="1"/>
    <col min="30" max="30" width="12.42578125" style="109" bestFit="1" customWidth="1"/>
    <col min="31" max="31" width="10.85546875" style="109" bestFit="1" customWidth="1"/>
    <col min="32" max="32" width="12.42578125" style="109" bestFit="1" customWidth="1"/>
    <col min="33" max="33" width="10.85546875" style="109" bestFit="1" customWidth="1"/>
    <col min="34" max="34" width="12.42578125" style="109" bestFit="1" customWidth="1"/>
    <col min="35" max="35" width="10.85546875" style="109" bestFit="1" customWidth="1"/>
    <col min="36" max="36" width="12.42578125" style="109" bestFit="1" customWidth="1"/>
    <col min="37" max="37" width="10.85546875" style="109" bestFit="1" customWidth="1"/>
    <col min="38" max="38" width="12.42578125" style="109" bestFit="1" customWidth="1"/>
    <col min="39" max="39" width="10.85546875" style="109" bestFit="1" customWidth="1"/>
    <col min="40" max="40" width="12.42578125" style="109" bestFit="1" customWidth="1"/>
    <col min="41" max="41" width="10.85546875" style="109" bestFit="1" customWidth="1"/>
    <col min="42" max="42" width="12.42578125" style="109" bestFit="1" customWidth="1"/>
    <col min="43" max="43" width="10.85546875" style="109" bestFit="1" customWidth="1"/>
    <col min="44" max="44" width="12.42578125" style="109" bestFit="1" customWidth="1"/>
    <col min="45" max="45" width="10.85546875" style="109" bestFit="1" customWidth="1"/>
    <col min="46" max="46" width="12.42578125" style="109" bestFit="1" customWidth="1"/>
    <col min="47" max="47" width="10.85546875" style="109" bestFit="1" customWidth="1"/>
    <col min="48" max="16384" width="9.140625" style="109"/>
  </cols>
  <sheetData>
    <row r="1" spans="2:29" s="111" customFormat="1" x14ac:dyDescent="0.25">
      <c r="B1" s="111" t="s">
        <v>14577</v>
      </c>
      <c r="C1" s="111">
        <f>SUM(D3,D24)</f>
        <v>463</v>
      </c>
      <c r="D1" s="111" t="s">
        <v>301</v>
      </c>
      <c r="E1" s="111">
        <f>SUM(F3,F24)</f>
        <v>0</v>
      </c>
      <c r="F1" s="111" t="s">
        <v>14579</v>
      </c>
      <c r="G1" s="111">
        <f>SUM(H3,H24)</f>
        <v>463</v>
      </c>
      <c r="H1" s="111" t="s">
        <v>14578</v>
      </c>
      <c r="I1" s="131">
        <f>(E1/C1)</f>
        <v>0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4971</v>
      </c>
      <c r="C3" s="109" t="s">
        <v>302</v>
      </c>
      <c r="D3" s="109">
        <f>SUM(B22,D22,F22,H22,J22,L22,N22,P22,R22,T22,V22)</f>
        <v>187</v>
      </c>
      <c r="E3" s="109" t="s">
        <v>301</v>
      </c>
      <c r="F3" s="109">
        <f>SUM(C22,E22,G22,I22,K22,M22,O22,Q22,S22,U22,W22)</f>
        <v>0</v>
      </c>
      <c r="G3" s="109" t="s">
        <v>305</v>
      </c>
      <c r="H3" s="109">
        <f>D3-F3</f>
        <v>187</v>
      </c>
    </row>
    <row r="4" spans="2:29" x14ac:dyDescent="0.25">
      <c r="B4" s="109" t="str">
        <f>LEFT(B5,FIND("_C",B5)-1)</f>
        <v>BH_015</v>
      </c>
      <c r="C4" s="109" t="s">
        <v>301</v>
      </c>
      <c r="D4" s="109" t="str">
        <f>LEFT(D5,FIND("_C",D5)-1)</f>
        <v>BH_021</v>
      </c>
      <c r="E4" s="109" t="s">
        <v>301</v>
      </c>
      <c r="F4" s="109" t="str">
        <f>LEFT(F5,FIND("_C",F5)-1)</f>
        <v>BH_036</v>
      </c>
      <c r="G4" s="109" t="s">
        <v>301</v>
      </c>
      <c r="H4" s="109" t="str">
        <f>LEFT(H5,FIND("_C",H5)-1)</f>
        <v>BH_079</v>
      </c>
      <c r="I4" s="109" t="s">
        <v>301</v>
      </c>
      <c r="J4" s="109" t="str">
        <f>LEFT(J5,FIND("_C",J5)-1)</f>
        <v>BH_083</v>
      </c>
      <c r="K4" s="109" t="s">
        <v>301</v>
      </c>
      <c r="L4" s="109" t="str">
        <f>LEFT(L5,FIND("_C",L5)-1)</f>
        <v>BH_084</v>
      </c>
      <c r="M4" s="109" t="s">
        <v>301</v>
      </c>
      <c r="N4" s="109" t="str">
        <f>LEFT(N5,FIND("_C",N5)-1)</f>
        <v>BH_088</v>
      </c>
      <c r="O4" s="109" t="s">
        <v>301</v>
      </c>
      <c r="P4" s="109" t="str">
        <f>LEFT(P5,FIND("_C",P5)-1)</f>
        <v>BH_094</v>
      </c>
      <c r="Q4" s="109" t="s">
        <v>301</v>
      </c>
      <c r="R4" s="109" t="str">
        <f>LEFT(R5,FIND("_C",R5)-1)</f>
        <v>BH_112</v>
      </c>
      <c r="S4" s="109" t="s">
        <v>301</v>
      </c>
      <c r="T4" s="109" t="str">
        <f>LEFT(T5,FIND("_C",T5)-1)</f>
        <v>BH_139</v>
      </c>
      <c r="U4" s="109" t="s">
        <v>301</v>
      </c>
      <c r="V4" s="109" t="str">
        <f>LEFT(V5,FIND("_C",V5)-1)</f>
        <v>BH_144</v>
      </c>
      <c r="W4" s="109" t="s">
        <v>301</v>
      </c>
    </row>
    <row r="5" spans="2:29" x14ac:dyDescent="0.25">
      <c r="B5" s="109" t="s">
        <v>4505</v>
      </c>
      <c r="D5" s="109" t="s">
        <v>4522</v>
      </c>
      <c r="F5" s="109" t="s">
        <v>4539</v>
      </c>
      <c r="H5" s="109" t="s">
        <v>4556</v>
      </c>
      <c r="J5" s="109" t="s">
        <v>4573</v>
      </c>
      <c r="L5" s="109" t="s">
        <v>4590</v>
      </c>
      <c r="N5" s="109" t="s">
        <v>4607</v>
      </c>
      <c r="P5" s="109" t="s">
        <v>4624</v>
      </c>
      <c r="R5" s="109" t="s">
        <v>4641</v>
      </c>
      <c r="T5" s="109" t="s">
        <v>4658</v>
      </c>
      <c r="V5" s="109" t="s">
        <v>4675</v>
      </c>
    </row>
    <row r="6" spans="2:29" x14ac:dyDescent="0.25">
      <c r="B6" s="109" t="s">
        <v>4506</v>
      </c>
      <c r="D6" s="109" t="s">
        <v>4523</v>
      </c>
      <c r="F6" s="109" t="s">
        <v>4540</v>
      </c>
      <c r="H6" s="109" t="s">
        <v>4557</v>
      </c>
      <c r="J6" s="109" t="s">
        <v>4574</v>
      </c>
      <c r="L6" s="109" t="s">
        <v>4591</v>
      </c>
      <c r="N6" s="109" t="s">
        <v>4608</v>
      </c>
      <c r="P6" s="109" t="s">
        <v>4625</v>
      </c>
      <c r="R6" s="109" t="s">
        <v>4642</v>
      </c>
      <c r="T6" s="109" t="s">
        <v>4659</v>
      </c>
      <c r="V6" s="109" t="s">
        <v>4676</v>
      </c>
    </row>
    <row r="7" spans="2:29" x14ac:dyDescent="0.25">
      <c r="B7" s="109" t="s">
        <v>4507</v>
      </c>
      <c r="D7" s="109" t="s">
        <v>4524</v>
      </c>
      <c r="F7" s="109" t="s">
        <v>4541</v>
      </c>
      <c r="H7" s="109" t="s">
        <v>4558</v>
      </c>
      <c r="J7" s="109" t="s">
        <v>4575</v>
      </c>
      <c r="L7" s="109" t="s">
        <v>4592</v>
      </c>
      <c r="N7" s="109" t="s">
        <v>4609</v>
      </c>
      <c r="P7" s="109" t="s">
        <v>4626</v>
      </c>
      <c r="R7" s="109" t="s">
        <v>4643</v>
      </c>
      <c r="T7" s="109" t="s">
        <v>4660</v>
      </c>
      <c r="V7" s="109" t="s">
        <v>4677</v>
      </c>
    </row>
    <row r="8" spans="2:29" x14ac:dyDescent="0.25">
      <c r="B8" s="109" t="s">
        <v>4508</v>
      </c>
      <c r="D8" s="109" t="s">
        <v>4525</v>
      </c>
      <c r="F8" s="109" t="s">
        <v>4542</v>
      </c>
      <c r="H8" s="109" t="s">
        <v>4559</v>
      </c>
      <c r="J8" s="109" t="s">
        <v>4576</v>
      </c>
      <c r="L8" s="109" t="s">
        <v>4593</v>
      </c>
      <c r="N8" s="109" t="s">
        <v>4610</v>
      </c>
      <c r="P8" s="109" t="s">
        <v>4627</v>
      </c>
      <c r="R8" s="109" t="s">
        <v>4644</v>
      </c>
      <c r="T8" s="109" t="s">
        <v>4661</v>
      </c>
      <c r="V8" s="109" t="s">
        <v>4678</v>
      </c>
    </row>
    <row r="9" spans="2:29" x14ac:dyDescent="0.25">
      <c r="B9" s="109" t="s">
        <v>4509</v>
      </c>
      <c r="D9" s="109" t="s">
        <v>4526</v>
      </c>
      <c r="F9" s="109" t="s">
        <v>4543</v>
      </c>
      <c r="H9" s="109" t="s">
        <v>4560</v>
      </c>
      <c r="J9" s="109" t="s">
        <v>4577</v>
      </c>
      <c r="L9" s="109" t="s">
        <v>4594</v>
      </c>
      <c r="N9" s="109" t="s">
        <v>4611</v>
      </c>
      <c r="P9" s="109" t="s">
        <v>4628</v>
      </c>
      <c r="R9" s="109" t="s">
        <v>4645</v>
      </c>
      <c r="T9" s="109" t="s">
        <v>4662</v>
      </c>
      <c r="V9" s="109" t="s">
        <v>4679</v>
      </c>
    </row>
    <row r="10" spans="2:29" x14ac:dyDescent="0.25">
      <c r="B10" s="109" t="s">
        <v>4510</v>
      </c>
      <c r="D10" s="109" t="s">
        <v>4527</v>
      </c>
      <c r="F10" s="109" t="s">
        <v>4544</v>
      </c>
      <c r="H10" s="109" t="s">
        <v>4561</v>
      </c>
      <c r="J10" s="109" t="s">
        <v>4578</v>
      </c>
      <c r="L10" s="109" t="s">
        <v>4595</v>
      </c>
      <c r="N10" s="109" t="s">
        <v>4612</v>
      </c>
      <c r="P10" s="109" t="s">
        <v>4629</v>
      </c>
      <c r="R10" s="109" t="s">
        <v>4646</v>
      </c>
      <c r="T10" s="109" t="s">
        <v>4663</v>
      </c>
      <c r="V10" s="109" t="s">
        <v>4680</v>
      </c>
    </row>
    <row r="11" spans="2:29" x14ac:dyDescent="0.25">
      <c r="B11" s="109" t="s">
        <v>4511</v>
      </c>
      <c r="D11" s="109" t="s">
        <v>4528</v>
      </c>
      <c r="F11" s="109" t="s">
        <v>4545</v>
      </c>
      <c r="H11" s="109" t="s">
        <v>4562</v>
      </c>
      <c r="J11" s="109" t="s">
        <v>4579</v>
      </c>
      <c r="L11" s="109" t="s">
        <v>4596</v>
      </c>
      <c r="N11" s="109" t="s">
        <v>4613</v>
      </c>
      <c r="P11" s="109" t="s">
        <v>4630</v>
      </c>
      <c r="R11" s="109" t="s">
        <v>4647</v>
      </c>
      <c r="T11" s="109" t="s">
        <v>4664</v>
      </c>
      <c r="V11" s="109" t="s">
        <v>4681</v>
      </c>
    </row>
    <row r="12" spans="2:29" x14ac:dyDescent="0.25">
      <c r="B12" s="109" t="s">
        <v>4512</v>
      </c>
      <c r="D12" s="109" t="s">
        <v>4529</v>
      </c>
      <c r="F12" s="109" t="s">
        <v>4546</v>
      </c>
      <c r="H12" s="109" t="s">
        <v>4563</v>
      </c>
      <c r="J12" s="109" t="s">
        <v>4580</v>
      </c>
      <c r="L12" s="109" t="s">
        <v>4597</v>
      </c>
      <c r="N12" s="109" t="s">
        <v>4614</v>
      </c>
      <c r="P12" s="109" t="s">
        <v>4631</v>
      </c>
      <c r="R12" s="109" t="s">
        <v>4648</v>
      </c>
      <c r="T12" s="109" t="s">
        <v>4665</v>
      </c>
      <c r="V12" s="109" t="s">
        <v>4682</v>
      </c>
    </row>
    <row r="13" spans="2:29" x14ac:dyDescent="0.25">
      <c r="B13" s="109" t="s">
        <v>4513</v>
      </c>
      <c r="D13" s="109" t="s">
        <v>4530</v>
      </c>
      <c r="F13" s="109" t="s">
        <v>4547</v>
      </c>
      <c r="H13" s="109" t="s">
        <v>4564</v>
      </c>
      <c r="J13" s="109" t="s">
        <v>4581</v>
      </c>
      <c r="L13" s="109" t="s">
        <v>4598</v>
      </c>
      <c r="N13" s="109" t="s">
        <v>4615</v>
      </c>
      <c r="P13" s="109" t="s">
        <v>4632</v>
      </c>
      <c r="R13" s="109" t="s">
        <v>4649</v>
      </c>
      <c r="T13" s="109" t="s">
        <v>4666</v>
      </c>
      <c r="V13" s="109" t="s">
        <v>4683</v>
      </c>
    </row>
    <row r="14" spans="2:29" x14ac:dyDescent="0.25">
      <c r="B14" s="109" t="s">
        <v>4514</v>
      </c>
      <c r="D14" s="109" t="s">
        <v>4531</v>
      </c>
      <c r="F14" s="109" t="s">
        <v>4548</v>
      </c>
      <c r="H14" s="109" t="s">
        <v>4565</v>
      </c>
      <c r="J14" s="109" t="s">
        <v>4582</v>
      </c>
      <c r="L14" s="109" t="s">
        <v>4599</v>
      </c>
      <c r="N14" s="109" t="s">
        <v>4616</v>
      </c>
      <c r="P14" s="109" t="s">
        <v>4633</v>
      </c>
      <c r="R14" s="109" t="s">
        <v>4650</v>
      </c>
      <c r="T14" s="109" t="s">
        <v>4667</v>
      </c>
      <c r="V14" s="109" t="s">
        <v>4684</v>
      </c>
    </row>
    <row r="15" spans="2:29" x14ac:dyDescent="0.25">
      <c r="B15" s="109" t="s">
        <v>4515</v>
      </c>
      <c r="D15" s="109" t="s">
        <v>4532</v>
      </c>
      <c r="F15" s="109" t="s">
        <v>4549</v>
      </c>
      <c r="H15" s="109" t="s">
        <v>4566</v>
      </c>
      <c r="J15" s="109" t="s">
        <v>4583</v>
      </c>
      <c r="L15" s="109" t="s">
        <v>4600</v>
      </c>
      <c r="N15" s="109" t="s">
        <v>4617</v>
      </c>
      <c r="P15" s="109" t="s">
        <v>4634</v>
      </c>
      <c r="R15" s="109" t="s">
        <v>4651</v>
      </c>
      <c r="T15" s="109" t="s">
        <v>4668</v>
      </c>
      <c r="V15" s="109" t="s">
        <v>4685</v>
      </c>
    </row>
    <row r="16" spans="2:29" x14ac:dyDescent="0.25">
      <c r="B16" s="109" t="s">
        <v>4516</v>
      </c>
      <c r="D16" s="109" t="s">
        <v>4533</v>
      </c>
      <c r="F16" s="109" t="s">
        <v>4550</v>
      </c>
      <c r="H16" s="109" t="s">
        <v>4567</v>
      </c>
      <c r="J16" s="109" t="s">
        <v>4584</v>
      </c>
      <c r="L16" s="109" t="s">
        <v>4601</v>
      </c>
      <c r="N16" s="109" t="s">
        <v>4618</v>
      </c>
      <c r="P16" s="109" t="s">
        <v>4635</v>
      </c>
      <c r="R16" s="109" t="s">
        <v>4652</v>
      </c>
      <c r="T16" s="109" t="s">
        <v>4669</v>
      </c>
      <c r="V16" s="109" t="s">
        <v>4686</v>
      </c>
    </row>
    <row r="17" spans="1:47" x14ac:dyDescent="0.25">
      <c r="B17" s="109" t="s">
        <v>4517</v>
      </c>
      <c r="D17" s="109" t="s">
        <v>4534</v>
      </c>
      <c r="F17" s="109" t="s">
        <v>4551</v>
      </c>
      <c r="H17" s="109" t="s">
        <v>4568</v>
      </c>
      <c r="J17" s="109" t="s">
        <v>4585</v>
      </c>
      <c r="L17" s="109" t="s">
        <v>4602</v>
      </c>
      <c r="N17" s="109" t="s">
        <v>4619</v>
      </c>
      <c r="P17" s="109" t="s">
        <v>4636</v>
      </c>
      <c r="R17" s="109" t="s">
        <v>4653</v>
      </c>
      <c r="T17" s="109" t="s">
        <v>4670</v>
      </c>
      <c r="V17" s="109" t="s">
        <v>4687</v>
      </c>
    </row>
    <row r="18" spans="1:47" x14ac:dyDescent="0.25">
      <c r="B18" s="109" t="s">
        <v>4518</v>
      </c>
      <c r="D18" s="109" t="s">
        <v>4535</v>
      </c>
      <c r="F18" s="109" t="s">
        <v>4552</v>
      </c>
      <c r="H18" s="109" t="s">
        <v>4569</v>
      </c>
      <c r="J18" s="109" t="s">
        <v>4586</v>
      </c>
      <c r="L18" s="109" t="s">
        <v>4603</v>
      </c>
      <c r="N18" s="109" t="s">
        <v>4620</v>
      </c>
      <c r="P18" s="109" t="s">
        <v>4637</v>
      </c>
      <c r="R18" s="109" t="s">
        <v>4654</v>
      </c>
      <c r="T18" s="109" t="s">
        <v>4671</v>
      </c>
      <c r="V18" s="109" t="s">
        <v>4688</v>
      </c>
    </row>
    <row r="19" spans="1:47" x14ac:dyDescent="0.25">
      <c r="B19" s="109" t="s">
        <v>4519</v>
      </c>
      <c r="D19" s="109" t="s">
        <v>4536</v>
      </c>
      <c r="F19" s="109" t="s">
        <v>4553</v>
      </c>
      <c r="H19" s="109" t="s">
        <v>4570</v>
      </c>
      <c r="J19" s="109" t="s">
        <v>4587</v>
      </c>
      <c r="L19" s="109" t="s">
        <v>4604</v>
      </c>
      <c r="N19" s="109" t="s">
        <v>4621</v>
      </c>
      <c r="P19" s="109" t="s">
        <v>4638</v>
      </c>
      <c r="R19" s="109" t="s">
        <v>4655</v>
      </c>
      <c r="T19" s="109" t="s">
        <v>4672</v>
      </c>
      <c r="V19" s="109" t="s">
        <v>4689</v>
      </c>
    </row>
    <row r="20" spans="1:47" x14ac:dyDescent="0.25">
      <c r="B20" s="109" t="s">
        <v>4520</v>
      </c>
      <c r="D20" s="109" t="s">
        <v>4537</v>
      </c>
      <c r="F20" s="109" t="s">
        <v>4554</v>
      </c>
      <c r="H20" s="109" t="s">
        <v>4571</v>
      </c>
      <c r="J20" s="109" t="s">
        <v>4588</v>
      </c>
      <c r="L20" s="109" t="s">
        <v>4605</v>
      </c>
      <c r="N20" s="109" t="s">
        <v>4622</v>
      </c>
      <c r="P20" s="109" t="s">
        <v>4639</v>
      </c>
      <c r="R20" s="109" t="s">
        <v>4656</v>
      </c>
      <c r="T20" s="109" t="s">
        <v>4673</v>
      </c>
      <c r="V20" s="109" t="s">
        <v>4690</v>
      </c>
    </row>
    <row r="21" spans="1:47" x14ac:dyDescent="0.25">
      <c r="B21" s="109" t="s">
        <v>4521</v>
      </c>
      <c r="D21" s="109" t="s">
        <v>4538</v>
      </c>
      <c r="F21" s="109" t="s">
        <v>4555</v>
      </c>
      <c r="H21" s="109" t="s">
        <v>4572</v>
      </c>
      <c r="J21" s="109" t="s">
        <v>4589</v>
      </c>
      <c r="L21" s="109" t="s">
        <v>4606</v>
      </c>
      <c r="N21" s="109" t="s">
        <v>4623</v>
      </c>
      <c r="P21" s="109" t="s">
        <v>4640</v>
      </c>
      <c r="R21" s="109" t="s">
        <v>4657</v>
      </c>
      <c r="T21" s="109" t="s">
        <v>4674</v>
      </c>
      <c r="V21" s="109" t="s">
        <v>4691</v>
      </c>
    </row>
    <row r="22" spans="1:47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0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0</v>
      </c>
      <c r="L22" s="109">
        <f t="shared" ref="L22" si="5">COUNTIF(L5:L21,"&lt;&gt;")</f>
        <v>17</v>
      </c>
      <c r="M22" s="109">
        <f>COUNTIF(M5:M21,"Y")</f>
        <v>0</v>
      </c>
      <c r="N22" s="109">
        <f t="shared" ref="N22" si="6">COUNTIF(N5:N21,"&lt;&gt;")</f>
        <v>17</v>
      </c>
      <c r="O22" s="109">
        <f>COUNTIF(O5:O21,"Y")</f>
        <v>0</v>
      </c>
      <c r="P22" s="109">
        <f t="shared" ref="P22" si="7">COUNTIF(P5:P21,"&lt;&gt;")</f>
        <v>17</v>
      </c>
      <c r="Q22" s="109">
        <f>COUNTIF(Q5:Q21,"Y")</f>
        <v>0</v>
      </c>
      <c r="R22" s="109">
        <f t="shared" ref="R22" si="8">COUNTIF(R5:R21,"&lt;&gt;")</f>
        <v>17</v>
      </c>
      <c r="S22" s="109">
        <f>COUNTIF(S5:S21,"Y")</f>
        <v>0</v>
      </c>
      <c r="T22" s="109">
        <f t="shared" ref="T22" si="9">COUNTIF(T5:T21,"&lt;&gt;")</f>
        <v>17</v>
      </c>
      <c r="U22" s="109">
        <f>COUNTIF(U5:U21,"Y")</f>
        <v>0</v>
      </c>
      <c r="V22" s="109">
        <f t="shared" ref="V22" si="10">COUNTIF(V5:V21,"&lt;&gt;")</f>
        <v>17</v>
      </c>
      <c r="W22" s="109">
        <f>COUNTIF(W5:W21,"Y")</f>
        <v>0</v>
      </c>
    </row>
    <row r="24" spans="1:47" x14ac:dyDescent="0.25">
      <c r="B24" s="109" t="s">
        <v>4970</v>
      </c>
      <c r="C24" s="109" t="s">
        <v>302</v>
      </c>
      <c r="D24" s="109">
        <f>SUM(B38,D38,F38,H38,J38,L38,N38,P38,R38,T38,V38,X38,Z38,AB38,AD38,AF38,AH38,AJ38,AL38,AN38,AP38,AR38,AT38)</f>
        <v>276</v>
      </c>
      <c r="E24" s="109" t="s">
        <v>301</v>
      </c>
      <c r="F24" s="109">
        <f>SUM(C38,E38,G38,I38,K38,M38,O38,Q38,S38,U38,W38,Y38,AA38,AC38,AE38,AG38,AI38,AK38,AM38,AO38,AQ38,AS38,AU38)</f>
        <v>0</v>
      </c>
      <c r="G24" s="109" t="s">
        <v>305</v>
      </c>
      <c r="H24" s="109">
        <f>D24-F24</f>
        <v>276</v>
      </c>
    </row>
    <row r="25" spans="1:47" x14ac:dyDescent="0.25">
      <c r="B25" s="109" t="str">
        <f>LEFT(B26,FIND("_P",B26)-1)</f>
        <v>CPT_075</v>
      </c>
      <c r="C25" s="109" t="s">
        <v>301</v>
      </c>
      <c r="D25" s="109" t="str">
        <f t="shared" ref="D25" si="11">LEFT(D26,FIND("_P",D26)-1)</f>
        <v>CPT_080</v>
      </c>
      <c r="E25" s="109" t="s">
        <v>301</v>
      </c>
      <c r="F25" s="109" t="str">
        <f t="shared" ref="F25" si="12">LEFT(F26,FIND("_P",F26)-1)</f>
        <v>CPT_082</v>
      </c>
      <c r="G25" s="109" t="s">
        <v>301</v>
      </c>
      <c r="H25" s="109" t="str">
        <f t="shared" ref="H25" si="13">LEFT(H26,FIND("_P",H26)-1)</f>
        <v>CPT_091</v>
      </c>
      <c r="I25" s="109" t="s">
        <v>301</v>
      </c>
      <c r="J25" s="109" t="str">
        <f t="shared" ref="J25" si="14">LEFT(J26,FIND("_P",J26)-1)</f>
        <v>CPT_093</v>
      </c>
      <c r="K25" s="109" t="s">
        <v>301</v>
      </c>
      <c r="L25" s="109" t="str">
        <f t="shared" ref="L25" si="15">LEFT(L26,FIND("_P",L26)-1)</f>
        <v>CPT_100</v>
      </c>
      <c r="M25" s="109" t="s">
        <v>301</v>
      </c>
      <c r="N25" s="109" t="str">
        <f t="shared" ref="N25" si="16">LEFT(N26,FIND("_P",N26)-1)</f>
        <v>CPT_126</v>
      </c>
      <c r="O25" s="109" t="s">
        <v>301</v>
      </c>
      <c r="P25" s="109" t="str">
        <f t="shared" ref="P25" si="17">LEFT(P26,FIND("_P",P26)-1)</f>
        <v>CPT_135</v>
      </c>
      <c r="Q25" s="109" t="s">
        <v>301</v>
      </c>
      <c r="R25" s="109" t="str">
        <f t="shared" ref="R25" si="18">LEFT(R26,FIND("_P",R26)-1)</f>
        <v>CPT_139</v>
      </c>
      <c r="S25" s="109" t="s">
        <v>301</v>
      </c>
      <c r="T25" s="109" t="str">
        <f t="shared" ref="T25" si="19">LEFT(T26,FIND("_P",T26)-1)</f>
        <v>CPT_142</v>
      </c>
      <c r="U25" s="109" t="s">
        <v>301</v>
      </c>
      <c r="V25" s="109" t="str">
        <f t="shared" ref="V25" si="20">LEFT(V26,FIND("_P",V26)-1)</f>
        <v>CPT_161</v>
      </c>
      <c r="W25" s="109" t="s">
        <v>301</v>
      </c>
      <c r="X25" s="109" t="str">
        <f t="shared" ref="X25" si="21">LEFT(X26,FIND("_P",X26)-1)</f>
        <v>CPT_178</v>
      </c>
      <c r="Y25" s="109" t="s">
        <v>301</v>
      </c>
      <c r="Z25" s="109" t="str">
        <f t="shared" ref="Z25" si="22">LEFT(Z26,FIND("_P",Z26)-1)</f>
        <v>CPT_201</v>
      </c>
      <c r="AA25" s="109" t="s">
        <v>301</v>
      </c>
      <c r="AB25" s="109" t="str">
        <f t="shared" ref="AB25" si="23">LEFT(AB26,FIND("_P",AB26)-1)</f>
        <v>CPT_204</v>
      </c>
      <c r="AC25" s="109" t="s">
        <v>301</v>
      </c>
      <c r="AD25" s="109" t="str">
        <f t="shared" ref="AD25" si="24">LEFT(AD26,FIND("_P",AD26)-1)</f>
        <v>CPT_209</v>
      </c>
      <c r="AE25" s="109" t="s">
        <v>301</v>
      </c>
      <c r="AF25" s="109" t="str">
        <f t="shared" ref="AF25" si="25">LEFT(AF26,FIND("_P",AF26)-1)</f>
        <v>CPT_236</v>
      </c>
      <c r="AG25" s="109" t="s">
        <v>301</v>
      </c>
      <c r="AH25" s="109" t="str">
        <f t="shared" ref="AH25" si="26">LEFT(AH26,FIND("_P",AH26)-1)</f>
        <v>CPT_264</v>
      </c>
      <c r="AI25" s="109" t="s">
        <v>301</v>
      </c>
      <c r="AJ25" s="109" t="str">
        <f t="shared" ref="AJ25" si="27">LEFT(AJ26,FIND("_P",AJ26)-1)</f>
        <v>CPT_275</v>
      </c>
      <c r="AK25" s="109" t="s">
        <v>301</v>
      </c>
      <c r="AL25" s="109" t="str">
        <f t="shared" ref="AL25" si="28">LEFT(AL26,FIND("_P",AL26)-1)</f>
        <v>CPT_284</v>
      </c>
      <c r="AM25" s="109" t="s">
        <v>301</v>
      </c>
      <c r="AN25" s="109" t="str">
        <f t="shared" ref="AN25" si="29">LEFT(AN26,FIND("_P",AN26)-1)</f>
        <v>CPT_290</v>
      </c>
      <c r="AO25" s="109" t="s">
        <v>301</v>
      </c>
      <c r="AP25" s="109" t="str">
        <f t="shared" ref="AP25" si="30">LEFT(AP26,FIND("_P",AP26)-1)</f>
        <v>CPT_294</v>
      </c>
      <c r="AQ25" s="109" t="s">
        <v>301</v>
      </c>
      <c r="AR25" s="109" t="str">
        <f t="shared" ref="AR25" si="31">LEFT(AR26,FIND("_P",AR26)-1)</f>
        <v>CPT_314</v>
      </c>
      <c r="AS25" s="109" t="s">
        <v>301</v>
      </c>
      <c r="AT25" s="109" t="str">
        <f t="shared" ref="AT25" si="32">LEFT(AT26,FIND("_P",AT26)-1)</f>
        <v>CPT_334</v>
      </c>
      <c r="AU25" s="109" t="s">
        <v>301</v>
      </c>
    </row>
    <row r="26" spans="1:47" x14ac:dyDescent="0.25">
      <c r="B26" s="109" t="s">
        <v>4692</v>
      </c>
      <c r="D26" s="109" t="s">
        <v>4704</v>
      </c>
      <c r="F26" s="109" t="s">
        <v>4716</v>
      </c>
      <c r="H26" s="109" t="s">
        <v>4728</v>
      </c>
      <c r="J26" s="109" t="s">
        <v>4740</v>
      </c>
      <c r="L26" s="109" t="s">
        <v>4752</v>
      </c>
      <c r="N26" s="109" t="s">
        <v>4764</v>
      </c>
      <c r="P26" s="109" t="s">
        <v>4776</v>
      </c>
      <c r="R26" s="109" t="s">
        <v>4788</v>
      </c>
      <c r="T26" s="109" t="s">
        <v>4800</v>
      </c>
      <c r="V26" s="109" t="s">
        <v>4812</v>
      </c>
      <c r="X26" s="109" t="s">
        <v>4824</v>
      </c>
      <c r="Z26" s="109" t="s">
        <v>4836</v>
      </c>
      <c r="AB26" s="109" t="s">
        <v>4848</v>
      </c>
      <c r="AD26" s="109" t="s">
        <v>4860</v>
      </c>
      <c r="AF26" s="109" t="s">
        <v>4872</v>
      </c>
      <c r="AH26" s="109" t="s">
        <v>4884</v>
      </c>
      <c r="AJ26" s="109" t="s">
        <v>4896</v>
      </c>
      <c r="AL26" s="109" t="s">
        <v>4908</v>
      </c>
      <c r="AN26" s="109" t="s">
        <v>4920</v>
      </c>
      <c r="AP26" s="109" t="s">
        <v>4932</v>
      </c>
      <c r="AR26" s="109" t="s">
        <v>4944</v>
      </c>
      <c r="AT26" s="109" t="s">
        <v>4956</v>
      </c>
    </row>
    <row r="27" spans="1:47" x14ac:dyDescent="0.25">
      <c r="B27" s="109" t="s">
        <v>4693</v>
      </c>
      <c r="D27" s="109" t="s">
        <v>4705</v>
      </c>
      <c r="F27" s="109" t="s">
        <v>4717</v>
      </c>
      <c r="H27" s="109" t="s">
        <v>4729</v>
      </c>
      <c r="J27" s="109" t="s">
        <v>4741</v>
      </c>
      <c r="L27" s="109" t="s">
        <v>4753</v>
      </c>
      <c r="N27" s="109" t="s">
        <v>4765</v>
      </c>
      <c r="P27" s="109" t="s">
        <v>4777</v>
      </c>
      <c r="R27" s="109" t="s">
        <v>4789</v>
      </c>
      <c r="T27" s="109" t="s">
        <v>4801</v>
      </c>
      <c r="V27" s="109" t="s">
        <v>4813</v>
      </c>
      <c r="X27" s="109" t="s">
        <v>4825</v>
      </c>
      <c r="Z27" s="109" t="s">
        <v>4837</v>
      </c>
      <c r="AB27" s="109" t="s">
        <v>4849</v>
      </c>
      <c r="AD27" s="109" t="s">
        <v>4861</v>
      </c>
      <c r="AF27" s="109" t="s">
        <v>4873</v>
      </c>
      <c r="AH27" s="109" t="s">
        <v>4885</v>
      </c>
      <c r="AJ27" s="109" t="s">
        <v>4897</v>
      </c>
      <c r="AL27" s="109" t="s">
        <v>4909</v>
      </c>
      <c r="AN27" s="109" t="s">
        <v>4921</v>
      </c>
      <c r="AP27" s="109" t="s">
        <v>4933</v>
      </c>
      <c r="AR27" s="109" t="s">
        <v>4945</v>
      </c>
      <c r="AT27" s="109" t="s">
        <v>4957</v>
      </c>
    </row>
    <row r="28" spans="1:47" x14ac:dyDescent="0.25">
      <c r="B28" s="109" t="s">
        <v>4694</v>
      </c>
      <c r="D28" s="109" t="s">
        <v>4706</v>
      </c>
      <c r="F28" s="109" t="s">
        <v>4718</v>
      </c>
      <c r="H28" s="109" t="s">
        <v>4730</v>
      </c>
      <c r="J28" s="109" t="s">
        <v>4742</v>
      </c>
      <c r="L28" s="109" t="s">
        <v>4754</v>
      </c>
      <c r="N28" s="109" t="s">
        <v>4766</v>
      </c>
      <c r="P28" s="109" t="s">
        <v>4778</v>
      </c>
      <c r="R28" s="109" t="s">
        <v>4790</v>
      </c>
      <c r="T28" s="109" t="s">
        <v>4802</v>
      </c>
      <c r="V28" s="109" t="s">
        <v>4814</v>
      </c>
      <c r="X28" s="109" t="s">
        <v>4826</v>
      </c>
      <c r="Z28" s="109" t="s">
        <v>4838</v>
      </c>
      <c r="AB28" s="109" t="s">
        <v>4850</v>
      </c>
      <c r="AD28" s="109" t="s">
        <v>4862</v>
      </c>
      <c r="AF28" s="109" t="s">
        <v>4874</v>
      </c>
      <c r="AH28" s="109" t="s">
        <v>4886</v>
      </c>
      <c r="AJ28" s="109" t="s">
        <v>4898</v>
      </c>
      <c r="AL28" s="109" t="s">
        <v>4910</v>
      </c>
      <c r="AN28" s="109" t="s">
        <v>4922</v>
      </c>
      <c r="AP28" s="109" t="s">
        <v>4934</v>
      </c>
      <c r="AR28" s="109" t="s">
        <v>4946</v>
      </c>
      <c r="AT28" s="109" t="s">
        <v>4958</v>
      </c>
    </row>
    <row r="29" spans="1:47" x14ac:dyDescent="0.25">
      <c r="B29" s="109" t="s">
        <v>4695</v>
      </c>
      <c r="D29" s="109" t="s">
        <v>4707</v>
      </c>
      <c r="F29" s="109" t="s">
        <v>4719</v>
      </c>
      <c r="H29" s="109" t="s">
        <v>4731</v>
      </c>
      <c r="J29" s="109" t="s">
        <v>4743</v>
      </c>
      <c r="L29" s="109" t="s">
        <v>4755</v>
      </c>
      <c r="N29" s="109" t="s">
        <v>4767</v>
      </c>
      <c r="P29" s="109" t="s">
        <v>4779</v>
      </c>
      <c r="R29" s="109" t="s">
        <v>4791</v>
      </c>
      <c r="T29" s="109" t="s">
        <v>4803</v>
      </c>
      <c r="V29" s="109" t="s">
        <v>4815</v>
      </c>
      <c r="X29" s="109" t="s">
        <v>4827</v>
      </c>
      <c r="Z29" s="109" t="s">
        <v>4839</v>
      </c>
      <c r="AB29" s="109" t="s">
        <v>4851</v>
      </c>
      <c r="AD29" s="109" t="s">
        <v>4863</v>
      </c>
      <c r="AF29" s="109" t="s">
        <v>4875</v>
      </c>
      <c r="AH29" s="109" t="s">
        <v>4887</v>
      </c>
      <c r="AJ29" s="109" t="s">
        <v>4899</v>
      </c>
      <c r="AL29" s="109" t="s">
        <v>4911</v>
      </c>
      <c r="AN29" s="109" t="s">
        <v>4923</v>
      </c>
      <c r="AP29" s="109" t="s">
        <v>4935</v>
      </c>
      <c r="AR29" s="109" t="s">
        <v>4947</v>
      </c>
      <c r="AT29" s="109" t="s">
        <v>4959</v>
      </c>
    </row>
    <row r="30" spans="1:47" x14ac:dyDescent="0.25">
      <c r="B30" s="109" t="s">
        <v>4696</v>
      </c>
      <c r="D30" s="109" t="s">
        <v>4708</v>
      </c>
      <c r="F30" s="109" t="s">
        <v>4720</v>
      </c>
      <c r="H30" s="109" t="s">
        <v>4732</v>
      </c>
      <c r="J30" s="109" t="s">
        <v>4744</v>
      </c>
      <c r="L30" s="109" t="s">
        <v>4756</v>
      </c>
      <c r="N30" s="109" t="s">
        <v>4768</v>
      </c>
      <c r="P30" s="109" t="s">
        <v>4780</v>
      </c>
      <c r="R30" s="109" t="s">
        <v>4792</v>
      </c>
      <c r="T30" s="109" t="s">
        <v>4804</v>
      </c>
      <c r="V30" s="109" t="s">
        <v>4816</v>
      </c>
      <c r="X30" s="109" t="s">
        <v>4828</v>
      </c>
      <c r="Z30" s="109" t="s">
        <v>4840</v>
      </c>
      <c r="AB30" s="109" t="s">
        <v>4852</v>
      </c>
      <c r="AD30" s="109" t="s">
        <v>4864</v>
      </c>
      <c r="AF30" s="109" t="s">
        <v>4876</v>
      </c>
      <c r="AH30" s="109" t="s">
        <v>4888</v>
      </c>
      <c r="AJ30" s="109" t="s">
        <v>4900</v>
      </c>
      <c r="AL30" s="109" t="s">
        <v>4912</v>
      </c>
      <c r="AN30" s="109" t="s">
        <v>4924</v>
      </c>
      <c r="AP30" s="109" t="s">
        <v>4936</v>
      </c>
      <c r="AR30" s="109" t="s">
        <v>4948</v>
      </c>
      <c r="AT30" s="109" t="s">
        <v>4960</v>
      </c>
    </row>
    <row r="31" spans="1:47" x14ac:dyDescent="0.25">
      <c r="B31" s="109" t="s">
        <v>4697</v>
      </c>
      <c r="D31" s="109" t="s">
        <v>4709</v>
      </c>
      <c r="F31" s="109" t="s">
        <v>4721</v>
      </c>
      <c r="H31" s="109" t="s">
        <v>4733</v>
      </c>
      <c r="J31" s="109" t="s">
        <v>4745</v>
      </c>
      <c r="L31" s="109" t="s">
        <v>4757</v>
      </c>
      <c r="N31" s="109" t="s">
        <v>4769</v>
      </c>
      <c r="P31" s="109" t="s">
        <v>4781</v>
      </c>
      <c r="R31" s="109" t="s">
        <v>4793</v>
      </c>
      <c r="T31" s="109" t="s">
        <v>4805</v>
      </c>
      <c r="V31" s="109" t="s">
        <v>4817</v>
      </c>
      <c r="X31" s="109" t="s">
        <v>4829</v>
      </c>
      <c r="Z31" s="109" t="s">
        <v>4841</v>
      </c>
      <c r="AB31" s="109" t="s">
        <v>4853</v>
      </c>
      <c r="AD31" s="109" t="s">
        <v>4865</v>
      </c>
      <c r="AF31" s="109" t="s">
        <v>4877</v>
      </c>
      <c r="AH31" s="109" t="s">
        <v>4889</v>
      </c>
      <c r="AJ31" s="109" t="s">
        <v>4901</v>
      </c>
      <c r="AL31" s="109" t="s">
        <v>4913</v>
      </c>
      <c r="AN31" s="109" t="s">
        <v>4925</v>
      </c>
      <c r="AP31" s="109" t="s">
        <v>4937</v>
      </c>
      <c r="AR31" s="109" t="s">
        <v>4949</v>
      </c>
      <c r="AT31" s="109" t="s">
        <v>4961</v>
      </c>
    </row>
    <row r="32" spans="1:47" x14ac:dyDescent="0.25">
      <c r="B32" s="109" t="s">
        <v>4698</v>
      </c>
      <c r="D32" s="109" t="s">
        <v>4710</v>
      </c>
      <c r="F32" s="109" t="s">
        <v>4722</v>
      </c>
      <c r="H32" s="109" t="s">
        <v>4734</v>
      </c>
      <c r="J32" s="109" t="s">
        <v>4746</v>
      </c>
      <c r="L32" s="109" t="s">
        <v>4758</v>
      </c>
      <c r="N32" s="109" t="s">
        <v>4770</v>
      </c>
      <c r="P32" s="109" t="s">
        <v>4782</v>
      </c>
      <c r="R32" s="109" t="s">
        <v>4794</v>
      </c>
      <c r="T32" s="109" t="s">
        <v>4806</v>
      </c>
      <c r="V32" s="109" t="s">
        <v>4818</v>
      </c>
      <c r="X32" s="109" t="s">
        <v>4830</v>
      </c>
      <c r="Z32" s="109" t="s">
        <v>4842</v>
      </c>
      <c r="AB32" s="109" t="s">
        <v>4854</v>
      </c>
      <c r="AD32" s="109" t="s">
        <v>4866</v>
      </c>
      <c r="AF32" s="109" t="s">
        <v>4878</v>
      </c>
      <c r="AH32" s="109" t="s">
        <v>4890</v>
      </c>
      <c r="AJ32" s="109" t="s">
        <v>4902</v>
      </c>
      <c r="AL32" s="109" t="s">
        <v>4914</v>
      </c>
      <c r="AN32" s="109" t="s">
        <v>4926</v>
      </c>
      <c r="AP32" s="109" t="s">
        <v>4938</v>
      </c>
      <c r="AR32" s="109" t="s">
        <v>4950</v>
      </c>
      <c r="AT32" s="109" t="s">
        <v>4962</v>
      </c>
    </row>
    <row r="33" spans="1:47" x14ac:dyDescent="0.25">
      <c r="B33" s="109" t="s">
        <v>4699</v>
      </c>
      <c r="D33" s="109" t="s">
        <v>4711</v>
      </c>
      <c r="F33" s="109" t="s">
        <v>4723</v>
      </c>
      <c r="H33" s="109" t="s">
        <v>4735</v>
      </c>
      <c r="J33" s="109" t="s">
        <v>4747</v>
      </c>
      <c r="L33" s="109" t="s">
        <v>4759</v>
      </c>
      <c r="N33" s="109" t="s">
        <v>4771</v>
      </c>
      <c r="P33" s="109" t="s">
        <v>4783</v>
      </c>
      <c r="R33" s="109" t="s">
        <v>4795</v>
      </c>
      <c r="T33" s="109" t="s">
        <v>4807</v>
      </c>
      <c r="V33" s="109" t="s">
        <v>4819</v>
      </c>
      <c r="X33" s="109" t="s">
        <v>4831</v>
      </c>
      <c r="Z33" s="109" t="s">
        <v>4843</v>
      </c>
      <c r="AB33" s="109" t="s">
        <v>4855</v>
      </c>
      <c r="AD33" s="109" t="s">
        <v>4867</v>
      </c>
      <c r="AF33" s="109" t="s">
        <v>4879</v>
      </c>
      <c r="AH33" s="109" t="s">
        <v>4891</v>
      </c>
      <c r="AJ33" s="109" t="s">
        <v>4903</v>
      </c>
      <c r="AL33" s="109" t="s">
        <v>4915</v>
      </c>
      <c r="AN33" s="109" t="s">
        <v>4927</v>
      </c>
      <c r="AP33" s="109" t="s">
        <v>4939</v>
      </c>
      <c r="AR33" s="109" t="s">
        <v>4951</v>
      </c>
      <c r="AT33" s="109" t="s">
        <v>4963</v>
      </c>
    </row>
    <row r="34" spans="1:47" x14ac:dyDescent="0.25">
      <c r="B34" s="109" t="s">
        <v>4700</v>
      </c>
      <c r="D34" s="109" t="s">
        <v>4712</v>
      </c>
      <c r="F34" s="109" t="s">
        <v>4724</v>
      </c>
      <c r="H34" s="109" t="s">
        <v>4736</v>
      </c>
      <c r="J34" s="109" t="s">
        <v>4748</v>
      </c>
      <c r="L34" s="109" t="s">
        <v>4760</v>
      </c>
      <c r="N34" s="109" t="s">
        <v>4772</v>
      </c>
      <c r="P34" s="109" t="s">
        <v>4784</v>
      </c>
      <c r="R34" s="109" t="s">
        <v>4796</v>
      </c>
      <c r="T34" s="109" t="s">
        <v>4808</v>
      </c>
      <c r="V34" s="109" t="s">
        <v>4820</v>
      </c>
      <c r="X34" s="109" t="s">
        <v>4832</v>
      </c>
      <c r="Z34" s="109" t="s">
        <v>4844</v>
      </c>
      <c r="AB34" s="109" t="s">
        <v>4856</v>
      </c>
      <c r="AD34" s="109" t="s">
        <v>4868</v>
      </c>
      <c r="AF34" s="109" t="s">
        <v>4880</v>
      </c>
      <c r="AH34" s="109" t="s">
        <v>4892</v>
      </c>
      <c r="AJ34" s="109" t="s">
        <v>4904</v>
      </c>
      <c r="AL34" s="109" t="s">
        <v>4916</v>
      </c>
      <c r="AN34" s="109" t="s">
        <v>4928</v>
      </c>
      <c r="AP34" s="109" t="s">
        <v>4940</v>
      </c>
      <c r="AR34" s="109" t="s">
        <v>4952</v>
      </c>
      <c r="AT34" s="109" t="s">
        <v>4964</v>
      </c>
    </row>
    <row r="35" spans="1:47" x14ac:dyDescent="0.25">
      <c r="B35" s="109" t="s">
        <v>4701</v>
      </c>
      <c r="D35" s="109" t="s">
        <v>4713</v>
      </c>
      <c r="F35" s="109" t="s">
        <v>4725</v>
      </c>
      <c r="H35" s="109" t="s">
        <v>4737</v>
      </c>
      <c r="J35" s="109" t="s">
        <v>4749</v>
      </c>
      <c r="L35" s="109" t="s">
        <v>4761</v>
      </c>
      <c r="N35" s="109" t="s">
        <v>4773</v>
      </c>
      <c r="P35" s="109" t="s">
        <v>4785</v>
      </c>
      <c r="R35" s="109" t="s">
        <v>4797</v>
      </c>
      <c r="T35" s="109" t="s">
        <v>4809</v>
      </c>
      <c r="V35" s="109" t="s">
        <v>4821</v>
      </c>
      <c r="X35" s="109" t="s">
        <v>4833</v>
      </c>
      <c r="Z35" s="109" t="s">
        <v>4845</v>
      </c>
      <c r="AB35" s="109" t="s">
        <v>4857</v>
      </c>
      <c r="AD35" s="109" t="s">
        <v>4869</v>
      </c>
      <c r="AF35" s="109" t="s">
        <v>4881</v>
      </c>
      <c r="AH35" s="109" t="s">
        <v>4893</v>
      </c>
      <c r="AJ35" s="109" t="s">
        <v>4905</v>
      </c>
      <c r="AL35" s="109" t="s">
        <v>4917</v>
      </c>
      <c r="AN35" s="109" t="s">
        <v>4929</v>
      </c>
      <c r="AP35" s="109" t="s">
        <v>4941</v>
      </c>
      <c r="AR35" s="109" t="s">
        <v>4953</v>
      </c>
      <c r="AT35" s="109" t="s">
        <v>4965</v>
      </c>
    </row>
    <row r="36" spans="1:47" x14ac:dyDescent="0.25">
      <c r="B36" s="109" t="s">
        <v>4702</v>
      </c>
      <c r="D36" s="109" t="s">
        <v>4714</v>
      </c>
      <c r="F36" s="109" t="s">
        <v>4726</v>
      </c>
      <c r="H36" s="109" t="s">
        <v>4738</v>
      </c>
      <c r="J36" s="109" t="s">
        <v>4750</v>
      </c>
      <c r="L36" s="109" t="s">
        <v>4762</v>
      </c>
      <c r="N36" s="109" t="s">
        <v>4774</v>
      </c>
      <c r="P36" s="109" t="s">
        <v>4786</v>
      </c>
      <c r="R36" s="109" t="s">
        <v>4798</v>
      </c>
      <c r="T36" s="109" t="s">
        <v>4810</v>
      </c>
      <c r="V36" s="109" t="s">
        <v>4822</v>
      </c>
      <c r="X36" s="109" t="s">
        <v>4834</v>
      </c>
      <c r="Z36" s="109" t="s">
        <v>4846</v>
      </c>
      <c r="AB36" s="109" t="s">
        <v>4858</v>
      </c>
      <c r="AD36" s="109" t="s">
        <v>4870</v>
      </c>
      <c r="AF36" s="109" t="s">
        <v>4882</v>
      </c>
      <c r="AH36" s="109" t="s">
        <v>4894</v>
      </c>
      <c r="AJ36" s="109" t="s">
        <v>4906</v>
      </c>
      <c r="AL36" s="109" t="s">
        <v>4918</v>
      </c>
      <c r="AN36" s="109" t="s">
        <v>4930</v>
      </c>
      <c r="AP36" s="109" t="s">
        <v>4942</v>
      </c>
      <c r="AR36" s="109" t="s">
        <v>4954</v>
      </c>
      <c r="AT36" s="109" t="s">
        <v>4966</v>
      </c>
    </row>
    <row r="37" spans="1:47" x14ac:dyDescent="0.25">
      <c r="B37" s="109" t="s">
        <v>4703</v>
      </c>
      <c r="D37" s="109" t="s">
        <v>4715</v>
      </c>
      <c r="F37" s="109" t="s">
        <v>4727</v>
      </c>
      <c r="H37" s="109" t="s">
        <v>4739</v>
      </c>
      <c r="J37" s="109" t="s">
        <v>4751</v>
      </c>
      <c r="L37" s="109" t="s">
        <v>4763</v>
      </c>
      <c r="N37" s="109" t="s">
        <v>4775</v>
      </c>
      <c r="P37" s="109" t="s">
        <v>4787</v>
      </c>
      <c r="R37" s="109" t="s">
        <v>4799</v>
      </c>
      <c r="T37" s="109" t="s">
        <v>4811</v>
      </c>
      <c r="V37" s="109" t="s">
        <v>4823</v>
      </c>
      <c r="X37" s="109" t="s">
        <v>4835</v>
      </c>
      <c r="Z37" s="109" t="s">
        <v>4847</v>
      </c>
      <c r="AB37" s="109" t="s">
        <v>4859</v>
      </c>
      <c r="AD37" s="109" t="s">
        <v>4871</v>
      </c>
      <c r="AF37" s="109" t="s">
        <v>4883</v>
      </c>
      <c r="AH37" s="109" t="s">
        <v>4895</v>
      </c>
      <c r="AJ37" s="109" t="s">
        <v>4907</v>
      </c>
      <c r="AL37" s="109" t="s">
        <v>4919</v>
      </c>
      <c r="AN37" s="109" t="s">
        <v>4931</v>
      </c>
      <c r="AP37" s="109" t="s">
        <v>4943</v>
      </c>
      <c r="AR37" s="109" t="s">
        <v>4955</v>
      </c>
      <c r="AT37" s="109" t="s">
        <v>4967</v>
      </c>
    </row>
    <row r="38" spans="1:47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>COUNTIF(D26:D37,"&lt;&gt;")</f>
        <v>12</v>
      </c>
      <c r="E38" s="109">
        <f t="shared" ref="E38" si="33">COUNTIF(E26:E37,"Y")</f>
        <v>0</v>
      </c>
      <c r="F38" s="109">
        <f t="shared" ref="F38" si="34">COUNTIF(F26:F37,"&lt;&gt;")</f>
        <v>12</v>
      </c>
      <c r="G38" s="109">
        <f t="shared" ref="G38" si="35">COUNTIF(G26:G37,"Y")</f>
        <v>0</v>
      </c>
      <c r="H38" s="109">
        <f t="shared" ref="H38" si="36">COUNTIF(H26:H37,"&lt;&gt;")</f>
        <v>12</v>
      </c>
      <c r="I38" s="109">
        <f t="shared" ref="I38" si="37">COUNTIF(I26:I37,"Y")</f>
        <v>0</v>
      </c>
      <c r="J38" s="109">
        <f t="shared" ref="J38" si="38">COUNTIF(J26:J37,"&lt;&gt;")</f>
        <v>12</v>
      </c>
      <c r="K38" s="109">
        <f t="shared" ref="K38" si="39">COUNTIF(K26:K37,"Y")</f>
        <v>0</v>
      </c>
      <c r="L38" s="109">
        <f t="shared" ref="L38" si="40">COUNTIF(L26:L37,"&lt;&gt;")</f>
        <v>12</v>
      </c>
      <c r="M38" s="109">
        <f t="shared" ref="M38" si="41">COUNTIF(M26:M37,"Y")</f>
        <v>0</v>
      </c>
      <c r="N38" s="109">
        <f t="shared" ref="N38" si="42">COUNTIF(N26:N37,"&lt;&gt;")</f>
        <v>12</v>
      </c>
      <c r="O38" s="109">
        <f t="shared" ref="O38" si="43">COUNTIF(O26:O37,"Y")</f>
        <v>0</v>
      </c>
      <c r="P38" s="109">
        <f t="shared" ref="P38" si="44">COUNTIF(P26:P37,"&lt;&gt;")</f>
        <v>12</v>
      </c>
      <c r="Q38" s="109">
        <f t="shared" ref="Q38" si="45">COUNTIF(Q26:Q37,"Y")</f>
        <v>0</v>
      </c>
      <c r="R38" s="109">
        <f t="shared" ref="R38" si="46">COUNTIF(R26:R37,"&lt;&gt;")</f>
        <v>12</v>
      </c>
      <c r="S38" s="109">
        <f t="shared" ref="S38" si="47">COUNTIF(S26:S37,"Y")</f>
        <v>0</v>
      </c>
      <c r="T38" s="109">
        <f t="shared" ref="T38" si="48">COUNTIF(T26:T37,"&lt;&gt;")</f>
        <v>12</v>
      </c>
      <c r="U38" s="109">
        <f t="shared" ref="U38" si="49">COUNTIF(U26:U37,"Y")</f>
        <v>0</v>
      </c>
      <c r="V38" s="109">
        <f t="shared" ref="V38" si="50">COUNTIF(V26:V37,"&lt;&gt;")</f>
        <v>12</v>
      </c>
      <c r="W38" s="109">
        <f t="shared" ref="W38" si="51">COUNTIF(W26:W37,"Y")</f>
        <v>0</v>
      </c>
      <c r="X38" s="109">
        <f t="shared" ref="X38" si="52">COUNTIF(X26:X37,"&lt;&gt;")</f>
        <v>12</v>
      </c>
      <c r="Y38" s="109">
        <f t="shared" ref="Y38" si="53">COUNTIF(Y26:Y37,"Y")</f>
        <v>0</v>
      </c>
      <c r="Z38" s="109">
        <f t="shared" ref="Z38" si="54">COUNTIF(Z26:Z37,"&lt;&gt;")</f>
        <v>12</v>
      </c>
      <c r="AA38" s="109">
        <f t="shared" ref="AA38" si="55">COUNTIF(AA26:AA37,"Y")</f>
        <v>0</v>
      </c>
      <c r="AB38" s="109">
        <f t="shared" ref="AB38" si="56">COUNTIF(AB26:AB37,"&lt;&gt;")</f>
        <v>12</v>
      </c>
      <c r="AC38" s="109">
        <f t="shared" ref="AC38" si="57">COUNTIF(AC26:AC37,"Y")</f>
        <v>0</v>
      </c>
      <c r="AD38" s="109">
        <f t="shared" ref="AD38" si="58">COUNTIF(AD26:AD37,"&lt;&gt;")</f>
        <v>12</v>
      </c>
      <c r="AE38" s="109">
        <f t="shared" ref="AE38" si="59">COUNTIF(AE26:AE37,"Y")</f>
        <v>0</v>
      </c>
      <c r="AF38" s="109">
        <f t="shared" ref="AF38" si="60">COUNTIF(AF26:AF37,"&lt;&gt;")</f>
        <v>12</v>
      </c>
      <c r="AG38" s="109">
        <f t="shared" ref="AG38" si="61">COUNTIF(AG26:AG37,"Y")</f>
        <v>0</v>
      </c>
      <c r="AH38" s="109">
        <f t="shared" ref="AH38" si="62">COUNTIF(AH26:AH37,"&lt;&gt;")</f>
        <v>12</v>
      </c>
      <c r="AI38" s="109">
        <f t="shared" ref="AI38" si="63">COUNTIF(AI26:AI37,"Y")</f>
        <v>0</v>
      </c>
      <c r="AJ38" s="109">
        <f t="shared" ref="AJ38" si="64">COUNTIF(AJ26:AJ37,"&lt;&gt;")</f>
        <v>12</v>
      </c>
      <c r="AK38" s="109">
        <f t="shared" ref="AK38" si="65">COUNTIF(AK26:AK37,"Y")</f>
        <v>0</v>
      </c>
      <c r="AL38" s="109">
        <f t="shared" ref="AL38" si="66">COUNTIF(AL26:AL37,"&lt;&gt;")</f>
        <v>12</v>
      </c>
      <c r="AM38" s="109">
        <f t="shared" ref="AM38" si="67">COUNTIF(AM26:AM37,"Y")</f>
        <v>0</v>
      </c>
      <c r="AN38" s="109">
        <f t="shared" ref="AN38" si="68">COUNTIF(AN26:AN37,"&lt;&gt;")</f>
        <v>12</v>
      </c>
      <c r="AO38" s="109">
        <f t="shared" ref="AO38" si="69">COUNTIF(AO26:AO37,"Y")</f>
        <v>0</v>
      </c>
      <c r="AP38" s="109">
        <f t="shared" ref="AP38" si="70">COUNTIF(AP26:AP37,"&lt;&gt;")</f>
        <v>12</v>
      </c>
      <c r="AQ38" s="109">
        <f t="shared" ref="AQ38" si="71">COUNTIF(AQ26:AQ37,"Y")</f>
        <v>0</v>
      </c>
      <c r="AR38" s="109">
        <f t="shared" ref="AR38" si="72">COUNTIF(AR26:AR37,"&lt;&gt;")</f>
        <v>12</v>
      </c>
      <c r="AS38" s="109">
        <f t="shared" ref="AS38" si="73">COUNTIF(AS26:AS37,"Y")</f>
        <v>0</v>
      </c>
      <c r="AT38" s="109">
        <f t="shared" ref="AT38" si="74">COUNTIF(AT26:AT37,"&lt;&gt;")</f>
        <v>12</v>
      </c>
      <c r="AU38" s="109">
        <f t="shared" ref="AU38" si="75">COUNTIF(AU26:AU37,"Y")</f>
        <v>0</v>
      </c>
    </row>
  </sheetData>
  <pageMargins left="0.7" right="0.7" top="0.75" bottom="0.75" header="0.3" footer="0.3"/>
  <pageSetup orientation="portrait" verticalDpi="597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9D3F6-AD91-47E2-93F8-1F612691BF35}">
  <sheetPr codeName="Sheet19"/>
  <dimension ref="A1:AI38"/>
  <sheetViews>
    <sheetView topLeftCell="A10" workbookViewId="0">
      <selection activeCell="Q30" sqref="Q30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1.5703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20" width="12.42578125" style="109" bestFit="1" customWidth="1"/>
    <col min="21" max="21" width="10.85546875" style="109" bestFit="1" customWidth="1"/>
    <col min="22" max="22" width="12.42578125" style="109" bestFit="1" customWidth="1"/>
    <col min="23" max="23" width="10.85546875" style="109" bestFit="1" customWidth="1"/>
    <col min="24" max="24" width="12.42578125" style="109" bestFit="1" customWidth="1"/>
    <col min="25" max="25" width="10.85546875" style="109" bestFit="1" customWidth="1"/>
    <col min="26" max="26" width="12.42578125" style="109" bestFit="1" customWidth="1"/>
    <col min="27" max="27" width="10.85546875" style="109" bestFit="1" customWidth="1"/>
    <col min="28" max="28" width="12.42578125" style="109" bestFit="1" customWidth="1"/>
    <col min="29" max="29" width="10.85546875" style="109" bestFit="1" customWidth="1"/>
    <col min="30" max="30" width="12.42578125" style="109" bestFit="1" customWidth="1"/>
    <col min="31" max="31" width="10.85546875" style="109" bestFit="1" customWidth="1"/>
    <col min="32" max="32" width="12.42578125" style="109" bestFit="1" customWidth="1"/>
    <col min="33" max="33" width="10.85546875" style="109" bestFit="1" customWidth="1"/>
    <col min="34" max="34" width="12.42578125" style="109" bestFit="1" customWidth="1"/>
    <col min="35" max="35" width="10.85546875" style="109" bestFit="1" customWidth="1"/>
    <col min="36" max="36" width="12.42578125" style="109" bestFit="1" customWidth="1"/>
    <col min="37" max="37" width="10.85546875" style="109" bestFit="1" customWidth="1"/>
    <col min="38" max="38" width="12.42578125" style="109" bestFit="1" customWidth="1"/>
    <col min="39" max="39" width="10.85546875" style="109" bestFit="1" customWidth="1"/>
    <col min="40" max="40" width="12.42578125" style="109" bestFit="1" customWidth="1"/>
    <col min="41" max="41" width="10.85546875" style="109" bestFit="1" customWidth="1"/>
    <col min="42" max="42" width="12.42578125" style="109" bestFit="1" customWidth="1"/>
    <col min="43" max="43" width="10.85546875" style="109" bestFit="1" customWidth="1"/>
    <col min="44" max="44" width="12.42578125" style="109" bestFit="1" customWidth="1"/>
    <col min="45" max="45" width="10.85546875" style="109" bestFit="1" customWidth="1"/>
    <col min="46" max="46" width="12.42578125" style="109" bestFit="1" customWidth="1"/>
    <col min="47" max="47" width="10.85546875" style="109" bestFit="1" customWidth="1"/>
    <col min="48" max="16384" width="9.140625" style="109"/>
  </cols>
  <sheetData>
    <row r="1" spans="2:29" s="111" customFormat="1" x14ac:dyDescent="0.25">
      <c r="B1" s="111" t="s">
        <v>14577</v>
      </c>
      <c r="C1" s="111">
        <f>SUM(D3,D24)</f>
        <v>297</v>
      </c>
      <c r="D1" s="111" t="s">
        <v>301</v>
      </c>
      <c r="E1" s="111">
        <f>SUM(F3,F24)</f>
        <v>0</v>
      </c>
      <c r="F1" s="111" t="s">
        <v>14579</v>
      </c>
      <c r="G1" s="111">
        <f>SUM(H3,H24)</f>
        <v>297</v>
      </c>
      <c r="H1" s="111" t="s">
        <v>14578</v>
      </c>
      <c r="I1" s="131">
        <f>(E1/C1)</f>
        <v>0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4968</v>
      </c>
      <c r="C3" s="109" t="s">
        <v>302</v>
      </c>
      <c r="D3" s="109">
        <f>SUM(B22,D22,F22,H22,J22,L22,N22,P22,R22,T22,V22)</f>
        <v>102</v>
      </c>
      <c r="E3" s="109" t="s">
        <v>301</v>
      </c>
      <c r="F3" s="109">
        <f>SUM(C22,E22,G22,I22,K22,M22,O22,Q22,S22,U22,W22)</f>
        <v>0</v>
      </c>
      <c r="G3" s="109" t="s">
        <v>305</v>
      </c>
      <c r="H3" s="109">
        <f>D3-F3</f>
        <v>102</v>
      </c>
    </row>
    <row r="4" spans="2:29" x14ac:dyDescent="0.25">
      <c r="B4" s="109" t="str">
        <f>LEFT(B5,FIND("_C",B5)-1)</f>
        <v>BH_047</v>
      </c>
      <c r="C4" s="109" t="s">
        <v>301</v>
      </c>
      <c r="D4" s="109" t="str">
        <f>LEFT(D5,FIND("_C",D5)-1)</f>
        <v>BH_071</v>
      </c>
      <c r="E4" s="109" t="s">
        <v>301</v>
      </c>
      <c r="F4" s="109" t="str">
        <f>LEFT(F5,FIND("_C",F5)-1)</f>
        <v>BH_105</v>
      </c>
      <c r="G4" s="109" t="s">
        <v>301</v>
      </c>
      <c r="H4" s="109" t="str">
        <f>LEFT(H5,FIND("_C",H5)-1)</f>
        <v>BH_107</v>
      </c>
      <c r="I4" s="109" t="s">
        <v>301</v>
      </c>
      <c r="J4" s="109" t="str">
        <f>LEFT(J5,FIND("_C",J5)-1)</f>
        <v>BH_117</v>
      </c>
      <c r="K4" s="109" t="s">
        <v>301</v>
      </c>
      <c r="L4" s="109" t="str">
        <f>LEFT(L5,FIND("_C",L5)-1)</f>
        <v>BH_128</v>
      </c>
      <c r="M4" s="109" t="s">
        <v>301</v>
      </c>
    </row>
    <row r="5" spans="2:29" x14ac:dyDescent="0.25">
      <c r="B5" s="109" t="s">
        <v>4972</v>
      </c>
      <c r="D5" s="109" t="s">
        <v>4989</v>
      </c>
      <c r="F5" s="109" t="s">
        <v>5006</v>
      </c>
      <c r="H5" s="109" t="s">
        <v>5023</v>
      </c>
      <c r="J5" s="109" t="s">
        <v>5040</v>
      </c>
      <c r="L5" s="109" t="s">
        <v>5057</v>
      </c>
    </row>
    <row r="6" spans="2:29" x14ac:dyDescent="0.25">
      <c r="B6" s="109" t="s">
        <v>4973</v>
      </c>
      <c r="D6" s="109" t="s">
        <v>4990</v>
      </c>
      <c r="F6" s="109" t="s">
        <v>5007</v>
      </c>
      <c r="H6" s="109" t="s">
        <v>5024</v>
      </c>
      <c r="J6" s="109" t="s">
        <v>5041</v>
      </c>
      <c r="L6" s="109" t="s">
        <v>5058</v>
      </c>
    </row>
    <row r="7" spans="2:29" x14ac:dyDescent="0.25">
      <c r="B7" s="109" t="s">
        <v>4974</v>
      </c>
      <c r="D7" s="109" t="s">
        <v>4991</v>
      </c>
      <c r="F7" s="109" t="s">
        <v>5008</v>
      </c>
      <c r="H7" s="109" t="s">
        <v>5025</v>
      </c>
      <c r="J7" s="109" t="s">
        <v>5042</v>
      </c>
      <c r="L7" s="109" t="s">
        <v>5059</v>
      </c>
    </row>
    <row r="8" spans="2:29" x14ac:dyDescent="0.25">
      <c r="B8" s="109" t="s">
        <v>4975</v>
      </c>
      <c r="D8" s="109" t="s">
        <v>4992</v>
      </c>
      <c r="F8" s="109" t="s">
        <v>5009</v>
      </c>
      <c r="H8" s="109" t="s">
        <v>5026</v>
      </c>
      <c r="J8" s="109" t="s">
        <v>5043</v>
      </c>
      <c r="L8" s="109" t="s">
        <v>5060</v>
      </c>
    </row>
    <row r="9" spans="2:29" x14ac:dyDescent="0.25">
      <c r="B9" s="109" t="s">
        <v>4976</v>
      </c>
      <c r="D9" s="109" t="s">
        <v>4993</v>
      </c>
      <c r="F9" s="109" t="s">
        <v>5010</v>
      </c>
      <c r="H9" s="109" t="s">
        <v>5027</v>
      </c>
      <c r="J9" s="109" t="s">
        <v>5044</v>
      </c>
      <c r="L9" s="109" t="s">
        <v>5061</v>
      </c>
    </row>
    <row r="10" spans="2:29" x14ac:dyDescent="0.25">
      <c r="B10" s="109" t="s">
        <v>4977</v>
      </c>
      <c r="D10" s="109" t="s">
        <v>4994</v>
      </c>
      <c r="F10" s="109" t="s">
        <v>5011</v>
      </c>
      <c r="H10" s="109" t="s">
        <v>5028</v>
      </c>
      <c r="J10" s="109" t="s">
        <v>5045</v>
      </c>
      <c r="L10" s="109" t="s">
        <v>5062</v>
      </c>
    </row>
    <row r="11" spans="2:29" x14ac:dyDescent="0.25">
      <c r="B11" s="109" t="s">
        <v>4978</v>
      </c>
      <c r="D11" s="109" t="s">
        <v>4995</v>
      </c>
      <c r="F11" s="109" t="s">
        <v>5012</v>
      </c>
      <c r="H11" s="109" t="s">
        <v>5029</v>
      </c>
      <c r="J11" s="109" t="s">
        <v>5046</v>
      </c>
      <c r="L11" s="109" t="s">
        <v>5063</v>
      </c>
    </row>
    <row r="12" spans="2:29" x14ac:dyDescent="0.25">
      <c r="B12" s="109" t="s">
        <v>4979</v>
      </c>
      <c r="D12" s="109" t="s">
        <v>4996</v>
      </c>
      <c r="F12" s="109" t="s">
        <v>5013</v>
      </c>
      <c r="H12" s="109" t="s">
        <v>5030</v>
      </c>
      <c r="J12" s="109" t="s">
        <v>5047</v>
      </c>
      <c r="L12" s="109" t="s">
        <v>5064</v>
      </c>
    </row>
    <row r="13" spans="2:29" x14ac:dyDescent="0.25">
      <c r="B13" s="109" t="s">
        <v>4980</v>
      </c>
      <c r="D13" s="109" t="s">
        <v>4997</v>
      </c>
      <c r="F13" s="109" t="s">
        <v>5014</v>
      </c>
      <c r="H13" s="109" t="s">
        <v>5031</v>
      </c>
      <c r="J13" s="109" t="s">
        <v>5048</v>
      </c>
      <c r="L13" s="109" t="s">
        <v>5065</v>
      </c>
    </row>
    <row r="14" spans="2:29" x14ac:dyDescent="0.25">
      <c r="B14" s="109" t="s">
        <v>4981</v>
      </c>
      <c r="D14" s="109" t="s">
        <v>4998</v>
      </c>
      <c r="F14" s="109" t="s">
        <v>5015</v>
      </c>
      <c r="H14" s="109" t="s">
        <v>5032</v>
      </c>
      <c r="J14" s="109" t="s">
        <v>5049</v>
      </c>
      <c r="L14" s="109" t="s">
        <v>5066</v>
      </c>
    </row>
    <row r="15" spans="2:29" x14ac:dyDescent="0.25">
      <c r="B15" s="109" t="s">
        <v>4982</v>
      </c>
      <c r="D15" s="109" t="s">
        <v>4999</v>
      </c>
      <c r="F15" s="109" t="s">
        <v>5016</v>
      </c>
      <c r="H15" s="109" t="s">
        <v>5033</v>
      </c>
      <c r="J15" s="109" t="s">
        <v>5050</v>
      </c>
      <c r="L15" s="109" t="s">
        <v>5067</v>
      </c>
    </row>
    <row r="16" spans="2:29" x14ac:dyDescent="0.25">
      <c r="B16" s="109" t="s">
        <v>4983</v>
      </c>
      <c r="D16" s="109" t="s">
        <v>5000</v>
      </c>
      <c r="F16" s="109" t="s">
        <v>5017</v>
      </c>
      <c r="H16" s="109" t="s">
        <v>5034</v>
      </c>
      <c r="J16" s="109" t="s">
        <v>5051</v>
      </c>
      <c r="L16" s="109" t="s">
        <v>5068</v>
      </c>
    </row>
    <row r="17" spans="1:35" x14ac:dyDescent="0.25">
      <c r="B17" s="109" t="s">
        <v>4984</v>
      </c>
      <c r="D17" s="109" t="s">
        <v>5001</v>
      </c>
      <c r="F17" s="109" t="s">
        <v>5018</v>
      </c>
      <c r="H17" s="109" t="s">
        <v>5035</v>
      </c>
      <c r="J17" s="109" t="s">
        <v>5052</v>
      </c>
      <c r="L17" s="109" t="s">
        <v>5069</v>
      </c>
    </row>
    <row r="18" spans="1:35" x14ac:dyDescent="0.25">
      <c r="B18" s="109" t="s">
        <v>4985</v>
      </c>
      <c r="D18" s="109" t="s">
        <v>5002</v>
      </c>
      <c r="F18" s="109" t="s">
        <v>5019</v>
      </c>
      <c r="H18" s="109" t="s">
        <v>5036</v>
      </c>
      <c r="J18" s="109" t="s">
        <v>5053</v>
      </c>
      <c r="L18" s="109" t="s">
        <v>5070</v>
      </c>
    </row>
    <row r="19" spans="1:35" x14ac:dyDescent="0.25">
      <c r="B19" s="109" t="s">
        <v>4986</v>
      </c>
      <c r="D19" s="109" t="s">
        <v>5003</v>
      </c>
      <c r="F19" s="109" t="s">
        <v>5020</v>
      </c>
      <c r="H19" s="109" t="s">
        <v>5037</v>
      </c>
      <c r="J19" s="109" t="s">
        <v>5054</v>
      </c>
      <c r="L19" s="109" t="s">
        <v>5071</v>
      </c>
    </row>
    <row r="20" spans="1:35" x14ac:dyDescent="0.25">
      <c r="B20" s="109" t="s">
        <v>4987</v>
      </c>
      <c r="D20" s="109" t="s">
        <v>5004</v>
      </c>
      <c r="F20" s="109" t="s">
        <v>5021</v>
      </c>
      <c r="H20" s="109" t="s">
        <v>5038</v>
      </c>
      <c r="J20" s="109" t="s">
        <v>5055</v>
      </c>
      <c r="L20" s="109" t="s">
        <v>5072</v>
      </c>
    </row>
    <row r="21" spans="1:35" x14ac:dyDescent="0.25">
      <c r="B21" s="109" t="s">
        <v>4988</v>
      </c>
      <c r="D21" s="109" t="s">
        <v>5005</v>
      </c>
      <c r="F21" s="109" t="s">
        <v>5022</v>
      </c>
      <c r="H21" s="109" t="s">
        <v>5039</v>
      </c>
      <c r="J21" s="109" t="s">
        <v>5056</v>
      </c>
      <c r="L21" s="109" t="s">
        <v>5073</v>
      </c>
    </row>
    <row r="22" spans="1:35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0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0</v>
      </c>
      <c r="L22" s="109">
        <f t="shared" ref="L22" si="5">COUNTIF(L5:L21,"&lt;&gt;")</f>
        <v>17</v>
      </c>
      <c r="M22" s="109">
        <f>COUNTIF(M5:M21,"Y")</f>
        <v>0</v>
      </c>
    </row>
    <row r="24" spans="1:35" x14ac:dyDescent="0.25">
      <c r="B24" s="109" t="s">
        <v>4969</v>
      </c>
      <c r="C24" s="109" t="s">
        <v>302</v>
      </c>
      <c r="D24" s="109">
        <f>SUM(B38,D38,F38,H38,J38,L38,N38,P38,R38,T38,V38,X38,Z38,AB38,AD38,AF38,AH38,AJ38,AL38,AN38,AP38,AR38,AT38)</f>
        <v>195</v>
      </c>
      <c r="E24" s="109" t="s">
        <v>301</v>
      </c>
      <c r="F24" s="109">
        <f>SUM(C38,E38,G38,I38,K38,M38,O38,Q38,S38,U38,W38,Y38,AA38,AC38,AE38,AG38,AI38,AK38,AM38,AO38,AQ38,AS38,AU38)</f>
        <v>0</v>
      </c>
      <c r="G24" s="109" t="s">
        <v>305</v>
      </c>
      <c r="H24" s="109">
        <f>D24-F24</f>
        <v>195</v>
      </c>
    </row>
    <row r="25" spans="1:35" x14ac:dyDescent="0.25">
      <c r="B25" s="109" t="str">
        <f>LEFT(B26,FIND("_P",B26)-1)</f>
        <v>CPT_039</v>
      </c>
      <c r="C25" s="109" t="s">
        <v>301</v>
      </c>
      <c r="D25" s="109" t="str">
        <f t="shared" ref="D25" si="6">LEFT(D26,FIND("_P",D26)-1)</f>
        <v>CPT_051</v>
      </c>
      <c r="E25" s="109" t="s">
        <v>301</v>
      </c>
      <c r="F25" s="109" t="str">
        <f t="shared" ref="F25" si="7">LEFT(F26,FIND("_P",F26)-1)</f>
        <v>CPT_137</v>
      </c>
      <c r="G25" s="109" t="s">
        <v>301</v>
      </c>
      <c r="H25" s="109" t="str">
        <f t="shared" ref="H25" si="8">LEFT(H26,FIND("_P",H26)-1)</f>
        <v>CPT_140</v>
      </c>
      <c r="I25" s="109" t="s">
        <v>301</v>
      </c>
      <c r="J25" s="109" t="str">
        <f t="shared" ref="J25" si="9">LEFT(J26,FIND("_P",J26)-1)</f>
        <v>CPT_160</v>
      </c>
      <c r="K25" s="109" t="s">
        <v>301</v>
      </c>
      <c r="L25" s="109" t="str">
        <f t="shared" ref="L25" si="10">LEFT(L26,FIND("_P",L26)-1)</f>
        <v>CPT_187</v>
      </c>
      <c r="M25" s="109" t="s">
        <v>301</v>
      </c>
      <c r="N25" s="109" t="str">
        <f t="shared" ref="N25" si="11">LEFT(N26,FIND("_P",N26)-1)</f>
        <v>CPT_197</v>
      </c>
      <c r="O25" s="109" t="s">
        <v>301</v>
      </c>
      <c r="P25" s="109" t="str">
        <f t="shared" ref="P25" si="12">LEFT(P26,FIND("_P",P26)-1)</f>
        <v>CPT_203</v>
      </c>
      <c r="Q25" s="109" t="s">
        <v>301</v>
      </c>
      <c r="R25" s="109" t="e">
        <f>LEFT(R35,FIND("_P",R35)-1)</f>
        <v>#VALUE!</v>
      </c>
      <c r="S25" s="109" t="s">
        <v>301</v>
      </c>
      <c r="T25" s="109" t="str">
        <f t="shared" ref="T25" si="13">LEFT(T26,FIND("_P",T26)-1)</f>
        <v>CPT_213</v>
      </c>
      <c r="U25" s="109" t="s">
        <v>301</v>
      </c>
      <c r="V25" s="109" t="str">
        <f t="shared" ref="V25" si="14">LEFT(V26,FIND("_P",V26)-1)</f>
        <v>CPT_226</v>
      </c>
      <c r="W25" s="109" t="s">
        <v>301</v>
      </c>
      <c r="X25" s="109" t="str">
        <f t="shared" ref="X25" si="15">LEFT(X26,FIND("_P",X26)-1)</f>
        <v>CPT_237</v>
      </c>
      <c r="Y25" s="109" t="s">
        <v>301</v>
      </c>
      <c r="Z25" s="109" t="str">
        <f t="shared" ref="Z25" si="16">LEFT(Z26,FIND("_P",Z26)-1)</f>
        <v>CPT_274</v>
      </c>
      <c r="AA25" s="109" t="s">
        <v>301</v>
      </c>
      <c r="AB25" s="109" t="str">
        <f t="shared" ref="AB25" si="17">LEFT(AB26,FIND("_P",AB26)-1)</f>
        <v>CPT_288</v>
      </c>
      <c r="AC25" s="109" t="s">
        <v>301</v>
      </c>
      <c r="AD25" s="109" t="str">
        <f t="shared" ref="AD25" si="18">LEFT(AD26,FIND("_P",AD26)-1)</f>
        <v>CPT_301</v>
      </c>
      <c r="AE25" s="109" t="s">
        <v>301</v>
      </c>
      <c r="AF25" s="109" t="str">
        <f t="shared" ref="AF25" si="19">LEFT(AF26,FIND("_P",AF26)-1)</f>
        <v>CPT_303</v>
      </c>
      <c r="AG25" s="109" t="s">
        <v>301</v>
      </c>
      <c r="AH25" s="109" t="str">
        <f t="shared" ref="AH25" si="20">LEFT(AH26,FIND("_P",AH26)-1)</f>
        <v>CPT_311</v>
      </c>
      <c r="AI25" s="109" t="s">
        <v>301</v>
      </c>
    </row>
    <row r="26" spans="1:35" x14ac:dyDescent="0.25">
      <c r="B26" s="109" t="s">
        <v>5074</v>
      </c>
      <c r="D26" s="109" t="s">
        <v>5086</v>
      </c>
      <c r="F26" s="109" t="s">
        <v>5098</v>
      </c>
      <c r="H26" s="109" t="s">
        <v>5110</v>
      </c>
      <c r="J26" s="109" t="s">
        <v>5122</v>
      </c>
      <c r="L26" s="109" t="s">
        <v>5134</v>
      </c>
      <c r="N26" s="109" t="s">
        <v>5146</v>
      </c>
      <c r="P26" s="109" t="s">
        <v>5158</v>
      </c>
      <c r="T26" s="109" t="s">
        <v>5173</v>
      </c>
      <c r="V26" s="109" t="s">
        <v>5185</v>
      </c>
      <c r="X26" s="109" t="s">
        <v>5197</v>
      </c>
      <c r="Z26" s="109" t="s">
        <v>5209</v>
      </c>
      <c r="AB26" s="109" t="s">
        <v>5221</v>
      </c>
      <c r="AD26" s="109" t="s">
        <v>5233</v>
      </c>
      <c r="AF26" s="109" t="s">
        <v>5245</v>
      </c>
      <c r="AH26" s="109" t="s">
        <v>5257</v>
      </c>
    </row>
    <row r="27" spans="1:35" x14ac:dyDescent="0.25">
      <c r="B27" s="109" t="s">
        <v>5075</v>
      </c>
      <c r="D27" s="109" t="s">
        <v>5087</v>
      </c>
      <c r="F27" s="109" t="s">
        <v>5099</v>
      </c>
      <c r="H27" s="109" t="s">
        <v>5111</v>
      </c>
      <c r="J27" s="109" t="s">
        <v>5123</v>
      </c>
      <c r="L27" s="109" t="s">
        <v>5135</v>
      </c>
      <c r="N27" s="109" t="s">
        <v>5147</v>
      </c>
      <c r="P27" s="109" t="s">
        <v>5159</v>
      </c>
      <c r="T27" s="109" t="s">
        <v>5174</v>
      </c>
      <c r="V27" s="109" t="s">
        <v>5186</v>
      </c>
      <c r="X27" s="109" t="s">
        <v>5198</v>
      </c>
      <c r="Z27" s="109" t="s">
        <v>5210</v>
      </c>
      <c r="AB27" s="109" t="s">
        <v>5222</v>
      </c>
      <c r="AD27" s="109" t="s">
        <v>5234</v>
      </c>
      <c r="AF27" s="109" t="s">
        <v>5246</v>
      </c>
      <c r="AH27" s="109" t="s">
        <v>5258</v>
      </c>
    </row>
    <row r="28" spans="1:35" x14ac:dyDescent="0.25">
      <c r="B28" s="109" t="s">
        <v>5076</v>
      </c>
      <c r="D28" s="109" t="s">
        <v>5088</v>
      </c>
      <c r="F28" s="109" t="s">
        <v>5100</v>
      </c>
      <c r="H28" s="109" t="s">
        <v>5112</v>
      </c>
      <c r="J28" s="109" t="s">
        <v>5124</v>
      </c>
      <c r="L28" s="109" t="s">
        <v>5136</v>
      </c>
      <c r="N28" s="109" t="s">
        <v>5148</v>
      </c>
      <c r="P28" s="109" t="s">
        <v>5160</v>
      </c>
      <c r="T28" s="109" t="s">
        <v>5175</v>
      </c>
      <c r="V28" s="109" t="s">
        <v>5187</v>
      </c>
      <c r="X28" s="109" t="s">
        <v>5199</v>
      </c>
      <c r="Z28" s="109" t="s">
        <v>5211</v>
      </c>
      <c r="AB28" s="109" t="s">
        <v>5223</v>
      </c>
      <c r="AD28" s="109" t="s">
        <v>5235</v>
      </c>
      <c r="AF28" s="109" t="s">
        <v>5247</v>
      </c>
      <c r="AH28" s="109" t="s">
        <v>5259</v>
      </c>
    </row>
    <row r="29" spans="1:35" x14ac:dyDescent="0.25">
      <c r="B29" s="109" t="s">
        <v>5077</v>
      </c>
      <c r="D29" s="109" t="s">
        <v>5089</v>
      </c>
      <c r="F29" s="109" t="s">
        <v>5101</v>
      </c>
      <c r="H29" s="109" t="s">
        <v>5113</v>
      </c>
      <c r="J29" s="109" t="s">
        <v>5125</v>
      </c>
      <c r="L29" s="109" t="s">
        <v>5137</v>
      </c>
      <c r="N29" s="109" t="s">
        <v>5149</v>
      </c>
      <c r="P29" s="109" t="s">
        <v>5161</v>
      </c>
      <c r="T29" s="109" t="s">
        <v>5176</v>
      </c>
      <c r="V29" s="109" t="s">
        <v>5188</v>
      </c>
      <c r="X29" s="109" t="s">
        <v>5200</v>
      </c>
      <c r="Z29" s="109" t="s">
        <v>5212</v>
      </c>
      <c r="AB29" s="109" t="s">
        <v>5224</v>
      </c>
      <c r="AD29" s="109" t="s">
        <v>5236</v>
      </c>
      <c r="AF29" s="109" t="s">
        <v>5248</v>
      </c>
      <c r="AH29" s="109" t="s">
        <v>5260</v>
      </c>
    </row>
    <row r="30" spans="1:35" x14ac:dyDescent="0.25">
      <c r="B30" s="109" t="s">
        <v>5078</v>
      </c>
      <c r="D30" s="109" t="s">
        <v>5090</v>
      </c>
      <c r="F30" s="109" t="s">
        <v>5102</v>
      </c>
      <c r="H30" s="109" t="s">
        <v>5114</v>
      </c>
      <c r="J30" s="109" t="s">
        <v>5126</v>
      </c>
      <c r="L30" s="109" t="s">
        <v>5138</v>
      </c>
      <c r="N30" s="109" t="s">
        <v>5150</v>
      </c>
      <c r="P30" s="109" t="s">
        <v>5162</v>
      </c>
      <c r="T30" s="109" t="s">
        <v>5177</v>
      </c>
      <c r="V30" s="109" t="s">
        <v>5189</v>
      </c>
      <c r="X30" s="109" t="s">
        <v>5201</v>
      </c>
      <c r="Z30" s="109" t="s">
        <v>5213</v>
      </c>
      <c r="AB30" s="109" t="s">
        <v>5225</v>
      </c>
      <c r="AD30" s="109" t="s">
        <v>5237</v>
      </c>
      <c r="AF30" s="109" t="s">
        <v>5249</v>
      </c>
      <c r="AH30" s="109" t="s">
        <v>5261</v>
      </c>
    </row>
    <row r="31" spans="1:35" x14ac:dyDescent="0.25">
      <c r="B31" s="109" t="s">
        <v>5079</v>
      </c>
      <c r="D31" s="109" t="s">
        <v>5091</v>
      </c>
      <c r="F31" s="109" t="s">
        <v>5103</v>
      </c>
      <c r="H31" s="109" t="s">
        <v>5115</v>
      </c>
      <c r="J31" s="109" t="s">
        <v>5127</v>
      </c>
      <c r="L31" s="109" t="s">
        <v>5139</v>
      </c>
      <c r="N31" s="109" t="s">
        <v>5151</v>
      </c>
      <c r="P31" s="109" t="s">
        <v>5163</v>
      </c>
      <c r="T31" s="109" t="s">
        <v>5178</v>
      </c>
      <c r="V31" s="109" t="s">
        <v>5190</v>
      </c>
      <c r="X31" s="109" t="s">
        <v>5202</v>
      </c>
      <c r="Z31" s="109" t="s">
        <v>5214</v>
      </c>
      <c r="AB31" s="109" t="s">
        <v>5226</v>
      </c>
      <c r="AD31" s="109" t="s">
        <v>5238</v>
      </c>
      <c r="AF31" s="109" t="s">
        <v>5250</v>
      </c>
      <c r="AH31" s="109" t="s">
        <v>5262</v>
      </c>
    </row>
    <row r="32" spans="1:35" x14ac:dyDescent="0.25">
      <c r="B32" s="109" t="s">
        <v>5080</v>
      </c>
      <c r="D32" s="109" t="s">
        <v>5092</v>
      </c>
      <c r="F32" s="109" t="s">
        <v>5104</v>
      </c>
      <c r="H32" s="109" t="s">
        <v>5116</v>
      </c>
      <c r="J32" s="109" t="s">
        <v>5128</v>
      </c>
      <c r="L32" s="109" t="s">
        <v>5140</v>
      </c>
      <c r="N32" s="109" t="s">
        <v>5152</v>
      </c>
      <c r="P32" s="109" t="s">
        <v>5164</v>
      </c>
      <c r="T32" s="109" t="s">
        <v>5179</v>
      </c>
      <c r="V32" s="109" t="s">
        <v>5191</v>
      </c>
      <c r="X32" s="109" t="s">
        <v>5203</v>
      </c>
      <c r="Z32" s="109" t="s">
        <v>5215</v>
      </c>
      <c r="AB32" s="109" t="s">
        <v>5227</v>
      </c>
      <c r="AD32" s="109" t="s">
        <v>5239</v>
      </c>
      <c r="AF32" s="109" t="s">
        <v>5251</v>
      </c>
      <c r="AH32" s="109" t="s">
        <v>5263</v>
      </c>
    </row>
    <row r="33" spans="1:35" x14ac:dyDescent="0.25">
      <c r="B33" s="109" t="s">
        <v>5081</v>
      </c>
      <c r="D33" s="109" t="s">
        <v>5093</v>
      </c>
      <c r="F33" s="109" t="s">
        <v>5105</v>
      </c>
      <c r="H33" s="109" t="s">
        <v>5117</v>
      </c>
      <c r="J33" s="109" t="s">
        <v>5129</v>
      </c>
      <c r="L33" s="109" t="s">
        <v>5141</v>
      </c>
      <c r="N33" s="109" t="s">
        <v>5153</v>
      </c>
      <c r="P33" s="109" t="s">
        <v>5165</v>
      </c>
      <c r="T33" s="109" t="s">
        <v>5180</v>
      </c>
      <c r="V33" s="109" t="s">
        <v>5192</v>
      </c>
      <c r="X33" s="109" t="s">
        <v>5204</v>
      </c>
      <c r="Z33" s="109" t="s">
        <v>5216</v>
      </c>
      <c r="AB33" s="109" t="s">
        <v>5228</v>
      </c>
      <c r="AD33" s="109" t="s">
        <v>5240</v>
      </c>
      <c r="AF33" s="109" t="s">
        <v>5252</v>
      </c>
      <c r="AH33" s="109" t="s">
        <v>5264</v>
      </c>
    </row>
    <row r="34" spans="1:35" x14ac:dyDescent="0.25">
      <c r="B34" s="109" t="s">
        <v>5082</v>
      </c>
      <c r="D34" s="109" t="s">
        <v>5094</v>
      </c>
      <c r="F34" s="109" t="s">
        <v>5106</v>
      </c>
      <c r="H34" s="109" t="s">
        <v>5118</v>
      </c>
      <c r="J34" s="109" t="s">
        <v>5130</v>
      </c>
      <c r="L34" s="109" t="s">
        <v>5142</v>
      </c>
      <c r="N34" s="109" t="s">
        <v>5154</v>
      </c>
      <c r="P34" s="109" t="s">
        <v>5166</v>
      </c>
      <c r="T34" s="109" t="s">
        <v>5181</v>
      </c>
      <c r="V34" s="109" t="s">
        <v>5193</v>
      </c>
      <c r="X34" s="109" t="s">
        <v>5205</v>
      </c>
      <c r="Z34" s="109" t="s">
        <v>5217</v>
      </c>
      <c r="AB34" s="109" t="s">
        <v>5229</v>
      </c>
      <c r="AD34" s="109" t="s">
        <v>5241</v>
      </c>
      <c r="AF34" s="109" t="s">
        <v>5253</v>
      </c>
      <c r="AH34" s="109" t="s">
        <v>5265</v>
      </c>
    </row>
    <row r="35" spans="1:35" x14ac:dyDescent="0.25">
      <c r="B35" s="109" t="s">
        <v>5083</v>
      </c>
      <c r="D35" s="109" t="s">
        <v>5095</v>
      </c>
      <c r="F35" s="109" t="s">
        <v>5107</v>
      </c>
      <c r="H35" s="109" t="s">
        <v>5119</v>
      </c>
      <c r="J35" s="109" t="s">
        <v>5131</v>
      </c>
      <c r="L35" s="109" t="s">
        <v>5143</v>
      </c>
      <c r="N35" s="109" t="s">
        <v>5155</v>
      </c>
      <c r="P35" s="109" t="s">
        <v>5167</v>
      </c>
      <c r="R35" s="109" t="s">
        <v>5170</v>
      </c>
      <c r="T35" s="109" t="s">
        <v>5182</v>
      </c>
      <c r="V35" s="109" t="s">
        <v>5194</v>
      </c>
      <c r="X35" s="109" t="s">
        <v>5206</v>
      </c>
      <c r="Z35" s="109" t="s">
        <v>5218</v>
      </c>
      <c r="AB35" s="109" t="s">
        <v>5230</v>
      </c>
      <c r="AD35" s="109" t="s">
        <v>5242</v>
      </c>
      <c r="AF35" s="109" t="s">
        <v>5254</v>
      </c>
      <c r="AH35" s="109" t="s">
        <v>5266</v>
      </c>
    </row>
    <row r="36" spans="1:35" x14ac:dyDescent="0.25">
      <c r="B36" s="109" t="s">
        <v>5084</v>
      </c>
      <c r="D36" s="109" t="s">
        <v>5096</v>
      </c>
      <c r="F36" s="109" t="s">
        <v>5108</v>
      </c>
      <c r="H36" s="109" t="s">
        <v>5120</v>
      </c>
      <c r="J36" s="109" t="s">
        <v>5132</v>
      </c>
      <c r="L36" s="109" t="s">
        <v>5144</v>
      </c>
      <c r="N36" s="109" t="s">
        <v>5156</v>
      </c>
      <c r="P36" s="109" t="s">
        <v>5168</v>
      </c>
      <c r="R36" s="109" t="s">
        <v>5171</v>
      </c>
      <c r="T36" s="109" t="s">
        <v>5183</v>
      </c>
      <c r="V36" s="109" t="s">
        <v>5195</v>
      </c>
      <c r="X36" s="109" t="s">
        <v>5207</v>
      </c>
      <c r="Z36" s="109" t="s">
        <v>5219</v>
      </c>
      <c r="AB36" s="109" t="s">
        <v>5231</v>
      </c>
      <c r="AD36" s="109" t="s">
        <v>5243</v>
      </c>
      <c r="AF36" s="109" t="s">
        <v>5255</v>
      </c>
      <c r="AH36" s="109" t="s">
        <v>5267</v>
      </c>
    </row>
    <row r="37" spans="1:35" x14ac:dyDescent="0.25">
      <c r="B37" s="109" t="s">
        <v>5085</v>
      </c>
      <c r="D37" s="109" t="s">
        <v>5097</v>
      </c>
      <c r="F37" s="109" t="s">
        <v>5109</v>
      </c>
      <c r="H37" s="109" t="s">
        <v>5121</v>
      </c>
      <c r="J37" s="109" t="s">
        <v>5133</v>
      </c>
      <c r="L37" s="109" t="s">
        <v>5145</v>
      </c>
      <c r="N37" s="109" t="s">
        <v>5157</v>
      </c>
      <c r="P37" s="109" t="s">
        <v>5169</v>
      </c>
      <c r="R37" s="109" t="s">
        <v>5172</v>
      </c>
      <c r="T37" s="109" t="s">
        <v>5184</v>
      </c>
      <c r="V37" s="109" t="s">
        <v>5196</v>
      </c>
      <c r="X37" s="109" t="s">
        <v>5208</v>
      </c>
      <c r="Z37" s="109" t="s">
        <v>5220</v>
      </c>
      <c r="AB37" s="109" t="s">
        <v>5232</v>
      </c>
      <c r="AD37" s="109" t="s">
        <v>5244</v>
      </c>
      <c r="AF37" s="109" t="s">
        <v>5256</v>
      </c>
      <c r="AH37" s="109" t="s">
        <v>5268</v>
      </c>
    </row>
    <row r="38" spans="1:35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>COUNTIF(D26:D37,"&lt;&gt;")</f>
        <v>12</v>
      </c>
      <c r="E38" s="109">
        <f t="shared" ref="E38" si="21">COUNTIF(E26:E37,"Y")</f>
        <v>0</v>
      </c>
      <c r="F38" s="109">
        <f t="shared" ref="F38" si="22">COUNTIF(F26:F37,"&lt;&gt;")</f>
        <v>12</v>
      </c>
      <c r="G38" s="109">
        <f t="shared" ref="G38" si="23">COUNTIF(G26:G37,"Y")</f>
        <v>0</v>
      </c>
      <c r="H38" s="109">
        <f t="shared" ref="H38" si="24">COUNTIF(H26:H37,"&lt;&gt;")</f>
        <v>12</v>
      </c>
      <c r="I38" s="109">
        <f t="shared" ref="I38" si="25">COUNTIF(I26:I37,"Y")</f>
        <v>0</v>
      </c>
      <c r="J38" s="109">
        <f t="shared" ref="J38" si="26">COUNTIF(J26:J37,"&lt;&gt;")</f>
        <v>12</v>
      </c>
      <c r="K38" s="109">
        <f t="shared" ref="K38" si="27">COUNTIF(K26:K37,"Y")</f>
        <v>0</v>
      </c>
      <c r="L38" s="109">
        <f t="shared" ref="L38" si="28">COUNTIF(L26:L37,"&lt;&gt;")</f>
        <v>12</v>
      </c>
      <c r="M38" s="109">
        <f t="shared" ref="M38" si="29">COUNTIF(M26:M37,"Y")</f>
        <v>0</v>
      </c>
      <c r="N38" s="109">
        <f t="shared" ref="N38" si="30">COUNTIF(N26:N37,"&lt;&gt;")</f>
        <v>12</v>
      </c>
      <c r="O38" s="109">
        <f t="shared" ref="O38" si="31">COUNTIF(O26:O37,"Y")</f>
        <v>0</v>
      </c>
      <c r="P38" s="109">
        <f t="shared" ref="P38" si="32">COUNTIF(P26:P37,"&lt;&gt;")</f>
        <v>12</v>
      </c>
      <c r="Q38" s="109">
        <f t="shared" ref="Q38" si="33">COUNTIF(Q26:Q37,"Y")</f>
        <v>0</v>
      </c>
      <c r="R38" s="109">
        <f>COUNTIF(R29:R37,"&lt;&gt;")</f>
        <v>3</v>
      </c>
      <c r="S38" s="109">
        <f t="shared" ref="S38" si="34">COUNTIF(S26:S37,"Y")</f>
        <v>0</v>
      </c>
      <c r="T38" s="109">
        <f t="shared" ref="T38" si="35">COUNTIF(T26:T37,"&lt;&gt;")</f>
        <v>12</v>
      </c>
      <c r="U38" s="109">
        <f t="shared" ref="U38" si="36">COUNTIF(U26:U37,"Y")</f>
        <v>0</v>
      </c>
      <c r="V38" s="109">
        <f t="shared" ref="V38" si="37">COUNTIF(V26:V37,"&lt;&gt;")</f>
        <v>12</v>
      </c>
      <c r="W38" s="109">
        <f t="shared" ref="W38" si="38">COUNTIF(W26:W37,"Y")</f>
        <v>0</v>
      </c>
      <c r="X38" s="109">
        <f t="shared" ref="X38" si="39">COUNTIF(X26:X37,"&lt;&gt;")</f>
        <v>12</v>
      </c>
      <c r="Y38" s="109">
        <f t="shared" ref="Y38" si="40">COUNTIF(Y26:Y37,"Y")</f>
        <v>0</v>
      </c>
      <c r="Z38" s="109">
        <f t="shared" ref="Z38" si="41">COUNTIF(Z26:Z37,"&lt;&gt;")</f>
        <v>12</v>
      </c>
      <c r="AA38" s="109">
        <f t="shared" ref="AA38" si="42">COUNTIF(AA26:AA37,"Y")</f>
        <v>0</v>
      </c>
      <c r="AB38" s="109">
        <f t="shared" ref="AB38" si="43">COUNTIF(AB26:AB37,"&lt;&gt;")</f>
        <v>12</v>
      </c>
      <c r="AC38" s="109">
        <f t="shared" ref="AC38" si="44">COUNTIF(AC26:AC37,"Y")</f>
        <v>0</v>
      </c>
      <c r="AD38" s="109">
        <f t="shared" ref="AD38" si="45">COUNTIF(AD26:AD37,"&lt;&gt;")</f>
        <v>12</v>
      </c>
      <c r="AE38" s="109">
        <f t="shared" ref="AE38" si="46">COUNTIF(AE26:AE37,"Y")</f>
        <v>0</v>
      </c>
      <c r="AF38" s="109">
        <f t="shared" ref="AF38" si="47">COUNTIF(AF26:AF37,"&lt;&gt;")</f>
        <v>12</v>
      </c>
      <c r="AG38" s="109">
        <f t="shared" ref="AG38" si="48">COUNTIF(AG26:AG37,"Y")</f>
        <v>0</v>
      </c>
      <c r="AH38" s="109">
        <f t="shared" ref="AH38" si="49">COUNTIF(AH26:AH37,"&lt;&gt;")</f>
        <v>12</v>
      </c>
      <c r="AI38" s="109">
        <f t="shared" ref="AI38" si="50">COUNTIF(AI26:AI37,"Y")</f>
        <v>0</v>
      </c>
    </row>
  </sheetData>
  <pageMargins left="0.7" right="0.7" top="0.75" bottom="0.75" header="0.3" footer="0.3"/>
  <pageSetup orientation="portrait" verticalDpi="597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A60AB-98B7-4A9E-9F21-1612C9601C0F}">
  <sheetPr codeName="Sheet20"/>
  <dimension ref="A1:AQ38"/>
  <sheetViews>
    <sheetView workbookViewId="0">
      <selection sqref="A1:XFD2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1.5703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20" width="12.42578125" style="109" bestFit="1" customWidth="1"/>
    <col min="21" max="21" width="10.85546875" style="109" bestFit="1" customWidth="1"/>
    <col min="22" max="22" width="12.42578125" style="109" bestFit="1" customWidth="1"/>
    <col min="23" max="23" width="10.85546875" style="109" bestFit="1" customWidth="1"/>
    <col min="24" max="24" width="12.42578125" style="109" bestFit="1" customWidth="1"/>
    <col min="25" max="25" width="10.85546875" style="109" bestFit="1" customWidth="1"/>
    <col min="26" max="26" width="12.42578125" style="109" bestFit="1" customWidth="1"/>
    <col min="27" max="27" width="10.85546875" style="109" bestFit="1" customWidth="1"/>
    <col min="28" max="28" width="12.42578125" style="109" bestFit="1" customWidth="1"/>
    <col min="29" max="29" width="10.85546875" style="109" bestFit="1" customWidth="1"/>
    <col min="30" max="30" width="12.42578125" style="109" bestFit="1" customWidth="1"/>
    <col min="31" max="31" width="10.85546875" style="109" bestFit="1" customWidth="1"/>
    <col min="32" max="32" width="12.42578125" style="109" bestFit="1" customWidth="1"/>
    <col min="33" max="33" width="10.85546875" style="109" bestFit="1" customWidth="1"/>
    <col min="34" max="34" width="12.42578125" style="109" bestFit="1" customWidth="1"/>
    <col min="35" max="35" width="10.85546875" style="109" bestFit="1" customWidth="1"/>
    <col min="36" max="36" width="12.42578125" style="109" bestFit="1" customWidth="1"/>
    <col min="37" max="37" width="10.85546875" style="109" bestFit="1" customWidth="1"/>
    <col min="38" max="38" width="12.42578125" style="109" bestFit="1" customWidth="1"/>
    <col min="39" max="39" width="10.85546875" style="109" bestFit="1" customWidth="1"/>
    <col min="40" max="40" width="12.42578125" style="109" bestFit="1" customWidth="1"/>
    <col min="41" max="41" width="10.85546875" style="109" bestFit="1" customWidth="1"/>
    <col min="42" max="42" width="12.42578125" style="109" bestFit="1" customWidth="1"/>
    <col min="43" max="43" width="10.85546875" style="109" bestFit="1" customWidth="1"/>
    <col min="44" max="44" width="12.42578125" style="109" bestFit="1" customWidth="1"/>
    <col min="45" max="45" width="10.85546875" style="109" bestFit="1" customWidth="1"/>
    <col min="46" max="46" width="12.42578125" style="109" bestFit="1" customWidth="1"/>
    <col min="47" max="47" width="10.85546875" style="109" bestFit="1" customWidth="1"/>
    <col min="48" max="16384" width="9.140625" style="109"/>
  </cols>
  <sheetData>
    <row r="1" spans="2:29" s="111" customFormat="1" x14ac:dyDescent="0.25">
      <c r="B1" s="111" t="s">
        <v>14577</v>
      </c>
      <c r="C1" s="111">
        <f>SUM(D3,D24)</f>
        <v>402</v>
      </c>
      <c r="D1" s="111" t="s">
        <v>301</v>
      </c>
      <c r="E1" s="111">
        <f>SUM(F3,F24)</f>
        <v>0</v>
      </c>
      <c r="F1" s="111" t="s">
        <v>14579</v>
      </c>
      <c r="G1" s="111">
        <f>SUM(H3,H24)</f>
        <v>402</v>
      </c>
      <c r="H1" s="111" t="s">
        <v>14578</v>
      </c>
      <c r="I1" s="131">
        <f>(E1/C1)</f>
        <v>0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5281</v>
      </c>
      <c r="C3" s="109" t="s">
        <v>302</v>
      </c>
      <c r="D3" s="109">
        <f>SUM(B22,D22,F22,H22,J22,L22,N22,P22,R22,T22,V22)</f>
        <v>153</v>
      </c>
      <c r="E3" s="109" t="s">
        <v>301</v>
      </c>
      <c r="F3" s="109">
        <f>SUM(C22,E22,G22,I22,K22,M22,O22,Q22,S22,U22,W22)</f>
        <v>0</v>
      </c>
      <c r="G3" s="109" t="s">
        <v>305</v>
      </c>
      <c r="H3" s="109">
        <f>D3-F3</f>
        <v>153</v>
      </c>
    </row>
    <row r="4" spans="2:29" x14ac:dyDescent="0.25">
      <c r="B4" s="109" t="str">
        <f>LEFT(B5,FIND("_C",B5)-1)</f>
        <v>BH_026</v>
      </c>
      <c r="C4" s="109" t="s">
        <v>301</v>
      </c>
      <c r="D4" s="109" t="str">
        <f>LEFT(D5,FIND("_C",D5)-1)</f>
        <v>BH_042</v>
      </c>
      <c r="E4" s="109" t="s">
        <v>301</v>
      </c>
      <c r="F4" s="109" t="str">
        <f>LEFT(F5,FIND("_C",F5)-1)</f>
        <v>BH_043</v>
      </c>
      <c r="G4" s="109" t="s">
        <v>301</v>
      </c>
      <c r="H4" s="109" t="str">
        <f>LEFT(H5,FIND("_C",H5)-1)</f>
        <v>BH_061</v>
      </c>
      <c r="I4" s="109" t="s">
        <v>301</v>
      </c>
      <c r="J4" s="109" t="str">
        <f>LEFT(J5,FIND("_C",J5)-1)</f>
        <v>BH_062</v>
      </c>
      <c r="K4" s="109" t="s">
        <v>301</v>
      </c>
      <c r="L4" s="109" t="str">
        <f>LEFT(L5,FIND("_C",L5)-1)</f>
        <v>BH_092</v>
      </c>
      <c r="M4" s="109" t="s">
        <v>301</v>
      </c>
      <c r="N4" s="109" t="str">
        <f>LEFT(N5,FIND("_C",N5)-1)</f>
        <v>BH_130</v>
      </c>
      <c r="O4" s="109" t="s">
        <v>301</v>
      </c>
      <c r="P4" s="109" t="str">
        <f>LEFT(P5,FIND("_C",P5)-1)</f>
        <v>BH_132</v>
      </c>
      <c r="Q4" s="109" t="s">
        <v>301</v>
      </c>
      <c r="R4" s="109" t="str">
        <f>LEFT(R5,FIND("_C",R5)-1)</f>
        <v>BH_137</v>
      </c>
      <c r="S4" s="109" t="s">
        <v>301</v>
      </c>
    </row>
    <row r="5" spans="2:29" x14ac:dyDescent="0.25">
      <c r="B5" s="109" t="s">
        <v>5283</v>
      </c>
      <c r="D5" s="109" t="s">
        <v>5300</v>
      </c>
      <c r="F5" s="109" t="s">
        <v>5317</v>
      </c>
      <c r="H5" s="109" t="s">
        <v>5334</v>
      </c>
      <c r="J5" s="109" t="s">
        <v>5351</v>
      </c>
      <c r="L5" s="109" t="s">
        <v>5368</v>
      </c>
      <c r="N5" s="109" t="s">
        <v>5385</v>
      </c>
      <c r="P5" s="109" t="s">
        <v>5402</v>
      </c>
      <c r="R5" s="109" t="s">
        <v>5419</v>
      </c>
    </row>
    <row r="6" spans="2:29" x14ac:dyDescent="0.25">
      <c r="B6" s="109" t="s">
        <v>5284</v>
      </c>
      <c r="D6" s="109" t="s">
        <v>5301</v>
      </c>
      <c r="F6" s="109" t="s">
        <v>5318</v>
      </c>
      <c r="H6" s="109" t="s">
        <v>5335</v>
      </c>
      <c r="J6" s="109" t="s">
        <v>5352</v>
      </c>
      <c r="L6" s="109" t="s">
        <v>5369</v>
      </c>
      <c r="N6" s="109" t="s">
        <v>5386</v>
      </c>
      <c r="P6" s="109" t="s">
        <v>5403</v>
      </c>
      <c r="R6" s="109" t="s">
        <v>5420</v>
      </c>
    </row>
    <row r="7" spans="2:29" x14ac:dyDescent="0.25">
      <c r="B7" s="109" t="s">
        <v>5285</v>
      </c>
      <c r="D7" s="109" t="s">
        <v>5302</v>
      </c>
      <c r="F7" s="109" t="s">
        <v>5319</v>
      </c>
      <c r="H7" s="109" t="s">
        <v>5336</v>
      </c>
      <c r="J7" s="109" t="s">
        <v>5353</v>
      </c>
      <c r="L7" s="109" t="s">
        <v>5370</v>
      </c>
      <c r="N7" s="109" t="s">
        <v>5387</v>
      </c>
      <c r="P7" s="109" t="s">
        <v>5404</v>
      </c>
      <c r="R7" s="109" t="s">
        <v>5421</v>
      </c>
    </row>
    <row r="8" spans="2:29" x14ac:dyDescent="0.25">
      <c r="B8" s="109" t="s">
        <v>5286</v>
      </c>
      <c r="D8" s="109" t="s">
        <v>5303</v>
      </c>
      <c r="F8" s="109" t="s">
        <v>5320</v>
      </c>
      <c r="H8" s="109" t="s">
        <v>5337</v>
      </c>
      <c r="J8" s="109" t="s">
        <v>5354</v>
      </c>
      <c r="L8" s="109" t="s">
        <v>5371</v>
      </c>
      <c r="N8" s="109" t="s">
        <v>5388</v>
      </c>
      <c r="P8" s="109" t="s">
        <v>5405</v>
      </c>
      <c r="R8" s="109" t="s">
        <v>5422</v>
      </c>
    </row>
    <row r="9" spans="2:29" x14ac:dyDescent="0.25">
      <c r="B9" s="109" t="s">
        <v>5287</v>
      </c>
      <c r="D9" s="109" t="s">
        <v>5304</v>
      </c>
      <c r="F9" s="109" t="s">
        <v>5321</v>
      </c>
      <c r="H9" s="109" t="s">
        <v>5338</v>
      </c>
      <c r="J9" s="109" t="s">
        <v>5355</v>
      </c>
      <c r="L9" s="109" t="s">
        <v>5372</v>
      </c>
      <c r="N9" s="109" t="s">
        <v>5389</v>
      </c>
      <c r="P9" s="109" t="s">
        <v>5406</v>
      </c>
      <c r="R9" s="109" t="s">
        <v>5423</v>
      </c>
    </row>
    <row r="10" spans="2:29" x14ac:dyDescent="0.25">
      <c r="B10" s="109" t="s">
        <v>5288</v>
      </c>
      <c r="D10" s="109" t="s">
        <v>5305</v>
      </c>
      <c r="F10" s="109" t="s">
        <v>5322</v>
      </c>
      <c r="H10" s="109" t="s">
        <v>5339</v>
      </c>
      <c r="J10" s="109" t="s">
        <v>5356</v>
      </c>
      <c r="L10" s="109" t="s">
        <v>5373</v>
      </c>
      <c r="N10" s="109" t="s">
        <v>5390</v>
      </c>
      <c r="P10" s="109" t="s">
        <v>5407</v>
      </c>
      <c r="R10" s="109" t="s">
        <v>5424</v>
      </c>
    </row>
    <row r="11" spans="2:29" x14ac:dyDescent="0.25">
      <c r="B11" s="109" t="s">
        <v>5289</v>
      </c>
      <c r="D11" s="109" t="s">
        <v>5306</v>
      </c>
      <c r="F11" s="109" t="s">
        <v>5323</v>
      </c>
      <c r="H11" s="109" t="s">
        <v>5340</v>
      </c>
      <c r="J11" s="109" t="s">
        <v>5357</v>
      </c>
      <c r="L11" s="109" t="s">
        <v>5374</v>
      </c>
      <c r="N11" s="109" t="s">
        <v>5391</v>
      </c>
      <c r="P11" s="109" t="s">
        <v>5408</v>
      </c>
      <c r="R11" s="109" t="s">
        <v>5425</v>
      </c>
    </row>
    <row r="12" spans="2:29" x14ac:dyDescent="0.25">
      <c r="B12" s="109" t="s">
        <v>5290</v>
      </c>
      <c r="D12" s="109" t="s">
        <v>5307</v>
      </c>
      <c r="F12" s="109" t="s">
        <v>5324</v>
      </c>
      <c r="H12" s="109" t="s">
        <v>5341</v>
      </c>
      <c r="J12" s="109" t="s">
        <v>5358</v>
      </c>
      <c r="L12" s="109" t="s">
        <v>5375</v>
      </c>
      <c r="N12" s="109" t="s">
        <v>5392</v>
      </c>
      <c r="P12" s="109" t="s">
        <v>5409</v>
      </c>
      <c r="R12" s="109" t="s">
        <v>5426</v>
      </c>
    </row>
    <row r="13" spans="2:29" x14ac:dyDescent="0.25">
      <c r="B13" s="109" t="s">
        <v>5291</v>
      </c>
      <c r="D13" s="109" t="s">
        <v>5308</v>
      </c>
      <c r="F13" s="109" t="s">
        <v>5325</v>
      </c>
      <c r="H13" s="109" t="s">
        <v>5342</v>
      </c>
      <c r="J13" s="109" t="s">
        <v>5359</v>
      </c>
      <c r="L13" s="109" t="s">
        <v>5376</v>
      </c>
      <c r="N13" s="109" t="s">
        <v>5393</v>
      </c>
      <c r="P13" s="109" t="s">
        <v>5410</v>
      </c>
      <c r="R13" s="109" t="s">
        <v>5427</v>
      </c>
    </row>
    <row r="14" spans="2:29" x14ac:dyDescent="0.25">
      <c r="B14" s="109" t="s">
        <v>5292</v>
      </c>
      <c r="D14" s="109" t="s">
        <v>5309</v>
      </c>
      <c r="F14" s="109" t="s">
        <v>5326</v>
      </c>
      <c r="H14" s="109" t="s">
        <v>5343</v>
      </c>
      <c r="J14" s="109" t="s">
        <v>5360</v>
      </c>
      <c r="L14" s="109" t="s">
        <v>5377</v>
      </c>
      <c r="N14" s="109" t="s">
        <v>5394</v>
      </c>
      <c r="P14" s="109" t="s">
        <v>5411</v>
      </c>
      <c r="R14" s="109" t="s">
        <v>5428</v>
      </c>
    </row>
    <row r="15" spans="2:29" x14ac:dyDescent="0.25">
      <c r="B15" s="109" t="s">
        <v>5293</v>
      </c>
      <c r="D15" s="109" t="s">
        <v>5310</v>
      </c>
      <c r="F15" s="109" t="s">
        <v>5327</v>
      </c>
      <c r="H15" s="109" t="s">
        <v>5344</v>
      </c>
      <c r="J15" s="109" t="s">
        <v>5361</v>
      </c>
      <c r="L15" s="109" t="s">
        <v>5378</v>
      </c>
      <c r="N15" s="109" t="s">
        <v>5395</v>
      </c>
      <c r="P15" s="109" t="s">
        <v>5412</v>
      </c>
      <c r="R15" s="109" t="s">
        <v>5429</v>
      </c>
    </row>
    <row r="16" spans="2:29" x14ac:dyDescent="0.25">
      <c r="B16" s="109" t="s">
        <v>5294</v>
      </c>
      <c r="D16" s="109" t="s">
        <v>5311</v>
      </c>
      <c r="F16" s="109" t="s">
        <v>5328</v>
      </c>
      <c r="H16" s="109" t="s">
        <v>5345</v>
      </c>
      <c r="J16" s="109" t="s">
        <v>5362</v>
      </c>
      <c r="L16" s="109" t="s">
        <v>5379</v>
      </c>
      <c r="N16" s="109" t="s">
        <v>5396</v>
      </c>
      <c r="P16" s="109" t="s">
        <v>5413</v>
      </c>
      <c r="R16" s="109" t="s">
        <v>5430</v>
      </c>
    </row>
    <row r="17" spans="1:43" x14ac:dyDescent="0.25">
      <c r="B17" s="109" t="s">
        <v>5295</v>
      </c>
      <c r="D17" s="109" t="s">
        <v>5312</v>
      </c>
      <c r="F17" s="109" t="s">
        <v>5329</v>
      </c>
      <c r="H17" s="109" t="s">
        <v>5346</v>
      </c>
      <c r="J17" s="109" t="s">
        <v>5363</v>
      </c>
      <c r="L17" s="109" t="s">
        <v>5380</v>
      </c>
      <c r="N17" s="109" t="s">
        <v>5397</v>
      </c>
      <c r="P17" s="109" t="s">
        <v>5414</v>
      </c>
      <c r="R17" s="109" t="s">
        <v>5431</v>
      </c>
    </row>
    <row r="18" spans="1:43" x14ac:dyDescent="0.25">
      <c r="B18" s="109" t="s">
        <v>5296</v>
      </c>
      <c r="D18" s="109" t="s">
        <v>5313</v>
      </c>
      <c r="F18" s="109" t="s">
        <v>5330</v>
      </c>
      <c r="H18" s="109" t="s">
        <v>5347</v>
      </c>
      <c r="J18" s="109" t="s">
        <v>5364</v>
      </c>
      <c r="L18" s="109" t="s">
        <v>5381</v>
      </c>
      <c r="N18" s="109" t="s">
        <v>5398</v>
      </c>
      <c r="P18" s="109" t="s">
        <v>5415</v>
      </c>
      <c r="R18" s="109" t="s">
        <v>5432</v>
      </c>
    </row>
    <row r="19" spans="1:43" x14ac:dyDescent="0.25">
      <c r="B19" s="109" t="s">
        <v>5297</v>
      </c>
      <c r="D19" s="109" t="s">
        <v>5314</v>
      </c>
      <c r="F19" s="109" t="s">
        <v>5331</v>
      </c>
      <c r="H19" s="109" t="s">
        <v>5348</v>
      </c>
      <c r="J19" s="109" t="s">
        <v>5365</v>
      </c>
      <c r="L19" s="109" t="s">
        <v>5382</v>
      </c>
      <c r="N19" s="109" t="s">
        <v>5399</v>
      </c>
      <c r="P19" s="109" t="s">
        <v>5416</v>
      </c>
      <c r="R19" s="109" t="s">
        <v>5433</v>
      </c>
    </row>
    <row r="20" spans="1:43" x14ac:dyDescent="0.25">
      <c r="B20" s="109" t="s">
        <v>5298</v>
      </c>
      <c r="D20" s="109" t="s">
        <v>5315</v>
      </c>
      <c r="F20" s="109" t="s">
        <v>5332</v>
      </c>
      <c r="H20" s="109" t="s">
        <v>5349</v>
      </c>
      <c r="J20" s="109" t="s">
        <v>5366</v>
      </c>
      <c r="L20" s="109" t="s">
        <v>5383</v>
      </c>
      <c r="N20" s="109" t="s">
        <v>5400</v>
      </c>
      <c r="P20" s="109" t="s">
        <v>5417</v>
      </c>
      <c r="R20" s="109" t="s">
        <v>5434</v>
      </c>
    </row>
    <row r="21" spans="1:43" x14ac:dyDescent="0.25">
      <c r="B21" s="109" t="s">
        <v>5299</v>
      </c>
      <c r="D21" s="109" t="s">
        <v>5316</v>
      </c>
      <c r="F21" s="109" t="s">
        <v>5333</v>
      </c>
      <c r="H21" s="109" t="s">
        <v>5350</v>
      </c>
      <c r="J21" s="109" t="s">
        <v>5367</v>
      </c>
      <c r="L21" s="109" t="s">
        <v>5384</v>
      </c>
      <c r="N21" s="109" t="s">
        <v>5401</v>
      </c>
      <c r="P21" s="109" t="s">
        <v>5418</v>
      </c>
      <c r="R21" s="109" t="s">
        <v>5435</v>
      </c>
    </row>
    <row r="22" spans="1:43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0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0</v>
      </c>
      <c r="L22" s="109">
        <f t="shared" ref="L22" si="5">COUNTIF(L5:L21,"&lt;&gt;")</f>
        <v>17</v>
      </c>
      <c r="M22" s="109">
        <f>COUNTIF(M5:M21,"Y")</f>
        <v>0</v>
      </c>
      <c r="N22" s="109">
        <f t="shared" ref="N22" si="6">COUNTIF(N5:N21,"&lt;&gt;")</f>
        <v>17</v>
      </c>
      <c r="O22" s="109">
        <f>COUNTIF(O5:O21,"Y")</f>
        <v>0</v>
      </c>
      <c r="P22" s="109">
        <f t="shared" ref="P22" si="7">COUNTIF(P5:P21,"&lt;&gt;")</f>
        <v>17</v>
      </c>
      <c r="Q22" s="109">
        <f>COUNTIF(Q5:Q21,"Y")</f>
        <v>0</v>
      </c>
      <c r="R22" s="109">
        <f t="shared" ref="R22" si="8">COUNTIF(R5:R21,"&lt;&gt;")</f>
        <v>17</v>
      </c>
      <c r="S22" s="109">
        <f>COUNTIF(S5:S21,"Y")</f>
        <v>0</v>
      </c>
    </row>
    <row r="24" spans="1:43" x14ac:dyDescent="0.25">
      <c r="B24" s="109" t="s">
        <v>5282</v>
      </c>
      <c r="C24" s="109" t="s">
        <v>302</v>
      </c>
      <c r="D24" s="109">
        <f>SUM(B38,D38,F38,H38,J38,L38,N38,P38,R38,T38,V38,X38,Z38,AB38,AD38,AF38,AH38,AJ38,AL38,AN38,AP38,AR38,AT38)</f>
        <v>249</v>
      </c>
      <c r="E24" s="109" t="s">
        <v>301</v>
      </c>
      <c r="F24" s="109">
        <f>SUM(C38,E38,G38,I38,K38,M38,O38,Q38,S38,U38,W38,Y38,AA38,AC38,AE38,AG38,AI38,AK38,AM38,AO38,AQ38,AS38,AU38)</f>
        <v>0</v>
      </c>
      <c r="G24" s="109" t="s">
        <v>305</v>
      </c>
      <c r="H24" s="109">
        <f>D24-F24</f>
        <v>249</v>
      </c>
    </row>
    <row r="25" spans="1:43" x14ac:dyDescent="0.25">
      <c r="B25" s="109" t="str">
        <f>LEFT(B26,FIND("_P",B26)-1)</f>
        <v>CPT_162</v>
      </c>
      <c r="C25" s="109" t="s">
        <v>301</v>
      </c>
      <c r="D25" s="109" t="str">
        <f t="shared" ref="D25" si="9">LEFT(D26,FIND("_P",D26)-1)</f>
        <v>CPT_040</v>
      </c>
      <c r="E25" s="109" t="s">
        <v>301</v>
      </c>
      <c r="F25" s="109" t="str">
        <f t="shared" ref="F25" si="10">LEFT(F26,FIND("_P",F26)-1)</f>
        <v>CPT_078</v>
      </c>
      <c r="G25" s="109" t="s">
        <v>301</v>
      </c>
      <c r="H25" s="109" t="str">
        <f t="shared" ref="H25" si="11">LEFT(H26,FIND("_P",H26)-1)</f>
        <v>CPT_098</v>
      </c>
      <c r="I25" s="109" t="s">
        <v>301</v>
      </c>
      <c r="J25" s="109" t="str">
        <f t="shared" ref="J25" si="12">LEFT(J26,FIND("_P",J26)-1)</f>
        <v>CPT_111</v>
      </c>
      <c r="K25" s="109" t="s">
        <v>301</v>
      </c>
      <c r="L25" s="109" t="str">
        <f t="shared" ref="L25" si="13">LEFT(L26,FIND("_P",L26)-1)</f>
        <v>CPT_128</v>
      </c>
      <c r="M25" s="109" t="s">
        <v>301</v>
      </c>
      <c r="N25" s="109" t="str">
        <f t="shared" ref="N25" si="14">LEFT(N26,FIND("_P",N26)-1)</f>
        <v>CPT_129</v>
      </c>
      <c r="O25" s="109" t="s">
        <v>301</v>
      </c>
      <c r="P25" s="109" t="str">
        <f t="shared" ref="P25" si="15">LEFT(P26,FIND("_P",P26)-1)</f>
        <v>CPT_133</v>
      </c>
      <c r="Q25" s="109" t="s">
        <v>301</v>
      </c>
      <c r="R25" s="109" t="e">
        <f>LEFT(R35,FIND("_P",R35)-1)</f>
        <v>#VALUE!</v>
      </c>
      <c r="S25" s="109" t="s">
        <v>301</v>
      </c>
      <c r="T25" s="109" t="str">
        <f t="shared" ref="T25" si="16">LEFT(T26,FIND("_P",T26)-1)</f>
        <v>CPT_195</v>
      </c>
      <c r="U25" s="109" t="s">
        <v>301</v>
      </c>
      <c r="V25" s="109" t="str">
        <f t="shared" ref="V25" si="17">LEFT(V26,FIND("_P",V26)-1)</f>
        <v>CPT_208</v>
      </c>
      <c r="W25" s="109" t="s">
        <v>301</v>
      </c>
      <c r="X25" s="109" t="str">
        <f t="shared" ref="X25" si="18">LEFT(X26,FIND("_P",X26)-1)</f>
        <v>CPT_260</v>
      </c>
      <c r="Y25" s="109" t="s">
        <v>301</v>
      </c>
      <c r="Z25" s="109" t="str">
        <f t="shared" ref="Z25" si="19">LEFT(Z26,FIND("_P",Z26)-1)</f>
        <v>CPT_267</v>
      </c>
      <c r="AA25" s="109" t="s">
        <v>301</v>
      </c>
      <c r="AB25" s="109" t="str">
        <f t="shared" ref="AB25" si="20">LEFT(AB26,FIND("_P",AB26)-1)</f>
        <v>CPT_268</v>
      </c>
      <c r="AC25" s="109" t="s">
        <v>301</v>
      </c>
      <c r="AD25" s="109" t="str">
        <f t="shared" ref="AD25" si="21">LEFT(AD26,FIND("_P",AD26)-1)</f>
        <v>CPT_272</v>
      </c>
      <c r="AE25" s="109" t="s">
        <v>301</v>
      </c>
      <c r="AF25" s="109" t="str">
        <f t="shared" ref="AF25" si="22">LEFT(AF26,FIND("_P",AF26)-1)</f>
        <v>CPT_273</v>
      </c>
      <c r="AG25" s="109" t="s">
        <v>301</v>
      </c>
      <c r="AH25" s="109" t="str">
        <f t="shared" ref="AH25" si="23">LEFT(AH26,FIND("_P",AH26)-1)</f>
        <v>CPT_281</v>
      </c>
      <c r="AI25" s="109" t="s">
        <v>301</v>
      </c>
      <c r="AJ25" s="109" t="str">
        <f t="shared" ref="AJ25" si="24">LEFT(AJ26,FIND("_P",AJ26)-1)</f>
        <v>CPT_286</v>
      </c>
      <c r="AK25" s="109" t="s">
        <v>301</v>
      </c>
      <c r="AL25" s="109" t="str">
        <f t="shared" ref="AL25" si="25">LEFT(AL26,FIND("_P",AL26)-1)</f>
        <v>CPT_292</v>
      </c>
      <c r="AM25" s="109" t="s">
        <v>301</v>
      </c>
      <c r="AN25" s="109" t="str">
        <f t="shared" ref="AN25" si="26">LEFT(AN26,FIND("_P",AN26)-1)</f>
        <v>CPT_297</v>
      </c>
      <c r="AO25" s="109" t="s">
        <v>301</v>
      </c>
      <c r="AP25" s="109" t="str">
        <f t="shared" ref="AP25" si="27">LEFT(AP26,FIND("_P",AP26)-1)</f>
        <v>CPT_327</v>
      </c>
      <c r="AQ25" s="109" t="s">
        <v>301</v>
      </c>
    </row>
    <row r="26" spans="1:43" x14ac:dyDescent="0.25">
      <c r="B26" s="109" t="s">
        <v>5269</v>
      </c>
      <c r="D26" s="109" t="s">
        <v>5436</v>
      </c>
      <c r="F26" s="109" t="s">
        <v>5448</v>
      </c>
      <c r="H26" s="109" t="s">
        <v>5460</v>
      </c>
      <c r="J26" s="109" t="s">
        <v>5472</v>
      </c>
      <c r="L26" s="109" t="s">
        <v>5484</v>
      </c>
      <c r="N26" s="109" t="s">
        <v>5496</v>
      </c>
      <c r="P26" s="109" t="s">
        <v>5508</v>
      </c>
      <c r="R26" s="109" t="s">
        <v>5520</v>
      </c>
      <c r="T26" s="109" t="s">
        <v>5532</v>
      </c>
      <c r="V26" s="109" t="s">
        <v>5544</v>
      </c>
      <c r="X26" s="109" t="s">
        <v>5553</v>
      </c>
      <c r="Z26" s="109" t="s">
        <v>5565</v>
      </c>
      <c r="AB26" s="109" t="s">
        <v>5577</v>
      </c>
      <c r="AD26" s="109" t="s">
        <v>5589</v>
      </c>
      <c r="AF26" s="109" t="s">
        <v>5601</v>
      </c>
      <c r="AH26" s="109" t="s">
        <v>5613</v>
      </c>
      <c r="AJ26" s="109" t="s">
        <v>5625</v>
      </c>
      <c r="AL26" s="109" t="s">
        <v>5637</v>
      </c>
      <c r="AN26" s="109" t="s">
        <v>5649</v>
      </c>
      <c r="AP26" s="109" t="s">
        <v>5661</v>
      </c>
    </row>
    <row r="27" spans="1:43" x14ac:dyDescent="0.25">
      <c r="B27" s="109" t="s">
        <v>5270</v>
      </c>
      <c r="D27" s="109" t="s">
        <v>5437</v>
      </c>
      <c r="F27" s="109" t="s">
        <v>5449</v>
      </c>
      <c r="H27" s="109" t="s">
        <v>5461</v>
      </c>
      <c r="J27" s="109" t="s">
        <v>5473</v>
      </c>
      <c r="L27" s="109" t="s">
        <v>5485</v>
      </c>
      <c r="N27" s="109" t="s">
        <v>5497</v>
      </c>
      <c r="P27" s="109" t="s">
        <v>5509</v>
      </c>
      <c r="R27" s="109" t="s">
        <v>5521</v>
      </c>
      <c r="T27" s="109" t="s">
        <v>5533</v>
      </c>
      <c r="V27" s="109" t="s">
        <v>5545</v>
      </c>
      <c r="X27" s="109" t="s">
        <v>5554</v>
      </c>
      <c r="Z27" s="109" t="s">
        <v>5566</v>
      </c>
      <c r="AB27" s="109" t="s">
        <v>5578</v>
      </c>
      <c r="AD27" s="109" t="s">
        <v>5590</v>
      </c>
      <c r="AF27" s="109" t="s">
        <v>5602</v>
      </c>
      <c r="AH27" s="109" t="s">
        <v>5614</v>
      </c>
      <c r="AJ27" s="109" t="s">
        <v>5626</v>
      </c>
      <c r="AL27" s="109" t="s">
        <v>5638</v>
      </c>
      <c r="AN27" s="109" t="s">
        <v>5650</v>
      </c>
      <c r="AP27" s="109" t="s">
        <v>5662</v>
      </c>
    </row>
    <row r="28" spans="1:43" x14ac:dyDescent="0.25">
      <c r="B28" s="109" t="s">
        <v>5271</v>
      </c>
      <c r="D28" s="109" t="s">
        <v>5438</v>
      </c>
      <c r="F28" s="109" t="s">
        <v>5450</v>
      </c>
      <c r="H28" s="109" t="s">
        <v>5462</v>
      </c>
      <c r="J28" s="109" t="s">
        <v>5474</v>
      </c>
      <c r="L28" s="109" t="s">
        <v>5486</v>
      </c>
      <c r="N28" s="109" t="s">
        <v>5498</v>
      </c>
      <c r="P28" s="109" t="s">
        <v>5510</v>
      </c>
      <c r="R28" s="109" t="s">
        <v>5522</v>
      </c>
      <c r="T28" s="109" t="s">
        <v>5534</v>
      </c>
      <c r="V28" s="109" t="s">
        <v>5546</v>
      </c>
      <c r="X28" s="109" t="s">
        <v>5555</v>
      </c>
      <c r="Z28" s="109" t="s">
        <v>5567</v>
      </c>
      <c r="AB28" s="109" t="s">
        <v>5579</v>
      </c>
      <c r="AD28" s="109" t="s">
        <v>5591</v>
      </c>
      <c r="AF28" s="109" t="s">
        <v>5603</v>
      </c>
      <c r="AH28" s="109" t="s">
        <v>5615</v>
      </c>
      <c r="AJ28" s="109" t="s">
        <v>5627</v>
      </c>
      <c r="AL28" s="109" t="s">
        <v>5639</v>
      </c>
      <c r="AN28" s="109" t="s">
        <v>5651</v>
      </c>
      <c r="AP28" s="109" t="s">
        <v>5663</v>
      </c>
    </row>
    <row r="29" spans="1:43" x14ac:dyDescent="0.25">
      <c r="B29" s="109" t="s">
        <v>5272</v>
      </c>
      <c r="D29" s="109" t="s">
        <v>5439</v>
      </c>
      <c r="F29" s="109" t="s">
        <v>5451</v>
      </c>
      <c r="H29" s="109" t="s">
        <v>5463</v>
      </c>
      <c r="J29" s="109" t="s">
        <v>5475</v>
      </c>
      <c r="L29" s="109" t="s">
        <v>5487</v>
      </c>
      <c r="N29" s="109" t="s">
        <v>5499</v>
      </c>
      <c r="P29" s="109" t="s">
        <v>5511</v>
      </c>
      <c r="R29" s="109" t="s">
        <v>5523</v>
      </c>
      <c r="T29" s="109" t="s">
        <v>5535</v>
      </c>
      <c r="V29" s="109" t="s">
        <v>5547</v>
      </c>
      <c r="X29" s="109" t="s">
        <v>5556</v>
      </c>
      <c r="Z29" s="109" t="s">
        <v>5568</v>
      </c>
      <c r="AB29" s="109" t="s">
        <v>5580</v>
      </c>
      <c r="AD29" s="109" t="s">
        <v>5592</v>
      </c>
      <c r="AF29" s="109" t="s">
        <v>5604</v>
      </c>
      <c r="AH29" s="109" t="s">
        <v>5616</v>
      </c>
      <c r="AJ29" s="109" t="s">
        <v>5628</v>
      </c>
      <c r="AL29" s="109" t="s">
        <v>5640</v>
      </c>
      <c r="AN29" s="109" t="s">
        <v>5652</v>
      </c>
      <c r="AP29" s="109" t="s">
        <v>5664</v>
      </c>
    </row>
    <row r="30" spans="1:43" x14ac:dyDescent="0.25">
      <c r="B30" s="109" t="s">
        <v>5273</v>
      </c>
      <c r="D30" s="109" t="s">
        <v>5440</v>
      </c>
      <c r="F30" s="109" t="s">
        <v>5452</v>
      </c>
      <c r="H30" s="109" t="s">
        <v>5464</v>
      </c>
      <c r="J30" s="109" t="s">
        <v>5476</v>
      </c>
      <c r="L30" s="109" t="s">
        <v>5488</v>
      </c>
      <c r="N30" s="109" t="s">
        <v>5500</v>
      </c>
      <c r="P30" s="109" t="s">
        <v>5512</v>
      </c>
      <c r="R30" s="109" t="s">
        <v>5524</v>
      </c>
      <c r="T30" s="109" t="s">
        <v>5536</v>
      </c>
      <c r="V30" s="109" t="s">
        <v>5548</v>
      </c>
      <c r="X30" s="109" t="s">
        <v>5557</v>
      </c>
      <c r="Z30" s="109" t="s">
        <v>5569</v>
      </c>
      <c r="AB30" s="109" t="s">
        <v>5581</v>
      </c>
      <c r="AD30" s="109" t="s">
        <v>5593</v>
      </c>
      <c r="AF30" s="109" t="s">
        <v>5605</v>
      </c>
      <c r="AH30" s="109" t="s">
        <v>5617</v>
      </c>
      <c r="AJ30" s="109" t="s">
        <v>5629</v>
      </c>
      <c r="AL30" s="109" t="s">
        <v>5641</v>
      </c>
      <c r="AN30" s="109" t="s">
        <v>5653</v>
      </c>
      <c r="AP30" s="109" t="s">
        <v>5665</v>
      </c>
    </row>
    <row r="31" spans="1:43" x14ac:dyDescent="0.25">
      <c r="B31" s="109" t="s">
        <v>5274</v>
      </c>
      <c r="D31" s="109" t="s">
        <v>5441</v>
      </c>
      <c r="F31" s="109" t="s">
        <v>5453</v>
      </c>
      <c r="H31" s="109" t="s">
        <v>5465</v>
      </c>
      <c r="J31" s="109" t="s">
        <v>5477</v>
      </c>
      <c r="L31" s="109" t="s">
        <v>5489</v>
      </c>
      <c r="N31" s="109" t="s">
        <v>5501</v>
      </c>
      <c r="P31" s="109" t="s">
        <v>5513</v>
      </c>
      <c r="R31" s="109" t="s">
        <v>5525</v>
      </c>
      <c r="T31" s="109" t="s">
        <v>5537</v>
      </c>
      <c r="V31" s="109" t="s">
        <v>5549</v>
      </c>
      <c r="X31" s="109" t="s">
        <v>5558</v>
      </c>
      <c r="Z31" s="109" t="s">
        <v>5570</v>
      </c>
      <c r="AB31" s="109" t="s">
        <v>5582</v>
      </c>
      <c r="AD31" s="109" t="s">
        <v>5594</v>
      </c>
      <c r="AF31" s="109" t="s">
        <v>5606</v>
      </c>
      <c r="AH31" s="109" t="s">
        <v>5618</v>
      </c>
      <c r="AJ31" s="109" t="s">
        <v>5630</v>
      </c>
      <c r="AL31" s="109" t="s">
        <v>5642</v>
      </c>
      <c r="AN31" s="109" t="s">
        <v>5654</v>
      </c>
      <c r="AP31" s="109" t="s">
        <v>5666</v>
      </c>
    </row>
    <row r="32" spans="1:43" x14ac:dyDescent="0.25">
      <c r="B32" s="109" t="s">
        <v>5275</v>
      </c>
      <c r="D32" s="109" t="s">
        <v>5442</v>
      </c>
      <c r="F32" s="109" t="s">
        <v>5454</v>
      </c>
      <c r="H32" s="109" t="s">
        <v>5466</v>
      </c>
      <c r="J32" s="109" t="s">
        <v>5478</v>
      </c>
      <c r="L32" s="109" t="s">
        <v>5490</v>
      </c>
      <c r="N32" s="109" t="s">
        <v>5502</v>
      </c>
      <c r="P32" s="109" t="s">
        <v>5514</v>
      </c>
      <c r="R32" s="109" t="s">
        <v>5526</v>
      </c>
      <c r="T32" s="109" t="s">
        <v>5538</v>
      </c>
      <c r="V32" s="109" t="s">
        <v>5550</v>
      </c>
      <c r="X32" s="109" t="s">
        <v>5559</v>
      </c>
      <c r="Z32" s="109" t="s">
        <v>5571</v>
      </c>
      <c r="AB32" s="109" t="s">
        <v>5583</v>
      </c>
      <c r="AD32" s="109" t="s">
        <v>5595</v>
      </c>
      <c r="AF32" s="109" t="s">
        <v>5607</v>
      </c>
      <c r="AH32" s="109" t="s">
        <v>5619</v>
      </c>
      <c r="AJ32" s="109" t="s">
        <v>5631</v>
      </c>
      <c r="AL32" s="109" t="s">
        <v>5643</v>
      </c>
      <c r="AN32" s="109" t="s">
        <v>5655</v>
      </c>
      <c r="AP32" s="109" t="s">
        <v>5667</v>
      </c>
    </row>
    <row r="33" spans="1:43" x14ac:dyDescent="0.25">
      <c r="B33" s="109" t="s">
        <v>5276</v>
      </c>
      <c r="D33" s="109" t="s">
        <v>5443</v>
      </c>
      <c r="F33" s="109" t="s">
        <v>5455</v>
      </c>
      <c r="H33" s="109" t="s">
        <v>5467</v>
      </c>
      <c r="J33" s="109" t="s">
        <v>5479</v>
      </c>
      <c r="L33" s="109" t="s">
        <v>5491</v>
      </c>
      <c r="N33" s="109" t="s">
        <v>5503</v>
      </c>
      <c r="P33" s="109" t="s">
        <v>5515</v>
      </c>
      <c r="R33" s="109" t="s">
        <v>5527</v>
      </c>
      <c r="T33" s="109" t="s">
        <v>5539</v>
      </c>
      <c r="V33" s="109" t="s">
        <v>5551</v>
      </c>
      <c r="X33" s="109" t="s">
        <v>5560</v>
      </c>
      <c r="Z33" s="109" t="s">
        <v>5572</v>
      </c>
      <c r="AB33" s="109" t="s">
        <v>5584</v>
      </c>
      <c r="AD33" s="109" t="s">
        <v>5596</v>
      </c>
      <c r="AF33" s="109" t="s">
        <v>5608</v>
      </c>
      <c r="AH33" s="109" t="s">
        <v>5620</v>
      </c>
      <c r="AJ33" s="109" t="s">
        <v>5632</v>
      </c>
      <c r="AL33" s="109" t="s">
        <v>5644</v>
      </c>
      <c r="AN33" s="109" t="s">
        <v>5656</v>
      </c>
      <c r="AP33" s="109" t="s">
        <v>5668</v>
      </c>
    </row>
    <row r="34" spans="1:43" x14ac:dyDescent="0.25">
      <c r="B34" s="109" t="s">
        <v>5277</v>
      </c>
      <c r="D34" s="109" t="s">
        <v>5444</v>
      </c>
      <c r="F34" s="109" t="s">
        <v>5456</v>
      </c>
      <c r="H34" s="109" t="s">
        <v>5468</v>
      </c>
      <c r="J34" s="109" t="s">
        <v>5480</v>
      </c>
      <c r="L34" s="109" t="s">
        <v>5492</v>
      </c>
      <c r="N34" s="109" t="s">
        <v>5504</v>
      </c>
      <c r="P34" s="109" t="s">
        <v>5516</v>
      </c>
      <c r="R34" s="109" t="s">
        <v>5528</v>
      </c>
      <c r="T34" s="109" t="s">
        <v>5540</v>
      </c>
      <c r="V34" s="109" t="s">
        <v>5552</v>
      </c>
      <c r="X34" s="109" t="s">
        <v>5561</v>
      </c>
      <c r="Z34" s="109" t="s">
        <v>5573</v>
      </c>
      <c r="AB34" s="109" t="s">
        <v>5585</v>
      </c>
      <c r="AD34" s="109" t="s">
        <v>5597</v>
      </c>
      <c r="AF34" s="109" t="s">
        <v>5609</v>
      </c>
      <c r="AH34" s="109" t="s">
        <v>5621</v>
      </c>
      <c r="AJ34" s="109" t="s">
        <v>5633</v>
      </c>
      <c r="AL34" s="109" t="s">
        <v>5645</v>
      </c>
      <c r="AN34" s="109" t="s">
        <v>5657</v>
      </c>
      <c r="AP34" s="109" t="s">
        <v>5669</v>
      </c>
    </row>
    <row r="35" spans="1:43" x14ac:dyDescent="0.25">
      <c r="B35" s="109" t="s">
        <v>5278</v>
      </c>
      <c r="D35" s="109" t="s">
        <v>5445</v>
      </c>
      <c r="F35" s="109" t="s">
        <v>5457</v>
      </c>
      <c r="H35" s="109" t="s">
        <v>5469</v>
      </c>
      <c r="J35" s="109" t="s">
        <v>5481</v>
      </c>
      <c r="L35" s="109" t="s">
        <v>5493</v>
      </c>
      <c r="N35" s="109" t="s">
        <v>5505</v>
      </c>
      <c r="P35" s="109" t="s">
        <v>5517</v>
      </c>
      <c r="R35" s="109" t="s">
        <v>5529</v>
      </c>
      <c r="T35" s="109" t="s">
        <v>5541</v>
      </c>
      <c r="X35" s="109" t="s">
        <v>5562</v>
      </c>
      <c r="Z35" s="109" t="s">
        <v>5574</v>
      </c>
      <c r="AB35" s="109" t="s">
        <v>5586</v>
      </c>
      <c r="AD35" s="109" t="s">
        <v>5598</v>
      </c>
      <c r="AF35" s="109" t="s">
        <v>5610</v>
      </c>
      <c r="AH35" s="109" t="s">
        <v>5622</v>
      </c>
      <c r="AJ35" s="109" t="s">
        <v>5634</v>
      </c>
      <c r="AL35" s="109" t="s">
        <v>5646</v>
      </c>
      <c r="AN35" s="109" t="s">
        <v>5658</v>
      </c>
      <c r="AP35" s="109" t="s">
        <v>5670</v>
      </c>
    </row>
    <row r="36" spans="1:43" x14ac:dyDescent="0.25">
      <c r="B36" s="109" t="s">
        <v>5279</v>
      </c>
      <c r="D36" s="109" t="s">
        <v>5446</v>
      </c>
      <c r="F36" s="109" t="s">
        <v>5458</v>
      </c>
      <c r="H36" s="109" t="s">
        <v>5470</v>
      </c>
      <c r="J36" s="109" t="s">
        <v>5482</v>
      </c>
      <c r="L36" s="109" t="s">
        <v>5494</v>
      </c>
      <c r="N36" s="109" t="s">
        <v>5506</v>
      </c>
      <c r="P36" s="109" t="s">
        <v>5518</v>
      </c>
      <c r="R36" s="109" t="s">
        <v>5530</v>
      </c>
      <c r="T36" s="109" t="s">
        <v>5542</v>
      </c>
      <c r="X36" s="109" t="s">
        <v>5563</v>
      </c>
      <c r="Z36" s="109" t="s">
        <v>5575</v>
      </c>
      <c r="AB36" s="109" t="s">
        <v>5587</v>
      </c>
      <c r="AD36" s="109" t="s">
        <v>5599</v>
      </c>
      <c r="AF36" s="109" t="s">
        <v>5611</v>
      </c>
      <c r="AH36" s="109" t="s">
        <v>5623</v>
      </c>
      <c r="AJ36" s="109" t="s">
        <v>5635</v>
      </c>
      <c r="AL36" s="109" t="s">
        <v>5647</v>
      </c>
      <c r="AN36" s="109" t="s">
        <v>5659</v>
      </c>
      <c r="AP36" s="109" t="s">
        <v>5671</v>
      </c>
    </row>
    <row r="37" spans="1:43" x14ac:dyDescent="0.25">
      <c r="B37" s="109" t="s">
        <v>5280</v>
      </c>
      <c r="D37" s="109" t="s">
        <v>5447</v>
      </c>
      <c r="F37" s="109" t="s">
        <v>5459</v>
      </c>
      <c r="H37" s="109" t="s">
        <v>5471</v>
      </c>
      <c r="J37" s="109" t="s">
        <v>5483</v>
      </c>
      <c r="L37" s="109" t="s">
        <v>5495</v>
      </c>
      <c r="N37" s="109" t="s">
        <v>5507</v>
      </c>
      <c r="P37" s="109" t="s">
        <v>5519</v>
      </c>
      <c r="R37" s="109" t="s">
        <v>5531</v>
      </c>
      <c r="T37" s="109" t="s">
        <v>5543</v>
      </c>
      <c r="X37" s="109" t="s">
        <v>5564</v>
      </c>
      <c r="Z37" s="109" t="s">
        <v>5576</v>
      </c>
      <c r="AB37" s="109" t="s">
        <v>5588</v>
      </c>
      <c r="AD37" s="109" t="s">
        <v>5600</v>
      </c>
      <c r="AF37" s="109" t="s">
        <v>5612</v>
      </c>
      <c r="AH37" s="109" t="s">
        <v>5624</v>
      </c>
      <c r="AJ37" s="109" t="s">
        <v>5636</v>
      </c>
      <c r="AL37" s="109" t="s">
        <v>5648</v>
      </c>
      <c r="AN37" s="109" t="s">
        <v>5660</v>
      </c>
      <c r="AP37" s="109" t="s">
        <v>5672</v>
      </c>
    </row>
    <row r="38" spans="1:43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>COUNTIF(D26:D37,"&lt;&gt;")</f>
        <v>12</v>
      </c>
      <c r="E38" s="109">
        <f t="shared" ref="E38" si="28">COUNTIF(E26:E37,"Y")</f>
        <v>0</v>
      </c>
      <c r="F38" s="109">
        <f t="shared" ref="F38" si="29">COUNTIF(F26:F37,"&lt;&gt;")</f>
        <v>12</v>
      </c>
      <c r="G38" s="109">
        <f t="shared" ref="G38" si="30">COUNTIF(G26:G37,"Y")</f>
        <v>0</v>
      </c>
      <c r="H38" s="109">
        <f t="shared" ref="H38" si="31">COUNTIF(H26:H37,"&lt;&gt;")</f>
        <v>12</v>
      </c>
      <c r="I38" s="109">
        <f t="shared" ref="I38" si="32">COUNTIF(I26:I37,"Y")</f>
        <v>0</v>
      </c>
      <c r="J38" s="109">
        <f t="shared" ref="J38" si="33">COUNTIF(J26:J37,"&lt;&gt;")</f>
        <v>12</v>
      </c>
      <c r="K38" s="109">
        <f t="shared" ref="K38" si="34">COUNTIF(K26:K37,"Y")</f>
        <v>0</v>
      </c>
      <c r="L38" s="109">
        <f t="shared" ref="L38" si="35">COUNTIF(L26:L37,"&lt;&gt;")</f>
        <v>12</v>
      </c>
      <c r="M38" s="109">
        <f t="shared" ref="M38" si="36">COUNTIF(M26:M37,"Y")</f>
        <v>0</v>
      </c>
      <c r="N38" s="109">
        <f t="shared" ref="N38" si="37">COUNTIF(N26:N37,"&lt;&gt;")</f>
        <v>12</v>
      </c>
      <c r="O38" s="109">
        <f t="shared" ref="O38" si="38">COUNTIF(O26:O37,"Y")</f>
        <v>0</v>
      </c>
      <c r="P38" s="109">
        <f t="shared" ref="P38" si="39">COUNTIF(P26:P37,"&lt;&gt;")</f>
        <v>12</v>
      </c>
      <c r="Q38" s="109">
        <f t="shared" ref="Q38" si="40">COUNTIF(Q26:Q37,"Y")</f>
        <v>0</v>
      </c>
      <c r="R38" s="109">
        <f>COUNTIF(R26:R37,"&lt;&gt;")</f>
        <v>12</v>
      </c>
      <c r="S38" s="109">
        <f t="shared" ref="S38" si="41">COUNTIF(S26:S37,"Y")</f>
        <v>0</v>
      </c>
      <c r="T38" s="109">
        <f t="shared" ref="T38" si="42">COUNTIF(T26:T37,"&lt;&gt;")</f>
        <v>12</v>
      </c>
      <c r="U38" s="109">
        <f t="shared" ref="U38" si="43">COUNTIF(U26:U37,"Y")</f>
        <v>0</v>
      </c>
      <c r="V38" s="109">
        <f t="shared" ref="V38" si="44">COUNTIF(V26:V37,"&lt;&gt;")</f>
        <v>9</v>
      </c>
      <c r="W38" s="109">
        <f t="shared" ref="W38" si="45">COUNTIF(W26:W37,"Y")</f>
        <v>0</v>
      </c>
      <c r="X38" s="109">
        <f t="shared" ref="X38" si="46">COUNTIF(X26:X37,"&lt;&gt;")</f>
        <v>12</v>
      </c>
      <c r="Y38" s="109">
        <f t="shared" ref="Y38" si="47">COUNTIF(Y26:Y37,"Y")</f>
        <v>0</v>
      </c>
      <c r="Z38" s="109">
        <f t="shared" ref="Z38" si="48">COUNTIF(Z26:Z37,"&lt;&gt;")</f>
        <v>12</v>
      </c>
      <c r="AA38" s="109">
        <f t="shared" ref="AA38" si="49">COUNTIF(AA26:AA37,"Y")</f>
        <v>0</v>
      </c>
      <c r="AB38" s="109">
        <f t="shared" ref="AB38" si="50">COUNTIF(AB26:AB37,"&lt;&gt;")</f>
        <v>12</v>
      </c>
      <c r="AC38" s="109">
        <f t="shared" ref="AC38" si="51">COUNTIF(AC26:AC37,"Y")</f>
        <v>0</v>
      </c>
      <c r="AD38" s="109">
        <f t="shared" ref="AD38" si="52">COUNTIF(AD26:AD37,"&lt;&gt;")</f>
        <v>12</v>
      </c>
      <c r="AE38" s="109">
        <f t="shared" ref="AE38" si="53">COUNTIF(AE26:AE37,"Y")</f>
        <v>0</v>
      </c>
      <c r="AF38" s="109">
        <f t="shared" ref="AF38" si="54">COUNTIF(AF26:AF37,"&lt;&gt;")</f>
        <v>12</v>
      </c>
      <c r="AG38" s="109">
        <f t="shared" ref="AG38" si="55">COUNTIF(AG26:AG37,"Y")</f>
        <v>0</v>
      </c>
      <c r="AH38" s="109">
        <f t="shared" ref="AH38" si="56">COUNTIF(AH26:AH37,"&lt;&gt;")</f>
        <v>12</v>
      </c>
      <c r="AI38" s="109">
        <f t="shared" ref="AI38" si="57">COUNTIF(AI26:AI37,"Y")</f>
        <v>0</v>
      </c>
      <c r="AJ38" s="109">
        <f t="shared" ref="AJ38" si="58">COUNTIF(AJ26:AJ37,"&lt;&gt;")</f>
        <v>12</v>
      </c>
      <c r="AK38" s="109">
        <f t="shared" ref="AK38" si="59">COUNTIF(AK26:AK37,"Y")</f>
        <v>0</v>
      </c>
      <c r="AL38" s="109">
        <f t="shared" ref="AL38" si="60">COUNTIF(AL26:AL37,"&lt;&gt;")</f>
        <v>12</v>
      </c>
      <c r="AM38" s="109">
        <f t="shared" ref="AM38" si="61">COUNTIF(AM26:AM37,"Y")</f>
        <v>0</v>
      </c>
      <c r="AN38" s="109">
        <f t="shared" ref="AN38" si="62">COUNTIF(AN26:AN37,"&lt;&gt;")</f>
        <v>12</v>
      </c>
      <c r="AO38" s="109">
        <f t="shared" ref="AO38" si="63">COUNTIF(AO26:AO37,"Y")</f>
        <v>0</v>
      </c>
      <c r="AP38" s="109">
        <f t="shared" ref="AP38" si="64">COUNTIF(AP26:AP37,"&lt;&gt;")</f>
        <v>12</v>
      </c>
      <c r="AQ38" s="109">
        <f t="shared" ref="AQ38" si="65">COUNTIF(AQ26:AQ37,"Y")</f>
        <v>0</v>
      </c>
    </row>
  </sheetData>
  <pageMargins left="0.7" right="0.7" top="0.75" bottom="0.75" header="0.3" footer="0.3"/>
  <pageSetup orientation="portrait" verticalDpi="597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1E0B8-31C5-45CA-8C98-B093E3FF53B4}">
  <sheetPr codeName="Sheet21"/>
  <dimension ref="A1:AC38"/>
  <sheetViews>
    <sheetView workbookViewId="0">
      <selection activeCell="S31" sqref="S31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1.5703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20" width="12.42578125" style="109" bestFit="1" customWidth="1"/>
    <col min="21" max="21" width="10.85546875" style="109" bestFit="1" customWidth="1"/>
    <col min="22" max="22" width="12.42578125" style="109" bestFit="1" customWidth="1"/>
    <col min="23" max="23" width="10.85546875" style="109" bestFit="1" customWidth="1"/>
    <col min="24" max="24" width="12.42578125" style="109" bestFit="1" customWidth="1"/>
    <col min="25" max="25" width="10.85546875" style="109" bestFit="1" customWidth="1"/>
    <col min="26" max="26" width="12.42578125" style="109" bestFit="1" customWidth="1"/>
    <col min="27" max="27" width="10.85546875" style="109" bestFit="1" customWidth="1"/>
    <col min="28" max="28" width="12.42578125" style="109" bestFit="1" customWidth="1"/>
    <col min="29" max="29" width="10.85546875" style="109" bestFit="1" customWidth="1"/>
    <col min="30" max="30" width="12.42578125" style="109" bestFit="1" customWidth="1"/>
    <col min="31" max="31" width="10.85546875" style="109" bestFit="1" customWidth="1"/>
    <col min="32" max="32" width="12.42578125" style="109" bestFit="1" customWidth="1"/>
    <col min="33" max="33" width="10.85546875" style="109" bestFit="1" customWidth="1"/>
    <col min="34" max="34" width="12.42578125" style="109" bestFit="1" customWidth="1"/>
    <col min="35" max="35" width="10.85546875" style="109" bestFit="1" customWidth="1"/>
    <col min="36" max="36" width="12.42578125" style="109" bestFit="1" customWidth="1"/>
    <col min="37" max="37" width="10.85546875" style="109" bestFit="1" customWidth="1"/>
    <col min="38" max="38" width="12.42578125" style="109" bestFit="1" customWidth="1"/>
    <col min="39" max="39" width="10.85546875" style="109" bestFit="1" customWidth="1"/>
    <col min="40" max="40" width="12.42578125" style="109" bestFit="1" customWidth="1"/>
    <col min="41" max="41" width="10.85546875" style="109" bestFit="1" customWidth="1"/>
    <col min="42" max="42" width="12.42578125" style="109" bestFit="1" customWidth="1"/>
    <col min="43" max="43" width="10.85546875" style="109" bestFit="1" customWidth="1"/>
    <col min="44" max="44" width="12.42578125" style="109" bestFit="1" customWidth="1"/>
    <col min="45" max="45" width="10.85546875" style="109" bestFit="1" customWidth="1"/>
    <col min="46" max="46" width="12.42578125" style="109" bestFit="1" customWidth="1"/>
    <col min="47" max="47" width="10.85546875" style="109" bestFit="1" customWidth="1"/>
    <col min="48" max="16384" width="9.140625" style="109"/>
  </cols>
  <sheetData>
    <row r="1" spans="2:29" s="111" customFormat="1" x14ac:dyDescent="0.25">
      <c r="B1" s="111" t="s">
        <v>14577</v>
      </c>
      <c r="C1" s="111">
        <f>SUM(D3,D24)</f>
        <v>246</v>
      </c>
      <c r="D1" s="111" t="s">
        <v>301</v>
      </c>
      <c r="E1" s="111">
        <f>SUM(F3,F24)</f>
        <v>0</v>
      </c>
      <c r="F1" s="111" t="s">
        <v>14579</v>
      </c>
      <c r="G1" s="111">
        <f>SUM(H3,H24)</f>
        <v>246</v>
      </c>
      <c r="H1" s="111" t="s">
        <v>14578</v>
      </c>
      <c r="I1" s="131">
        <f>(E1/C1)</f>
        <v>0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5673</v>
      </c>
      <c r="C3" s="109" t="s">
        <v>302</v>
      </c>
      <c r="D3" s="109">
        <f>SUM(B22,D22,F22,H22,J22,L22,N22,P22,R22,T22,V22)</f>
        <v>102</v>
      </c>
      <c r="E3" s="109" t="s">
        <v>301</v>
      </c>
      <c r="F3" s="109">
        <f>SUM(C22,E22,G22,I22,K22,M22,O22,Q22,S22,U22,W22)</f>
        <v>0</v>
      </c>
      <c r="G3" s="109" t="s">
        <v>305</v>
      </c>
      <c r="H3" s="109">
        <f>D3-F3</f>
        <v>102</v>
      </c>
    </row>
    <row r="4" spans="2:29" x14ac:dyDescent="0.25">
      <c r="B4" s="109" t="str">
        <f>LEFT(B5,FIND("_C",B5)-1)</f>
        <v>BH_049</v>
      </c>
      <c r="C4" s="109" t="s">
        <v>301</v>
      </c>
      <c r="D4" s="109" t="str">
        <f>LEFT(D5,FIND("_C",D5)-1)</f>
        <v>BH_069</v>
      </c>
      <c r="E4" s="109" t="s">
        <v>301</v>
      </c>
      <c r="F4" s="109" t="str">
        <f>LEFT(F5,FIND("_C",F5)-1)</f>
        <v>BH_089</v>
      </c>
      <c r="G4" s="109" t="s">
        <v>301</v>
      </c>
      <c r="H4" s="109" t="str">
        <f>LEFT(H5,FIND("_C",H5)-1)</f>
        <v>BH_121</v>
      </c>
      <c r="I4" s="109" t="s">
        <v>301</v>
      </c>
      <c r="J4" s="109" t="str">
        <f>LEFT(J5,FIND("_C",J5)-1)</f>
        <v>BH_123</v>
      </c>
      <c r="K4" s="109" t="s">
        <v>301</v>
      </c>
      <c r="L4" s="109" t="str">
        <f>LEFT(L5,FIND("_C",L5)-1)</f>
        <v>BH_124</v>
      </c>
      <c r="M4" s="109" t="s">
        <v>301</v>
      </c>
    </row>
    <row r="5" spans="2:29" x14ac:dyDescent="0.25">
      <c r="B5" s="109" t="s">
        <v>5675</v>
      </c>
      <c r="D5" s="109" t="s">
        <v>5692</v>
      </c>
      <c r="F5" s="109" t="s">
        <v>5709</v>
      </c>
      <c r="H5" s="109" t="s">
        <v>5726</v>
      </c>
      <c r="J5" s="109" t="s">
        <v>5743</v>
      </c>
      <c r="L5" s="109" t="s">
        <v>5760</v>
      </c>
    </row>
    <row r="6" spans="2:29" x14ac:dyDescent="0.25">
      <c r="B6" s="109" t="s">
        <v>5676</v>
      </c>
      <c r="D6" s="109" t="s">
        <v>5693</v>
      </c>
      <c r="F6" s="109" t="s">
        <v>5710</v>
      </c>
      <c r="H6" s="109" t="s">
        <v>5727</v>
      </c>
      <c r="J6" s="109" t="s">
        <v>5744</v>
      </c>
      <c r="L6" s="109" t="s">
        <v>5761</v>
      </c>
    </row>
    <row r="7" spans="2:29" x14ac:dyDescent="0.25">
      <c r="B7" s="109" t="s">
        <v>5677</v>
      </c>
      <c r="D7" s="109" t="s">
        <v>5694</v>
      </c>
      <c r="F7" s="109" t="s">
        <v>5711</v>
      </c>
      <c r="H7" s="109" t="s">
        <v>5728</v>
      </c>
      <c r="J7" s="109" t="s">
        <v>5745</v>
      </c>
      <c r="L7" s="109" t="s">
        <v>5762</v>
      </c>
    </row>
    <row r="8" spans="2:29" x14ac:dyDescent="0.25">
      <c r="B8" s="109" t="s">
        <v>5678</v>
      </c>
      <c r="D8" s="109" t="s">
        <v>5695</v>
      </c>
      <c r="F8" s="109" t="s">
        <v>5712</v>
      </c>
      <c r="H8" s="109" t="s">
        <v>5729</v>
      </c>
      <c r="J8" s="109" t="s">
        <v>5746</v>
      </c>
      <c r="L8" s="109" t="s">
        <v>5763</v>
      </c>
    </row>
    <row r="9" spans="2:29" x14ac:dyDescent="0.25">
      <c r="B9" s="109" t="s">
        <v>5679</v>
      </c>
      <c r="D9" s="109" t="s">
        <v>5696</v>
      </c>
      <c r="F9" s="109" t="s">
        <v>5713</v>
      </c>
      <c r="H9" s="109" t="s">
        <v>5730</v>
      </c>
      <c r="J9" s="109" t="s">
        <v>5747</v>
      </c>
      <c r="L9" s="109" t="s">
        <v>5764</v>
      </c>
    </row>
    <row r="10" spans="2:29" x14ac:dyDescent="0.25">
      <c r="B10" s="109" t="s">
        <v>5680</v>
      </c>
      <c r="D10" s="109" t="s">
        <v>5697</v>
      </c>
      <c r="F10" s="109" t="s">
        <v>5714</v>
      </c>
      <c r="H10" s="109" t="s">
        <v>5731</v>
      </c>
      <c r="J10" s="109" t="s">
        <v>5748</v>
      </c>
      <c r="L10" s="109" t="s">
        <v>5765</v>
      </c>
    </row>
    <row r="11" spans="2:29" x14ac:dyDescent="0.25">
      <c r="B11" s="109" t="s">
        <v>5681</v>
      </c>
      <c r="D11" s="109" t="s">
        <v>5698</v>
      </c>
      <c r="F11" s="109" t="s">
        <v>5715</v>
      </c>
      <c r="H11" s="109" t="s">
        <v>5732</v>
      </c>
      <c r="J11" s="109" t="s">
        <v>5749</v>
      </c>
      <c r="L11" s="109" t="s">
        <v>5766</v>
      </c>
    </row>
    <row r="12" spans="2:29" x14ac:dyDescent="0.25">
      <c r="B12" s="109" t="s">
        <v>5682</v>
      </c>
      <c r="D12" s="109" t="s">
        <v>5699</v>
      </c>
      <c r="F12" s="109" t="s">
        <v>5716</v>
      </c>
      <c r="H12" s="109" t="s">
        <v>5733</v>
      </c>
      <c r="J12" s="109" t="s">
        <v>5750</v>
      </c>
      <c r="L12" s="109" t="s">
        <v>5767</v>
      </c>
    </row>
    <row r="13" spans="2:29" x14ac:dyDescent="0.25">
      <c r="B13" s="109" t="s">
        <v>5683</v>
      </c>
      <c r="D13" s="109" t="s">
        <v>5700</v>
      </c>
      <c r="F13" s="109" t="s">
        <v>5717</v>
      </c>
      <c r="H13" s="109" t="s">
        <v>5734</v>
      </c>
      <c r="J13" s="109" t="s">
        <v>5751</v>
      </c>
      <c r="L13" s="109" t="s">
        <v>5768</v>
      </c>
    </row>
    <row r="14" spans="2:29" x14ac:dyDescent="0.25">
      <c r="B14" s="109" t="s">
        <v>5684</v>
      </c>
      <c r="D14" s="109" t="s">
        <v>5701</v>
      </c>
      <c r="F14" s="109" t="s">
        <v>5718</v>
      </c>
      <c r="H14" s="109" t="s">
        <v>5735</v>
      </c>
      <c r="J14" s="109" t="s">
        <v>5752</v>
      </c>
      <c r="L14" s="109" t="s">
        <v>5769</v>
      </c>
    </row>
    <row r="15" spans="2:29" x14ac:dyDescent="0.25">
      <c r="B15" s="109" t="s">
        <v>5685</v>
      </c>
      <c r="D15" s="109" t="s">
        <v>5702</v>
      </c>
      <c r="F15" s="109" t="s">
        <v>5719</v>
      </c>
      <c r="H15" s="109" t="s">
        <v>5736</v>
      </c>
      <c r="J15" s="109" t="s">
        <v>5753</v>
      </c>
      <c r="L15" s="109" t="s">
        <v>5770</v>
      </c>
    </row>
    <row r="16" spans="2:29" x14ac:dyDescent="0.25">
      <c r="B16" s="109" t="s">
        <v>5686</v>
      </c>
      <c r="D16" s="109" t="s">
        <v>5703</v>
      </c>
      <c r="F16" s="109" t="s">
        <v>5720</v>
      </c>
      <c r="H16" s="109" t="s">
        <v>5737</v>
      </c>
      <c r="J16" s="109" t="s">
        <v>5754</v>
      </c>
      <c r="L16" s="109" t="s">
        <v>5771</v>
      </c>
    </row>
    <row r="17" spans="1:25" x14ac:dyDescent="0.25">
      <c r="B17" s="109" t="s">
        <v>5687</v>
      </c>
      <c r="D17" s="109" t="s">
        <v>5704</v>
      </c>
      <c r="F17" s="109" t="s">
        <v>5721</v>
      </c>
      <c r="H17" s="109" t="s">
        <v>5738</v>
      </c>
      <c r="J17" s="109" t="s">
        <v>5755</v>
      </c>
      <c r="L17" s="109" t="s">
        <v>5772</v>
      </c>
    </row>
    <row r="18" spans="1:25" x14ac:dyDescent="0.25">
      <c r="B18" s="109" t="s">
        <v>5688</v>
      </c>
      <c r="D18" s="109" t="s">
        <v>5705</v>
      </c>
      <c r="F18" s="109" t="s">
        <v>5722</v>
      </c>
      <c r="H18" s="109" t="s">
        <v>5739</v>
      </c>
      <c r="J18" s="109" t="s">
        <v>5756</v>
      </c>
      <c r="L18" s="109" t="s">
        <v>5773</v>
      </c>
    </row>
    <row r="19" spans="1:25" x14ac:dyDescent="0.25">
      <c r="B19" s="109" t="s">
        <v>5689</v>
      </c>
      <c r="D19" s="109" t="s">
        <v>5706</v>
      </c>
      <c r="F19" s="109" t="s">
        <v>5723</v>
      </c>
      <c r="H19" s="109" t="s">
        <v>5740</v>
      </c>
      <c r="J19" s="109" t="s">
        <v>5757</v>
      </c>
      <c r="L19" s="109" t="s">
        <v>5774</v>
      </c>
    </row>
    <row r="20" spans="1:25" x14ac:dyDescent="0.25">
      <c r="B20" s="109" t="s">
        <v>5690</v>
      </c>
      <c r="D20" s="109" t="s">
        <v>5707</v>
      </c>
      <c r="F20" s="109" t="s">
        <v>5724</v>
      </c>
      <c r="H20" s="109" t="s">
        <v>5741</v>
      </c>
      <c r="J20" s="109" t="s">
        <v>5758</v>
      </c>
      <c r="L20" s="109" t="s">
        <v>5775</v>
      </c>
    </row>
    <row r="21" spans="1:25" x14ac:dyDescent="0.25">
      <c r="B21" s="109" t="s">
        <v>5691</v>
      </c>
      <c r="D21" s="109" t="s">
        <v>5708</v>
      </c>
      <c r="F21" s="109" t="s">
        <v>5725</v>
      </c>
      <c r="H21" s="109" t="s">
        <v>5742</v>
      </c>
      <c r="J21" s="109" t="s">
        <v>5759</v>
      </c>
      <c r="L21" s="109" t="s">
        <v>5776</v>
      </c>
    </row>
    <row r="22" spans="1:25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0</v>
      </c>
      <c r="H22" s="109">
        <f t="shared" ref="H22" si="3">COUNTIF(H5:H21,"&lt;&gt;")</f>
        <v>17</v>
      </c>
      <c r="I22" s="109">
        <f>COUNTIF(I5:I21,"Y")</f>
        <v>0</v>
      </c>
      <c r="J22" s="109">
        <f t="shared" ref="J22" si="4">COUNTIF(J5:J21,"&lt;&gt;")</f>
        <v>17</v>
      </c>
      <c r="K22" s="109">
        <f>COUNTIF(K5:K21,"Y")</f>
        <v>0</v>
      </c>
      <c r="L22" s="109">
        <f t="shared" ref="L22" si="5">COUNTIF(L5:L21,"&lt;&gt;")</f>
        <v>17</v>
      </c>
      <c r="M22" s="109">
        <f>COUNTIF(M5:M21,"Y")</f>
        <v>0</v>
      </c>
    </row>
    <row r="24" spans="1:25" x14ac:dyDescent="0.25">
      <c r="B24" s="109" t="s">
        <v>5674</v>
      </c>
      <c r="C24" s="109" t="s">
        <v>302</v>
      </c>
      <c r="D24" s="109">
        <f>SUM(B38,D38,F38,H38,J38,L38,N38,P38,R38,T38,V38,X38,Z38,AB38,AD38,AF38,AH38,AJ38,AL38,AN38,AP38,AR38,AT38)</f>
        <v>144</v>
      </c>
      <c r="E24" s="109" t="s">
        <v>301</v>
      </c>
      <c r="F24" s="109">
        <f>SUM(C38,E38,G38,I38,K38,M38,O38,Q38,S38,U38,W38,Y38,AA38,AC38,AE38,AG38,AI38,AK38,AM38,AO38,AQ38,AS38,AU38)</f>
        <v>0</v>
      </c>
      <c r="G24" s="109" t="s">
        <v>305</v>
      </c>
      <c r="H24" s="109">
        <f>D24-F24</f>
        <v>144</v>
      </c>
    </row>
    <row r="25" spans="1:25" x14ac:dyDescent="0.25">
      <c r="B25" s="109" t="str">
        <f>LEFT(B26,FIND("_P",B26)-1)</f>
        <v>CPT_076</v>
      </c>
      <c r="C25" s="109" t="s">
        <v>301</v>
      </c>
      <c r="D25" s="109" t="str">
        <f t="shared" ref="D25" si="6">LEFT(D26,FIND("_P",D26)-1)</f>
        <v>CPT_077</v>
      </c>
      <c r="E25" s="109" t="s">
        <v>301</v>
      </c>
      <c r="F25" s="109" t="str">
        <f t="shared" ref="F25" si="7">LEFT(F26,FIND("_P",F26)-1)</f>
        <v>CPT_079</v>
      </c>
      <c r="G25" s="109" t="s">
        <v>301</v>
      </c>
      <c r="H25" s="109" t="str">
        <f t="shared" ref="H25" si="8">LEFT(H26,FIND("_P",H26)-1)</f>
        <v>CPT_097</v>
      </c>
      <c r="I25" s="109" t="s">
        <v>301</v>
      </c>
      <c r="J25" s="109" t="str">
        <f t="shared" ref="J25" si="9">LEFT(J26,FIND("_P",J26)-1)</f>
        <v>CPT_106</v>
      </c>
      <c r="K25" s="109" t="s">
        <v>301</v>
      </c>
      <c r="L25" s="109" t="str">
        <f t="shared" ref="L25" si="10">LEFT(L26,FIND("_P",L26)-1)</f>
        <v>CPT_131</v>
      </c>
      <c r="M25" s="109" t="s">
        <v>301</v>
      </c>
      <c r="N25" s="109" t="str">
        <f t="shared" ref="N25" si="11">LEFT(N26,FIND("_P",N26)-1)</f>
        <v>CPT_152</v>
      </c>
      <c r="O25" s="109" t="s">
        <v>301</v>
      </c>
      <c r="P25" s="109" t="str">
        <f t="shared" ref="P25:R25" si="12">LEFT(P26,FIND("_P",P26)-1)</f>
        <v>CPT_156</v>
      </c>
      <c r="Q25" s="109" t="s">
        <v>301</v>
      </c>
      <c r="R25" s="111" t="str">
        <f t="shared" si="12"/>
        <v>CPT_191</v>
      </c>
      <c r="S25" s="109" t="s">
        <v>301</v>
      </c>
      <c r="T25" s="109" t="str">
        <f t="shared" ref="T25" si="13">LEFT(T26,FIND("_P",T26)-1)</f>
        <v>CPT_220</v>
      </c>
      <c r="U25" s="109" t="s">
        <v>301</v>
      </c>
      <c r="V25" s="109" t="str">
        <f t="shared" ref="V25" si="14">LEFT(V26,FIND("_P",V26)-1)</f>
        <v>CPT_240</v>
      </c>
      <c r="W25" s="109" t="s">
        <v>301</v>
      </c>
      <c r="X25" s="109" t="str">
        <f t="shared" ref="X25" si="15">LEFT(X26,FIND("_P",X26)-1)</f>
        <v>CPT_242</v>
      </c>
      <c r="Y25" s="109" t="s">
        <v>301</v>
      </c>
    </row>
    <row r="26" spans="1:25" x14ac:dyDescent="0.25">
      <c r="B26" s="109" t="s">
        <v>5777</v>
      </c>
      <c r="D26" s="109" t="s">
        <v>5789</v>
      </c>
      <c r="F26" s="109" t="s">
        <v>5801</v>
      </c>
      <c r="H26" s="109" t="s">
        <v>5813</v>
      </c>
      <c r="J26" s="109" t="s">
        <v>5825</v>
      </c>
      <c r="L26" s="109" t="s">
        <v>5837</v>
      </c>
      <c r="N26" s="109" t="s">
        <v>5849</v>
      </c>
      <c r="P26" s="109" t="s">
        <v>5861</v>
      </c>
      <c r="R26" s="109" t="s">
        <v>5873</v>
      </c>
      <c r="T26" s="109" t="s">
        <v>5885</v>
      </c>
      <c r="V26" s="109" t="s">
        <v>5897</v>
      </c>
      <c r="X26" s="109" t="s">
        <v>5909</v>
      </c>
    </row>
    <row r="27" spans="1:25" x14ac:dyDescent="0.25">
      <c r="B27" s="109" t="s">
        <v>5778</v>
      </c>
      <c r="D27" s="109" t="s">
        <v>5790</v>
      </c>
      <c r="F27" s="109" t="s">
        <v>5802</v>
      </c>
      <c r="H27" s="109" t="s">
        <v>5814</v>
      </c>
      <c r="J27" s="109" t="s">
        <v>5826</v>
      </c>
      <c r="L27" s="109" t="s">
        <v>5838</v>
      </c>
      <c r="N27" s="109" t="s">
        <v>5850</v>
      </c>
      <c r="P27" s="109" t="s">
        <v>5862</v>
      </c>
      <c r="R27" s="109" t="s">
        <v>5874</v>
      </c>
      <c r="T27" s="109" t="s">
        <v>5886</v>
      </c>
      <c r="V27" s="109" t="s">
        <v>5898</v>
      </c>
      <c r="X27" s="109" t="s">
        <v>5910</v>
      </c>
    </row>
    <row r="28" spans="1:25" x14ac:dyDescent="0.25">
      <c r="B28" s="109" t="s">
        <v>5779</v>
      </c>
      <c r="D28" s="109" t="s">
        <v>5791</v>
      </c>
      <c r="F28" s="109" t="s">
        <v>5803</v>
      </c>
      <c r="H28" s="109" t="s">
        <v>5815</v>
      </c>
      <c r="J28" s="109" t="s">
        <v>5827</v>
      </c>
      <c r="L28" s="109" t="s">
        <v>5839</v>
      </c>
      <c r="N28" s="109" t="s">
        <v>5851</v>
      </c>
      <c r="P28" s="109" t="s">
        <v>5863</v>
      </c>
      <c r="R28" s="109" t="s">
        <v>5875</v>
      </c>
      <c r="T28" s="109" t="s">
        <v>5887</v>
      </c>
      <c r="V28" s="109" t="s">
        <v>5899</v>
      </c>
      <c r="X28" s="109" t="s">
        <v>5911</v>
      </c>
    </row>
    <row r="29" spans="1:25" x14ac:dyDescent="0.25">
      <c r="B29" s="109" t="s">
        <v>5780</v>
      </c>
      <c r="D29" s="109" t="s">
        <v>5792</v>
      </c>
      <c r="F29" s="109" t="s">
        <v>5804</v>
      </c>
      <c r="H29" s="109" t="s">
        <v>5816</v>
      </c>
      <c r="J29" s="109" t="s">
        <v>5828</v>
      </c>
      <c r="L29" s="109" t="s">
        <v>5840</v>
      </c>
      <c r="N29" s="109" t="s">
        <v>5852</v>
      </c>
      <c r="P29" s="109" t="s">
        <v>5864</v>
      </c>
      <c r="R29" s="109" t="s">
        <v>5876</v>
      </c>
      <c r="T29" s="109" t="s">
        <v>5888</v>
      </c>
      <c r="V29" s="109" t="s">
        <v>5900</v>
      </c>
      <c r="X29" s="109" t="s">
        <v>5912</v>
      </c>
    </row>
    <row r="30" spans="1:25" x14ac:dyDescent="0.25">
      <c r="B30" s="109" t="s">
        <v>5781</v>
      </c>
      <c r="D30" s="109" t="s">
        <v>5793</v>
      </c>
      <c r="F30" s="109" t="s">
        <v>5805</v>
      </c>
      <c r="H30" s="109" t="s">
        <v>5817</v>
      </c>
      <c r="J30" s="109" t="s">
        <v>5829</v>
      </c>
      <c r="L30" s="109" t="s">
        <v>5841</v>
      </c>
      <c r="N30" s="109" t="s">
        <v>5853</v>
      </c>
      <c r="P30" s="109" t="s">
        <v>5865</v>
      </c>
      <c r="R30" s="109" t="s">
        <v>5877</v>
      </c>
      <c r="T30" s="109" t="s">
        <v>5889</v>
      </c>
      <c r="V30" s="109" t="s">
        <v>5901</v>
      </c>
      <c r="X30" s="109" t="s">
        <v>5913</v>
      </c>
    </row>
    <row r="31" spans="1:25" x14ac:dyDescent="0.25">
      <c r="B31" s="109" t="s">
        <v>5782</v>
      </c>
      <c r="D31" s="109" t="s">
        <v>5794</v>
      </c>
      <c r="F31" s="109" t="s">
        <v>5806</v>
      </c>
      <c r="H31" s="109" t="s">
        <v>5818</v>
      </c>
      <c r="J31" s="109" t="s">
        <v>5830</v>
      </c>
      <c r="L31" s="109" t="s">
        <v>5842</v>
      </c>
      <c r="N31" s="109" t="s">
        <v>5854</v>
      </c>
      <c r="P31" s="109" t="s">
        <v>5866</v>
      </c>
      <c r="R31" s="109" t="s">
        <v>5878</v>
      </c>
      <c r="T31" s="109" t="s">
        <v>5890</v>
      </c>
      <c r="V31" s="109" t="s">
        <v>5902</v>
      </c>
      <c r="X31" s="109" t="s">
        <v>5914</v>
      </c>
    </row>
    <row r="32" spans="1:25" x14ac:dyDescent="0.25">
      <c r="B32" s="109" t="s">
        <v>5783</v>
      </c>
      <c r="D32" s="109" t="s">
        <v>5795</v>
      </c>
      <c r="F32" s="109" t="s">
        <v>5807</v>
      </c>
      <c r="H32" s="109" t="s">
        <v>5819</v>
      </c>
      <c r="J32" s="109" t="s">
        <v>5831</v>
      </c>
      <c r="L32" s="109" t="s">
        <v>5843</v>
      </c>
      <c r="N32" s="109" t="s">
        <v>5855</v>
      </c>
      <c r="P32" s="109" t="s">
        <v>5867</v>
      </c>
      <c r="R32" s="109" t="s">
        <v>5879</v>
      </c>
      <c r="T32" s="109" t="s">
        <v>5891</v>
      </c>
      <c r="V32" s="109" t="s">
        <v>5903</v>
      </c>
      <c r="X32" s="109" t="s">
        <v>5915</v>
      </c>
    </row>
    <row r="33" spans="1:25" x14ac:dyDescent="0.25">
      <c r="B33" s="109" t="s">
        <v>5784</v>
      </c>
      <c r="D33" s="109" t="s">
        <v>5796</v>
      </c>
      <c r="F33" s="109" t="s">
        <v>5808</v>
      </c>
      <c r="H33" s="109" t="s">
        <v>5820</v>
      </c>
      <c r="J33" s="109" t="s">
        <v>5832</v>
      </c>
      <c r="L33" s="109" t="s">
        <v>5844</v>
      </c>
      <c r="N33" s="109" t="s">
        <v>5856</v>
      </c>
      <c r="P33" s="109" t="s">
        <v>5868</v>
      </c>
      <c r="R33" s="109" t="s">
        <v>5880</v>
      </c>
      <c r="T33" s="109" t="s">
        <v>5892</v>
      </c>
      <c r="V33" s="109" t="s">
        <v>5904</v>
      </c>
      <c r="X33" s="109" t="s">
        <v>5916</v>
      </c>
    </row>
    <row r="34" spans="1:25" x14ac:dyDescent="0.25">
      <c r="B34" s="109" t="s">
        <v>5785</v>
      </c>
      <c r="D34" s="109" t="s">
        <v>5797</v>
      </c>
      <c r="F34" s="109" t="s">
        <v>5809</v>
      </c>
      <c r="H34" s="109" t="s">
        <v>5821</v>
      </c>
      <c r="J34" s="109" t="s">
        <v>5833</v>
      </c>
      <c r="L34" s="109" t="s">
        <v>5845</v>
      </c>
      <c r="N34" s="109" t="s">
        <v>5857</v>
      </c>
      <c r="P34" s="109" t="s">
        <v>5869</v>
      </c>
      <c r="R34" s="109" t="s">
        <v>5881</v>
      </c>
      <c r="T34" s="109" t="s">
        <v>5893</v>
      </c>
      <c r="V34" s="109" t="s">
        <v>5905</v>
      </c>
      <c r="X34" s="109" t="s">
        <v>5917</v>
      </c>
    </row>
    <row r="35" spans="1:25" x14ac:dyDescent="0.25">
      <c r="B35" s="109" t="s">
        <v>5786</v>
      </c>
      <c r="D35" s="109" t="s">
        <v>5798</v>
      </c>
      <c r="F35" s="109" t="s">
        <v>5810</v>
      </c>
      <c r="H35" s="109" t="s">
        <v>5822</v>
      </c>
      <c r="J35" s="109" t="s">
        <v>5834</v>
      </c>
      <c r="L35" s="109" t="s">
        <v>5846</v>
      </c>
      <c r="N35" s="109" t="s">
        <v>5858</v>
      </c>
      <c r="P35" s="109" t="s">
        <v>5870</v>
      </c>
      <c r="R35" s="109" t="s">
        <v>5882</v>
      </c>
      <c r="T35" s="109" t="s">
        <v>5894</v>
      </c>
      <c r="V35" s="109" t="s">
        <v>5906</v>
      </c>
      <c r="X35" s="109" t="s">
        <v>5918</v>
      </c>
    </row>
    <row r="36" spans="1:25" x14ac:dyDescent="0.25">
      <c r="B36" s="109" t="s">
        <v>5787</v>
      </c>
      <c r="D36" s="109" t="s">
        <v>5799</v>
      </c>
      <c r="F36" s="109" t="s">
        <v>5811</v>
      </c>
      <c r="H36" s="109" t="s">
        <v>5823</v>
      </c>
      <c r="J36" s="109" t="s">
        <v>5835</v>
      </c>
      <c r="L36" s="109" t="s">
        <v>5847</v>
      </c>
      <c r="N36" s="109" t="s">
        <v>5859</v>
      </c>
      <c r="P36" s="109" t="s">
        <v>5871</v>
      </c>
      <c r="R36" s="109" t="s">
        <v>5883</v>
      </c>
      <c r="T36" s="109" t="s">
        <v>5895</v>
      </c>
      <c r="V36" s="109" t="s">
        <v>5907</v>
      </c>
      <c r="X36" s="109" t="s">
        <v>5919</v>
      </c>
    </row>
    <row r="37" spans="1:25" x14ac:dyDescent="0.25">
      <c r="B37" s="109" t="s">
        <v>5788</v>
      </c>
      <c r="D37" s="109" t="s">
        <v>5800</v>
      </c>
      <c r="F37" s="109" t="s">
        <v>5812</v>
      </c>
      <c r="H37" s="109" t="s">
        <v>5824</v>
      </c>
      <c r="J37" s="109" t="s">
        <v>5836</v>
      </c>
      <c r="L37" s="109" t="s">
        <v>5848</v>
      </c>
      <c r="N37" s="109" t="s">
        <v>5860</v>
      </c>
      <c r="P37" s="109" t="s">
        <v>5872</v>
      </c>
      <c r="R37" s="109" t="s">
        <v>5884</v>
      </c>
      <c r="T37" s="109" t="s">
        <v>5896</v>
      </c>
      <c r="V37" s="109" t="s">
        <v>5908</v>
      </c>
      <c r="X37" s="109" t="s">
        <v>5920</v>
      </c>
    </row>
    <row r="38" spans="1:25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>COUNTIF(D26:D37,"&lt;&gt;")</f>
        <v>12</v>
      </c>
      <c r="E38" s="109">
        <f t="shared" ref="E38" si="16">COUNTIF(E26:E37,"Y")</f>
        <v>0</v>
      </c>
      <c r="F38" s="109">
        <f t="shared" ref="F38" si="17">COUNTIF(F26:F37,"&lt;&gt;")</f>
        <v>12</v>
      </c>
      <c r="G38" s="109">
        <f t="shared" ref="G38" si="18">COUNTIF(G26:G37,"Y")</f>
        <v>0</v>
      </c>
      <c r="H38" s="109">
        <f t="shared" ref="H38" si="19">COUNTIF(H26:H37,"&lt;&gt;")</f>
        <v>12</v>
      </c>
      <c r="I38" s="109">
        <f t="shared" ref="I38" si="20">COUNTIF(I26:I37,"Y")</f>
        <v>0</v>
      </c>
      <c r="J38" s="109">
        <f t="shared" ref="J38" si="21">COUNTIF(J26:J37,"&lt;&gt;")</f>
        <v>12</v>
      </c>
      <c r="K38" s="109">
        <f t="shared" ref="K38" si="22">COUNTIF(K26:K37,"Y")</f>
        <v>0</v>
      </c>
      <c r="L38" s="109">
        <f t="shared" ref="L38" si="23">COUNTIF(L26:L37,"&lt;&gt;")</f>
        <v>12</v>
      </c>
      <c r="M38" s="109">
        <f t="shared" ref="M38" si="24">COUNTIF(M26:M37,"Y")</f>
        <v>0</v>
      </c>
      <c r="N38" s="109">
        <f t="shared" ref="N38" si="25">COUNTIF(N26:N37,"&lt;&gt;")</f>
        <v>12</v>
      </c>
      <c r="O38" s="109">
        <f t="shared" ref="O38" si="26">COUNTIF(O26:O37,"Y")</f>
        <v>0</v>
      </c>
      <c r="P38" s="109">
        <f t="shared" ref="P38" si="27">COUNTIF(P26:P37,"&lt;&gt;")</f>
        <v>12</v>
      </c>
      <c r="Q38" s="109">
        <f t="shared" ref="Q38" si="28">COUNTIF(Q26:Q37,"Y")</f>
        <v>0</v>
      </c>
      <c r="R38" s="109">
        <f>COUNTIF(R26:R37,"&lt;&gt;")</f>
        <v>12</v>
      </c>
      <c r="S38" s="109">
        <f t="shared" ref="S38" si="29">COUNTIF(S26:S37,"Y")</f>
        <v>0</v>
      </c>
      <c r="T38" s="109">
        <f t="shared" ref="T38" si="30">COUNTIF(T26:T37,"&lt;&gt;")</f>
        <v>12</v>
      </c>
      <c r="U38" s="109">
        <f t="shared" ref="U38" si="31">COUNTIF(U26:U37,"Y")</f>
        <v>0</v>
      </c>
      <c r="V38" s="109">
        <f t="shared" ref="V38" si="32">COUNTIF(V26:V37,"&lt;&gt;")</f>
        <v>12</v>
      </c>
      <c r="W38" s="109">
        <f t="shared" ref="W38" si="33">COUNTIF(W26:W37,"Y")</f>
        <v>0</v>
      </c>
      <c r="X38" s="109">
        <f t="shared" ref="X38" si="34">COUNTIF(X26:X37,"&lt;&gt;")</f>
        <v>12</v>
      </c>
      <c r="Y38" s="109">
        <f t="shared" ref="Y38" si="35">COUNTIF(Y26:Y37,"Y")</f>
        <v>0</v>
      </c>
    </row>
  </sheetData>
  <pageMargins left="0.7" right="0.7" top="0.75" bottom="0.75" header="0.3" footer="0.3"/>
  <pageSetup orientation="portrait" verticalDpi="597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51E94-9E69-4DFA-A934-FB865F0CCEE0}">
  <sheetPr codeName="Sheet22"/>
  <dimension ref="A1:AC38"/>
  <sheetViews>
    <sheetView topLeftCell="A7" workbookViewId="0">
      <selection activeCell="R25" sqref="R25"/>
    </sheetView>
  </sheetViews>
  <sheetFormatPr defaultRowHeight="15" x14ac:dyDescent="0.25"/>
  <cols>
    <col min="1" max="1" width="10" style="109" bestFit="1" customWidth="1"/>
    <col min="2" max="2" width="14.5703125" style="109" bestFit="1" customWidth="1"/>
    <col min="3" max="3" width="10.85546875" style="109" bestFit="1" customWidth="1"/>
    <col min="4" max="4" width="11.5703125" style="109" bestFit="1" customWidth="1"/>
    <col min="5" max="5" width="10.85546875" style="109" bestFit="1" customWidth="1"/>
    <col min="6" max="6" width="11.5703125" style="109" bestFit="1" customWidth="1"/>
    <col min="7" max="7" width="10.85546875" style="109" bestFit="1" customWidth="1"/>
    <col min="8" max="8" width="11.5703125" style="109" bestFit="1" customWidth="1"/>
    <col min="9" max="9" width="10.85546875" style="109" bestFit="1" customWidth="1"/>
    <col min="10" max="10" width="11.5703125" style="109" bestFit="1" customWidth="1"/>
    <col min="11" max="11" width="10.85546875" style="109" bestFit="1" customWidth="1"/>
    <col min="12" max="12" width="11.5703125" style="109" bestFit="1" customWidth="1"/>
    <col min="13" max="13" width="10.85546875" style="109" bestFit="1" customWidth="1"/>
    <col min="14" max="14" width="11.5703125" style="109" bestFit="1" customWidth="1"/>
    <col min="15" max="15" width="10.85546875" style="109" bestFit="1" customWidth="1"/>
    <col min="16" max="16" width="12.42578125" style="109" bestFit="1" customWidth="1"/>
    <col min="17" max="17" width="10.85546875" style="109" bestFit="1" customWidth="1"/>
    <col min="18" max="18" width="12.42578125" style="109" bestFit="1" customWidth="1"/>
    <col min="19" max="19" width="10.85546875" style="109" bestFit="1" customWidth="1"/>
    <col min="20" max="20" width="12.42578125" style="109" bestFit="1" customWidth="1"/>
    <col min="21" max="21" width="10.85546875" style="109" bestFit="1" customWidth="1"/>
    <col min="22" max="22" width="12.42578125" style="109" bestFit="1" customWidth="1"/>
    <col min="23" max="23" width="10.85546875" style="109" bestFit="1" customWidth="1"/>
    <col min="24" max="24" width="12.42578125" style="109" bestFit="1" customWidth="1"/>
    <col min="25" max="25" width="10.85546875" style="109" bestFit="1" customWidth="1"/>
    <col min="26" max="26" width="12.42578125" style="109" bestFit="1" customWidth="1"/>
    <col min="27" max="27" width="10.85546875" style="109" bestFit="1" customWidth="1"/>
    <col min="28" max="28" width="12.42578125" style="109" bestFit="1" customWidth="1"/>
    <col min="29" max="29" width="10.85546875" style="109" bestFit="1" customWidth="1"/>
    <col min="30" max="30" width="12.42578125" style="109" bestFit="1" customWidth="1"/>
    <col min="31" max="31" width="10.85546875" style="109" bestFit="1" customWidth="1"/>
    <col min="32" max="32" width="12.42578125" style="109" bestFit="1" customWidth="1"/>
    <col min="33" max="33" width="10.85546875" style="109" bestFit="1" customWidth="1"/>
    <col min="34" max="34" width="12.42578125" style="109" bestFit="1" customWidth="1"/>
    <col min="35" max="35" width="10.85546875" style="109" bestFit="1" customWidth="1"/>
    <col min="36" max="36" width="12.42578125" style="109" bestFit="1" customWidth="1"/>
    <col min="37" max="37" width="10.85546875" style="109" bestFit="1" customWidth="1"/>
    <col min="38" max="38" width="12.42578125" style="109" bestFit="1" customWidth="1"/>
    <col min="39" max="39" width="10.85546875" style="109" bestFit="1" customWidth="1"/>
    <col min="40" max="40" width="12.42578125" style="109" bestFit="1" customWidth="1"/>
    <col min="41" max="41" width="10.85546875" style="109" bestFit="1" customWidth="1"/>
    <col min="42" max="42" width="12.42578125" style="109" bestFit="1" customWidth="1"/>
    <col min="43" max="43" width="10.85546875" style="109" bestFit="1" customWidth="1"/>
    <col min="44" max="44" width="12.42578125" style="109" bestFit="1" customWidth="1"/>
    <col min="45" max="45" width="10.85546875" style="109" bestFit="1" customWidth="1"/>
    <col min="46" max="46" width="12.42578125" style="109" bestFit="1" customWidth="1"/>
    <col min="47" max="47" width="10.85546875" style="109" bestFit="1" customWidth="1"/>
    <col min="48" max="16384" width="9.140625" style="109"/>
  </cols>
  <sheetData>
    <row r="1" spans="2:29" s="111" customFormat="1" x14ac:dyDescent="0.25">
      <c r="B1" s="111" t="s">
        <v>14577</v>
      </c>
      <c r="C1" s="111">
        <f>SUM(D3,D24)</f>
        <v>159</v>
      </c>
      <c r="D1" s="111" t="s">
        <v>301</v>
      </c>
      <c r="E1" s="111">
        <f>SUM(F3,F24)</f>
        <v>0</v>
      </c>
      <c r="F1" s="111" t="s">
        <v>14579</v>
      </c>
      <c r="G1" s="111">
        <f>SUM(H3,H24)</f>
        <v>159</v>
      </c>
      <c r="H1" s="111" t="s">
        <v>14578</v>
      </c>
      <c r="I1" s="131">
        <f>(E1/C1)</f>
        <v>0</v>
      </c>
      <c r="V1" s="111" t="s">
        <v>14577</v>
      </c>
      <c r="W1" s="111">
        <f>SUM(X4,X25)</f>
        <v>0</v>
      </c>
      <c r="X1" s="111" t="s">
        <v>301</v>
      </c>
      <c r="Y1" s="111">
        <f>SUM(Z4,Z25)</f>
        <v>0</v>
      </c>
      <c r="Z1" s="111" t="s">
        <v>14579</v>
      </c>
      <c r="AA1" s="111">
        <f>SUM(AB4,AB25)</f>
        <v>0</v>
      </c>
      <c r="AB1" s="111" t="s">
        <v>14578</v>
      </c>
      <c r="AC1" s="131" t="e">
        <f>(Y1/W1)</f>
        <v>#DIV/0!</v>
      </c>
    </row>
    <row r="2" spans="2:29" s="111" customFormat="1" x14ac:dyDescent="0.25"/>
    <row r="3" spans="2:29" x14ac:dyDescent="0.25">
      <c r="B3" s="109" t="s">
        <v>5921</v>
      </c>
      <c r="C3" s="109" t="s">
        <v>302</v>
      </c>
      <c r="D3" s="109">
        <f>SUM(B22,D22,F22,H22,J22,L22,N22,P22,R22,T22,V22)</f>
        <v>51</v>
      </c>
      <c r="E3" s="109" t="s">
        <v>301</v>
      </c>
      <c r="F3" s="109">
        <f>SUM(C22,E22,G22,I22,K22,M22,O22,Q22,S22,U22,W22)</f>
        <v>0</v>
      </c>
      <c r="G3" s="109" t="s">
        <v>305</v>
      </c>
      <c r="H3" s="109">
        <f>D3-F3</f>
        <v>51</v>
      </c>
    </row>
    <row r="4" spans="2:29" x14ac:dyDescent="0.25">
      <c r="B4" s="109" t="str">
        <f>LEFT(B5,FIND("_C",B5)-1)</f>
        <v>BH_050</v>
      </c>
      <c r="C4" s="109" t="s">
        <v>301</v>
      </c>
      <c r="D4" s="109" t="str">
        <f>LEFT(D5,FIND("_C",D5)-1)</f>
        <v>BH_077</v>
      </c>
      <c r="E4" s="109" t="s">
        <v>301</v>
      </c>
      <c r="F4" s="109" t="str">
        <f>LEFT(F5,FIND("_C",F5)-1)</f>
        <v>BH_080</v>
      </c>
      <c r="G4" s="109" t="s">
        <v>301</v>
      </c>
    </row>
    <row r="5" spans="2:29" x14ac:dyDescent="0.25">
      <c r="B5" s="109" t="s">
        <v>5923</v>
      </c>
      <c r="D5" s="109" t="s">
        <v>5940</v>
      </c>
      <c r="F5" s="109" t="s">
        <v>5957</v>
      </c>
    </row>
    <row r="6" spans="2:29" x14ac:dyDescent="0.25">
      <c r="B6" s="109" t="s">
        <v>5924</v>
      </c>
      <c r="D6" s="109" t="s">
        <v>5941</v>
      </c>
      <c r="F6" s="109" t="s">
        <v>5958</v>
      </c>
    </row>
    <row r="7" spans="2:29" x14ac:dyDescent="0.25">
      <c r="B7" s="109" t="s">
        <v>5925</v>
      </c>
      <c r="D7" s="109" t="s">
        <v>5942</v>
      </c>
      <c r="F7" s="109" t="s">
        <v>5959</v>
      </c>
    </row>
    <row r="8" spans="2:29" x14ac:dyDescent="0.25">
      <c r="B8" s="109" t="s">
        <v>5926</v>
      </c>
      <c r="D8" s="109" t="s">
        <v>5943</v>
      </c>
      <c r="F8" s="109" t="s">
        <v>5960</v>
      </c>
    </row>
    <row r="9" spans="2:29" x14ac:dyDescent="0.25">
      <c r="B9" s="109" t="s">
        <v>5927</v>
      </c>
      <c r="D9" s="109" t="s">
        <v>5944</v>
      </c>
      <c r="F9" s="109" t="s">
        <v>5961</v>
      </c>
    </row>
    <row r="10" spans="2:29" x14ac:dyDescent="0.25">
      <c r="B10" s="109" t="s">
        <v>5928</v>
      </c>
      <c r="D10" s="109" t="s">
        <v>5945</v>
      </c>
      <c r="F10" s="109" t="s">
        <v>5962</v>
      </c>
    </row>
    <row r="11" spans="2:29" x14ac:dyDescent="0.25">
      <c r="B11" s="109" t="s">
        <v>5929</v>
      </c>
      <c r="D11" s="109" t="s">
        <v>5946</v>
      </c>
      <c r="F11" s="109" t="s">
        <v>5963</v>
      </c>
    </row>
    <row r="12" spans="2:29" x14ac:dyDescent="0.25">
      <c r="B12" s="109" t="s">
        <v>5930</v>
      </c>
      <c r="D12" s="109" t="s">
        <v>5947</v>
      </c>
      <c r="F12" s="109" t="s">
        <v>5964</v>
      </c>
    </row>
    <row r="13" spans="2:29" x14ac:dyDescent="0.25">
      <c r="B13" s="109" t="s">
        <v>5931</v>
      </c>
      <c r="D13" s="109" t="s">
        <v>5948</v>
      </c>
      <c r="F13" s="109" t="s">
        <v>5965</v>
      </c>
    </row>
    <row r="14" spans="2:29" x14ac:dyDescent="0.25">
      <c r="B14" s="109" t="s">
        <v>5932</v>
      </c>
      <c r="D14" s="109" t="s">
        <v>5949</v>
      </c>
      <c r="F14" s="109" t="s">
        <v>5966</v>
      </c>
    </row>
    <row r="15" spans="2:29" x14ac:dyDescent="0.25">
      <c r="B15" s="109" t="s">
        <v>5933</v>
      </c>
      <c r="D15" s="109" t="s">
        <v>5950</v>
      </c>
      <c r="F15" s="109" t="s">
        <v>5967</v>
      </c>
    </row>
    <row r="16" spans="2:29" x14ac:dyDescent="0.25">
      <c r="B16" s="109" t="s">
        <v>5934</v>
      </c>
      <c r="D16" s="109" t="s">
        <v>5951</v>
      </c>
      <c r="F16" s="109" t="s">
        <v>5968</v>
      </c>
    </row>
    <row r="17" spans="1:19" x14ac:dyDescent="0.25">
      <c r="B17" s="109" t="s">
        <v>5935</v>
      </c>
      <c r="D17" s="109" t="s">
        <v>5952</v>
      </c>
      <c r="F17" s="109" t="s">
        <v>5969</v>
      </c>
    </row>
    <row r="18" spans="1:19" x14ac:dyDescent="0.25">
      <c r="B18" s="109" t="s">
        <v>5936</v>
      </c>
      <c r="D18" s="109" t="s">
        <v>5953</v>
      </c>
      <c r="F18" s="109" t="s">
        <v>5970</v>
      </c>
    </row>
    <row r="19" spans="1:19" x14ac:dyDescent="0.25">
      <c r="B19" s="109" t="s">
        <v>5937</v>
      </c>
      <c r="D19" s="109" t="s">
        <v>5954</v>
      </c>
      <c r="F19" s="109" t="s">
        <v>5971</v>
      </c>
    </row>
    <row r="20" spans="1:19" x14ac:dyDescent="0.25">
      <c r="B20" s="109" t="s">
        <v>5938</v>
      </c>
      <c r="D20" s="109" t="s">
        <v>5955</v>
      </c>
      <c r="F20" s="109" t="s">
        <v>5972</v>
      </c>
    </row>
    <row r="21" spans="1:19" x14ac:dyDescent="0.25">
      <c r="B21" s="109" t="s">
        <v>5939</v>
      </c>
      <c r="D21" s="109" t="s">
        <v>5956</v>
      </c>
      <c r="F21" s="109" t="s">
        <v>5973</v>
      </c>
    </row>
    <row r="22" spans="1:19" x14ac:dyDescent="0.25">
      <c r="A22" s="109" t="s">
        <v>303</v>
      </c>
      <c r="B22" s="109">
        <f t="shared" ref="B22" si="0">COUNTIF(B5:B21,"&lt;&gt;")</f>
        <v>17</v>
      </c>
      <c r="C22" s="109">
        <f>COUNTIF(C5:C21,"Y")</f>
        <v>0</v>
      </c>
      <c r="D22" s="109">
        <f t="shared" ref="D22" si="1">COUNTIF(D5:D21,"&lt;&gt;")</f>
        <v>17</v>
      </c>
      <c r="E22" s="109">
        <f>COUNTIF(E5:E21,"Y")</f>
        <v>0</v>
      </c>
      <c r="F22" s="109">
        <f t="shared" ref="F22" si="2">COUNTIF(F5:F21,"&lt;&gt;")</f>
        <v>17</v>
      </c>
      <c r="G22" s="109">
        <f>COUNTIF(G5:G21,"Y")</f>
        <v>0</v>
      </c>
    </row>
    <row r="24" spans="1:19" x14ac:dyDescent="0.25">
      <c r="B24" s="109" t="s">
        <v>5922</v>
      </c>
      <c r="C24" s="109" t="s">
        <v>302</v>
      </c>
      <c r="D24" s="109">
        <f>SUM(B38,D38,F38,H38,J38,L38,N38,P38,R38,T38,V38,X38,Z38,AB38,AD38,AF38,AH38,AJ38,AL38,AN38,AP38,AR38,AT38)</f>
        <v>108</v>
      </c>
      <c r="E24" s="109" t="s">
        <v>301</v>
      </c>
      <c r="F24" s="109">
        <f>SUM(C38,E38,G38,I38,K38,M38,O38,Q38,S38,U38,W38,Y38,AA38,AC38,AE38,AG38,AI38,AK38,AM38,AO38,AQ38,AS38,AU38)</f>
        <v>0</v>
      </c>
      <c r="G24" s="109" t="s">
        <v>305</v>
      </c>
      <c r="H24" s="109">
        <f>D24-F24</f>
        <v>108</v>
      </c>
    </row>
    <row r="25" spans="1:19" x14ac:dyDescent="0.25">
      <c r="B25" s="109" t="str">
        <f>LEFT(B26,FIND("_P",B26)-1)</f>
        <v>CPT_081</v>
      </c>
      <c r="C25" s="109" t="s">
        <v>301</v>
      </c>
      <c r="D25" s="109" t="str">
        <f t="shared" ref="D25" si="3">LEFT(D26,FIND("_P",D26)-1)</f>
        <v>CPT_118</v>
      </c>
      <c r="E25" s="109" t="s">
        <v>301</v>
      </c>
      <c r="F25" s="109" t="str">
        <f t="shared" ref="F25" si="4">LEFT(F26,FIND("_P",F26)-1)</f>
        <v>CPT_158</v>
      </c>
      <c r="G25" s="109" t="s">
        <v>301</v>
      </c>
      <c r="H25" s="109" t="str">
        <f t="shared" ref="H25" si="5">LEFT(H26,FIND("_P",H26)-1)</f>
        <v>CPT_192</v>
      </c>
      <c r="I25" s="109" t="s">
        <v>301</v>
      </c>
      <c r="J25" s="109" t="str">
        <f t="shared" ref="J25" si="6">LEFT(J26,FIND("_P",J26)-1)</f>
        <v>CPT_230</v>
      </c>
      <c r="K25" s="109" t="s">
        <v>301</v>
      </c>
      <c r="L25" s="109" t="str">
        <f t="shared" ref="L25" si="7">LEFT(L26,FIND("_P",L26)-1)</f>
        <v>CPT_252</v>
      </c>
      <c r="M25" s="109" t="s">
        <v>301</v>
      </c>
      <c r="N25" s="109" t="str">
        <f t="shared" ref="N25" si="8">LEFT(N26,FIND("_P",N26)-1)</f>
        <v>CPT_277</v>
      </c>
      <c r="O25" s="109" t="s">
        <v>301</v>
      </c>
      <c r="P25" s="109" t="str">
        <f t="shared" ref="P25:R25" si="9">LEFT(P26,FIND("_P",P26)-1)</f>
        <v>CPT_285</v>
      </c>
      <c r="Q25" s="109" t="s">
        <v>301</v>
      </c>
      <c r="R25" s="111" t="str">
        <f t="shared" si="9"/>
        <v>CPT_287</v>
      </c>
      <c r="S25" s="109" t="s">
        <v>301</v>
      </c>
    </row>
    <row r="26" spans="1:19" x14ac:dyDescent="0.25">
      <c r="B26" s="109" t="s">
        <v>5974</v>
      </c>
      <c r="D26" s="109" t="s">
        <v>5986</v>
      </c>
      <c r="F26" s="109" t="s">
        <v>5998</v>
      </c>
      <c r="H26" s="109" t="s">
        <v>6010</v>
      </c>
      <c r="J26" s="109" t="s">
        <v>6022</v>
      </c>
      <c r="L26" s="109" t="s">
        <v>6034</v>
      </c>
      <c r="N26" s="109" t="s">
        <v>6046</v>
      </c>
      <c r="P26" s="109" t="s">
        <v>6058</v>
      </c>
      <c r="R26" s="109" t="s">
        <v>6070</v>
      </c>
    </row>
    <row r="27" spans="1:19" x14ac:dyDescent="0.25">
      <c r="B27" s="109" t="s">
        <v>5975</v>
      </c>
      <c r="D27" s="109" t="s">
        <v>5987</v>
      </c>
      <c r="F27" s="109" t="s">
        <v>5999</v>
      </c>
      <c r="H27" s="109" t="s">
        <v>6011</v>
      </c>
      <c r="J27" s="109" t="s">
        <v>6023</v>
      </c>
      <c r="L27" s="109" t="s">
        <v>6035</v>
      </c>
      <c r="N27" s="109" t="s">
        <v>6047</v>
      </c>
      <c r="P27" s="109" t="s">
        <v>6059</v>
      </c>
      <c r="R27" s="109" t="s">
        <v>6071</v>
      </c>
    </row>
    <row r="28" spans="1:19" x14ac:dyDescent="0.25">
      <c r="B28" s="109" t="s">
        <v>5976</v>
      </c>
      <c r="D28" s="109" t="s">
        <v>5988</v>
      </c>
      <c r="F28" s="109" t="s">
        <v>6000</v>
      </c>
      <c r="H28" s="109" t="s">
        <v>6012</v>
      </c>
      <c r="J28" s="109" t="s">
        <v>6024</v>
      </c>
      <c r="L28" s="109" t="s">
        <v>6036</v>
      </c>
      <c r="N28" s="109" t="s">
        <v>6048</v>
      </c>
      <c r="P28" s="109" t="s">
        <v>6060</v>
      </c>
      <c r="R28" s="109" t="s">
        <v>6072</v>
      </c>
    </row>
    <row r="29" spans="1:19" x14ac:dyDescent="0.25">
      <c r="B29" s="109" t="s">
        <v>5977</v>
      </c>
      <c r="D29" s="109" t="s">
        <v>5989</v>
      </c>
      <c r="F29" s="109" t="s">
        <v>6001</v>
      </c>
      <c r="H29" s="109" t="s">
        <v>6013</v>
      </c>
      <c r="J29" s="109" t="s">
        <v>6025</v>
      </c>
      <c r="L29" s="109" t="s">
        <v>6037</v>
      </c>
      <c r="N29" s="109" t="s">
        <v>6049</v>
      </c>
      <c r="P29" s="109" t="s">
        <v>6061</v>
      </c>
      <c r="R29" s="109" t="s">
        <v>6073</v>
      </c>
    </row>
    <row r="30" spans="1:19" x14ac:dyDescent="0.25">
      <c r="B30" s="109" t="s">
        <v>5978</v>
      </c>
      <c r="D30" s="109" t="s">
        <v>5990</v>
      </c>
      <c r="F30" s="109" t="s">
        <v>6002</v>
      </c>
      <c r="H30" s="109" t="s">
        <v>6014</v>
      </c>
      <c r="J30" s="109" t="s">
        <v>6026</v>
      </c>
      <c r="L30" s="109" t="s">
        <v>6038</v>
      </c>
      <c r="N30" s="109" t="s">
        <v>6050</v>
      </c>
      <c r="P30" s="109" t="s">
        <v>6062</v>
      </c>
      <c r="R30" s="109" t="s">
        <v>6074</v>
      </c>
    </row>
    <row r="31" spans="1:19" x14ac:dyDescent="0.25">
      <c r="B31" s="109" t="s">
        <v>5979</v>
      </c>
      <c r="D31" s="109" t="s">
        <v>5991</v>
      </c>
      <c r="F31" s="109" t="s">
        <v>6003</v>
      </c>
      <c r="H31" s="109" t="s">
        <v>6015</v>
      </c>
      <c r="J31" s="109" t="s">
        <v>6027</v>
      </c>
      <c r="L31" s="109" t="s">
        <v>6039</v>
      </c>
      <c r="N31" s="109" t="s">
        <v>6051</v>
      </c>
      <c r="P31" s="109" t="s">
        <v>6063</v>
      </c>
      <c r="R31" s="109" t="s">
        <v>6075</v>
      </c>
    </row>
    <row r="32" spans="1:19" x14ac:dyDescent="0.25">
      <c r="B32" s="109" t="s">
        <v>5980</v>
      </c>
      <c r="D32" s="109" t="s">
        <v>5992</v>
      </c>
      <c r="F32" s="109" t="s">
        <v>6004</v>
      </c>
      <c r="H32" s="109" t="s">
        <v>6016</v>
      </c>
      <c r="J32" s="109" t="s">
        <v>6028</v>
      </c>
      <c r="L32" s="109" t="s">
        <v>6040</v>
      </c>
      <c r="N32" s="109" t="s">
        <v>6052</v>
      </c>
      <c r="P32" s="109" t="s">
        <v>6064</v>
      </c>
      <c r="R32" s="109" t="s">
        <v>6076</v>
      </c>
    </row>
    <row r="33" spans="1:19" x14ac:dyDescent="0.25">
      <c r="B33" s="109" t="s">
        <v>5981</v>
      </c>
      <c r="D33" s="109" t="s">
        <v>5993</v>
      </c>
      <c r="F33" s="109" t="s">
        <v>6005</v>
      </c>
      <c r="H33" s="109" t="s">
        <v>6017</v>
      </c>
      <c r="J33" s="109" t="s">
        <v>6029</v>
      </c>
      <c r="L33" s="109" t="s">
        <v>6041</v>
      </c>
      <c r="N33" s="109" t="s">
        <v>6053</v>
      </c>
      <c r="P33" s="109" t="s">
        <v>6065</v>
      </c>
      <c r="R33" s="109" t="s">
        <v>6077</v>
      </c>
    </row>
    <row r="34" spans="1:19" x14ac:dyDescent="0.25">
      <c r="B34" s="109" t="s">
        <v>5982</v>
      </c>
      <c r="D34" s="109" t="s">
        <v>5994</v>
      </c>
      <c r="F34" s="109" t="s">
        <v>6006</v>
      </c>
      <c r="H34" s="109" t="s">
        <v>6018</v>
      </c>
      <c r="J34" s="109" t="s">
        <v>6030</v>
      </c>
      <c r="L34" s="109" t="s">
        <v>6042</v>
      </c>
      <c r="N34" s="109" t="s">
        <v>6054</v>
      </c>
      <c r="P34" s="109" t="s">
        <v>6066</v>
      </c>
      <c r="R34" s="109" t="s">
        <v>6078</v>
      </c>
    </row>
    <row r="35" spans="1:19" x14ac:dyDescent="0.25">
      <c r="B35" s="109" t="s">
        <v>5983</v>
      </c>
      <c r="D35" s="109" t="s">
        <v>5995</v>
      </c>
      <c r="F35" s="109" t="s">
        <v>6007</v>
      </c>
      <c r="H35" s="109" t="s">
        <v>6019</v>
      </c>
      <c r="J35" s="109" t="s">
        <v>6031</v>
      </c>
      <c r="L35" s="109" t="s">
        <v>6043</v>
      </c>
      <c r="N35" s="109" t="s">
        <v>6055</v>
      </c>
      <c r="P35" s="109" t="s">
        <v>6067</v>
      </c>
      <c r="R35" s="109" t="s">
        <v>6079</v>
      </c>
    </row>
    <row r="36" spans="1:19" x14ac:dyDescent="0.25">
      <c r="B36" s="109" t="s">
        <v>5984</v>
      </c>
      <c r="D36" s="109" t="s">
        <v>5996</v>
      </c>
      <c r="F36" s="109" t="s">
        <v>6008</v>
      </c>
      <c r="H36" s="109" t="s">
        <v>6020</v>
      </c>
      <c r="J36" s="109" t="s">
        <v>6032</v>
      </c>
      <c r="L36" s="109" t="s">
        <v>6044</v>
      </c>
      <c r="N36" s="109" t="s">
        <v>6056</v>
      </c>
      <c r="P36" s="109" t="s">
        <v>6068</v>
      </c>
      <c r="R36" s="109" t="s">
        <v>6080</v>
      </c>
    </row>
    <row r="37" spans="1:19" x14ac:dyDescent="0.25">
      <c r="B37" s="109" t="s">
        <v>5985</v>
      </c>
      <c r="D37" s="109" t="s">
        <v>5997</v>
      </c>
      <c r="F37" s="109" t="s">
        <v>6009</v>
      </c>
      <c r="H37" s="109" t="s">
        <v>6021</v>
      </c>
      <c r="J37" s="109" t="s">
        <v>6033</v>
      </c>
      <c r="L37" s="109" t="s">
        <v>6045</v>
      </c>
      <c r="N37" s="109" t="s">
        <v>6057</v>
      </c>
      <c r="P37" s="109" t="s">
        <v>6069</v>
      </c>
      <c r="R37" s="109" t="s">
        <v>6081</v>
      </c>
    </row>
    <row r="38" spans="1:19" x14ac:dyDescent="0.25">
      <c r="A38" s="109" t="s">
        <v>303</v>
      </c>
      <c r="B38" s="109">
        <f>COUNTIF(B26:B37,"&lt;&gt;")</f>
        <v>12</v>
      </c>
      <c r="C38" s="109">
        <f>COUNTIF(C26:C37,"Y")</f>
        <v>0</v>
      </c>
      <c r="D38" s="109">
        <f>COUNTIF(D26:D37,"&lt;&gt;")</f>
        <v>12</v>
      </c>
      <c r="E38" s="109">
        <f t="shared" ref="E38" si="10">COUNTIF(E26:E37,"Y")</f>
        <v>0</v>
      </c>
      <c r="F38" s="109">
        <f t="shared" ref="F38" si="11">COUNTIF(F26:F37,"&lt;&gt;")</f>
        <v>12</v>
      </c>
      <c r="G38" s="109">
        <f t="shared" ref="G38" si="12">COUNTIF(G26:G37,"Y")</f>
        <v>0</v>
      </c>
      <c r="H38" s="109">
        <f t="shared" ref="H38" si="13">COUNTIF(H26:H37,"&lt;&gt;")</f>
        <v>12</v>
      </c>
      <c r="I38" s="109">
        <f t="shared" ref="I38" si="14">COUNTIF(I26:I37,"Y")</f>
        <v>0</v>
      </c>
      <c r="J38" s="109">
        <f t="shared" ref="J38" si="15">COUNTIF(J26:J37,"&lt;&gt;")</f>
        <v>12</v>
      </c>
      <c r="K38" s="109">
        <f t="shared" ref="K38" si="16">COUNTIF(K26:K37,"Y")</f>
        <v>0</v>
      </c>
      <c r="L38" s="109">
        <f t="shared" ref="L38" si="17">COUNTIF(L26:L37,"&lt;&gt;")</f>
        <v>12</v>
      </c>
      <c r="M38" s="109">
        <f t="shared" ref="M38" si="18">COUNTIF(M26:M37,"Y")</f>
        <v>0</v>
      </c>
      <c r="N38" s="109">
        <f t="shared" ref="N38" si="19">COUNTIF(N26:N37,"&lt;&gt;")</f>
        <v>12</v>
      </c>
      <c r="O38" s="109">
        <f t="shared" ref="O38" si="20">COUNTIF(O26:O37,"Y")</f>
        <v>0</v>
      </c>
      <c r="P38" s="109">
        <f t="shared" ref="P38" si="21">COUNTIF(P26:P37,"&lt;&gt;")</f>
        <v>12</v>
      </c>
      <c r="Q38" s="109">
        <f t="shared" ref="Q38" si="22">COUNTIF(Q26:Q37,"Y")</f>
        <v>0</v>
      </c>
      <c r="R38" s="109">
        <f>COUNTIF(R26:R37,"&lt;&gt;")</f>
        <v>12</v>
      </c>
      <c r="S38" s="109">
        <f t="shared" ref="S38" si="23">COUNTIF(S26:S37,"Y")</f>
        <v>0</v>
      </c>
    </row>
  </sheetData>
  <pageMargins left="0.7" right="0.7" top="0.75" bottom="0.75" header="0.3" footer="0.3"/>
  <pageSetup orientation="portrait" verticalDpi="597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30C4-B237-4E1D-9A4C-DA9E6E579E92}">
  <sheetPr codeName="Sheet3"/>
  <dimension ref="A1:E62"/>
  <sheetViews>
    <sheetView zoomScaleNormal="100" workbookViewId="0">
      <selection activeCell="B25" sqref="B25"/>
    </sheetView>
  </sheetViews>
  <sheetFormatPr defaultRowHeight="15" x14ac:dyDescent="0.25"/>
  <cols>
    <col min="1" max="1" width="39.7109375" bestFit="1" customWidth="1"/>
    <col min="2" max="2" width="50.85546875" style="10" bestFit="1" customWidth="1"/>
    <col min="4" max="4" width="37.85546875" bestFit="1" customWidth="1"/>
    <col min="5" max="5" width="50.7109375" customWidth="1"/>
  </cols>
  <sheetData>
    <row r="1" spans="1:5" ht="28.5" x14ac:dyDescent="0.45">
      <c r="A1" s="9" t="s">
        <v>24</v>
      </c>
    </row>
    <row r="2" spans="1:5" x14ac:dyDescent="0.25">
      <c r="A2" t="s">
        <v>25</v>
      </c>
      <c r="B2" s="10" t="s">
        <v>56</v>
      </c>
    </row>
    <row r="3" spans="1:5" x14ac:dyDescent="0.25">
      <c r="A3" t="s">
        <v>26</v>
      </c>
      <c r="B3" s="10" t="s">
        <v>178</v>
      </c>
    </row>
    <row r="6" spans="1:5" ht="28.5" x14ac:dyDescent="0.45">
      <c r="A6" s="34" t="s">
        <v>18</v>
      </c>
      <c r="B6" s="16"/>
    </row>
    <row r="7" spans="1:5" x14ac:dyDescent="0.25">
      <c r="A7" s="14" t="s">
        <v>19</v>
      </c>
      <c r="B7" s="16" t="s">
        <v>23</v>
      </c>
    </row>
    <row r="8" spans="1:5" x14ac:dyDescent="0.25">
      <c r="A8" s="14" t="s">
        <v>21</v>
      </c>
      <c r="B8" s="16" t="s">
        <v>22</v>
      </c>
    </row>
    <row r="9" spans="1:5" x14ac:dyDescent="0.25">
      <c r="A9" s="14" t="s">
        <v>20</v>
      </c>
      <c r="B9" s="43" t="s">
        <v>58</v>
      </c>
    </row>
    <row r="11" spans="1:5" x14ac:dyDescent="0.25">
      <c r="A11" s="14"/>
      <c r="B11" s="30"/>
    </row>
    <row r="12" spans="1:5" ht="28.5" x14ac:dyDescent="0.45">
      <c r="A12" s="34" t="s">
        <v>14</v>
      </c>
      <c r="B12" s="16"/>
      <c r="D12" s="9"/>
    </row>
    <row r="13" spans="1:5" x14ac:dyDescent="0.25">
      <c r="A13" s="14" t="s">
        <v>15</v>
      </c>
      <c r="B13" s="16" t="s">
        <v>16</v>
      </c>
      <c r="E13" s="10"/>
    </row>
    <row r="14" spans="1:5" x14ac:dyDescent="0.25">
      <c r="A14" s="14" t="s">
        <v>17</v>
      </c>
      <c r="B14" s="35" t="s">
        <v>179</v>
      </c>
      <c r="E14" s="10"/>
    </row>
    <row r="15" spans="1:5" x14ac:dyDescent="0.25">
      <c r="A15" s="14"/>
      <c r="B15" s="16"/>
      <c r="D15" s="14"/>
      <c r="E15" s="16"/>
    </row>
    <row r="16" spans="1:5" x14ac:dyDescent="0.25">
      <c r="A16" s="14" t="s">
        <v>7084</v>
      </c>
      <c r="B16" s="16"/>
      <c r="E16" s="10"/>
    </row>
    <row r="17" spans="1:5" x14ac:dyDescent="0.25">
      <c r="A17" s="14" t="s">
        <v>7086</v>
      </c>
      <c r="B17" s="14" t="s">
        <v>7085</v>
      </c>
      <c r="D17" s="14"/>
      <c r="E17" s="16"/>
    </row>
    <row r="18" spans="1:5" x14ac:dyDescent="0.25">
      <c r="A18" s="14" t="s">
        <v>7087</v>
      </c>
      <c r="B18" s="14" t="s">
        <v>9600</v>
      </c>
      <c r="D18" s="14"/>
      <c r="E18" s="16"/>
    </row>
    <row r="19" spans="1:5" x14ac:dyDescent="0.25">
      <c r="A19" s="14" t="s">
        <v>7088</v>
      </c>
      <c r="B19" t="s">
        <v>7089</v>
      </c>
      <c r="D19" s="14"/>
      <c r="E19" s="27"/>
    </row>
    <row r="20" spans="1:5" x14ac:dyDescent="0.25">
      <c r="A20" s="14" t="s">
        <v>7090</v>
      </c>
      <c r="B20" s="109" t="s">
        <v>7091</v>
      </c>
      <c r="D20" s="14"/>
      <c r="E20" s="16"/>
    </row>
    <row r="21" spans="1:5" x14ac:dyDescent="0.25">
      <c r="A21" s="14" t="s">
        <v>7092</v>
      </c>
      <c r="B21">
        <v>0</v>
      </c>
      <c r="D21" s="14"/>
      <c r="E21" s="16"/>
    </row>
    <row r="22" spans="1:5" x14ac:dyDescent="0.25">
      <c r="A22" s="14" t="s">
        <v>7096</v>
      </c>
      <c r="B22" t="s">
        <v>7093</v>
      </c>
    </row>
    <row r="23" spans="1:5" x14ac:dyDescent="0.25">
      <c r="A23" s="26" t="s">
        <v>7094</v>
      </c>
      <c r="B23"/>
    </row>
    <row r="24" spans="1:5" x14ac:dyDescent="0.25">
      <c r="A24" s="16" t="s">
        <v>7095</v>
      </c>
      <c r="B24"/>
    </row>
    <row r="25" spans="1:5" x14ac:dyDescent="0.25">
      <c r="A25" s="16"/>
      <c r="B25"/>
    </row>
    <row r="26" spans="1:5" x14ac:dyDescent="0.25">
      <c r="A26" s="16"/>
      <c r="B26"/>
    </row>
    <row r="27" spans="1:5" x14ac:dyDescent="0.25">
      <c r="B27"/>
    </row>
    <row r="28" spans="1:5" ht="21" customHeight="1" x14ac:dyDescent="0.45">
      <c r="B28"/>
      <c r="D28" s="9"/>
      <c r="E28" s="10"/>
    </row>
    <row r="29" spans="1:5" x14ac:dyDescent="0.25">
      <c r="B29"/>
      <c r="E29" s="10"/>
    </row>
    <row r="30" spans="1:5" x14ac:dyDescent="0.25">
      <c r="E30" s="16"/>
    </row>
    <row r="31" spans="1:5" x14ac:dyDescent="0.25">
      <c r="C31" s="10"/>
    </row>
    <row r="32" spans="1:5" ht="28.5" x14ac:dyDescent="0.45">
      <c r="A32" s="9"/>
      <c r="C32" s="10"/>
    </row>
    <row r="33" spans="1:3" x14ac:dyDescent="0.25">
      <c r="C33" s="10"/>
    </row>
    <row r="34" spans="1:3" x14ac:dyDescent="0.25">
      <c r="C34" s="10"/>
    </row>
    <row r="35" spans="1:3" x14ac:dyDescent="0.25">
      <c r="C35" s="10"/>
    </row>
    <row r="36" spans="1:3" x14ac:dyDescent="0.25">
      <c r="C36" s="16"/>
    </row>
    <row r="39" spans="1:3" ht="28.5" x14ac:dyDescent="0.45">
      <c r="A39" s="9"/>
    </row>
    <row r="40" spans="1:3" x14ac:dyDescent="0.25">
      <c r="A40" s="8"/>
    </row>
    <row r="41" spans="1:3" x14ac:dyDescent="0.25">
      <c r="B41" s="29"/>
    </row>
    <row r="42" spans="1:3" x14ac:dyDescent="0.25">
      <c r="B42" s="16"/>
    </row>
    <row r="43" spans="1:3" x14ac:dyDescent="0.25">
      <c r="B43" s="29"/>
    </row>
    <row r="44" spans="1:3" x14ac:dyDescent="0.25">
      <c r="B44" s="29"/>
    </row>
    <row r="46" spans="1:3" x14ac:dyDescent="0.25">
      <c r="A46" s="8"/>
      <c r="B46"/>
    </row>
    <row r="47" spans="1:3" x14ac:dyDescent="0.25">
      <c r="B47" s="29"/>
    </row>
    <row r="48" spans="1:3" x14ac:dyDescent="0.25">
      <c r="B48" s="29"/>
    </row>
    <row r="49" spans="1:2" x14ac:dyDescent="0.25">
      <c r="B49" s="29"/>
    </row>
    <row r="50" spans="1:2" x14ac:dyDescent="0.25">
      <c r="B50" s="29"/>
    </row>
    <row r="51" spans="1:2" x14ac:dyDescent="0.25">
      <c r="B51" s="29"/>
    </row>
    <row r="52" spans="1:2" x14ac:dyDescent="0.25">
      <c r="B52" s="29"/>
    </row>
    <row r="53" spans="1:2" x14ac:dyDescent="0.25">
      <c r="B53" s="29"/>
    </row>
    <row r="54" spans="1:2" x14ac:dyDescent="0.25">
      <c r="B54" s="29"/>
    </row>
    <row r="55" spans="1:2" x14ac:dyDescent="0.25">
      <c r="B55" s="16"/>
    </row>
    <row r="56" spans="1:2" x14ac:dyDescent="0.25">
      <c r="B56" s="17"/>
    </row>
    <row r="60" spans="1:2" x14ac:dyDescent="0.25">
      <c r="A60" s="8"/>
      <c r="B60" s="29"/>
    </row>
    <row r="61" spans="1:2" x14ac:dyDescent="0.25">
      <c r="B61" s="29"/>
    </row>
    <row r="62" spans="1:2" x14ac:dyDescent="0.25">
      <c r="B62" s="29"/>
    </row>
  </sheetData>
  <pageMargins left="0.7" right="0.7" top="0.75" bottom="0.75" header="0.3" footer="0.3"/>
  <pageSetup orientation="portrait" verticalDpi="597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76560-A97C-43D3-AC21-D8075ED96096}">
  <sheetPr codeName="Sheet5"/>
  <dimension ref="A1:BQ1053"/>
  <sheetViews>
    <sheetView zoomScale="85" zoomScaleNormal="85" workbookViewId="0">
      <pane ySplit="1" topLeftCell="A2" activePane="bottomLeft" state="frozen"/>
      <selection pane="bottomLeft" activeCell="E12" sqref="E12"/>
    </sheetView>
  </sheetViews>
  <sheetFormatPr defaultRowHeight="15" x14ac:dyDescent="0.25"/>
  <cols>
    <col min="1" max="1" width="14" style="12" bestFit="1" customWidth="1"/>
    <col min="2" max="2" width="10.5703125" style="12" bestFit="1" customWidth="1"/>
    <col min="3" max="3" width="12.28515625" style="12" bestFit="1" customWidth="1"/>
    <col min="4" max="4" width="11.7109375" style="12" bestFit="1" customWidth="1"/>
    <col min="5" max="5" width="9.5703125" style="12" customWidth="1"/>
    <col min="6" max="6" width="15.28515625" style="12" bestFit="1" customWidth="1"/>
    <col min="7" max="7" width="13.85546875" style="12" bestFit="1" customWidth="1"/>
    <col min="8" max="8" width="15.28515625" style="48" bestFit="1" customWidth="1"/>
    <col min="9" max="9" width="13.85546875" style="48" bestFit="1" customWidth="1"/>
    <col min="10" max="10" width="7.42578125" style="12" bestFit="1" customWidth="1"/>
    <col min="11" max="11" width="12.28515625" style="12" bestFit="1" customWidth="1"/>
    <col min="12" max="12" width="8.42578125" style="12" bestFit="1" customWidth="1"/>
    <col min="13" max="13" width="8.140625" style="12" bestFit="1" customWidth="1"/>
    <col min="14" max="14" width="12.42578125" style="12" bestFit="1" customWidth="1"/>
    <col min="15" max="15" width="17.28515625" style="12" bestFit="1" customWidth="1"/>
    <col min="16" max="16" width="18.5703125" style="12" bestFit="1" customWidth="1"/>
    <col min="17" max="17" width="13.85546875" style="12" bestFit="1" customWidth="1"/>
    <col min="18" max="18" width="16.42578125" style="12" bestFit="1" customWidth="1"/>
    <col min="19" max="19" width="13.85546875" style="12" bestFit="1" customWidth="1"/>
    <col min="20" max="20" width="12.28515625" style="12" bestFit="1" customWidth="1"/>
    <col min="21" max="21" width="28.140625" style="12" customWidth="1"/>
    <col min="22" max="16384" width="9.140625" style="12"/>
  </cols>
  <sheetData>
    <row r="1" spans="1:69" s="25" customFormat="1" ht="87" customHeight="1" x14ac:dyDescent="0.25">
      <c r="A1" s="18" t="s">
        <v>30</v>
      </c>
      <c r="B1" s="19" t="s">
        <v>1</v>
      </c>
      <c r="C1" s="20" t="s">
        <v>31</v>
      </c>
      <c r="D1" s="28" t="s">
        <v>54</v>
      </c>
      <c r="E1" s="21" t="s">
        <v>32</v>
      </c>
      <c r="F1" s="19" t="s">
        <v>33</v>
      </c>
      <c r="G1" s="19" t="s">
        <v>34</v>
      </c>
      <c r="H1" s="47" t="s">
        <v>35</v>
      </c>
      <c r="I1" s="47" t="s">
        <v>36</v>
      </c>
      <c r="J1" s="22" t="s">
        <v>37</v>
      </c>
      <c r="K1" s="22" t="s">
        <v>38</v>
      </c>
      <c r="L1" s="22" t="s">
        <v>39</v>
      </c>
      <c r="M1" s="22" t="s">
        <v>40</v>
      </c>
      <c r="N1" s="22" t="s">
        <v>43</v>
      </c>
      <c r="O1" s="22" t="s">
        <v>44</v>
      </c>
      <c r="P1" s="22" t="s">
        <v>45</v>
      </c>
      <c r="Q1" s="22" t="s">
        <v>46</v>
      </c>
      <c r="R1" s="22" t="s">
        <v>47</v>
      </c>
      <c r="S1" s="22" t="s">
        <v>41</v>
      </c>
      <c r="T1" s="22" t="s">
        <v>48</v>
      </c>
      <c r="U1" s="23" t="s">
        <v>42</v>
      </c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</row>
    <row r="2" spans="1:69" x14ac:dyDescent="0.25">
      <c r="A2" s="12" t="s">
        <v>174</v>
      </c>
      <c r="B2" s="13">
        <v>45094</v>
      </c>
      <c r="C2" s="15">
        <v>0.15390046296296298</v>
      </c>
      <c r="D2" s="12" t="s">
        <v>99</v>
      </c>
      <c r="F2" s="12" t="s">
        <v>170</v>
      </c>
      <c r="G2" s="12" t="s">
        <v>171</v>
      </c>
      <c r="H2" s="48">
        <v>-122326.23</v>
      </c>
      <c r="I2" s="48">
        <v>6371439.8200000003</v>
      </c>
      <c r="J2" s="12">
        <v>71.260000000000005</v>
      </c>
      <c r="K2" s="12">
        <v>1487.664</v>
      </c>
      <c r="L2" s="12">
        <v>1483.11</v>
      </c>
      <c r="M2" s="12">
        <v>1500.57</v>
      </c>
      <c r="N2" s="12">
        <v>7.93</v>
      </c>
      <c r="O2" s="12">
        <v>1027.069</v>
      </c>
      <c r="P2" s="12">
        <v>1027.5260000000001</v>
      </c>
      <c r="Q2" s="12">
        <v>37.374000000000002</v>
      </c>
      <c r="R2" s="12">
        <v>36.079000000000001</v>
      </c>
      <c r="S2" s="12">
        <v>40.845999999999997</v>
      </c>
      <c r="T2" s="12">
        <v>9.7803267901712001</v>
      </c>
      <c r="U2" s="12" t="s">
        <v>180</v>
      </c>
    </row>
    <row r="3" spans="1:69" x14ac:dyDescent="0.25">
      <c r="A3" s="12" t="s">
        <v>7102</v>
      </c>
      <c r="B3" s="13">
        <v>45096</v>
      </c>
      <c r="C3" s="15">
        <v>0.45591435185185186</v>
      </c>
      <c r="E3" s="12">
        <v>-7.0000000000000001E-3</v>
      </c>
      <c r="F3" s="12" t="s">
        <v>7098</v>
      </c>
      <c r="G3" s="12" t="s">
        <v>7099</v>
      </c>
      <c r="H3" s="48">
        <v>425653.38</v>
      </c>
      <c r="I3" s="48">
        <v>6194440.5</v>
      </c>
      <c r="J3" s="12">
        <v>71.260000000000005</v>
      </c>
      <c r="K3" s="12">
        <v>1487.664</v>
      </c>
      <c r="L3" s="12">
        <v>1483.11</v>
      </c>
      <c r="M3" s="12">
        <v>1500.57</v>
      </c>
      <c r="N3" s="12">
        <v>7.93</v>
      </c>
      <c r="O3" s="12">
        <v>1027.069</v>
      </c>
      <c r="P3" s="12">
        <v>1027.5260000000001</v>
      </c>
      <c r="Q3" s="12">
        <v>37.374000000000002</v>
      </c>
      <c r="R3" s="12">
        <v>36.079000000000001</v>
      </c>
      <c r="S3" s="12">
        <v>40.845999999999997</v>
      </c>
      <c r="T3" s="12">
        <v>9.7803267901712001</v>
      </c>
      <c r="U3" s="12" t="s">
        <v>180</v>
      </c>
    </row>
    <row r="4" spans="1:69" x14ac:dyDescent="0.25">
      <c r="A4" s="12" t="s">
        <v>65</v>
      </c>
      <c r="B4" s="13">
        <v>45096</v>
      </c>
      <c r="C4" s="15">
        <v>0.85542824074074064</v>
      </c>
      <c r="D4" s="12" t="s">
        <v>460</v>
      </c>
      <c r="E4" s="12">
        <v>-1.4999999999999999E-2</v>
      </c>
      <c r="F4" s="12" t="s">
        <v>7631</v>
      </c>
      <c r="G4" s="12" t="s">
        <v>7632</v>
      </c>
      <c r="H4" s="48">
        <v>425063.41</v>
      </c>
      <c r="I4" s="48">
        <v>6188175.3200000003</v>
      </c>
      <c r="J4" s="12">
        <v>71.260000000000005</v>
      </c>
      <c r="K4" s="12">
        <v>1487.664</v>
      </c>
      <c r="L4" s="12">
        <v>1483.11</v>
      </c>
      <c r="M4" s="12">
        <v>1500.57</v>
      </c>
      <c r="N4" s="12">
        <v>7.93</v>
      </c>
      <c r="O4" s="12">
        <v>1027.069</v>
      </c>
      <c r="P4" s="12">
        <v>1027.5260000000001</v>
      </c>
      <c r="Q4" s="12">
        <v>37.374000000000002</v>
      </c>
      <c r="R4" s="12">
        <v>36.079000000000001</v>
      </c>
      <c r="S4" s="12">
        <v>40.845999999999997</v>
      </c>
      <c r="T4" s="12">
        <v>9.7803267901712001</v>
      </c>
      <c r="U4" s="12" t="s">
        <v>180</v>
      </c>
    </row>
    <row r="5" spans="1:69" x14ac:dyDescent="0.25">
      <c r="A5" s="12" t="s">
        <v>7614</v>
      </c>
      <c r="B5" s="13">
        <v>45096</v>
      </c>
      <c r="C5" s="15">
        <v>0.85626157407407411</v>
      </c>
      <c r="D5" s="12" t="s">
        <v>460</v>
      </c>
      <c r="E5" s="12">
        <v>1E-3</v>
      </c>
      <c r="F5" s="12" t="s">
        <v>7638</v>
      </c>
      <c r="G5" s="12" t="s">
        <v>7639</v>
      </c>
      <c r="H5" s="48">
        <v>425062.88</v>
      </c>
      <c r="I5" s="48">
        <v>6188153.3200000003</v>
      </c>
      <c r="J5" s="12">
        <v>71.260000000000005</v>
      </c>
      <c r="K5" s="12">
        <v>1487.664</v>
      </c>
      <c r="L5" s="12">
        <v>1483.11</v>
      </c>
      <c r="M5" s="12">
        <v>1500.57</v>
      </c>
      <c r="N5" s="12">
        <v>7.93</v>
      </c>
      <c r="O5" s="12">
        <v>1027.069</v>
      </c>
      <c r="P5" s="12">
        <v>1027.5260000000001</v>
      </c>
      <c r="Q5" s="12">
        <v>37.374000000000002</v>
      </c>
      <c r="R5" s="12">
        <v>36.079000000000001</v>
      </c>
      <c r="S5" s="12">
        <v>40.845999999999997</v>
      </c>
      <c r="T5" s="12">
        <v>9.7803267901712001</v>
      </c>
      <c r="U5" s="12" t="s">
        <v>180</v>
      </c>
    </row>
    <row r="6" spans="1:69" x14ac:dyDescent="0.25">
      <c r="A6" s="12" t="s">
        <v>8777</v>
      </c>
      <c r="B6" s="13">
        <v>45097</v>
      </c>
      <c r="C6" s="15">
        <v>0.69622685185185185</v>
      </c>
      <c r="D6" s="12" t="s">
        <v>8759</v>
      </c>
      <c r="E6" s="12">
        <v>0.17399999999999999</v>
      </c>
      <c r="F6" s="12" t="s">
        <v>8773</v>
      </c>
      <c r="G6" s="12" t="s">
        <v>8774</v>
      </c>
      <c r="H6" s="48">
        <v>415746.95</v>
      </c>
      <c r="I6" s="48">
        <v>6184924.29</v>
      </c>
      <c r="J6" s="12">
        <v>71.260000000000005</v>
      </c>
      <c r="K6" s="12">
        <v>1487.664</v>
      </c>
      <c r="L6" s="12">
        <v>1483.11</v>
      </c>
      <c r="M6" s="12">
        <v>1500.57</v>
      </c>
      <c r="N6" s="12">
        <v>7.93</v>
      </c>
      <c r="O6" s="12">
        <v>1027.069</v>
      </c>
      <c r="P6" s="12">
        <v>1027.5260000000001</v>
      </c>
      <c r="Q6" s="12">
        <v>37.374000000000002</v>
      </c>
      <c r="R6" s="12">
        <v>36.079000000000001</v>
      </c>
      <c r="S6" s="12">
        <v>40.845999999999997</v>
      </c>
      <c r="T6" s="12">
        <v>9.7803267901712001</v>
      </c>
      <c r="U6" s="12" t="s">
        <v>180</v>
      </c>
    </row>
    <row r="7" spans="1:69" x14ac:dyDescent="0.25">
      <c r="A7" s="12" t="s">
        <v>65</v>
      </c>
      <c r="B7" s="13">
        <v>45099</v>
      </c>
      <c r="C7" s="15">
        <v>0.24062500000000001</v>
      </c>
      <c r="D7" s="12" t="s">
        <v>1098</v>
      </c>
      <c r="E7" s="12">
        <v>-1.4999999999999999E-2</v>
      </c>
      <c r="F7" s="12" t="s">
        <v>10911</v>
      </c>
      <c r="G7" s="12" t="s">
        <v>10912</v>
      </c>
      <c r="H7" s="48">
        <v>419325.57</v>
      </c>
      <c r="I7" s="48">
        <v>6192080.5199999996</v>
      </c>
      <c r="J7" s="12">
        <v>71.260000000000005</v>
      </c>
      <c r="K7" s="12">
        <v>1487.664</v>
      </c>
      <c r="L7" s="12">
        <v>1483.11</v>
      </c>
      <c r="M7" s="12">
        <v>1500.57</v>
      </c>
      <c r="N7" s="12">
        <v>7.93</v>
      </c>
      <c r="O7" s="12">
        <v>1027.069</v>
      </c>
      <c r="P7" s="12">
        <v>1027.5260000000001</v>
      </c>
      <c r="Q7" s="12">
        <v>37.374000000000002</v>
      </c>
      <c r="R7" s="12">
        <v>36.079000000000001</v>
      </c>
      <c r="S7" s="12">
        <v>40.845999999999997</v>
      </c>
      <c r="T7" s="12">
        <v>9.7803267901712001</v>
      </c>
      <c r="U7" s="12" t="s">
        <v>180</v>
      </c>
    </row>
    <row r="8" spans="1:69" x14ac:dyDescent="0.25">
      <c r="B8" s="13"/>
      <c r="C8" s="15"/>
    </row>
    <row r="9" spans="1:69" x14ac:dyDescent="0.25">
      <c r="B9" s="13"/>
      <c r="C9" s="15"/>
    </row>
    <row r="10" spans="1:69" x14ac:dyDescent="0.25">
      <c r="B10" s="13"/>
      <c r="C10" s="15"/>
    </row>
    <row r="11" spans="1:69" s="39" customFormat="1" x14ac:dyDescent="0.25">
      <c r="B11" s="40"/>
      <c r="C11" s="41"/>
      <c r="H11" s="48"/>
      <c r="I11" s="48"/>
    </row>
    <row r="12" spans="1:69" x14ac:dyDescent="0.25">
      <c r="B12" s="13"/>
      <c r="C12" s="15"/>
    </row>
    <row r="13" spans="1:69" x14ac:dyDescent="0.25">
      <c r="A13" s="39"/>
      <c r="B13" s="13"/>
      <c r="C13" s="15"/>
    </row>
    <row r="14" spans="1:69" x14ac:dyDescent="0.25">
      <c r="A14" s="39"/>
      <c r="B14" s="40"/>
      <c r="C14" s="41"/>
      <c r="D14" s="39"/>
      <c r="E14" s="39"/>
      <c r="F14" s="39"/>
      <c r="G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</row>
    <row r="15" spans="1:69" x14ac:dyDescent="0.25">
      <c r="B15" s="40"/>
      <c r="C15" s="15"/>
    </row>
    <row r="16" spans="1:69" x14ac:dyDescent="0.25">
      <c r="B16" s="40"/>
      <c r="C16" s="15"/>
    </row>
    <row r="17" spans="1:21" x14ac:dyDescent="0.25">
      <c r="B17" s="40"/>
      <c r="C17" s="15"/>
    </row>
    <row r="18" spans="1:21" x14ac:dyDescent="0.25">
      <c r="A18" s="39"/>
      <c r="B18" s="40"/>
      <c r="C18" s="36"/>
      <c r="D18" s="39"/>
      <c r="E18" s="39"/>
      <c r="F18" s="14"/>
      <c r="G18" s="14"/>
      <c r="H18" s="27"/>
      <c r="I18" s="27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</row>
    <row r="19" spans="1:21" x14ac:dyDescent="0.25">
      <c r="B19" s="40"/>
      <c r="C19" s="15"/>
      <c r="U19" s="39"/>
    </row>
    <row r="20" spans="1:21" x14ac:dyDescent="0.25">
      <c r="B20" s="40"/>
      <c r="C20" s="15"/>
      <c r="U20" s="39"/>
    </row>
    <row r="21" spans="1:21" x14ac:dyDescent="0.25">
      <c r="B21" s="40"/>
      <c r="C21" s="15"/>
      <c r="U21" s="39"/>
    </row>
    <row r="22" spans="1:21" s="39" customFormat="1" x14ac:dyDescent="0.25">
      <c r="A22" s="12"/>
      <c r="B22" s="40"/>
      <c r="C22" s="15"/>
      <c r="D22" s="12"/>
      <c r="E22" s="12"/>
      <c r="F22" s="12"/>
      <c r="G22" s="12"/>
      <c r="H22" s="48"/>
      <c r="I22" s="48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x14ac:dyDescent="0.25">
      <c r="B23" s="40"/>
      <c r="C23" s="15"/>
      <c r="U23" s="39"/>
    </row>
    <row r="24" spans="1:21" x14ac:dyDescent="0.25">
      <c r="B24" s="40"/>
      <c r="C24" s="15"/>
      <c r="U24" s="39"/>
    </row>
    <row r="25" spans="1:21" x14ac:dyDescent="0.25">
      <c r="A25" s="40"/>
      <c r="B25" s="40"/>
      <c r="C25" s="41"/>
      <c r="G25" s="48"/>
      <c r="I25" s="58"/>
      <c r="T25" s="39"/>
    </row>
    <row r="26" spans="1:21" x14ac:dyDescent="0.25">
      <c r="B26" s="40"/>
      <c r="C26" s="15"/>
      <c r="U26" s="39"/>
    </row>
    <row r="27" spans="1:21" x14ac:dyDescent="0.25">
      <c r="B27" s="40"/>
      <c r="C27" s="15"/>
      <c r="U27" s="39"/>
    </row>
    <row r="28" spans="1:21" x14ac:dyDescent="0.25">
      <c r="A28" s="39"/>
      <c r="B28" s="40"/>
      <c r="C28" s="15"/>
      <c r="R28" s="39"/>
      <c r="T28" s="39"/>
      <c r="U28" s="39"/>
    </row>
    <row r="29" spans="1:21" x14ac:dyDescent="0.25">
      <c r="B29" s="40"/>
      <c r="C29" s="15"/>
    </row>
    <row r="30" spans="1:21" x14ac:dyDescent="0.25">
      <c r="C30" s="15"/>
    </row>
    <row r="31" spans="1:21" x14ac:dyDescent="0.25">
      <c r="C31" s="15"/>
    </row>
    <row r="32" spans="1:21" x14ac:dyDescent="0.25">
      <c r="C32" s="15"/>
    </row>
    <row r="33" spans="3:3" x14ac:dyDescent="0.25">
      <c r="C33" s="15"/>
    </row>
    <row r="34" spans="3:3" x14ac:dyDescent="0.25">
      <c r="C34" s="15"/>
    </row>
    <row r="35" spans="3:3" x14ac:dyDescent="0.25">
      <c r="C35" s="15"/>
    </row>
    <row r="36" spans="3:3" x14ac:dyDescent="0.25">
      <c r="C36" s="15"/>
    </row>
    <row r="37" spans="3:3" x14ac:dyDescent="0.25">
      <c r="C37" s="15"/>
    </row>
    <row r="38" spans="3:3" x14ac:dyDescent="0.25">
      <c r="C38" s="15"/>
    </row>
    <row r="39" spans="3:3" x14ac:dyDescent="0.25">
      <c r="C39" s="15"/>
    </row>
    <row r="40" spans="3:3" x14ac:dyDescent="0.25">
      <c r="C40" s="15"/>
    </row>
    <row r="41" spans="3:3" x14ac:dyDescent="0.25">
      <c r="C41" s="15"/>
    </row>
    <row r="42" spans="3:3" x14ac:dyDescent="0.25">
      <c r="C42" s="15"/>
    </row>
    <row r="43" spans="3:3" x14ac:dyDescent="0.25">
      <c r="C43" s="15"/>
    </row>
    <row r="44" spans="3:3" x14ac:dyDescent="0.25">
      <c r="C44" s="15"/>
    </row>
    <row r="45" spans="3:3" x14ac:dyDescent="0.25">
      <c r="C45" s="15"/>
    </row>
    <row r="46" spans="3:3" x14ac:dyDescent="0.25">
      <c r="C46" s="15"/>
    </row>
    <row r="47" spans="3:3" x14ac:dyDescent="0.25">
      <c r="C47" s="15"/>
    </row>
    <row r="48" spans="3:3" x14ac:dyDescent="0.25">
      <c r="C48" s="15"/>
    </row>
    <row r="49" spans="3:3" x14ac:dyDescent="0.25">
      <c r="C49" s="15"/>
    </row>
    <row r="50" spans="3:3" x14ac:dyDescent="0.25">
      <c r="C50" s="15"/>
    </row>
    <row r="51" spans="3:3" x14ac:dyDescent="0.25">
      <c r="C51" s="15"/>
    </row>
    <row r="52" spans="3:3" x14ac:dyDescent="0.25">
      <c r="C52" s="15"/>
    </row>
    <row r="53" spans="3:3" x14ac:dyDescent="0.25">
      <c r="C53" s="15"/>
    </row>
    <row r="54" spans="3:3" x14ac:dyDescent="0.25">
      <c r="C54" s="15"/>
    </row>
    <row r="55" spans="3:3" x14ac:dyDescent="0.25">
      <c r="C55" s="15"/>
    </row>
    <row r="56" spans="3:3" x14ac:dyDescent="0.25">
      <c r="C56" s="15"/>
    </row>
    <row r="57" spans="3:3" x14ac:dyDescent="0.25">
      <c r="C57" s="15"/>
    </row>
    <row r="58" spans="3:3" x14ac:dyDescent="0.25">
      <c r="C58" s="15"/>
    </row>
    <row r="59" spans="3:3" x14ac:dyDescent="0.25">
      <c r="C59" s="15"/>
    </row>
    <row r="60" spans="3:3" x14ac:dyDescent="0.25">
      <c r="C60" s="15"/>
    </row>
    <row r="61" spans="3:3" x14ac:dyDescent="0.25">
      <c r="C61" s="15"/>
    </row>
    <row r="62" spans="3:3" x14ac:dyDescent="0.25">
      <c r="C62" s="15"/>
    </row>
    <row r="63" spans="3:3" x14ac:dyDescent="0.25">
      <c r="C63" s="15"/>
    </row>
    <row r="64" spans="3:3" x14ac:dyDescent="0.25">
      <c r="C64" s="15"/>
    </row>
    <row r="65" spans="3:3" x14ac:dyDescent="0.25">
      <c r="C65" s="15"/>
    </row>
    <row r="66" spans="3:3" x14ac:dyDescent="0.25">
      <c r="C66" s="15"/>
    </row>
    <row r="67" spans="3:3" x14ac:dyDescent="0.25">
      <c r="C67" s="15"/>
    </row>
    <row r="68" spans="3:3" x14ac:dyDescent="0.25">
      <c r="C68" s="15"/>
    </row>
    <row r="69" spans="3:3" x14ac:dyDescent="0.25">
      <c r="C69" s="15"/>
    </row>
    <row r="70" spans="3:3" x14ac:dyDescent="0.25">
      <c r="C70" s="15"/>
    </row>
    <row r="71" spans="3:3" x14ac:dyDescent="0.25">
      <c r="C71" s="15"/>
    </row>
    <row r="72" spans="3:3" x14ac:dyDescent="0.25">
      <c r="C72" s="15"/>
    </row>
    <row r="73" spans="3:3" x14ac:dyDescent="0.25">
      <c r="C73" s="15"/>
    </row>
    <row r="74" spans="3:3" x14ac:dyDescent="0.25">
      <c r="C74" s="15"/>
    </row>
    <row r="75" spans="3:3" x14ac:dyDescent="0.25">
      <c r="C75" s="15"/>
    </row>
    <row r="76" spans="3:3" x14ac:dyDescent="0.25">
      <c r="C76" s="15"/>
    </row>
    <row r="77" spans="3:3" x14ac:dyDescent="0.25">
      <c r="C77" s="15"/>
    </row>
    <row r="78" spans="3:3" x14ac:dyDescent="0.25">
      <c r="C78" s="15"/>
    </row>
    <row r="79" spans="3:3" x14ac:dyDescent="0.25">
      <c r="C79" s="15"/>
    </row>
    <row r="80" spans="3:3" x14ac:dyDescent="0.25">
      <c r="C80" s="15"/>
    </row>
    <row r="81" spans="3:3" x14ac:dyDescent="0.25">
      <c r="C81" s="15"/>
    </row>
    <row r="82" spans="3:3" x14ac:dyDescent="0.25">
      <c r="C82" s="15"/>
    </row>
    <row r="83" spans="3:3" x14ac:dyDescent="0.25">
      <c r="C83" s="15"/>
    </row>
    <row r="84" spans="3:3" x14ac:dyDescent="0.25">
      <c r="C84" s="15"/>
    </row>
    <row r="85" spans="3:3" x14ac:dyDescent="0.25">
      <c r="C85" s="15"/>
    </row>
    <row r="86" spans="3:3" x14ac:dyDescent="0.25">
      <c r="C86" s="15"/>
    </row>
    <row r="87" spans="3:3" x14ac:dyDescent="0.25">
      <c r="C87" s="15"/>
    </row>
    <row r="88" spans="3:3" x14ac:dyDescent="0.25">
      <c r="C88" s="15"/>
    </row>
    <row r="89" spans="3:3" x14ac:dyDescent="0.25">
      <c r="C89" s="15"/>
    </row>
    <row r="90" spans="3:3" x14ac:dyDescent="0.25">
      <c r="C90" s="15"/>
    </row>
    <row r="91" spans="3:3" x14ac:dyDescent="0.25">
      <c r="C91" s="15"/>
    </row>
    <row r="92" spans="3:3" x14ac:dyDescent="0.25">
      <c r="C92" s="15"/>
    </row>
    <row r="93" spans="3:3" x14ac:dyDescent="0.25">
      <c r="C93" s="15"/>
    </row>
    <row r="94" spans="3:3" x14ac:dyDescent="0.25">
      <c r="C94" s="15"/>
    </row>
    <row r="95" spans="3:3" x14ac:dyDescent="0.25">
      <c r="C95" s="15"/>
    </row>
    <row r="96" spans="3:3" x14ac:dyDescent="0.25">
      <c r="C96" s="15"/>
    </row>
    <row r="97" spans="3:3" x14ac:dyDescent="0.25">
      <c r="C97" s="15"/>
    </row>
    <row r="98" spans="3:3" x14ac:dyDescent="0.25">
      <c r="C98" s="15"/>
    </row>
    <row r="99" spans="3:3" x14ac:dyDescent="0.25">
      <c r="C99" s="15"/>
    </row>
    <row r="100" spans="3:3" x14ac:dyDescent="0.25">
      <c r="C100" s="15"/>
    </row>
    <row r="101" spans="3:3" x14ac:dyDescent="0.25">
      <c r="C101" s="15"/>
    </row>
    <row r="102" spans="3:3" x14ac:dyDescent="0.25">
      <c r="C102" s="15"/>
    </row>
    <row r="103" spans="3:3" x14ac:dyDescent="0.25">
      <c r="C103" s="15"/>
    </row>
    <row r="104" spans="3:3" x14ac:dyDescent="0.25">
      <c r="C104" s="15"/>
    </row>
    <row r="105" spans="3:3" x14ac:dyDescent="0.25">
      <c r="C105" s="15"/>
    </row>
    <row r="106" spans="3:3" x14ac:dyDescent="0.25">
      <c r="C106" s="15"/>
    </row>
    <row r="107" spans="3:3" x14ac:dyDescent="0.25">
      <c r="C107" s="15"/>
    </row>
    <row r="108" spans="3:3" x14ac:dyDescent="0.25">
      <c r="C108" s="15"/>
    </row>
    <row r="109" spans="3:3" x14ac:dyDescent="0.25">
      <c r="C109" s="15"/>
    </row>
    <row r="110" spans="3:3" x14ac:dyDescent="0.25">
      <c r="C110" s="15"/>
    </row>
    <row r="111" spans="3:3" x14ac:dyDescent="0.25">
      <c r="C111" s="15"/>
    </row>
    <row r="112" spans="3:3" x14ac:dyDescent="0.25">
      <c r="C112" s="15"/>
    </row>
    <row r="113" spans="3:3" x14ac:dyDescent="0.25">
      <c r="C113" s="15"/>
    </row>
    <row r="114" spans="3:3" x14ac:dyDescent="0.25">
      <c r="C114" s="15"/>
    </row>
    <row r="115" spans="3:3" x14ac:dyDescent="0.25">
      <c r="C115" s="15"/>
    </row>
    <row r="116" spans="3:3" x14ac:dyDescent="0.25">
      <c r="C116" s="15"/>
    </row>
    <row r="117" spans="3:3" x14ac:dyDescent="0.25">
      <c r="C117" s="15"/>
    </row>
    <row r="118" spans="3:3" x14ac:dyDescent="0.25">
      <c r="C118" s="15"/>
    </row>
    <row r="119" spans="3:3" x14ac:dyDescent="0.25">
      <c r="C119" s="15"/>
    </row>
    <row r="120" spans="3:3" x14ac:dyDescent="0.25">
      <c r="C120" s="15"/>
    </row>
    <row r="121" spans="3:3" x14ac:dyDescent="0.25">
      <c r="C121" s="15"/>
    </row>
    <row r="122" spans="3:3" x14ac:dyDescent="0.25">
      <c r="C122" s="15"/>
    </row>
    <row r="123" spans="3:3" x14ac:dyDescent="0.25">
      <c r="C123" s="15"/>
    </row>
    <row r="124" spans="3:3" x14ac:dyDescent="0.25">
      <c r="C124" s="15"/>
    </row>
    <row r="125" spans="3:3" x14ac:dyDescent="0.25">
      <c r="C125" s="15"/>
    </row>
    <row r="126" spans="3:3" x14ac:dyDescent="0.25">
      <c r="C126" s="15"/>
    </row>
    <row r="127" spans="3:3" x14ac:dyDescent="0.25">
      <c r="C127" s="15"/>
    </row>
    <row r="128" spans="3:3" x14ac:dyDescent="0.25">
      <c r="C128" s="15"/>
    </row>
    <row r="129" spans="3:3" x14ac:dyDescent="0.25">
      <c r="C129" s="15"/>
    </row>
    <row r="130" spans="3:3" x14ac:dyDescent="0.25">
      <c r="C130" s="15"/>
    </row>
    <row r="131" spans="3:3" x14ac:dyDescent="0.25">
      <c r="C131" s="15"/>
    </row>
    <row r="132" spans="3:3" x14ac:dyDescent="0.25">
      <c r="C132" s="15"/>
    </row>
    <row r="133" spans="3:3" x14ac:dyDescent="0.25">
      <c r="C133" s="15"/>
    </row>
    <row r="134" spans="3:3" x14ac:dyDescent="0.25">
      <c r="C134" s="15"/>
    </row>
    <row r="135" spans="3:3" x14ac:dyDescent="0.25">
      <c r="C135" s="15"/>
    </row>
    <row r="136" spans="3:3" x14ac:dyDescent="0.25">
      <c r="C136" s="15"/>
    </row>
    <row r="137" spans="3:3" x14ac:dyDescent="0.25">
      <c r="C137" s="15"/>
    </row>
    <row r="138" spans="3:3" x14ac:dyDescent="0.25">
      <c r="C138" s="15"/>
    </row>
    <row r="139" spans="3:3" x14ac:dyDescent="0.25">
      <c r="C139" s="15"/>
    </row>
    <row r="140" spans="3:3" x14ac:dyDescent="0.25">
      <c r="C140" s="15"/>
    </row>
    <row r="141" spans="3:3" x14ac:dyDescent="0.25">
      <c r="C141" s="15"/>
    </row>
    <row r="142" spans="3:3" x14ac:dyDescent="0.25">
      <c r="C142" s="15"/>
    </row>
    <row r="143" spans="3:3" x14ac:dyDescent="0.25">
      <c r="C143" s="15"/>
    </row>
    <row r="144" spans="3:3" x14ac:dyDescent="0.25">
      <c r="C144" s="15"/>
    </row>
    <row r="145" spans="3:3" x14ac:dyDescent="0.25">
      <c r="C145" s="15"/>
    </row>
    <row r="146" spans="3:3" x14ac:dyDescent="0.25">
      <c r="C146" s="15"/>
    </row>
    <row r="147" spans="3:3" x14ac:dyDescent="0.25">
      <c r="C147" s="15"/>
    </row>
    <row r="148" spans="3:3" x14ac:dyDescent="0.25">
      <c r="C148" s="15"/>
    </row>
    <row r="149" spans="3:3" x14ac:dyDescent="0.25">
      <c r="C149" s="15"/>
    </row>
    <row r="150" spans="3:3" x14ac:dyDescent="0.25">
      <c r="C150" s="15"/>
    </row>
    <row r="151" spans="3:3" x14ac:dyDescent="0.25">
      <c r="C151" s="15"/>
    </row>
    <row r="152" spans="3:3" x14ac:dyDescent="0.25">
      <c r="C152" s="15"/>
    </row>
    <row r="153" spans="3:3" x14ac:dyDescent="0.25">
      <c r="C153" s="15"/>
    </row>
    <row r="154" spans="3:3" x14ac:dyDescent="0.25">
      <c r="C154" s="15"/>
    </row>
    <row r="155" spans="3:3" x14ac:dyDescent="0.25">
      <c r="C155" s="15"/>
    </row>
    <row r="156" spans="3:3" x14ac:dyDescent="0.25">
      <c r="C156" s="15"/>
    </row>
    <row r="157" spans="3:3" x14ac:dyDescent="0.25">
      <c r="C157" s="15"/>
    </row>
    <row r="158" spans="3:3" x14ac:dyDescent="0.25">
      <c r="C158" s="15"/>
    </row>
    <row r="159" spans="3:3" x14ac:dyDescent="0.25">
      <c r="C159" s="15"/>
    </row>
    <row r="160" spans="3:3" x14ac:dyDescent="0.25">
      <c r="C160" s="15"/>
    </row>
    <row r="161" spans="3:3" x14ac:dyDescent="0.25">
      <c r="C161" s="15"/>
    </row>
    <row r="162" spans="3:3" x14ac:dyDescent="0.25">
      <c r="C162" s="15"/>
    </row>
    <row r="163" spans="3:3" x14ac:dyDescent="0.25">
      <c r="C163" s="15"/>
    </row>
    <row r="164" spans="3:3" x14ac:dyDescent="0.25">
      <c r="C164" s="15"/>
    </row>
    <row r="165" spans="3:3" x14ac:dyDescent="0.25">
      <c r="C165" s="15"/>
    </row>
    <row r="166" spans="3:3" x14ac:dyDescent="0.25">
      <c r="C166" s="15"/>
    </row>
    <row r="167" spans="3:3" x14ac:dyDescent="0.25">
      <c r="C167" s="15"/>
    </row>
    <row r="168" spans="3:3" x14ac:dyDescent="0.25">
      <c r="C168" s="15"/>
    </row>
    <row r="169" spans="3:3" x14ac:dyDescent="0.25">
      <c r="C169" s="15"/>
    </row>
    <row r="170" spans="3:3" x14ac:dyDescent="0.25">
      <c r="C170" s="15"/>
    </row>
    <row r="171" spans="3:3" x14ac:dyDescent="0.25">
      <c r="C171" s="15"/>
    </row>
    <row r="172" spans="3:3" x14ac:dyDescent="0.25">
      <c r="C172" s="15"/>
    </row>
    <row r="173" spans="3:3" x14ac:dyDescent="0.25">
      <c r="C173" s="15"/>
    </row>
    <row r="174" spans="3:3" x14ac:dyDescent="0.25">
      <c r="C174" s="15"/>
    </row>
    <row r="175" spans="3:3" x14ac:dyDescent="0.25">
      <c r="C175" s="15"/>
    </row>
    <row r="176" spans="3:3" x14ac:dyDescent="0.25">
      <c r="C176" s="15"/>
    </row>
    <row r="177" spans="3:3" x14ac:dyDescent="0.25">
      <c r="C177" s="15"/>
    </row>
    <row r="178" spans="3:3" x14ac:dyDescent="0.25">
      <c r="C178" s="15"/>
    </row>
    <row r="179" spans="3:3" x14ac:dyDescent="0.25">
      <c r="C179" s="15"/>
    </row>
    <row r="180" spans="3:3" x14ac:dyDescent="0.25">
      <c r="C180" s="15"/>
    </row>
    <row r="181" spans="3:3" x14ac:dyDescent="0.25">
      <c r="C181" s="15"/>
    </row>
    <row r="182" spans="3:3" x14ac:dyDescent="0.25">
      <c r="C182" s="15"/>
    </row>
    <row r="183" spans="3:3" x14ac:dyDescent="0.25">
      <c r="C183" s="15"/>
    </row>
    <row r="184" spans="3:3" x14ac:dyDescent="0.25">
      <c r="C184" s="15"/>
    </row>
    <row r="185" spans="3:3" x14ac:dyDescent="0.25">
      <c r="C185" s="15"/>
    </row>
    <row r="186" spans="3:3" x14ac:dyDescent="0.25">
      <c r="C186" s="15"/>
    </row>
    <row r="187" spans="3:3" x14ac:dyDescent="0.25">
      <c r="C187" s="15"/>
    </row>
    <row r="188" spans="3:3" x14ac:dyDescent="0.25">
      <c r="C188" s="15"/>
    </row>
    <row r="189" spans="3:3" x14ac:dyDescent="0.25">
      <c r="C189" s="15"/>
    </row>
    <row r="190" spans="3:3" x14ac:dyDescent="0.25">
      <c r="C190" s="15"/>
    </row>
    <row r="191" spans="3:3" x14ac:dyDescent="0.25">
      <c r="C191" s="15"/>
    </row>
    <row r="192" spans="3:3" x14ac:dyDescent="0.25">
      <c r="C192" s="15"/>
    </row>
    <row r="193" spans="3:3" x14ac:dyDescent="0.25">
      <c r="C193" s="15"/>
    </row>
    <row r="194" spans="3:3" x14ac:dyDescent="0.25">
      <c r="C194" s="15"/>
    </row>
    <row r="195" spans="3:3" x14ac:dyDescent="0.25">
      <c r="C195" s="15"/>
    </row>
    <row r="196" spans="3:3" x14ac:dyDescent="0.25">
      <c r="C196" s="15"/>
    </row>
    <row r="197" spans="3:3" x14ac:dyDescent="0.25">
      <c r="C197" s="15"/>
    </row>
    <row r="198" spans="3:3" x14ac:dyDescent="0.25">
      <c r="C198" s="15"/>
    </row>
    <row r="199" spans="3:3" x14ac:dyDescent="0.25">
      <c r="C199" s="15"/>
    </row>
    <row r="200" spans="3:3" x14ac:dyDescent="0.25">
      <c r="C200" s="15"/>
    </row>
    <row r="201" spans="3:3" x14ac:dyDescent="0.25">
      <c r="C201" s="15"/>
    </row>
    <row r="202" spans="3:3" x14ac:dyDescent="0.25">
      <c r="C202" s="15"/>
    </row>
    <row r="203" spans="3:3" x14ac:dyDescent="0.25">
      <c r="C203" s="15"/>
    </row>
    <row r="204" spans="3:3" x14ac:dyDescent="0.25">
      <c r="C204" s="15"/>
    </row>
    <row r="205" spans="3:3" x14ac:dyDescent="0.25">
      <c r="C205" s="15"/>
    </row>
    <row r="206" spans="3:3" x14ac:dyDescent="0.25">
      <c r="C206" s="15"/>
    </row>
    <row r="207" spans="3:3" x14ac:dyDescent="0.25">
      <c r="C207" s="15"/>
    </row>
    <row r="208" spans="3:3" x14ac:dyDescent="0.25">
      <c r="C208" s="15"/>
    </row>
    <row r="209" spans="3:3" x14ac:dyDescent="0.25">
      <c r="C209" s="15"/>
    </row>
    <row r="210" spans="3:3" x14ac:dyDescent="0.25">
      <c r="C210" s="15"/>
    </row>
    <row r="211" spans="3:3" x14ac:dyDescent="0.25">
      <c r="C211" s="15"/>
    </row>
    <row r="212" spans="3:3" x14ac:dyDescent="0.25">
      <c r="C212" s="15"/>
    </row>
    <row r="213" spans="3:3" x14ac:dyDescent="0.25">
      <c r="C213" s="15"/>
    </row>
    <row r="214" spans="3:3" x14ac:dyDescent="0.25">
      <c r="C214" s="15"/>
    </row>
    <row r="215" spans="3:3" x14ac:dyDescent="0.25">
      <c r="C215" s="15"/>
    </row>
    <row r="216" spans="3:3" x14ac:dyDescent="0.25">
      <c r="C216" s="15"/>
    </row>
    <row r="217" spans="3:3" x14ac:dyDescent="0.25">
      <c r="C217" s="15"/>
    </row>
    <row r="218" spans="3:3" x14ac:dyDescent="0.25">
      <c r="C218" s="15"/>
    </row>
    <row r="219" spans="3:3" x14ac:dyDescent="0.25">
      <c r="C219" s="15"/>
    </row>
    <row r="220" spans="3:3" x14ac:dyDescent="0.25">
      <c r="C220" s="15"/>
    </row>
    <row r="221" spans="3:3" x14ac:dyDescent="0.25">
      <c r="C221" s="15"/>
    </row>
    <row r="222" spans="3:3" x14ac:dyDescent="0.25">
      <c r="C222" s="15"/>
    </row>
    <row r="223" spans="3:3" x14ac:dyDescent="0.25">
      <c r="C223" s="15"/>
    </row>
    <row r="224" spans="3:3" x14ac:dyDescent="0.25">
      <c r="C224" s="15"/>
    </row>
    <row r="225" spans="3:3" x14ac:dyDescent="0.25">
      <c r="C225" s="15"/>
    </row>
    <row r="226" spans="3:3" x14ac:dyDescent="0.25">
      <c r="C226" s="15"/>
    </row>
    <row r="227" spans="3:3" x14ac:dyDescent="0.25">
      <c r="C227" s="15"/>
    </row>
    <row r="228" spans="3:3" x14ac:dyDescent="0.25">
      <c r="C228" s="15"/>
    </row>
    <row r="229" spans="3:3" x14ac:dyDescent="0.25">
      <c r="C229" s="15"/>
    </row>
    <row r="230" spans="3:3" x14ac:dyDescent="0.25">
      <c r="C230" s="15"/>
    </row>
    <row r="231" spans="3:3" x14ac:dyDescent="0.25">
      <c r="C231" s="15"/>
    </row>
    <row r="232" spans="3:3" x14ac:dyDescent="0.25">
      <c r="C232" s="15"/>
    </row>
    <row r="233" spans="3:3" x14ac:dyDescent="0.25">
      <c r="C233" s="15"/>
    </row>
    <row r="234" spans="3:3" x14ac:dyDescent="0.25">
      <c r="C234" s="15"/>
    </row>
    <row r="235" spans="3:3" x14ac:dyDescent="0.25">
      <c r="C235" s="15"/>
    </row>
    <row r="236" spans="3:3" x14ac:dyDescent="0.25">
      <c r="C236" s="15"/>
    </row>
    <row r="237" spans="3:3" x14ac:dyDescent="0.25">
      <c r="C237" s="15"/>
    </row>
    <row r="238" spans="3:3" x14ac:dyDescent="0.25">
      <c r="C238" s="15"/>
    </row>
    <row r="239" spans="3:3" x14ac:dyDescent="0.25">
      <c r="C239" s="15"/>
    </row>
    <row r="240" spans="3:3" x14ac:dyDescent="0.25">
      <c r="C240" s="15"/>
    </row>
    <row r="241" spans="3:3" x14ac:dyDescent="0.25">
      <c r="C241" s="15"/>
    </row>
    <row r="242" spans="3:3" x14ac:dyDescent="0.25">
      <c r="C242" s="15"/>
    </row>
    <row r="243" spans="3:3" x14ac:dyDescent="0.25">
      <c r="C243" s="15"/>
    </row>
    <row r="244" spans="3:3" x14ac:dyDescent="0.25">
      <c r="C244" s="15"/>
    </row>
    <row r="245" spans="3:3" x14ac:dyDescent="0.25">
      <c r="C245" s="15"/>
    </row>
    <row r="246" spans="3:3" x14ac:dyDescent="0.25">
      <c r="C246" s="15"/>
    </row>
    <row r="247" spans="3:3" x14ac:dyDescent="0.25">
      <c r="C247" s="15"/>
    </row>
    <row r="248" spans="3:3" x14ac:dyDescent="0.25">
      <c r="C248" s="15"/>
    </row>
    <row r="249" spans="3:3" x14ac:dyDescent="0.25">
      <c r="C249" s="15"/>
    </row>
    <row r="250" spans="3:3" x14ac:dyDescent="0.25">
      <c r="C250" s="15"/>
    </row>
    <row r="251" spans="3:3" x14ac:dyDescent="0.25">
      <c r="C251" s="15"/>
    </row>
    <row r="252" spans="3:3" x14ac:dyDescent="0.25">
      <c r="C252" s="15"/>
    </row>
    <row r="253" spans="3:3" x14ac:dyDescent="0.25">
      <c r="C253" s="15"/>
    </row>
    <row r="254" spans="3:3" x14ac:dyDescent="0.25">
      <c r="C254" s="15"/>
    </row>
    <row r="255" spans="3:3" x14ac:dyDescent="0.25">
      <c r="C255" s="15"/>
    </row>
    <row r="256" spans="3:3" x14ac:dyDescent="0.25">
      <c r="C256" s="15"/>
    </row>
    <row r="257" spans="3:3" x14ac:dyDescent="0.25">
      <c r="C257" s="15"/>
    </row>
    <row r="258" spans="3:3" x14ac:dyDescent="0.25">
      <c r="C258" s="15"/>
    </row>
    <row r="259" spans="3:3" x14ac:dyDescent="0.25">
      <c r="C259" s="15"/>
    </row>
    <row r="260" spans="3:3" x14ac:dyDescent="0.25">
      <c r="C260" s="15"/>
    </row>
    <row r="261" spans="3:3" x14ac:dyDescent="0.25">
      <c r="C261" s="15"/>
    </row>
    <row r="262" spans="3:3" x14ac:dyDescent="0.25">
      <c r="C262" s="15"/>
    </row>
    <row r="263" spans="3:3" x14ac:dyDescent="0.25">
      <c r="C263" s="15"/>
    </row>
    <row r="264" spans="3:3" x14ac:dyDescent="0.25">
      <c r="C264" s="15"/>
    </row>
    <row r="265" spans="3:3" x14ac:dyDescent="0.25">
      <c r="C265" s="15"/>
    </row>
    <row r="266" spans="3:3" x14ac:dyDescent="0.25">
      <c r="C266" s="15"/>
    </row>
    <row r="267" spans="3:3" x14ac:dyDescent="0.25">
      <c r="C267" s="15"/>
    </row>
    <row r="268" spans="3:3" x14ac:dyDescent="0.25">
      <c r="C268" s="15"/>
    </row>
    <row r="269" spans="3:3" x14ac:dyDescent="0.25">
      <c r="C269" s="15"/>
    </row>
    <row r="270" spans="3:3" x14ac:dyDescent="0.25">
      <c r="C270" s="15"/>
    </row>
    <row r="271" spans="3:3" x14ac:dyDescent="0.25">
      <c r="C271" s="15"/>
    </row>
    <row r="272" spans="3:3" x14ac:dyDescent="0.25">
      <c r="C272" s="15"/>
    </row>
    <row r="273" spans="3:3" x14ac:dyDescent="0.25">
      <c r="C273" s="15"/>
    </row>
    <row r="274" spans="3:3" x14ac:dyDescent="0.25">
      <c r="C274" s="15"/>
    </row>
    <row r="275" spans="3:3" x14ac:dyDescent="0.25">
      <c r="C275" s="15"/>
    </row>
    <row r="276" spans="3:3" x14ac:dyDescent="0.25">
      <c r="C276" s="15"/>
    </row>
    <row r="277" spans="3:3" x14ac:dyDescent="0.25">
      <c r="C277" s="15"/>
    </row>
    <row r="278" spans="3:3" x14ac:dyDescent="0.25">
      <c r="C278" s="15"/>
    </row>
    <row r="279" spans="3:3" x14ac:dyDescent="0.25">
      <c r="C279" s="15"/>
    </row>
    <row r="280" spans="3:3" x14ac:dyDescent="0.25">
      <c r="C280" s="15"/>
    </row>
    <row r="281" spans="3:3" x14ac:dyDescent="0.25">
      <c r="C281" s="15"/>
    </row>
    <row r="282" spans="3:3" x14ac:dyDescent="0.25">
      <c r="C282" s="15"/>
    </row>
    <row r="283" spans="3:3" x14ac:dyDescent="0.25">
      <c r="C283" s="15"/>
    </row>
    <row r="284" spans="3:3" x14ac:dyDescent="0.25">
      <c r="C284" s="15"/>
    </row>
    <row r="285" spans="3:3" x14ac:dyDescent="0.25">
      <c r="C285" s="15"/>
    </row>
    <row r="286" spans="3:3" x14ac:dyDescent="0.25">
      <c r="C286" s="15"/>
    </row>
    <row r="287" spans="3:3" x14ac:dyDescent="0.25">
      <c r="C287" s="15"/>
    </row>
    <row r="288" spans="3:3" x14ac:dyDescent="0.25">
      <c r="C288" s="15"/>
    </row>
    <row r="289" spans="3:3" x14ac:dyDescent="0.25">
      <c r="C289" s="15"/>
    </row>
    <row r="290" spans="3:3" x14ac:dyDescent="0.25">
      <c r="C290" s="15"/>
    </row>
    <row r="291" spans="3:3" x14ac:dyDescent="0.25">
      <c r="C291" s="15"/>
    </row>
    <row r="292" spans="3:3" x14ac:dyDescent="0.25">
      <c r="C292" s="15"/>
    </row>
    <row r="293" spans="3:3" x14ac:dyDescent="0.25">
      <c r="C293" s="15"/>
    </row>
    <row r="294" spans="3:3" x14ac:dyDescent="0.25">
      <c r="C294" s="15"/>
    </row>
    <row r="295" spans="3:3" x14ac:dyDescent="0.25">
      <c r="C295" s="15"/>
    </row>
    <row r="296" spans="3:3" x14ac:dyDescent="0.25">
      <c r="C296" s="15"/>
    </row>
    <row r="297" spans="3:3" x14ac:dyDescent="0.25">
      <c r="C297" s="15"/>
    </row>
    <row r="298" spans="3:3" x14ac:dyDescent="0.25">
      <c r="C298" s="15"/>
    </row>
    <row r="299" spans="3:3" x14ac:dyDescent="0.25">
      <c r="C299" s="15"/>
    </row>
    <row r="300" spans="3:3" x14ac:dyDescent="0.25">
      <c r="C300" s="15"/>
    </row>
    <row r="301" spans="3:3" x14ac:dyDescent="0.25">
      <c r="C301" s="15"/>
    </row>
    <row r="302" spans="3:3" x14ac:dyDescent="0.25">
      <c r="C302" s="15"/>
    </row>
    <row r="303" spans="3:3" x14ac:dyDescent="0.25">
      <c r="C303" s="15"/>
    </row>
    <row r="304" spans="3:3" x14ac:dyDescent="0.25">
      <c r="C304" s="15"/>
    </row>
    <row r="305" spans="3:3" x14ac:dyDescent="0.25">
      <c r="C305" s="15"/>
    </row>
    <row r="306" spans="3:3" x14ac:dyDescent="0.25">
      <c r="C306" s="15"/>
    </row>
    <row r="307" spans="3:3" x14ac:dyDescent="0.25">
      <c r="C307" s="15"/>
    </row>
    <row r="308" spans="3:3" x14ac:dyDescent="0.25">
      <c r="C308" s="15"/>
    </row>
    <row r="309" spans="3:3" x14ac:dyDescent="0.25">
      <c r="C309" s="15"/>
    </row>
    <row r="310" spans="3:3" x14ac:dyDescent="0.25">
      <c r="C310" s="15"/>
    </row>
    <row r="311" spans="3:3" x14ac:dyDescent="0.25">
      <c r="C311" s="15"/>
    </row>
    <row r="312" spans="3:3" x14ac:dyDescent="0.25">
      <c r="C312" s="15"/>
    </row>
    <row r="313" spans="3:3" x14ac:dyDescent="0.25">
      <c r="C313" s="15"/>
    </row>
    <row r="314" spans="3:3" x14ac:dyDescent="0.25">
      <c r="C314" s="15"/>
    </row>
    <row r="315" spans="3:3" x14ac:dyDescent="0.25">
      <c r="C315" s="15"/>
    </row>
    <row r="316" spans="3:3" x14ac:dyDescent="0.25">
      <c r="C316" s="15"/>
    </row>
    <row r="317" spans="3:3" x14ac:dyDescent="0.25">
      <c r="C317" s="15"/>
    </row>
    <row r="318" spans="3:3" x14ac:dyDescent="0.25">
      <c r="C318" s="15"/>
    </row>
    <row r="319" spans="3:3" x14ac:dyDescent="0.25">
      <c r="C319" s="15"/>
    </row>
    <row r="320" spans="3:3" x14ac:dyDescent="0.25">
      <c r="C320" s="15"/>
    </row>
    <row r="321" spans="3:3" x14ac:dyDescent="0.25">
      <c r="C321" s="15"/>
    </row>
    <row r="322" spans="3:3" x14ac:dyDescent="0.25">
      <c r="C322" s="15"/>
    </row>
    <row r="323" spans="3:3" x14ac:dyDescent="0.25">
      <c r="C323" s="15"/>
    </row>
    <row r="324" spans="3:3" x14ac:dyDescent="0.25">
      <c r="C324" s="15"/>
    </row>
    <row r="325" spans="3:3" x14ac:dyDescent="0.25">
      <c r="C325" s="15"/>
    </row>
    <row r="326" spans="3:3" x14ac:dyDescent="0.25">
      <c r="C326" s="15"/>
    </row>
    <row r="327" spans="3:3" x14ac:dyDescent="0.25">
      <c r="C327" s="15"/>
    </row>
    <row r="328" spans="3:3" x14ac:dyDescent="0.25">
      <c r="C328" s="15"/>
    </row>
    <row r="329" spans="3:3" x14ac:dyDescent="0.25">
      <c r="C329" s="15"/>
    </row>
    <row r="330" spans="3:3" x14ac:dyDescent="0.25">
      <c r="C330" s="15"/>
    </row>
    <row r="331" spans="3:3" x14ac:dyDescent="0.25">
      <c r="C331" s="15"/>
    </row>
    <row r="332" spans="3:3" x14ac:dyDescent="0.25">
      <c r="C332" s="15"/>
    </row>
    <row r="333" spans="3:3" x14ac:dyDescent="0.25">
      <c r="C333" s="15"/>
    </row>
    <row r="334" spans="3:3" x14ac:dyDescent="0.25">
      <c r="C334" s="15"/>
    </row>
    <row r="335" spans="3:3" x14ac:dyDescent="0.25">
      <c r="C335" s="15"/>
    </row>
    <row r="336" spans="3:3" x14ac:dyDescent="0.25">
      <c r="C336" s="15"/>
    </row>
    <row r="337" spans="3:3" x14ac:dyDescent="0.25">
      <c r="C337" s="15"/>
    </row>
    <row r="338" spans="3:3" x14ac:dyDescent="0.25">
      <c r="C338" s="15"/>
    </row>
    <row r="339" spans="3:3" x14ac:dyDescent="0.25">
      <c r="C339" s="15"/>
    </row>
    <row r="340" spans="3:3" x14ac:dyDescent="0.25">
      <c r="C340" s="15"/>
    </row>
    <row r="341" spans="3:3" x14ac:dyDescent="0.25">
      <c r="C341" s="15"/>
    </row>
    <row r="342" spans="3:3" x14ac:dyDescent="0.25">
      <c r="C342" s="15"/>
    </row>
    <row r="343" spans="3:3" x14ac:dyDescent="0.25">
      <c r="C343" s="15"/>
    </row>
    <row r="344" spans="3:3" x14ac:dyDescent="0.25">
      <c r="C344" s="15"/>
    </row>
    <row r="345" spans="3:3" x14ac:dyDescent="0.25">
      <c r="C345" s="15"/>
    </row>
    <row r="346" spans="3:3" x14ac:dyDescent="0.25">
      <c r="C346" s="15"/>
    </row>
    <row r="347" spans="3:3" x14ac:dyDescent="0.25">
      <c r="C347" s="15"/>
    </row>
    <row r="348" spans="3:3" x14ac:dyDescent="0.25">
      <c r="C348" s="15"/>
    </row>
    <row r="349" spans="3:3" x14ac:dyDescent="0.25">
      <c r="C349" s="15"/>
    </row>
    <row r="350" spans="3:3" x14ac:dyDescent="0.25">
      <c r="C350" s="15"/>
    </row>
    <row r="351" spans="3:3" x14ac:dyDescent="0.25">
      <c r="C351" s="15"/>
    </row>
    <row r="352" spans="3:3" x14ac:dyDescent="0.25">
      <c r="C352" s="15"/>
    </row>
    <row r="353" spans="3:3" x14ac:dyDescent="0.25">
      <c r="C353" s="15"/>
    </row>
    <row r="354" spans="3:3" x14ac:dyDescent="0.25">
      <c r="C354" s="15"/>
    </row>
    <row r="355" spans="3:3" x14ac:dyDescent="0.25">
      <c r="C355" s="15"/>
    </row>
    <row r="356" spans="3:3" x14ac:dyDescent="0.25">
      <c r="C356" s="15"/>
    </row>
    <row r="357" spans="3:3" x14ac:dyDescent="0.25">
      <c r="C357" s="15"/>
    </row>
    <row r="358" spans="3:3" x14ac:dyDescent="0.25">
      <c r="C358" s="15"/>
    </row>
    <row r="359" spans="3:3" x14ac:dyDescent="0.25">
      <c r="C359" s="15"/>
    </row>
    <row r="360" spans="3:3" x14ac:dyDescent="0.25">
      <c r="C360" s="15"/>
    </row>
    <row r="361" spans="3:3" x14ac:dyDescent="0.25">
      <c r="C361" s="15"/>
    </row>
    <row r="362" spans="3:3" x14ac:dyDescent="0.25">
      <c r="C362" s="15"/>
    </row>
    <row r="363" spans="3:3" x14ac:dyDescent="0.25">
      <c r="C363" s="15"/>
    </row>
    <row r="364" spans="3:3" x14ac:dyDescent="0.25">
      <c r="C364" s="15"/>
    </row>
    <row r="365" spans="3:3" x14ac:dyDescent="0.25">
      <c r="C365" s="15"/>
    </row>
    <row r="366" spans="3:3" x14ac:dyDescent="0.25">
      <c r="C366" s="15"/>
    </row>
    <row r="367" spans="3:3" x14ac:dyDescent="0.25">
      <c r="C367" s="15"/>
    </row>
    <row r="368" spans="3:3" x14ac:dyDescent="0.25">
      <c r="C368" s="15"/>
    </row>
    <row r="369" spans="3:3" x14ac:dyDescent="0.25">
      <c r="C369" s="15"/>
    </row>
    <row r="370" spans="3:3" x14ac:dyDescent="0.25">
      <c r="C370" s="15"/>
    </row>
    <row r="371" spans="3:3" x14ac:dyDescent="0.25">
      <c r="C371" s="15"/>
    </row>
    <row r="372" spans="3:3" x14ac:dyDescent="0.25">
      <c r="C372" s="15"/>
    </row>
    <row r="373" spans="3:3" x14ac:dyDescent="0.25">
      <c r="C373" s="15"/>
    </row>
    <row r="374" spans="3:3" x14ac:dyDescent="0.25">
      <c r="C374" s="15"/>
    </row>
    <row r="375" spans="3:3" x14ac:dyDescent="0.25">
      <c r="C375" s="15"/>
    </row>
    <row r="376" spans="3:3" x14ac:dyDescent="0.25">
      <c r="C376" s="15"/>
    </row>
    <row r="377" spans="3:3" x14ac:dyDescent="0.25">
      <c r="C377" s="15"/>
    </row>
    <row r="378" spans="3:3" x14ac:dyDescent="0.25">
      <c r="C378" s="15"/>
    </row>
    <row r="379" spans="3:3" x14ac:dyDescent="0.25">
      <c r="C379" s="15"/>
    </row>
    <row r="380" spans="3:3" x14ac:dyDescent="0.25">
      <c r="C380" s="15"/>
    </row>
    <row r="381" spans="3:3" x14ac:dyDescent="0.25">
      <c r="C381" s="15"/>
    </row>
    <row r="382" spans="3:3" x14ac:dyDescent="0.25">
      <c r="C382" s="15"/>
    </row>
    <row r="383" spans="3:3" x14ac:dyDescent="0.25">
      <c r="C383" s="15"/>
    </row>
    <row r="384" spans="3:3" x14ac:dyDescent="0.25">
      <c r="C384" s="15"/>
    </row>
    <row r="385" spans="3:3" x14ac:dyDescent="0.25">
      <c r="C385" s="15"/>
    </row>
    <row r="386" spans="3:3" x14ac:dyDescent="0.25">
      <c r="C386" s="15"/>
    </row>
    <row r="387" spans="3:3" x14ac:dyDescent="0.25">
      <c r="C387" s="15"/>
    </row>
    <row r="388" spans="3:3" x14ac:dyDescent="0.25">
      <c r="C388" s="15"/>
    </row>
    <row r="389" spans="3:3" x14ac:dyDescent="0.25">
      <c r="C389" s="15"/>
    </row>
    <row r="390" spans="3:3" x14ac:dyDescent="0.25">
      <c r="C390" s="15"/>
    </row>
    <row r="391" spans="3:3" x14ac:dyDescent="0.25">
      <c r="C391" s="15"/>
    </row>
    <row r="392" spans="3:3" x14ac:dyDescent="0.25">
      <c r="C392" s="15"/>
    </row>
    <row r="393" spans="3:3" x14ac:dyDescent="0.25">
      <c r="C393" s="15"/>
    </row>
    <row r="394" spans="3:3" x14ac:dyDescent="0.25">
      <c r="C394" s="15"/>
    </row>
    <row r="395" spans="3:3" x14ac:dyDescent="0.25">
      <c r="C395" s="15"/>
    </row>
    <row r="396" spans="3:3" x14ac:dyDescent="0.25">
      <c r="C396" s="15"/>
    </row>
    <row r="397" spans="3:3" x14ac:dyDescent="0.25">
      <c r="C397" s="15"/>
    </row>
    <row r="398" spans="3:3" x14ac:dyDescent="0.25">
      <c r="C398" s="15"/>
    </row>
    <row r="399" spans="3:3" x14ac:dyDescent="0.25">
      <c r="C399" s="15"/>
    </row>
    <row r="400" spans="3:3" x14ac:dyDescent="0.25">
      <c r="C400" s="15"/>
    </row>
    <row r="401" spans="3:3" x14ac:dyDescent="0.25">
      <c r="C401" s="15"/>
    </row>
    <row r="402" spans="3:3" x14ac:dyDescent="0.25">
      <c r="C402" s="15"/>
    </row>
    <row r="403" spans="3:3" x14ac:dyDescent="0.25">
      <c r="C403" s="15"/>
    </row>
    <row r="404" spans="3:3" x14ac:dyDescent="0.25">
      <c r="C404" s="15"/>
    </row>
    <row r="405" spans="3:3" x14ac:dyDescent="0.25">
      <c r="C405" s="15"/>
    </row>
    <row r="406" spans="3:3" x14ac:dyDescent="0.25">
      <c r="C406" s="15"/>
    </row>
    <row r="407" spans="3:3" x14ac:dyDescent="0.25">
      <c r="C407" s="15"/>
    </row>
    <row r="408" spans="3:3" x14ac:dyDescent="0.25">
      <c r="C408" s="15"/>
    </row>
    <row r="409" spans="3:3" x14ac:dyDescent="0.25">
      <c r="C409" s="15"/>
    </row>
    <row r="410" spans="3:3" x14ac:dyDescent="0.25">
      <c r="C410" s="15"/>
    </row>
    <row r="411" spans="3:3" x14ac:dyDescent="0.25">
      <c r="C411" s="15"/>
    </row>
    <row r="412" spans="3:3" x14ac:dyDescent="0.25">
      <c r="C412" s="15"/>
    </row>
    <row r="413" spans="3:3" x14ac:dyDescent="0.25">
      <c r="C413" s="15"/>
    </row>
    <row r="414" spans="3:3" x14ac:dyDescent="0.25">
      <c r="C414" s="15"/>
    </row>
    <row r="415" spans="3:3" x14ac:dyDescent="0.25">
      <c r="C415" s="15"/>
    </row>
    <row r="416" spans="3:3" x14ac:dyDescent="0.25">
      <c r="C416" s="15"/>
    </row>
    <row r="417" spans="3:3" x14ac:dyDescent="0.25">
      <c r="C417" s="15"/>
    </row>
    <row r="418" spans="3:3" x14ac:dyDescent="0.25">
      <c r="C418" s="15"/>
    </row>
    <row r="419" spans="3:3" x14ac:dyDescent="0.25">
      <c r="C419" s="15"/>
    </row>
    <row r="420" spans="3:3" x14ac:dyDescent="0.25">
      <c r="C420" s="15"/>
    </row>
    <row r="421" spans="3:3" x14ac:dyDescent="0.25">
      <c r="C421" s="15"/>
    </row>
    <row r="422" spans="3:3" x14ac:dyDescent="0.25">
      <c r="C422" s="15"/>
    </row>
    <row r="423" spans="3:3" x14ac:dyDescent="0.25">
      <c r="C423" s="15"/>
    </row>
    <row r="424" spans="3:3" x14ac:dyDescent="0.25">
      <c r="C424" s="15"/>
    </row>
    <row r="425" spans="3:3" x14ac:dyDescent="0.25">
      <c r="C425" s="15"/>
    </row>
    <row r="426" spans="3:3" x14ac:dyDescent="0.25">
      <c r="C426" s="15"/>
    </row>
    <row r="427" spans="3:3" x14ac:dyDescent="0.25">
      <c r="C427" s="15"/>
    </row>
    <row r="428" spans="3:3" x14ac:dyDescent="0.25">
      <c r="C428" s="15"/>
    </row>
    <row r="429" spans="3:3" x14ac:dyDescent="0.25">
      <c r="C429" s="15"/>
    </row>
    <row r="430" spans="3:3" x14ac:dyDescent="0.25">
      <c r="C430" s="15"/>
    </row>
    <row r="431" spans="3:3" x14ac:dyDescent="0.25">
      <c r="C431" s="15"/>
    </row>
    <row r="432" spans="3:3" x14ac:dyDescent="0.25">
      <c r="C432" s="15"/>
    </row>
    <row r="433" spans="3:3" x14ac:dyDescent="0.25">
      <c r="C433" s="15"/>
    </row>
    <row r="434" spans="3:3" x14ac:dyDescent="0.25">
      <c r="C434" s="15"/>
    </row>
    <row r="435" spans="3:3" x14ac:dyDescent="0.25">
      <c r="C435" s="15"/>
    </row>
    <row r="436" spans="3:3" x14ac:dyDescent="0.25">
      <c r="C436" s="15"/>
    </row>
    <row r="437" spans="3:3" x14ac:dyDescent="0.25">
      <c r="C437" s="15"/>
    </row>
    <row r="438" spans="3:3" x14ac:dyDescent="0.25">
      <c r="C438" s="15"/>
    </row>
    <row r="439" spans="3:3" x14ac:dyDescent="0.25">
      <c r="C439" s="15"/>
    </row>
    <row r="440" spans="3:3" x14ac:dyDescent="0.25">
      <c r="C440" s="15"/>
    </row>
    <row r="441" spans="3:3" x14ac:dyDescent="0.25">
      <c r="C441" s="15"/>
    </row>
    <row r="442" spans="3:3" x14ac:dyDescent="0.25">
      <c r="C442" s="15"/>
    </row>
    <row r="443" spans="3:3" x14ac:dyDescent="0.25">
      <c r="C443" s="15"/>
    </row>
    <row r="444" spans="3:3" x14ac:dyDescent="0.25">
      <c r="C444" s="15"/>
    </row>
    <row r="445" spans="3:3" x14ac:dyDescent="0.25">
      <c r="C445" s="15"/>
    </row>
    <row r="446" spans="3:3" x14ac:dyDescent="0.25">
      <c r="C446" s="15"/>
    </row>
    <row r="447" spans="3:3" x14ac:dyDescent="0.25">
      <c r="C447" s="15"/>
    </row>
    <row r="448" spans="3:3" x14ac:dyDescent="0.25">
      <c r="C448" s="15"/>
    </row>
    <row r="449" spans="3:3" x14ac:dyDescent="0.25">
      <c r="C449" s="15"/>
    </row>
    <row r="450" spans="3:3" x14ac:dyDescent="0.25">
      <c r="C450" s="15"/>
    </row>
    <row r="451" spans="3:3" x14ac:dyDescent="0.25">
      <c r="C451" s="15"/>
    </row>
    <row r="452" spans="3:3" x14ac:dyDescent="0.25">
      <c r="C452" s="15"/>
    </row>
    <row r="453" spans="3:3" x14ac:dyDescent="0.25">
      <c r="C453" s="15"/>
    </row>
    <row r="454" spans="3:3" x14ac:dyDescent="0.25">
      <c r="C454" s="15"/>
    </row>
    <row r="455" spans="3:3" x14ac:dyDescent="0.25">
      <c r="C455" s="15"/>
    </row>
    <row r="456" spans="3:3" x14ac:dyDescent="0.25">
      <c r="C456" s="15"/>
    </row>
    <row r="457" spans="3:3" x14ac:dyDescent="0.25">
      <c r="C457" s="15"/>
    </row>
    <row r="458" spans="3:3" x14ac:dyDescent="0.25">
      <c r="C458" s="15"/>
    </row>
    <row r="459" spans="3:3" x14ac:dyDescent="0.25">
      <c r="C459" s="15"/>
    </row>
    <row r="460" spans="3:3" x14ac:dyDescent="0.25">
      <c r="C460" s="15"/>
    </row>
    <row r="461" spans="3:3" x14ac:dyDescent="0.25">
      <c r="C461" s="15"/>
    </row>
    <row r="462" spans="3:3" x14ac:dyDescent="0.25">
      <c r="C462" s="15"/>
    </row>
    <row r="463" spans="3:3" x14ac:dyDescent="0.25">
      <c r="C463" s="15"/>
    </row>
    <row r="464" spans="3:3" x14ac:dyDescent="0.25">
      <c r="C464" s="15"/>
    </row>
    <row r="465" spans="3:3" x14ac:dyDescent="0.25">
      <c r="C465" s="15"/>
    </row>
    <row r="466" spans="3:3" x14ac:dyDescent="0.25">
      <c r="C466" s="15"/>
    </row>
    <row r="467" spans="3:3" x14ac:dyDescent="0.25">
      <c r="C467" s="15"/>
    </row>
    <row r="468" spans="3:3" x14ac:dyDescent="0.25">
      <c r="C468" s="15"/>
    </row>
    <row r="469" spans="3:3" x14ac:dyDescent="0.25">
      <c r="C469" s="15"/>
    </row>
    <row r="470" spans="3:3" x14ac:dyDescent="0.25">
      <c r="C470" s="15"/>
    </row>
    <row r="471" spans="3:3" x14ac:dyDescent="0.25">
      <c r="C471" s="15"/>
    </row>
    <row r="472" spans="3:3" x14ac:dyDescent="0.25">
      <c r="C472" s="15"/>
    </row>
    <row r="473" spans="3:3" x14ac:dyDescent="0.25">
      <c r="C473" s="15"/>
    </row>
    <row r="474" spans="3:3" x14ac:dyDescent="0.25">
      <c r="C474" s="15"/>
    </row>
    <row r="475" spans="3:3" x14ac:dyDescent="0.25">
      <c r="C475" s="15"/>
    </row>
    <row r="476" spans="3:3" x14ac:dyDescent="0.25">
      <c r="C476" s="15"/>
    </row>
    <row r="477" spans="3:3" x14ac:dyDescent="0.25">
      <c r="C477" s="15"/>
    </row>
    <row r="478" spans="3:3" x14ac:dyDescent="0.25">
      <c r="C478" s="15"/>
    </row>
    <row r="479" spans="3:3" x14ac:dyDescent="0.25">
      <c r="C479" s="15"/>
    </row>
    <row r="480" spans="3:3" x14ac:dyDescent="0.25">
      <c r="C480" s="15"/>
    </row>
    <row r="481" spans="3:3" x14ac:dyDescent="0.25">
      <c r="C481" s="15"/>
    </row>
    <row r="482" spans="3:3" x14ac:dyDescent="0.25">
      <c r="C482" s="15"/>
    </row>
    <row r="483" spans="3:3" x14ac:dyDescent="0.25">
      <c r="C483" s="15"/>
    </row>
    <row r="484" spans="3:3" x14ac:dyDescent="0.25">
      <c r="C484" s="15"/>
    </row>
    <row r="485" spans="3:3" x14ac:dyDescent="0.25">
      <c r="C485" s="15"/>
    </row>
    <row r="486" spans="3:3" x14ac:dyDescent="0.25">
      <c r="C486" s="15"/>
    </row>
    <row r="487" spans="3:3" x14ac:dyDescent="0.25">
      <c r="C487" s="15"/>
    </row>
    <row r="488" spans="3:3" x14ac:dyDescent="0.25">
      <c r="C488" s="15"/>
    </row>
    <row r="489" spans="3:3" x14ac:dyDescent="0.25">
      <c r="C489" s="15"/>
    </row>
    <row r="490" spans="3:3" x14ac:dyDescent="0.25">
      <c r="C490" s="15"/>
    </row>
    <row r="491" spans="3:3" x14ac:dyDescent="0.25">
      <c r="C491" s="15"/>
    </row>
    <row r="492" spans="3:3" x14ac:dyDescent="0.25">
      <c r="C492" s="15"/>
    </row>
    <row r="493" spans="3:3" x14ac:dyDescent="0.25">
      <c r="C493" s="15"/>
    </row>
    <row r="494" spans="3:3" x14ac:dyDescent="0.25">
      <c r="C494" s="15"/>
    </row>
    <row r="495" spans="3:3" x14ac:dyDescent="0.25">
      <c r="C495" s="15"/>
    </row>
    <row r="496" spans="3:3" x14ac:dyDescent="0.25">
      <c r="C496" s="15"/>
    </row>
    <row r="497" spans="3:3" x14ac:dyDescent="0.25">
      <c r="C497" s="15"/>
    </row>
    <row r="498" spans="3:3" x14ac:dyDescent="0.25">
      <c r="C498" s="15"/>
    </row>
    <row r="499" spans="3:3" x14ac:dyDescent="0.25">
      <c r="C499" s="15"/>
    </row>
    <row r="500" spans="3:3" x14ac:dyDescent="0.25">
      <c r="C500" s="15"/>
    </row>
    <row r="501" spans="3:3" x14ac:dyDescent="0.25">
      <c r="C501" s="15"/>
    </row>
    <row r="502" spans="3:3" x14ac:dyDescent="0.25">
      <c r="C502" s="15"/>
    </row>
    <row r="503" spans="3:3" x14ac:dyDescent="0.25">
      <c r="C503" s="15"/>
    </row>
    <row r="504" spans="3:3" x14ac:dyDescent="0.25">
      <c r="C504" s="15"/>
    </row>
    <row r="505" spans="3:3" x14ac:dyDescent="0.25">
      <c r="C505" s="15"/>
    </row>
    <row r="506" spans="3:3" x14ac:dyDescent="0.25">
      <c r="C506" s="15"/>
    </row>
    <row r="507" spans="3:3" x14ac:dyDescent="0.25">
      <c r="C507" s="15"/>
    </row>
    <row r="508" spans="3:3" x14ac:dyDescent="0.25">
      <c r="C508" s="15"/>
    </row>
    <row r="509" spans="3:3" x14ac:dyDescent="0.25">
      <c r="C509" s="15"/>
    </row>
    <row r="510" spans="3:3" x14ac:dyDescent="0.25">
      <c r="C510" s="15"/>
    </row>
    <row r="511" spans="3:3" x14ac:dyDescent="0.25">
      <c r="C511" s="15"/>
    </row>
    <row r="512" spans="3:3" x14ac:dyDescent="0.25">
      <c r="C512" s="15"/>
    </row>
    <row r="513" spans="3:3" x14ac:dyDescent="0.25">
      <c r="C513" s="15"/>
    </row>
    <row r="514" spans="3:3" x14ac:dyDescent="0.25">
      <c r="C514" s="15"/>
    </row>
    <row r="515" spans="3:3" x14ac:dyDescent="0.25">
      <c r="C515" s="15"/>
    </row>
    <row r="516" spans="3:3" x14ac:dyDescent="0.25">
      <c r="C516" s="15"/>
    </row>
    <row r="517" spans="3:3" x14ac:dyDescent="0.25">
      <c r="C517" s="15"/>
    </row>
    <row r="518" spans="3:3" x14ac:dyDescent="0.25">
      <c r="C518" s="15"/>
    </row>
    <row r="519" spans="3:3" x14ac:dyDescent="0.25">
      <c r="C519" s="15"/>
    </row>
    <row r="520" spans="3:3" x14ac:dyDescent="0.25">
      <c r="C520" s="15"/>
    </row>
    <row r="521" spans="3:3" x14ac:dyDescent="0.25">
      <c r="C521" s="15"/>
    </row>
    <row r="522" spans="3:3" x14ac:dyDescent="0.25">
      <c r="C522" s="15"/>
    </row>
    <row r="523" spans="3:3" x14ac:dyDescent="0.25">
      <c r="C523" s="15"/>
    </row>
    <row r="524" spans="3:3" x14ac:dyDescent="0.25">
      <c r="C524" s="15"/>
    </row>
    <row r="525" spans="3:3" x14ac:dyDescent="0.25">
      <c r="C525" s="15"/>
    </row>
    <row r="526" spans="3:3" x14ac:dyDescent="0.25">
      <c r="C526" s="15"/>
    </row>
    <row r="527" spans="3:3" x14ac:dyDescent="0.25">
      <c r="C527" s="15"/>
    </row>
    <row r="528" spans="3:3" x14ac:dyDescent="0.25">
      <c r="C528" s="15"/>
    </row>
    <row r="529" spans="3:3" x14ac:dyDescent="0.25">
      <c r="C529" s="15"/>
    </row>
    <row r="530" spans="3:3" x14ac:dyDescent="0.25">
      <c r="C530" s="15"/>
    </row>
    <row r="531" spans="3:3" x14ac:dyDescent="0.25">
      <c r="C531" s="15"/>
    </row>
    <row r="532" spans="3:3" x14ac:dyDescent="0.25">
      <c r="C532" s="15"/>
    </row>
    <row r="533" spans="3:3" x14ac:dyDescent="0.25">
      <c r="C533" s="15"/>
    </row>
    <row r="534" spans="3:3" x14ac:dyDescent="0.25">
      <c r="C534" s="15"/>
    </row>
    <row r="535" spans="3:3" x14ac:dyDescent="0.25">
      <c r="C535" s="15"/>
    </row>
    <row r="536" spans="3:3" x14ac:dyDescent="0.25">
      <c r="C536" s="15"/>
    </row>
    <row r="537" spans="3:3" x14ac:dyDescent="0.25">
      <c r="C537" s="15"/>
    </row>
    <row r="538" spans="3:3" x14ac:dyDescent="0.25">
      <c r="C538" s="15"/>
    </row>
    <row r="539" spans="3:3" x14ac:dyDescent="0.25">
      <c r="C539" s="15"/>
    </row>
    <row r="540" spans="3:3" x14ac:dyDescent="0.25">
      <c r="C540" s="15"/>
    </row>
    <row r="541" spans="3:3" x14ac:dyDescent="0.25">
      <c r="C541" s="15"/>
    </row>
    <row r="542" spans="3:3" x14ac:dyDescent="0.25">
      <c r="C542" s="15"/>
    </row>
    <row r="543" spans="3:3" x14ac:dyDescent="0.25">
      <c r="C543" s="15"/>
    </row>
    <row r="544" spans="3:3" x14ac:dyDescent="0.25">
      <c r="C544" s="15"/>
    </row>
    <row r="545" spans="3:3" x14ac:dyDescent="0.25">
      <c r="C545" s="15"/>
    </row>
    <row r="546" spans="3:3" x14ac:dyDescent="0.25">
      <c r="C546" s="15"/>
    </row>
    <row r="547" spans="3:3" x14ac:dyDescent="0.25">
      <c r="C547" s="15"/>
    </row>
    <row r="548" spans="3:3" x14ac:dyDescent="0.25">
      <c r="C548" s="15"/>
    </row>
    <row r="549" spans="3:3" x14ac:dyDescent="0.25">
      <c r="C549" s="15"/>
    </row>
    <row r="550" spans="3:3" x14ac:dyDescent="0.25">
      <c r="C550" s="15"/>
    </row>
    <row r="551" spans="3:3" x14ac:dyDescent="0.25">
      <c r="C551" s="15"/>
    </row>
    <row r="552" spans="3:3" x14ac:dyDescent="0.25">
      <c r="C552" s="15"/>
    </row>
    <row r="553" spans="3:3" x14ac:dyDescent="0.25">
      <c r="C553" s="15"/>
    </row>
    <row r="554" spans="3:3" x14ac:dyDescent="0.25">
      <c r="C554" s="15"/>
    </row>
    <row r="555" spans="3:3" x14ac:dyDescent="0.25">
      <c r="C555" s="15"/>
    </row>
    <row r="556" spans="3:3" x14ac:dyDescent="0.25">
      <c r="C556" s="15"/>
    </row>
    <row r="557" spans="3:3" x14ac:dyDescent="0.25">
      <c r="C557" s="15"/>
    </row>
    <row r="558" spans="3:3" x14ac:dyDescent="0.25">
      <c r="C558" s="15"/>
    </row>
    <row r="559" spans="3:3" x14ac:dyDescent="0.25">
      <c r="C559" s="15"/>
    </row>
    <row r="560" spans="3:3" x14ac:dyDescent="0.25">
      <c r="C560" s="15"/>
    </row>
    <row r="561" spans="3:3" x14ac:dyDescent="0.25">
      <c r="C561" s="15"/>
    </row>
    <row r="562" spans="3:3" x14ac:dyDescent="0.25">
      <c r="C562" s="15"/>
    </row>
    <row r="563" spans="3:3" x14ac:dyDescent="0.25">
      <c r="C563" s="15"/>
    </row>
    <row r="564" spans="3:3" x14ac:dyDescent="0.25">
      <c r="C564" s="15"/>
    </row>
    <row r="565" spans="3:3" x14ac:dyDescent="0.25">
      <c r="C565" s="15"/>
    </row>
    <row r="566" spans="3:3" x14ac:dyDescent="0.25">
      <c r="C566" s="15"/>
    </row>
    <row r="567" spans="3:3" x14ac:dyDescent="0.25">
      <c r="C567" s="15"/>
    </row>
    <row r="568" spans="3:3" x14ac:dyDescent="0.25">
      <c r="C568" s="15"/>
    </row>
    <row r="569" spans="3:3" x14ac:dyDescent="0.25">
      <c r="C569" s="15"/>
    </row>
    <row r="570" spans="3:3" x14ac:dyDescent="0.25">
      <c r="C570" s="15"/>
    </row>
    <row r="571" spans="3:3" x14ac:dyDescent="0.25">
      <c r="C571" s="15"/>
    </row>
    <row r="572" spans="3:3" x14ac:dyDescent="0.25">
      <c r="C572" s="15"/>
    </row>
    <row r="573" spans="3:3" x14ac:dyDescent="0.25">
      <c r="C573" s="15"/>
    </row>
    <row r="574" spans="3:3" x14ac:dyDescent="0.25">
      <c r="C574" s="15"/>
    </row>
    <row r="575" spans="3:3" x14ac:dyDescent="0.25">
      <c r="C575" s="15"/>
    </row>
    <row r="576" spans="3:3" x14ac:dyDescent="0.25">
      <c r="C576" s="15"/>
    </row>
    <row r="577" spans="3:3" x14ac:dyDescent="0.25">
      <c r="C577" s="15"/>
    </row>
    <row r="578" spans="3:3" x14ac:dyDescent="0.25">
      <c r="C578" s="15"/>
    </row>
    <row r="579" spans="3:3" x14ac:dyDescent="0.25">
      <c r="C579" s="15"/>
    </row>
    <row r="580" spans="3:3" x14ac:dyDescent="0.25">
      <c r="C580" s="15"/>
    </row>
    <row r="581" spans="3:3" x14ac:dyDescent="0.25">
      <c r="C581" s="15"/>
    </row>
    <row r="582" spans="3:3" x14ac:dyDescent="0.25">
      <c r="C582" s="15"/>
    </row>
    <row r="583" spans="3:3" x14ac:dyDescent="0.25">
      <c r="C583" s="15"/>
    </row>
    <row r="584" spans="3:3" x14ac:dyDescent="0.25">
      <c r="C584" s="15"/>
    </row>
    <row r="585" spans="3:3" x14ac:dyDescent="0.25">
      <c r="C585" s="15"/>
    </row>
    <row r="586" spans="3:3" x14ac:dyDescent="0.25">
      <c r="C586" s="15"/>
    </row>
    <row r="587" spans="3:3" x14ac:dyDescent="0.25">
      <c r="C587" s="15"/>
    </row>
    <row r="588" spans="3:3" x14ac:dyDescent="0.25">
      <c r="C588" s="15"/>
    </row>
    <row r="589" spans="3:3" x14ac:dyDescent="0.25">
      <c r="C589" s="15"/>
    </row>
    <row r="590" spans="3:3" x14ac:dyDescent="0.25">
      <c r="C590" s="15"/>
    </row>
    <row r="591" spans="3:3" x14ac:dyDescent="0.25">
      <c r="C591" s="15"/>
    </row>
    <row r="592" spans="3:3" x14ac:dyDescent="0.25">
      <c r="C592" s="15"/>
    </row>
    <row r="593" spans="3:3" x14ac:dyDescent="0.25">
      <c r="C593" s="15"/>
    </row>
    <row r="594" spans="3:3" x14ac:dyDescent="0.25">
      <c r="C594" s="15"/>
    </row>
    <row r="595" spans="3:3" x14ac:dyDescent="0.25">
      <c r="C595" s="15"/>
    </row>
    <row r="596" spans="3:3" x14ac:dyDescent="0.25">
      <c r="C596" s="15"/>
    </row>
    <row r="597" spans="3:3" x14ac:dyDescent="0.25">
      <c r="C597" s="15"/>
    </row>
    <row r="598" spans="3:3" x14ac:dyDescent="0.25">
      <c r="C598" s="15"/>
    </row>
    <row r="599" spans="3:3" x14ac:dyDescent="0.25">
      <c r="C599" s="15"/>
    </row>
    <row r="600" spans="3:3" x14ac:dyDescent="0.25">
      <c r="C600" s="15"/>
    </row>
    <row r="601" spans="3:3" x14ac:dyDescent="0.25">
      <c r="C601" s="15"/>
    </row>
    <row r="602" spans="3:3" x14ac:dyDescent="0.25">
      <c r="C602" s="15"/>
    </row>
    <row r="603" spans="3:3" x14ac:dyDescent="0.25">
      <c r="C603" s="15"/>
    </row>
    <row r="604" spans="3:3" x14ac:dyDescent="0.25">
      <c r="C604" s="15"/>
    </row>
    <row r="605" spans="3:3" x14ac:dyDescent="0.25">
      <c r="C605" s="15"/>
    </row>
    <row r="606" spans="3:3" x14ac:dyDescent="0.25">
      <c r="C606" s="15"/>
    </row>
    <row r="607" spans="3:3" x14ac:dyDescent="0.25">
      <c r="C607" s="15"/>
    </row>
    <row r="608" spans="3:3" x14ac:dyDescent="0.25">
      <c r="C608" s="15"/>
    </row>
    <row r="609" spans="3:3" x14ac:dyDescent="0.25">
      <c r="C609" s="15"/>
    </row>
    <row r="610" spans="3:3" x14ac:dyDescent="0.25">
      <c r="C610" s="15"/>
    </row>
    <row r="611" spans="3:3" x14ac:dyDescent="0.25">
      <c r="C611" s="15"/>
    </row>
    <row r="612" spans="3:3" x14ac:dyDescent="0.25">
      <c r="C612" s="15"/>
    </row>
    <row r="613" spans="3:3" x14ac:dyDescent="0.25">
      <c r="C613" s="15"/>
    </row>
    <row r="614" spans="3:3" x14ac:dyDescent="0.25">
      <c r="C614" s="15"/>
    </row>
    <row r="615" spans="3:3" x14ac:dyDescent="0.25">
      <c r="C615" s="15"/>
    </row>
    <row r="616" spans="3:3" x14ac:dyDescent="0.25">
      <c r="C616" s="15"/>
    </row>
    <row r="617" spans="3:3" x14ac:dyDescent="0.25">
      <c r="C617" s="15"/>
    </row>
    <row r="618" spans="3:3" x14ac:dyDescent="0.25">
      <c r="C618" s="15"/>
    </row>
    <row r="619" spans="3:3" x14ac:dyDescent="0.25">
      <c r="C619" s="15"/>
    </row>
    <row r="620" spans="3:3" x14ac:dyDescent="0.25">
      <c r="C620" s="15"/>
    </row>
    <row r="621" spans="3:3" x14ac:dyDescent="0.25">
      <c r="C621" s="15"/>
    </row>
    <row r="622" spans="3:3" x14ac:dyDescent="0.25">
      <c r="C622" s="15"/>
    </row>
    <row r="623" spans="3:3" x14ac:dyDescent="0.25">
      <c r="C623" s="15"/>
    </row>
    <row r="624" spans="3:3" x14ac:dyDescent="0.25">
      <c r="C624" s="15"/>
    </row>
    <row r="625" spans="3:3" x14ac:dyDescent="0.25">
      <c r="C625" s="15"/>
    </row>
    <row r="626" spans="3:3" x14ac:dyDescent="0.25">
      <c r="C626" s="15"/>
    </row>
    <row r="627" spans="3:3" x14ac:dyDescent="0.25">
      <c r="C627" s="15"/>
    </row>
    <row r="628" spans="3:3" x14ac:dyDescent="0.25">
      <c r="C628" s="15"/>
    </row>
    <row r="629" spans="3:3" x14ac:dyDescent="0.25">
      <c r="C629" s="15"/>
    </row>
    <row r="630" spans="3:3" x14ac:dyDescent="0.25">
      <c r="C630" s="15"/>
    </row>
    <row r="631" spans="3:3" x14ac:dyDescent="0.25">
      <c r="C631" s="15"/>
    </row>
    <row r="632" spans="3:3" x14ac:dyDescent="0.25">
      <c r="C632" s="15"/>
    </row>
    <row r="633" spans="3:3" x14ac:dyDescent="0.25">
      <c r="C633" s="15"/>
    </row>
    <row r="634" spans="3:3" x14ac:dyDescent="0.25">
      <c r="C634" s="15"/>
    </row>
    <row r="635" spans="3:3" x14ac:dyDescent="0.25">
      <c r="C635" s="15"/>
    </row>
    <row r="636" spans="3:3" x14ac:dyDescent="0.25">
      <c r="C636" s="15"/>
    </row>
    <row r="637" spans="3:3" x14ac:dyDescent="0.25">
      <c r="C637" s="15"/>
    </row>
    <row r="638" spans="3:3" x14ac:dyDescent="0.25">
      <c r="C638" s="15"/>
    </row>
    <row r="639" spans="3:3" x14ac:dyDescent="0.25">
      <c r="C639" s="15"/>
    </row>
    <row r="640" spans="3:3" x14ac:dyDescent="0.25">
      <c r="C640" s="15"/>
    </row>
    <row r="641" spans="3:3" x14ac:dyDescent="0.25">
      <c r="C641" s="15"/>
    </row>
    <row r="642" spans="3:3" x14ac:dyDescent="0.25">
      <c r="C642" s="15"/>
    </row>
    <row r="643" spans="3:3" x14ac:dyDescent="0.25">
      <c r="C643" s="15"/>
    </row>
    <row r="644" spans="3:3" x14ac:dyDescent="0.25">
      <c r="C644" s="15"/>
    </row>
    <row r="645" spans="3:3" x14ac:dyDescent="0.25">
      <c r="C645" s="15"/>
    </row>
    <row r="646" spans="3:3" x14ac:dyDescent="0.25">
      <c r="C646" s="15"/>
    </row>
    <row r="647" spans="3:3" x14ac:dyDescent="0.25">
      <c r="C647" s="15"/>
    </row>
    <row r="648" spans="3:3" x14ac:dyDescent="0.25">
      <c r="C648" s="15"/>
    </row>
    <row r="649" spans="3:3" x14ac:dyDescent="0.25">
      <c r="C649" s="15"/>
    </row>
    <row r="650" spans="3:3" x14ac:dyDescent="0.25">
      <c r="C650" s="15"/>
    </row>
    <row r="651" spans="3:3" x14ac:dyDescent="0.25">
      <c r="C651" s="15"/>
    </row>
    <row r="652" spans="3:3" x14ac:dyDescent="0.25">
      <c r="C652" s="15"/>
    </row>
    <row r="653" spans="3:3" x14ac:dyDescent="0.25">
      <c r="C653" s="15"/>
    </row>
    <row r="654" spans="3:3" x14ac:dyDescent="0.25">
      <c r="C654" s="15"/>
    </row>
    <row r="655" spans="3:3" x14ac:dyDescent="0.25">
      <c r="C655" s="15"/>
    </row>
    <row r="656" spans="3:3" x14ac:dyDescent="0.25">
      <c r="C656" s="15"/>
    </row>
    <row r="657" spans="3:3" x14ac:dyDescent="0.25">
      <c r="C657" s="15"/>
    </row>
    <row r="658" spans="3:3" x14ac:dyDescent="0.25">
      <c r="C658" s="15"/>
    </row>
    <row r="659" spans="3:3" x14ac:dyDescent="0.25">
      <c r="C659" s="15"/>
    </row>
    <row r="660" spans="3:3" x14ac:dyDescent="0.25">
      <c r="C660" s="15"/>
    </row>
    <row r="661" spans="3:3" x14ac:dyDescent="0.25">
      <c r="C661" s="15"/>
    </row>
    <row r="662" spans="3:3" x14ac:dyDescent="0.25">
      <c r="C662" s="15"/>
    </row>
    <row r="663" spans="3:3" x14ac:dyDescent="0.25">
      <c r="C663" s="15"/>
    </row>
    <row r="664" spans="3:3" x14ac:dyDescent="0.25">
      <c r="C664" s="15"/>
    </row>
    <row r="665" spans="3:3" x14ac:dyDescent="0.25">
      <c r="C665" s="15"/>
    </row>
    <row r="666" spans="3:3" x14ac:dyDescent="0.25">
      <c r="C666" s="15"/>
    </row>
    <row r="667" spans="3:3" x14ac:dyDescent="0.25">
      <c r="C667" s="15"/>
    </row>
    <row r="668" spans="3:3" x14ac:dyDescent="0.25">
      <c r="C668" s="15"/>
    </row>
    <row r="669" spans="3:3" x14ac:dyDescent="0.25">
      <c r="C669" s="15"/>
    </row>
    <row r="670" spans="3:3" x14ac:dyDescent="0.25">
      <c r="C670" s="15"/>
    </row>
    <row r="671" spans="3:3" x14ac:dyDescent="0.25">
      <c r="C671" s="15"/>
    </row>
    <row r="672" spans="3:3" x14ac:dyDescent="0.25">
      <c r="C672" s="15"/>
    </row>
    <row r="673" spans="3:3" x14ac:dyDescent="0.25">
      <c r="C673" s="15"/>
    </row>
    <row r="674" spans="3:3" x14ac:dyDescent="0.25">
      <c r="C674" s="15"/>
    </row>
    <row r="675" spans="3:3" x14ac:dyDescent="0.25">
      <c r="C675" s="15"/>
    </row>
    <row r="676" spans="3:3" x14ac:dyDescent="0.25">
      <c r="C676" s="15"/>
    </row>
    <row r="677" spans="3:3" x14ac:dyDescent="0.25">
      <c r="C677" s="15"/>
    </row>
    <row r="678" spans="3:3" x14ac:dyDescent="0.25">
      <c r="C678" s="15"/>
    </row>
    <row r="679" spans="3:3" x14ac:dyDescent="0.25">
      <c r="C679" s="15"/>
    </row>
    <row r="680" spans="3:3" x14ac:dyDescent="0.25">
      <c r="C680" s="15"/>
    </row>
    <row r="681" spans="3:3" x14ac:dyDescent="0.25">
      <c r="C681" s="15"/>
    </row>
    <row r="682" spans="3:3" x14ac:dyDescent="0.25">
      <c r="C682" s="15"/>
    </row>
    <row r="683" spans="3:3" x14ac:dyDescent="0.25">
      <c r="C683" s="15"/>
    </row>
    <row r="684" spans="3:3" x14ac:dyDescent="0.25">
      <c r="C684" s="15"/>
    </row>
    <row r="685" spans="3:3" x14ac:dyDescent="0.25">
      <c r="C685" s="15"/>
    </row>
    <row r="686" spans="3:3" x14ac:dyDescent="0.25">
      <c r="C686" s="15"/>
    </row>
    <row r="687" spans="3:3" x14ac:dyDescent="0.25">
      <c r="C687" s="15"/>
    </row>
    <row r="688" spans="3:3" x14ac:dyDescent="0.25">
      <c r="C688" s="15"/>
    </row>
    <row r="689" spans="3:3" x14ac:dyDescent="0.25">
      <c r="C689" s="15"/>
    </row>
    <row r="690" spans="3:3" x14ac:dyDescent="0.25">
      <c r="C690" s="15"/>
    </row>
    <row r="691" spans="3:3" x14ac:dyDescent="0.25">
      <c r="C691" s="15"/>
    </row>
    <row r="692" spans="3:3" x14ac:dyDescent="0.25">
      <c r="C692" s="15"/>
    </row>
    <row r="693" spans="3:3" x14ac:dyDescent="0.25">
      <c r="C693" s="15"/>
    </row>
    <row r="694" spans="3:3" x14ac:dyDescent="0.25">
      <c r="C694" s="15"/>
    </row>
    <row r="695" spans="3:3" x14ac:dyDescent="0.25">
      <c r="C695" s="15"/>
    </row>
    <row r="696" spans="3:3" x14ac:dyDescent="0.25">
      <c r="C696" s="15"/>
    </row>
    <row r="697" spans="3:3" x14ac:dyDescent="0.25">
      <c r="C697" s="15"/>
    </row>
    <row r="698" spans="3:3" x14ac:dyDescent="0.25">
      <c r="C698" s="15"/>
    </row>
    <row r="699" spans="3:3" x14ac:dyDescent="0.25">
      <c r="C699" s="15"/>
    </row>
    <row r="700" spans="3:3" x14ac:dyDescent="0.25">
      <c r="C700" s="15"/>
    </row>
    <row r="701" spans="3:3" x14ac:dyDescent="0.25">
      <c r="C701" s="15"/>
    </row>
    <row r="702" spans="3:3" x14ac:dyDescent="0.25">
      <c r="C702" s="15"/>
    </row>
    <row r="703" spans="3:3" x14ac:dyDescent="0.25">
      <c r="C703" s="15"/>
    </row>
    <row r="704" spans="3:3" x14ac:dyDescent="0.25">
      <c r="C704" s="15"/>
    </row>
    <row r="705" spans="3:3" x14ac:dyDescent="0.25">
      <c r="C705" s="15"/>
    </row>
    <row r="706" spans="3:3" x14ac:dyDescent="0.25">
      <c r="C706" s="15"/>
    </row>
    <row r="707" spans="3:3" x14ac:dyDescent="0.25">
      <c r="C707" s="15"/>
    </row>
    <row r="708" spans="3:3" x14ac:dyDescent="0.25">
      <c r="C708" s="15"/>
    </row>
    <row r="709" spans="3:3" x14ac:dyDescent="0.25">
      <c r="C709" s="15"/>
    </row>
    <row r="710" spans="3:3" x14ac:dyDescent="0.25">
      <c r="C710" s="15"/>
    </row>
    <row r="711" spans="3:3" x14ac:dyDescent="0.25">
      <c r="C711" s="15"/>
    </row>
    <row r="712" spans="3:3" x14ac:dyDescent="0.25">
      <c r="C712" s="15"/>
    </row>
    <row r="713" spans="3:3" x14ac:dyDescent="0.25">
      <c r="C713" s="15"/>
    </row>
    <row r="714" spans="3:3" x14ac:dyDescent="0.25">
      <c r="C714" s="15"/>
    </row>
    <row r="715" spans="3:3" x14ac:dyDescent="0.25">
      <c r="C715" s="15"/>
    </row>
    <row r="716" spans="3:3" x14ac:dyDescent="0.25">
      <c r="C716" s="15"/>
    </row>
    <row r="717" spans="3:3" x14ac:dyDescent="0.25">
      <c r="C717" s="15"/>
    </row>
    <row r="718" spans="3:3" x14ac:dyDescent="0.25">
      <c r="C718" s="15"/>
    </row>
    <row r="719" spans="3:3" x14ac:dyDescent="0.25">
      <c r="C719" s="15"/>
    </row>
    <row r="720" spans="3:3" x14ac:dyDescent="0.25">
      <c r="C720" s="15"/>
    </row>
    <row r="721" spans="3:3" x14ac:dyDescent="0.25">
      <c r="C721" s="15"/>
    </row>
    <row r="722" spans="3:3" x14ac:dyDescent="0.25">
      <c r="C722" s="15"/>
    </row>
    <row r="723" spans="3:3" x14ac:dyDescent="0.25">
      <c r="C723" s="15"/>
    </row>
    <row r="724" spans="3:3" x14ac:dyDescent="0.25">
      <c r="C724" s="15"/>
    </row>
    <row r="725" spans="3:3" x14ac:dyDescent="0.25">
      <c r="C725" s="15"/>
    </row>
    <row r="726" spans="3:3" x14ac:dyDescent="0.25">
      <c r="C726" s="15"/>
    </row>
    <row r="727" spans="3:3" x14ac:dyDescent="0.25">
      <c r="C727" s="15"/>
    </row>
    <row r="728" spans="3:3" x14ac:dyDescent="0.25">
      <c r="C728" s="15"/>
    </row>
    <row r="729" spans="3:3" x14ac:dyDescent="0.25">
      <c r="C729" s="15"/>
    </row>
    <row r="730" spans="3:3" x14ac:dyDescent="0.25">
      <c r="C730" s="15"/>
    </row>
    <row r="731" spans="3:3" x14ac:dyDescent="0.25">
      <c r="C731" s="15"/>
    </row>
    <row r="732" spans="3:3" x14ac:dyDescent="0.25">
      <c r="C732" s="15"/>
    </row>
    <row r="733" spans="3:3" x14ac:dyDescent="0.25">
      <c r="C733" s="15"/>
    </row>
    <row r="734" spans="3:3" x14ac:dyDescent="0.25">
      <c r="C734" s="15"/>
    </row>
    <row r="735" spans="3:3" x14ac:dyDescent="0.25">
      <c r="C735" s="15"/>
    </row>
    <row r="736" spans="3:3" x14ac:dyDescent="0.25">
      <c r="C736" s="15"/>
    </row>
    <row r="737" spans="3:3" x14ac:dyDescent="0.25">
      <c r="C737" s="15"/>
    </row>
    <row r="738" spans="3:3" x14ac:dyDescent="0.25">
      <c r="C738" s="15"/>
    </row>
    <row r="739" spans="3:3" x14ac:dyDescent="0.25">
      <c r="C739" s="15"/>
    </row>
    <row r="740" spans="3:3" x14ac:dyDescent="0.25">
      <c r="C740" s="15"/>
    </row>
    <row r="741" spans="3:3" x14ac:dyDescent="0.25">
      <c r="C741" s="15"/>
    </row>
    <row r="742" spans="3:3" x14ac:dyDescent="0.25">
      <c r="C742" s="15"/>
    </row>
    <row r="743" spans="3:3" x14ac:dyDescent="0.25">
      <c r="C743" s="15"/>
    </row>
    <row r="744" spans="3:3" x14ac:dyDescent="0.25">
      <c r="C744" s="15"/>
    </row>
    <row r="745" spans="3:3" x14ac:dyDescent="0.25">
      <c r="C745" s="15"/>
    </row>
    <row r="746" spans="3:3" x14ac:dyDescent="0.25">
      <c r="C746" s="15"/>
    </row>
    <row r="747" spans="3:3" x14ac:dyDescent="0.25">
      <c r="C747" s="15"/>
    </row>
    <row r="748" spans="3:3" x14ac:dyDescent="0.25">
      <c r="C748" s="15"/>
    </row>
    <row r="749" spans="3:3" x14ac:dyDescent="0.25">
      <c r="C749" s="15"/>
    </row>
    <row r="750" spans="3:3" x14ac:dyDescent="0.25">
      <c r="C750" s="15"/>
    </row>
    <row r="751" spans="3:3" x14ac:dyDescent="0.25">
      <c r="C751" s="15"/>
    </row>
    <row r="752" spans="3:3" x14ac:dyDescent="0.25">
      <c r="C752" s="15"/>
    </row>
    <row r="753" spans="3:3" x14ac:dyDescent="0.25">
      <c r="C753" s="15"/>
    </row>
    <row r="754" spans="3:3" x14ac:dyDescent="0.25">
      <c r="C754" s="15"/>
    </row>
    <row r="755" spans="3:3" x14ac:dyDescent="0.25">
      <c r="C755" s="15"/>
    </row>
    <row r="756" spans="3:3" x14ac:dyDescent="0.25">
      <c r="C756" s="15"/>
    </row>
    <row r="757" spans="3:3" x14ac:dyDescent="0.25">
      <c r="C757" s="15"/>
    </row>
    <row r="758" spans="3:3" x14ac:dyDescent="0.25">
      <c r="C758" s="15"/>
    </row>
    <row r="759" spans="3:3" x14ac:dyDescent="0.25">
      <c r="C759" s="15"/>
    </row>
    <row r="760" spans="3:3" x14ac:dyDescent="0.25">
      <c r="C760" s="15"/>
    </row>
    <row r="761" spans="3:3" x14ac:dyDescent="0.25">
      <c r="C761" s="15"/>
    </row>
    <row r="762" spans="3:3" x14ac:dyDescent="0.25">
      <c r="C762" s="15"/>
    </row>
    <row r="763" spans="3:3" x14ac:dyDescent="0.25">
      <c r="C763" s="15"/>
    </row>
    <row r="764" spans="3:3" x14ac:dyDescent="0.25">
      <c r="C764" s="15"/>
    </row>
    <row r="765" spans="3:3" x14ac:dyDescent="0.25">
      <c r="C765" s="15"/>
    </row>
    <row r="766" spans="3:3" x14ac:dyDescent="0.25">
      <c r="C766" s="15"/>
    </row>
    <row r="767" spans="3:3" x14ac:dyDescent="0.25">
      <c r="C767" s="15"/>
    </row>
    <row r="768" spans="3:3" x14ac:dyDescent="0.25">
      <c r="C768" s="15"/>
    </row>
    <row r="769" spans="3:3" x14ac:dyDescent="0.25">
      <c r="C769" s="15"/>
    </row>
    <row r="770" spans="3:3" x14ac:dyDescent="0.25">
      <c r="C770" s="15"/>
    </row>
    <row r="771" spans="3:3" x14ac:dyDescent="0.25">
      <c r="C771" s="15"/>
    </row>
    <row r="772" spans="3:3" x14ac:dyDescent="0.25">
      <c r="C772" s="15"/>
    </row>
    <row r="773" spans="3:3" x14ac:dyDescent="0.25">
      <c r="C773" s="15"/>
    </row>
    <row r="774" spans="3:3" x14ac:dyDescent="0.25">
      <c r="C774" s="15"/>
    </row>
    <row r="775" spans="3:3" x14ac:dyDescent="0.25">
      <c r="C775" s="15"/>
    </row>
    <row r="776" spans="3:3" x14ac:dyDescent="0.25">
      <c r="C776" s="15"/>
    </row>
    <row r="777" spans="3:3" x14ac:dyDescent="0.25">
      <c r="C777" s="15"/>
    </row>
    <row r="778" spans="3:3" x14ac:dyDescent="0.25">
      <c r="C778" s="15"/>
    </row>
    <row r="779" spans="3:3" x14ac:dyDescent="0.25">
      <c r="C779" s="15"/>
    </row>
    <row r="780" spans="3:3" x14ac:dyDescent="0.25">
      <c r="C780" s="15"/>
    </row>
    <row r="781" spans="3:3" x14ac:dyDescent="0.25">
      <c r="C781" s="15"/>
    </row>
    <row r="782" spans="3:3" x14ac:dyDescent="0.25">
      <c r="C782" s="15"/>
    </row>
    <row r="783" spans="3:3" x14ac:dyDescent="0.25">
      <c r="C783" s="15"/>
    </row>
    <row r="784" spans="3:3" x14ac:dyDescent="0.25">
      <c r="C784" s="15"/>
    </row>
    <row r="785" spans="3:3" x14ac:dyDescent="0.25">
      <c r="C785" s="15"/>
    </row>
    <row r="786" spans="3:3" x14ac:dyDescent="0.25">
      <c r="C786" s="15"/>
    </row>
    <row r="787" spans="3:3" x14ac:dyDescent="0.25">
      <c r="C787" s="15"/>
    </row>
    <row r="788" spans="3:3" x14ac:dyDescent="0.25">
      <c r="C788" s="15"/>
    </row>
    <row r="789" spans="3:3" x14ac:dyDescent="0.25">
      <c r="C789" s="15"/>
    </row>
    <row r="790" spans="3:3" x14ac:dyDescent="0.25">
      <c r="C790" s="15"/>
    </row>
    <row r="791" spans="3:3" x14ac:dyDescent="0.25">
      <c r="C791" s="15"/>
    </row>
    <row r="792" spans="3:3" x14ac:dyDescent="0.25">
      <c r="C792" s="15"/>
    </row>
    <row r="793" spans="3:3" x14ac:dyDescent="0.25">
      <c r="C793" s="15"/>
    </row>
    <row r="794" spans="3:3" x14ac:dyDescent="0.25">
      <c r="C794" s="15"/>
    </row>
    <row r="795" spans="3:3" x14ac:dyDescent="0.25">
      <c r="C795" s="15"/>
    </row>
    <row r="796" spans="3:3" x14ac:dyDescent="0.25">
      <c r="C796" s="15"/>
    </row>
    <row r="797" spans="3:3" x14ac:dyDescent="0.25">
      <c r="C797" s="15"/>
    </row>
    <row r="798" spans="3:3" x14ac:dyDescent="0.25">
      <c r="C798" s="15"/>
    </row>
    <row r="799" spans="3:3" x14ac:dyDescent="0.25">
      <c r="C799" s="15"/>
    </row>
    <row r="800" spans="3:3" x14ac:dyDescent="0.25">
      <c r="C800" s="15"/>
    </row>
    <row r="801" spans="3:3" x14ac:dyDescent="0.25">
      <c r="C801" s="15"/>
    </row>
    <row r="802" spans="3:3" x14ac:dyDescent="0.25">
      <c r="C802" s="15"/>
    </row>
    <row r="803" spans="3:3" x14ac:dyDescent="0.25">
      <c r="C803" s="15"/>
    </row>
    <row r="804" spans="3:3" x14ac:dyDescent="0.25">
      <c r="C804" s="15"/>
    </row>
    <row r="805" spans="3:3" x14ac:dyDescent="0.25">
      <c r="C805" s="15"/>
    </row>
    <row r="806" spans="3:3" x14ac:dyDescent="0.25">
      <c r="C806" s="15"/>
    </row>
    <row r="807" spans="3:3" x14ac:dyDescent="0.25">
      <c r="C807" s="15"/>
    </row>
    <row r="808" spans="3:3" x14ac:dyDescent="0.25">
      <c r="C808" s="15"/>
    </row>
    <row r="809" spans="3:3" x14ac:dyDescent="0.25">
      <c r="C809" s="15"/>
    </row>
    <row r="810" spans="3:3" x14ac:dyDescent="0.25">
      <c r="C810" s="15"/>
    </row>
    <row r="811" spans="3:3" x14ac:dyDescent="0.25">
      <c r="C811" s="15"/>
    </row>
    <row r="812" spans="3:3" x14ac:dyDescent="0.25">
      <c r="C812" s="15"/>
    </row>
    <row r="813" spans="3:3" x14ac:dyDescent="0.25">
      <c r="C813" s="15"/>
    </row>
    <row r="814" spans="3:3" x14ac:dyDescent="0.25">
      <c r="C814" s="15"/>
    </row>
    <row r="815" spans="3:3" x14ac:dyDescent="0.25">
      <c r="C815" s="15"/>
    </row>
    <row r="816" spans="3:3" x14ac:dyDescent="0.25">
      <c r="C816" s="15"/>
    </row>
    <row r="817" spans="3:3" x14ac:dyDescent="0.25">
      <c r="C817" s="15"/>
    </row>
    <row r="818" spans="3:3" x14ac:dyDescent="0.25">
      <c r="C818" s="15"/>
    </row>
    <row r="819" spans="3:3" x14ac:dyDescent="0.25">
      <c r="C819" s="15"/>
    </row>
    <row r="820" spans="3:3" x14ac:dyDescent="0.25">
      <c r="C820" s="15"/>
    </row>
    <row r="821" spans="3:3" x14ac:dyDescent="0.25">
      <c r="C821" s="15"/>
    </row>
    <row r="822" spans="3:3" x14ac:dyDescent="0.25">
      <c r="C822" s="15"/>
    </row>
    <row r="823" spans="3:3" x14ac:dyDescent="0.25">
      <c r="C823" s="15"/>
    </row>
    <row r="824" spans="3:3" x14ac:dyDescent="0.25">
      <c r="C824" s="15"/>
    </row>
    <row r="825" spans="3:3" x14ac:dyDescent="0.25">
      <c r="C825" s="15"/>
    </row>
    <row r="826" spans="3:3" x14ac:dyDescent="0.25">
      <c r="C826" s="15"/>
    </row>
    <row r="827" spans="3:3" x14ac:dyDescent="0.25">
      <c r="C827" s="15"/>
    </row>
    <row r="828" spans="3:3" x14ac:dyDescent="0.25">
      <c r="C828" s="15"/>
    </row>
    <row r="829" spans="3:3" x14ac:dyDescent="0.25">
      <c r="C829" s="15"/>
    </row>
    <row r="830" spans="3:3" x14ac:dyDescent="0.25">
      <c r="C830" s="15"/>
    </row>
    <row r="831" spans="3:3" x14ac:dyDescent="0.25">
      <c r="C831" s="15"/>
    </row>
    <row r="832" spans="3:3" x14ac:dyDescent="0.25">
      <c r="C832" s="15"/>
    </row>
    <row r="833" spans="3:3" x14ac:dyDescent="0.25">
      <c r="C833" s="15"/>
    </row>
    <row r="834" spans="3:3" x14ac:dyDescent="0.25">
      <c r="C834" s="15"/>
    </row>
    <row r="835" spans="3:3" x14ac:dyDescent="0.25">
      <c r="C835" s="15"/>
    </row>
    <row r="836" spans="3:3" x14ac:dyDescent="0.25">
      <c r="C836" s="15"/>
    </row>
    <row r="837" spans="3:3" x14ac:dyDescent="0.25">
      <c r="C837" s="15"/>
    </row>
    <row r="838" spans="3:3" x14ac:dyDescent="0.25">
      <c r="C838" s="15"/>
    </row>
    <row r="839" spans="3:3" x14ac:dyDescent="0.25">
      <c r="C839" s="15"/>
    </row>
    <row r="840" spans="3:3" x14ac:dyDescent="0.25">
      <c r="C840" s="15"/>
    </row>
    <row r="841" spans="3:3" x14ac:dyDescent="0.25">
      <c r="C841" s="15"/>
    </row>
    <row r="842" spans="3:3" x14ac:dyDescent="0.25">
      <c r="C842" s="15"/>
    </row>
    <row r="843" spans="3:3" x14ac:dyDescent="0.25">
      <c r="C843" s="15"/>
    </row>
    <row r="844" spans="3:3" x14ac:dyDescent="0.25">
      <c r="C844" s="15"/>
    </row>
    <row r="845" spans="3:3" x14ac:dyDescent="0.25">
      <c r="C845" s="15"/>
    </row>
    <row r="846" spans="3:3" x14ac:dyDescent="0.25">
      <c r="C846" s="15"/>
    </row>
    <row r="847" spans="3:3" x14ac:dyDescent="0.25">
      <c r="C847" s="15"/>
    </row>
    <row r="848" spans="3:3" x14ac:dyDescent="0.25">
      <c r="C848" s="15"/>
    </row>
    <row r="849" spans="3:3" x14ac:dyDescent="0.25">
      <c r="C849" s="15"/>
    </row>
    <row r="850" spans="3:3" x14ac:dyDescent="0.25">
      <c r="C850" s="15"/>
    </row>
    <row r="851" spans="3:3" x14ac:dyDescent="0.25">
      <c r="C851" s="15"/>
    </row>
    <row r="852" spans="3:3" x14ac:dyDescent="0.25">
      <c r="C852" s="15"/>
    </row>
    <row r="853" spans="3:3" x14ac:dyDescent="0.25">
      <c r="C853" s="15"/>
    </row>
    <row r="854" spans="3:3" x14ac:dyDescent="0.25">
      <c r="C854" s="15"/>
    </row>
    <row r="855" spans="3:3" x14ac:dyDescent="0.25">
      <c r="C855" s="15"/>
    </row>
    <row r="856" spans="3:3" x14ac:dyDescent="0.25">
      <c r="C856" s="15"/>
    </row>
    <row r="857" spans="3:3" x14ac:dyDescent="0.25">
      <c r="C857" s="15"/>
    </row>
    <row r="858" spans="3:3" x14ac:dyDescent="0.25">
      <c r="C858" s="15"/>
    </row>
    <row r="859" spans="3:3" x14ac:dyDescent="0.25">
      <c r="C859" s="15"/>
    </row>
    <row r="860" spans="3:3" x14ac:dyDescent="0.25">
      <c r="C860" s="15"/>
    </row>
    <row r="861" spans="3:3" x14ac:dyDescent="0.25">
      <c r="C861" s="15"/>
    </row>
    <row r="862" spans="3:3" x14ac:dyDescent="0.25">
      <c r="C862" s="15"/>
    </row>
    <row r="863" spans="3:3" x14ac:dyDescent="0.25">
      <c r="C863" s="15"/>
    </row>
    <row r="864" spans="3:3" x14ac:dyDescent="0.25">
      <c r="C864" s="15"/>
    </row>
    <row r="865" spans="3:3" x14ac:dyDescent="0.25">
      <c r="C865" s="15"/>
    </row>
    <row r="866" spans="3:3" x14ac:dyDescent="0.25">
      <c r="C866" s="15"/>
    </row>
    <row r="867" spans="3:3" x14ac:dyDescent="0.25">
      <c r="C867" s="15"/>
    </row>
    <row r="868" spans="3:3" x14ac:dyDescent="0.25">
      <c r="C868" s="15"/>
    </row>
    <row r="869" spans="3:3" x14ac:dyDescent="0.25">
      <c r="C869" s="15"/>
    </row>
    <row r="870" spans="3:3" x14ac:dyDescent="0.25">
      <c r="C870" s="15"/>
    </row>
    <row r="871" spans="3:3" x14ac:dyDescent="0.25">
      <c r="C871" s="15"/>
    </row>
    <row r="872" spans="3:3" x14ac:dyDescent="0.25">
      <c r="C872" s="15"/>
    </row>
    <row r="873" spans="3:3" x14ac:dyDescent="0.25">
      <c r="C873" s="15"/>
    </row>
    <row r="874" spans="3:3" x14ac:dyDescent="0.25">
      <c r="C874" s="15"/>
    </row>
    <row r="875" spans="3:3" x14ac:dyDescent="0.25">
      <c r="C875" s="15"/>
    </row>
    <row r="876" spans="3:3" x14ac:dyDescent="0.25">
      <c r="C876" s="15"/>
    </row>
    <row r="877" spans="3:3" x14ac:dyDescent="0.25">
      <c r="C877" s="15"/>
    </row>
    <row r="878" spans="3:3" x14ac:dyDescent="0.25">
      <c r="C878" s="15"/>
    </row>
    <row r="879" spans="3:3" x14ac:dyDescent="0.25">
      <c r="C879" s="15"/>
    </row>
    <row r="880" spans="3:3" x14ac:dyDescent="0.25">
      <c r="C880" s="15"/>
    </row>
    <row r="881" spans="3:3" x14ac:dyDescent="0.25">
      <c r="C881" s="15"/>
    </row>
    <row r="882" spans="3:3" x14ac:dyDescent="0.25">
      <c r="C882" s="15"/>
    </row>
    <row r="883" spans="3:3" x14ac:dyDescent="0.25">
      <c r="C883" s="15"/>
    </row>
    <row r="884" spans="3:3" x14ac:dyDescent="0.25">
      <c r="C884" s="15"/>
    </row>
    <row r="885" spans="3:3" x14ac:dyDescent="0.25">
      <c r="C885" s="15"/>
    </row>
    <row r="886" spans="3:3" x14ac:dyDescent="0.25">
      <c r="C886" s="15"/>
    </row>
    <row r="887" spans="3:3" x14ac:dyDescent="0.25">
      <c r="C887" s="15"/>
    </row>
    <row r="888" spans="3:3" x14ac:dyDescent="0.25">
      <c r="C888" s="15"/>
    </row>
    <row r="889" spans="3:3" x14ac:dyDescent="0.25">
      <c r="C889" s="15"/>
    </row>
    <row r="890" spans="3:3" x14ac:dyDescent="0.25">
      <c r="C890" s="15"/>
    </row>
    <row r="891" spans="3:3" x14ac:dyDescent="0.25">
      <c r="C891" s="15"/>
    </row>
    <row r="892" spans="3:3" x14ac:dyDescent="0.25">
      <c r="C892" s="15"/>
    </row>
    <row r="893" spans="3:3" x14ac:dyDescent="0.25">
      <c r="C893" s="15"/>
    </row>
    <row r="894" spans="3:3" x14ac:dyDescent="0.25">
      <c r="C894" s="15"/>
    </row>
    <row r="895" spans="3:3" x14ac:dyDescent="0.25">
      <c r="C895" s="15"/>
    </row>
    <row r="896" spans="3:3" x14ac:dyDescent="0.25">
      <c r="C896" s="15"/>
    </row>
    <row r="897" spans="3:3" x14ac:dyDescent="0.25">
      <c r="C897" s="15"/>
    </row>
    <row r="898" spans="3:3" x14ac:dyDescent="0.25">
      <c r="C898" s="15"/>
    </row>
    <row r="899" spans="3:3" x14ac:dyDescent="0.25">
      <c r="C899" s="15"/>
    </row>
    <row r="900" spans="3:3" x14ac:dyDescent="0.25">
      <c r="C900" s="15"/>
    </row>
    <row r="901" spans="3:3" x14ac:dyDescent="0.25">
      <c r="C901" s="15"/>
    </row>
    <row r="902" spans="3:3" x14ac:dyDescent="0.25">
      <c r="C902" s="15"/>
    </row>
    <row r="903" spans="3:3" x14ac:dyDescent="0.25">
      <c r="C903" s="15"/>
    </row>
    <row r="904" spans="3:3" x14ac:dyDescent="0.25">
      <c r="C904" s="15"/>
    </row>
    <row r="905" spans="3:3" x14ac:dyDescent="0.25">
      <c r="C905" s="15"/>
    </row>
    <row r="906" spans="3:3" x14ac:dyDescent="0.25">
      <c r="C906" s="15"/>
    </row>
    <row r="907" spans="3:3" x14ac:dyDescent="0.25">
      <c r="C907" s="15"/>
    </row>
    <row r="908" spans="3:3" x14ac:dyDescent="0.25">
      <c r="C908" s="15"/>
    </row>
    <row r="909" spans="3:3" x14ac:dyDescent="0.25">
      <c r="C909" s="15"/>
    </row>
    <row r="910" spans="3:3" x14ac:dyDescent="0.25">
      <c r="C910" s="15"/>
    </row>
    <row r="911" spans="3:3" x14ac:dyDescent="0.25">
      <c r="C911" s="15"/>
    </row>
    <row r="912" spans="3:3" x14ac:dyDescent="0.25">
      <c r="C912" s="15"/>
    </row>
    <row r="913" spans="3:3" x14ac:dyDescent="0.25">
      <c r="C913" s="15"/>
    </row>
    <row r="914" spans="3:3" x14ac:dyDescent="0.25">
      <c r="C914" s="15"/>
    </row>
    <row r="915" spans="3:3" x14ac:dyDescent="0.25">
      <c r="C915" s="15"/>
    </row>
    <row r="916" spans="3:3" x14ac:dyDescent="0.25">
      <c r="C916" s="15"/>
    </row>
    <row r="917" spans="3:3" x14ac:dyDescent="0.25">
      <c r="C917" s="15"/>
    </row>
    <row r="918" spans="3:3" x14ac:dyDescent="0.25">
      <c r="C918" s="15"/>
    </row>
    <row r="919" spans="3:3" x14ac:dyDescent="0.25">
      <c r="C919" s="15"/>
    </row>
    <row r="920" spans="3:3" x14ac:dyDescent="0.25">
      <c r="C920" s="15"/>
    </row>
    <row r="921" spans="3:3" x14ac:dyDescent="0.25">
      <c r="C921" s="15"/>
    </row>
    <row r="922" spans="3:3" x14ac:dyDescent="0.25">
      <c r="C922" s="15"/>
    </row>
    <row r="923" spans="3:3" x14ac:dyDescent="0.25">
      <c r="C923" s="15"/>
    </row>
    <row r="924" spans="3:3" x14ac:dyDescent="0.25">
      <c r="C924" s="15"/>
    </row>
    <row r="925" spans="3:3" x14ac:dyDescent="0.25">
      <c r="C925" s="15"/>
    </row>
    <row r="926" spans="3:3" x14ac:dyDescent="0.25">
      <c r="C926" s="15"/>
    </row>
    <row r="927" spans="3:3" x14ac:dyDescent="0.25">
      <c r="C927" s="15"/>
    </row>
    <row r="928" spans="3:3" x14ac:dyDescent="0.25">
      <c r="C928" s="15"/>
    </row>
    <row r="929" spans="3:3" x14ac:dyDescent="0.25">
      <c r="C929" s="15"/>
    </row>
    <row r="930" spans="3:3" x14ac:dyDescent="0.25">
      <c r="C930" s="15"/>
    </row>
    <row r="931" spans="3:3" x14ac:dyDescent="0.25">
      <c r="C931" s="15"/>
    </row>
    <row r="932" spans="3:3" x14ac:dyDescent="0.25">
      <c r="C932" s="15"/>
    </row>
    <row r="933" spans="3:3" x14ac:dyDescent="0.25">
      <c r="C933" s="15"/>
    </row>
    <row r="934" spans="3:3" x14ac:dyDescent="0.25">
      <c r="C934" s="15"/>
    </row>
    <row r="935" spans="3:3" x14ac:dyDescent="0.25">
      <c r="C935" s="15"/>
    </row>
    <row r="936" spans="3:3" x14ac:dyDescent="0.25">
      <c r="C936" s="15"/>
    </row>
    <row r="937" spans="3:3" x14ac:dyDescent="0.25">
      <c r="C937" s="15"/>
    </row>
    <row r="938" spans="3:3" x14ac:dyDescent="0.25">
      <c r="C938" s="15"/>
    </row>
    <row r="939" spans="3:3" x14ac:dyDescent="0.25">
      <c r="C939" s="15"/>
    </row>
    <row r="940" spans="3:3" x14ac:dyDescent="0.25">
      <c r="C940" s="15"/>
    </row>
    <row r="941" spans="3:3" x14ac:dyDescent="0.25">
      <c r="C941" s="15"/>
    </row>
    <row r="942" spans="3:3" x14ac:dyDescent="0.25">
      <c r="C942" s="15"/>
    </row>
    <row r="943" spans="3:3" x14ac:dyDescent="0.25">
      <c r="C943" s="15"/>
    </row>
    <row r="944" spans="3:3" x14ac:dyDescent="0.25">
      <c r="C944" s="15"/>
    </row>
    <row r="945" spans="3:3" x14ac:dyDescent="0.25">
      <c r="C945" s="15"/>
    </row>
    <row r="946" spans="3:3" x14ac:dyDescent="0.25">
      <c r="C946" s="15"/>
    </row>
    <row r="947" spans="3:3" x14ac:dyDescent="0.25">
      <c r="C947" s="15"/>
    </row>
    <row r="948" spans="3:3" x14ac:dyDescent="0.25">
      <c r="C948" s="15"/>
    </row>
    <row r="949" spans="3:3" x14ac:dyDescent="0.25">
      <c r="C949" s="15"/>
    </row>
    <row r="950" spans="3:3" x14ac:dyDescent="0.25">
      <c r="C950" s="15"/>
    </row>
    <row r="951" spans="3:3" x14ac:dyDescent="0.25">
      <c r="C951" s="15"/>
    </row>
    <row r="952" spans="3:3" x14ac:dyDescent="0.25">
      <c r="C952" s="15"/>
    </row>
    <row r="953" spans="3:3" x14ac:dyDescent="0.25">
      <c r="C953" s="15"/>
    </row>
    <row r="954" spans="3:3" x14ac:dyDescent="0.25">
      <c r="C954" s="15"/>
    </row>
    <row r="955" spans="3:3" x14ac:dyDescent="0.25">
      <c r="C955" s="15"/>
    </row>
    <row r="956" spans="3:3" x14ac:dyDescent="0.25">
      <c r="C956" s="15"/>
    </row>
    <row r="957" spans="3:3" x14ac:dyDescent="0.25">
      <c r="C957" s="15"/>
    </row>
    <row r="958" spans="3:3" x14ac:dyDescent="0.25">
      <c r="C958" s="15"/>
    </row>
    <row r="959" spans="3:3" x14ac:dyDescent="0.25">
      <c r="C959" s="15"/>
    </row>
    <row r="960" spans="3:3" x14ac:dyDescent="0.25">
      <c r="C960" s="15"/>
    </row>
    <row r="961" spans="3:3" x14ac:dyDescent="0.25">
      <c r="C961" s="15"/>
    </row>
    <row r="962" spans="3:3" x14ac:dyDescent="0.25">
      <c r="C962" s="15"/>
    </row>
    <row r="963" spans="3:3" x14ac:dyDescent="0.25">
      <c r="C963" s="15"/>
    </row>
    <row r="964" spans="3:3" x14ac:dyDescent="0.25">
      <c r="C964" s="15"/>
    </row>
    <row r="965" spans="3:3" x14ac:dyDescent="0.25">
      <c r="C965" s="15"/>
    </row>
    <row r="966" spans="3:3" x14ac:dyDescent="0.25">
      <c r="C966" s="15"/>
    </row>
    <row r="967" spans="3:3" x14ac:dyDescent="0.25">
      <c r="C967" s="15"/>
    </row>
    <row r="968" spans="3:3" x14ac:dyDescent="0.25">
      <c r="C968" s="15"/>
    </row>
    <row r="969" spans="3:3" x14ac:dyDescent="0.25">
      <c r="C969" s="15"/>
    </row>
    <row r="970" spans="3:3" x14ac:dyDescent="0.25">
      <c r="C970" s="15"/>
    </row>
    <row r="971" spans="3:3" x14ac:dyDescent="0.25">
      <c r="C971" s="15"/>
    </row>
    <row r="972" spans="3:3" x14ac:dyDescent="0.25">
      <c r="C972" s="15"/>
    </row>
    <row r="973" spans="3:3" x14ac:dyDescent="0.25">
      <c r="C973" s="15"/>
    </row>
    <row r="974" spans="3:3" x14ac:dyDescent="0.25">
      <c r="C974" s="15"/>
    </row>
    <row r="975" spans="3:3" x14ac:dyDescent="0.25">
      <c r="C975" s="15"/>
    </row>
    <row r="976" spans="3:3" x14ac:dyDescent="0.25">
      <c r="C976" s="15"/>
    </row>
    <row r="977" spans="3:3" x14ac:dyDescent="0.25">
      <c r="C977" s="15"/>
    </row>
    <row r="978" spans="3:3" x14ac:dyDescent="0.25">
      <c r="C978" s="15"/>
    </row>
    <row r="979" spans="3:3" x14ac:dyDescent="0.25">
      <c r="C979" s="15"/>
    </row>
    <row r="980" spans="3:3" x14ac:dyDescent="0.25">
      <c r="C980" s="15"/>
    </row>
    <row r="981" spans="3:3" x14ac:dyDescent="0.25">
      <c r="C981" s="15"/>
    </row>
    <row r="982" spans="3:3" x14ac:dyDescent="0.25">
      <c r="C982" s="15"/>
    </row>
    <row r="983" spans="3:3" x14ac:dyDescent="0.25">
      <c r="C983" s="15"/>
    </row>
    <row r="984" spans="3:3" x14ac:dyDescent="0.25">
      <c r="C984" s="15"/>
    </row>
    <row r="985" spans="3:3" x14ac:dyDescent="0.25">
      <c r="C985" s="15"/>
    </row>
    <row r="986" spans="3:3" x14ac:dyDescent="0.25">
      <c r="C986" s="15"/>
    </row>
    <row r="987" spans="3:3" x14ac:dyDescent="0.25">
      <c r="C987" s="15"/>
    </row>
    <row r="988" spans="3:3" x14ac:dyDescent="0.25">
      <c r="C988" s="15"/>
    </row>
    <row r="989" spans="3:3" x14ac:dyDescent="0.25">
      <c r="C989" s="15"/>
    </row>
    <row r="990" spans="3:3" x14ac:dyDescent="0.25">
      <c r="C990" s="15"/>
    </row>
    <row r="991" spans="3:3" x14ac:dyDescent="0.25">
      <c r="C991" s="15"/>
    </row>
    <row r="992" spans="3:3" x14ac:dyDescent="0.25">
      <c r="C992" s="15"/>
    </row>
    <row r="993" spans="3:3" x14ac:dyDescent="0.25">
      <c r="C993" s="15"/>
    </row>
    <row r="994" spans="3:3" x14ac:dyDescent="0.25">
      <c r="C994" s="15"/>
    </row>
    <row r="995" spans="3:3" x14ac:dyDescent="0.25">
      <c r="C995" s="15"/>
    </row>
    <row r="996" spans="3:3" x14ac:dyDescent="0.25">
      <c r="C996" s="15"/>
    </row>
    <row r="997" spans="3:3" x14ac:dyDescent="0.25">
      <c r="C997" s="15"/>
    </row>
    <row r="998" spans="3:3" x14ac:dyDescent="0.25">
      <c r="C998" s="15"/>
    </row>
    <row r="999" spans="3:3" x14ac:dyDescent="0.25">
      <c r="C999" s="15"/>
    </row>
    <row r="1000" spans="3:3" x14ac:dyDescent="0.25">
      <c r="C1000" s="15"/>
    </row>
    <row r="1001" spans="3:3" x14ac:dyDescent="0.25">
      <c r="C1001" s="15"/>
    </row>
    <row r="1002" spans="3:3" x14ac:dyDescent="0.25">
      <c r="C1002" s="15"/>
    </row>
    <row r="1003" spans="3:3" x14ac:dyDescent="0.25">
      <c r="C1003" s="15"/>
    </row>
    <row r="1004" spans="3:3" x14ac:dyDescent="0.25">
      <c r="C1004" s="15"/>
    </row>
    <row r="1005" spans="3:3" x14ac:dyDescent="0.25">
      <c r="C1005" s="15"/>
    </row>
    <row r="1006" spans="3:3" x14ac:dyDescent="0.25">
      <c r="C1006" s="15"/>
    </row>
    <row r="1007" spans="3:3" x14ac:dyDescent="0.25">
      <c r="C1007" s="15"/>
    </row>
    <row r="1008" spans="3:3" x14ac:dyDescent="0.25">
      <c r="C1008" s="15"/>
    </row>
    <row r="1009" spans="3:3" x14ac:dyDescent="0.25">
      <c r="C1009" s="15"/>
    </row>
    <row r="1010" spans="3:3" x14ac:dyDescent="0.25">
      <c r="C1010" s="15"/>
    </row>
    <row r="1011" spans="3:3" x14ac:dyDescent="0.25">
      <c r="C1011" s="15"/>
    </row>
    <row r="1012" spans="3:3" x14ac:dyDescent="0.25">
      <c r="C1012" s="15"/>
    </row>
    <row r="1013" spans="3:3" x14ac:dyDescent="0.25">
      <c r="C1013" s="15"/>
    </row>
    <row r="1014" spans="3:3" x14ac:dyDescent="0.25">
      <c r="C1014" s="15"/>
    </row>
    <row r="1015" spans="3:3" x14ac:dyDescent="0.25">
      <c r="C1015" s="15"/>
    </row>
    <row r="1016" spans="3:3" x14ac:dyDescent="0.25">
      <c r="C1016" s="15"/>
    </row>
    <row r="1017" spans="3:3" x14ac:dyDescent="0.25">
      <c r="C1017" s="15"/>
    </row>
    <row r="1018" spans="3:3" x14ac:dyDescent="0.25">
      <c r="C1018" s="15"/>
    </row>
    <row r="1019" spans="3:3" x14ac:dyDescent="0.25">
      <c r="C1019" s="15"/>
    </row>
    <row r="1020" spans="3:3" x14ac:dyDescent="0.25">
      <c r="C1020" s="15"/>
    </row>
    <row r="1021" spans="3:3" x14ac:dyDescent="0.25">
      <c r="C1021" s="15"/>
    </row>
    <row r="1022" spans="3:3" x14ac:dyDescent="0.25">
      <c r="C1022" s="15"/>
    </row>
    <row r="1023" spans="3:3" x14ac:dyDescent="0.25">
      <c r="C1023" s="15"/>
    </row>
    <row r="1024" spans="3:3" x14ac:dyDescent="0.25">
      <c r="C1024" s="15"/>
    </row>
    <row r="1025" spans="3:3" x14ac:dyDescent="0.25">
      <c r="C1025" s="15"/>
    </row>
    <row r="1026" spans="3:3" x14ac:dyDescent="0.25">
      <c r="C1026" s="15"/>
    </row>
    <row r="1027" spans="3:3" x14ac:dyDescent="0.25">
      <c r="C1027" s="15"/>
    </row>
    <row r="1028" spans="3:3" x14ac:dyDescent="0.25">
      <c r="C1028" s="15"/>
    </row>
    <row r="1029" spans="3:3" x14ac:dyDescent="0.25">
      <c r="C1029" s="15"/>
    </row>
    <row r="1030" spans="3:3" x14ac:dyDescent="0.25">
      <c r="C1030" s="15"/>
    </row>
    <row r="1031" spans="3:3" x14ac:dyDescent="0.25">
      <c r="C1031" s="15"/>
    </row>
    <row r="1032" spans="3:3" x14ac:dyDescent="0.25">
      <c r="C1032" s="15"/>
    </row>
    <row r="1033" spans="3:3" x14ac:dyDescent="0.25">
      <c r="C1033" s="15"/>
    </row>
    <row r="1034" spans="3:3" x14ac:dyDescent="0.25">
      <c r="C1034" s="15"/>
    </row>
    <row r="1035" spans="3:3" x14ac:dyDescent="0.25">
      <c r="C1035" s="15"/>
    </row>
    <row r="1036" spans="3:3" x14ac:dyDescent="0.25">
      <c r="C1036" s="15"/>
    </row>
    <row r="1037" spans="3:3" x14ac:dyDescent="0.25">
      <c r="C1037" s="15"/>
    </row>
    <row r="1038" spans="3:3" x14ac:dyDescent="0.25">
      <c r="C1038" s="15"/>
    </row>
    <row r="1039" spans="3:3" x14ac:dyDescent="0.25">
      <c r="C1039" s="15"/>
    </row>
    <row r="1040" spans="3:3" x14ac:dyDescent="0.25">
      <c r="C1040" s="15"/>
    </row>
    <row r="1041" spans="3:3" x14ac:dyDescent="0.25">
      <c r="C1041" s="15"/>
    </row>
    <row r="1042" spans="3:3" x14ac:dyDescent="0.25">
      <c r="C1042" s="15"/>
    </row>
    <row r="1043" spans="3:3" x14ac:dyDescent="0.25">
      <c r="C1043" s="15"/>
    </row>
    <row r="1044" spans="3:3" x14ac:dyDescent="0.25">
      <c r="C1044" s="15"/>
    </row>
    <row r="1045" spans="3:3" x14ac:dyDescent="0.25">
      <c r="C1045" s="15"/>
    </row>
    <row r="1046" spans="3:3" x14ac:dyDescent="0.25">
      <c r="C1046" s="15"/>
    </row>
    <row r="1047" spans="3:3" x14ac:dyDescent="0.25">
      <c r="C1047" s="15"/>
    </row>
    <row r="1048" spans="3:3" x14ac:dyDescent="0.25">
      <c r="C1048" s="15"/>
    </row>
    <row r="1049" spans="3:3" x14ac:dyDescent="0.25">
      <c r="C1049" s="15"/>
    </row>
    <row r="1050" spans="3:3" x14ac:dyDescent="0.25">
      <c r="C1050" s="15"/>
    </row>
    <row r="1051" spans="3:3" x14ac:dyDescent="0.25">
      <c r="C1051" s="15"/>
    </row>
    <row r="1052" spans="3:3" x14ac:dyDescent="0.25">
      <c r="C1052" s="15"/>
    </row>
    <row r="1053" spans="3:3" x14ac:dyDescent="0.25">
      <c r="C1053" s="15"/>
    </row>
  </sheetData>
  <pageMargins left="0.7" right="0.7" top="0.75" bottom="0.75" header="0.3" footer="0.3"/>
  <pageSetup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inSVP_Macro">
                <anchor moveWithCells="1" sizeWithCells="1">
                  <from>
                    <xdr:col>21</xdr:col>
                    <xdr:colOff>123825</xdr:colOff>
                    <xdr:row>0</xdr:row>
                    <xdr:rowOff>190500</xdr:rowOff>
                  </from>
                  <to>
                    <xdr:col>25</xdr:col>
                    <xdr:colOff>276225</xdr:colOff>
                    <xdr:row>0</xdr:row>
                    <xdr:rowOff>904875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Qinsy DB Revisions</vt:lpstr>
      <vt:lpstr>Survey</vt:lpstr>
      <vt:lpstr>BM01</vt:lpstr>
      <vt:lpstr>BM02</vt:lpstr>
      <vt:lpstr>BM03</vt:lpstr>
      <vt:lpstr>BM04</vt:lpstr>
      <vt:lpstr>BM05</vt:lpstr>
      <vt:lpstr>BM06</vt:lpstr>
      <vt:lpstr>BM07</vt:lpstr>
      <vt:lpstr>BM08</vt:lpstr>
      <vt:lpstr>BM09</vt:lpstr>
      <vt:lpstr>BM10</vt:lpstr>
      <vt:lpstr>BM11</vt:lpstr>
      <vt:lpstr>BM12</vt:lpstr>
      <vt:lpstr>BM13</vt:lpstr>
      <vt:lpstr>BM14</vt:lpstr>
      <vt:lpstr>BM15</vt:lpstr>
      <vt:lpstr>BM16</vt:lpstr>
      <vt:lpstr>BM17</vt:lpstr>
      <vt:lpstr>BM18</vt:lpstr>
      <vt:lpstr>Settings</vt:lpstr>
      <vt:lpstr>SVP_Profiles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mmt</dc:creator>
  <cp:lastModifiedBy>mmt</cp:lastModifiedBy>
  <cp:lastPrinted>2023-05-11T18:52:51Z</cp:lastPrinted>
  <dcterms:created xsi:type="dcterms:W3CDTF">2022-08-19T22:49:42Z</dcterms:created>
  <dcterms:modified xsi:type="dcterms:W3CDTF">2023-07-02T04:32:57Z</dcterms:modified>
</cp:coreProperties>
</file>